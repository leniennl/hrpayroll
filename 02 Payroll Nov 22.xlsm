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lee\Dropbox\Side Hussle\VBA\Finished Project\"/>
    </mc:Choice>
  </mc:AlternateContent>
  <bookViews>
    <workbookView xWindow="0" yWindow="0" windowWidth="18600" windowHeight="7065" tabRatio="932"/>
  </bookViews>
  <sheets>
    <sheet name="1st Pay Period" sheetId="21" r:id="rId1"/>
    <sheet name="pay1" sheetId="3" r:id="rId2"/>
    <sheet name="2ndPayPeriod" sheetId="20" r:id="rId3"/>
    <sheet name="pay2" sheetId="4" r:id="rId4"/>
    <sheet name="Payroll Accrual" sheetId="5" r:id="rId5"/>
    <sheet name="PayrollTax Accrual" sheetId="17" r:id="rId6"/>
    <sheet name="3rdPayPeriod" sheetId="7" r:id="rId7"/>
    <sheet name="pay3" sheetId="22" r:id="rId8"/>
    <sheet name="consolidated" sheetId="8" state="hidden" r:id="rId9"/>
    <sheet name="Meal Allowance Adj" sheetId="25" state="hidden" r:id="rId10"/>
  </sheets>
  <definedNames>
    <definedName name="_xlnm._FilterDatabase" localSheetId="0" hidden="1">'1st Pay Period'!$A$1:$O$995</definedName>
    <definedName name="_xlnm._FilterDatabase" localSheetId="2" hidden="1">'2ndPayPeriod'!$A$1:$L$938</definedName>
    <definedName name="_xlnm._FilterDatabase" localSheetId="6" hidden="1">'3rdPayPeriod'!$A$1:$M$1855</definedName>
    <definedName name="_xlnm._FilterDatabase" localSheetId="8" hidden="1">consolidated!$A$1:$I$1585</definedName>
    <definedName name="_xlnm._FilterDatabase" localSheetId="1" hidden="1">'pay1'!$A$2:$U$991</definedName>
    <definedName name="_xlnm._FilterDatabase" localSheetId="3" hidden="1">'pay2'!$A$2:$V$939</definedName>
    <definedName name="_xlnm._FilterDatabase" localSheetId="7" hidden="1">'pay3'!$A$2:$V$964</definedName>
    <definedName name="_xlnm._FilterDatabase" localSheetId="4" hidden="1">'Payroll Accrual'!$A$2:$U$494</definedName>
    <definedName name="_xlnm._FilterDatabase" localSheetId="5" hidden="1">'PayrollTax Accrual'!$A$2:$N$484</definedName>
  </definedNames>
  <calcPr calcId="152511"/>
</workbook>
</file>

<file path=xl/calcChain.xml><?xml version="1.0" encoding="utf-8"?>
<calcChain xmlns="http://schemas.openxmlformats.org/spreadsheetml/2006/main">
  <c r="C469" i="17" l="1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06" i="17"/>
  <c r="M207" i="17"/>
  <c r="M208" i="17"/>
  <c r="M209" i="17"/>
  <c r="M210" i="17"/>
  <c r="M211" i="17"/>
  <c r="M212" i="17"/>
  <c r="M213" i="17"/>
  <c r="M214" i="17"/>
  <c r="M215" i="17"/>
  <c r="M216" i="17"/>
  <c r="M217" i="17"/>
  <c r="M218" i="17"/>
  <c r="M219" i="17"/>
  <c r="M220" i="17"/>
  <c r="M221" i="17"/>
  <c r="M222" i="17"/>
  <c r="M223" i="17"/>
  <c r="M224" i="17"/>
  <c r="M225" i="17"/>
  <c r="M226" i="17"/>
  <c r="M227" i="17"/>
  <c r="M228" i="17"/>
  <c r="M229" i="17"/>
  <c r="M230" i="17"/>
  <c r="M231" i="17"/>
  <c r="M232" i="17"/>
  <c r="M233" i="17"/>
  <c r="M234" i="17"/>
  <c r="M235" i="17"/>
  <c r="M236" i="17"/>
  <c r="M237" i="17"/>
  <c r="M238" i="17"/>
  <c r="M239" i="17"/>
  <c r="M240" i="17"/>
  <c r="M241" i="17"/>
  <c r="M242" i="17"/>
  <c r="M243" i="17"/>
  <c r="M244" i="17"/>
  <c r="M245" i="17"/>
  <c r="M246" i="17"/>
  <c r="M247" i="17"/>
  <c r="M248" i="17"/>
  <c r="M249" i="17"/>
  <c r="M250" i="17"/>
  <c r="M251" i="17"/>
  <c r="M252" i="17"/>
  <c r="M253" i="17"/>
  <c r="M254" i="17"/>
  <c r="M255" i="17"/>
  <c r="M256" i="17"/>
  <c r="M257" i="17"/>
  <c r="M258" i="17"/>
  <c r="M259" i="17"/>
  <c r="M260" i="17"/>
  <c r="M261" i="17"/>
  <c r="M262" i="17"/>
  <c r="M263" i="17"/>
  <c r="M264" i="17"/>
  <c r="M265" i="17"/>
  <c r="M266" i="17"/>
  <c r="M267" i="17"/>
  <c r="M268" i="17"/>
  <c r="M269" i="17"/>
  <c r="M270" i="17"/>
  <c r="M271" i="17"/>
  <c r="M272" i="17"/>
  <c r="M273" i="17"/>
  <c r="M274" i="17"/>
  <c r="M275" i="17"/>
  <c r="M276" i="17"/>
  <c r="M277" i="17"/>
  <c r="M278" i="17"/>
  <c r="M279" i="17"/>
  <c r="M280" i="17"/>
  <c r="M281" i="17"/>
  <c r="M282" i="17"/>
  <c r="M283" i="17"/>
  <c r="M284" i="17"/>
  <c r="M285" i="17"/>
  <c r="M286" i="17"/>
  <c r="M287" i="17"/>
  <c r="M288" i="17"/>
  <c r="M289" i="17"/>
  <c r="M290" i="17"/>
  <c r="M291" i="17"/>
  <c r="M292" i="17"/>
  <c r="M293" i="17"/>
  <c r="M294" i="17"/>
  <c r="M295" i="17"/>
  <c r="M296" i="17"/>
  <c r="M297" i="17"/>
  <c r="M298" i="17"/>
  <c r="M299" i="17"/>
  <c r="M300" i="17"/>
  <c r="M301" i="17"/>
  <c r="M302" i="17"/>
  <c r="M303" i="17"/>
  <c r="M304" i="17"/>
  <c r="M305" i="17"/>
  <c r="M306" i="17"/>
  <c r="M307" i="17"/>
  <c r="M308" i="17"/>
  <c r="M309" i="17"/>
  <c r="M310" i="17"/>
  <c r="M311" i="17"/>
  <c r="M312" i="17"/>
  <c r="M313" i="17"/>
  <c r="M314" i="17"/>
  <c r="M315" i="17"/>
  <c r="M316" i="17"/>
  <c r="M317" i="17"/>
  <c r="M318" i="17"/>
  <c r="M319" i="17"/>
  <c r="M320" i="17"/>
  <c r="M321" i="17"/>
  <c r="M322" i="17"/>
  <c r="M323" i="17"/>
  <c r="M324" i="17"/>
  <c r="M325" i="17"/>
  <c r="M326" i="17"/>
  <c r="M327" i="17"/>
  <c r="M328" i="17"/>
  <c r="M329" i="17"/>
  <c r="M330" i="17"/>
  <c r="M331" i="17"/>
  <c r="M332" i="17"/>
  <c r="M333" i="17"/>
  <c r="M334" i="17"/>
  <c r="M335" i="17"/>
  <c r="M336" i="17"/>
  <c r="M337" i="17"/>
  <c r="M338" i="17"/>
  <c r="M339" i="17"/>
  <c r="M340" i="17"/>
  <c r="M341" i="17"/>
  <c r="M342" i="17"/>
  <c r="M343" i="17"/>
  <c r="M344" i="17"/>
  <c r="M345" i="17"/>
  <c r="M346" i="17"/>
  <c r="M347" i="17"/>
  <c r="M348" i="17"/>
  <c r="M349" i="17"/>
  <c r="M350" i="17"/>
  <c r="M351" i="17"/>
  <c r="M352" i="17"/>
  <c r="M353" i="17"/>
  <c r="M354" i="17"/>
  <c r="M355" i="17"/>
  <c r="M356" i="17"/>
  <c r="M357" i="17"/>
  <c r="M358" i="17"/>
  <c r="M359" i="17"/>
  <c r="M360" i="17"/>
  <c r="M361" i="17"/>
  <c r="M362" i="17"/>
  <c r="M363" i="17"/>
  <c r="M364" i="17"/>
  <c r="M365" i="17"/>
  <c r="M366" i="17"/>
  <c r="M367" i="17"/>
  <c r="M368" i="17"/>
  <c r="M369" i="17"/>
  <c r="M370" i="17"/>
  <c r="M371" i="17"/>
  <c r="M372" i="17"/>
  <c r="M373" i="17"/>
  <c r="M374" i="17"/>
  <c r="M375" i="17"/>
  <c r="M376" i="17"/>
  <c r="M377" i="17"/>
  <c r="M378" i="17"/>
  <c r="M379" i="17"/>
  <c r="M380" i="17"/>
  <c r="M381" i="17"/>
  <c r="M382" i="17"/>
  <c r="M383" i="17"/>
  <c r="M384" i="17"/>
  <c r="M385" i="17"/>
  <c r="M386" i="17"/>
  <c r="M387" i="17"/>
  <c r="M388" i="17"/>
  <c r="M389" i="17"/>
  <c r="M390" i="17"/>
  <c r="M391" i="17"/>
  <c r="M392" i="17"/>
  <c r="M393" i="17"/>
  <c r="M394" i="17"/>
  <c r="M395" i="17"/>
  <c r="M396" i="17"/>
  <c r="M397" i="17"/>
  <c r="M398" i="17"/>
  <c r="M399" i="17"/>
  <c r="M400" i="17"/>
  <c r="M401" i="17"/>
  <c r="M402" i="17"/>
  <c r="M403" i="17"/>
  <c r="M404" i="17"/>
  <c r="M405" i="17"/>
  <c r="M406" i="17"/>
  <c r="M407" i="17"/>
  <c r="M408" i="17"/>
  <c r="M409" i="17"/>
  <c r="M410" i="17"/>
  <c r="M411" i="17"/>
  <c r="M412" i="17"/>
  <c r="M413" i="17"/>
  <c r="M414" i="17"/>
  <c r="M415" i="17"/>
  <c r="M416" i="17"/>
  <c r="M417" i="17"/>
  <c r="M418" i="17"/>
  <c r="M419" i="17"/>
  <c r="M420" i="17"/>
  <c r="M421" i="17"/>
  <c r="M422" i="17"/>
  <c r="M423" i="17"/>
  <c r="M424" i="17"/>
  <c r="M425" i="17"/>
  <c r="M426" i="17"/>
  <c r="M427" i="17"/>
  <c r="M428" i="17"/>
  <c r="M429" i="17"/>
  <c r="M430" i="17"/>
  <c r="M431" i="17"/>
  <c r="M432" i="17"/>
  <c r="M433" i="17"/>
  <c r="M434" i="17"/>
  <c r="M435" i="17"/>
  <c r="M436" i="17"/>
  <c r="M437" i="17"/>
  <c r="M438" i="17"/>
  <c r="M439" i="17"/>
  <c r="M440" i="17"/>
  <c r="M441" i="17"/>
  <c r="M442" i="17"/>
  <c r="M443" i="17"/>
  <c r="M444" i="17"/>
  <c r="M445" i="17"/>
  <c r="M446" i="17"/>
  <c r="M447" i="17"/>
  <c r="M448" i="17"/>
  <c r="M449" i="17"/>
  <c r="M450" i="17"/>
  <c r="M451" i="17"/>
  <c r="M452" i="17"/>
  <c r="M453" i="17"/>
  <c r="M454" i="17"/>
  <c r="M455" i="17"/>
  <c r="M456" i="17"/>
  <c r="M457" i="17"/>
  <c r="M458" i="17"/>
  <c r="M459" i="17"/>
  <c r="M460" i="17"/>
  <c r="M461" i="17"/>
  <c r="M462" i="17"/>
  <c r="M463" i="17"/>
  <c r="M464" i="17"/>
  <c r="M465" i="17"/>
  <c r="M466" i="17"/>
  <c r="M467" i="17"/>
  <c r="M468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C469" i="5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2" i="20"/>
  <c r="L3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503" i="21" l="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2" i="2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T468" i="4" l="1"/>
  <c r="T467" i="4"/>
  <c r="T466" i="4"/>
  <c r="T465" i="4"/>
  <c r="T464" i="4"/>
  <c r="T463" i="4"/>
  <c r="T462" i="4"/>
  <c r="T461" i="4"/>
  <c r="T460" i="4"/>
  <c r="T459" i="4"/>
  <c r="T458" i="4"/>
  <c r="T457" i="4"/>
  <c r="T456" i="4"/>
  <c r="T455" i="4"/>
  <c r="T454" i="4"/>
  <c r="T453" i="4"/>
  <c r="T452" i="4"/>
  <c r="T451" i="4"/>
  <c r="T450" i="4"/>
  <c r="T449" i="4"/>
  <c r="T448" i="4"/>
  <c r="T447" i="4"/>
  <c r="T446" i="4"/>
  <c r="T445" i="4"/>
  <c r="T444" i="4"/>
  <c r="T443" i="4"/>
  <c r="T442" i="4"/>
  <c r="T441" i="4"/>
  <c r="T440" i="4"/>
  <c r="T439" i="4"/>
  <c r="T438" i="4"/>
  <c r="T437" i="4"/>
  <c r="T436" i="4"/>
  <c r="T435" i="4"/>
  <c r="T434" i="4"/>
  <c r="T433" i="4"/>
  <c r="T432" i="4"/>
  <c r="T431" i="4"/>
  <c r="T430" i="4"/>
  <c r="T429" i="4"/>
  <c r="T428" i="4"/>
  <c r="T427" i="4"/>
  <c r="T426" i="4"/>
  <c r="T425" i="4"/>
  <c r="T424" i="4"/>
  <c r="T423" i="4"/>
  <c r="T422" i="4"/>
  <c r="T421" i="4"/>
  <c r="T420" i="4"/>
  <c r="T419" i="4"/>
  <c r="T418" i="4"/>
  <c r="T417" i="4"/>
  <c r="T416" i="4"/>
  <c r="T415" i="4"/>
  <c r="T414" i="4"/>
  <c r="T413" i="4"/>
  <c r="T412" i="4"/>
  <c r="T411" i="4"/>
  <c r="T410" i="4"/>
  <c r="T409" i="4"/>
  <c r="T408" i="4"/>
  <c r="T407" i="4"/>
  <c r="T406" i="4"/>
  <c r="T405" i="4"/>
  <c r="T404" i="4"/>
  <c r="T403" i="4"/>
  <c r="T402" i="4"/>
  <c r="T401" i="4"/>
  <c r="T400" i="4"/>
  <c r="T399" i="4"/>
  <c r="T398" i="4"/>
  <c r="T397" i="4"/>
  <c r="T396" i="4"/>
  <c r="T395" i="4"/>
  <c r="T394" i="4"/>
  <c r="T393" i="4"/>
  <c r="T392" i="4"/>
  <c r="T391" i="4"/>
  <c r="T390" i="4"/>
  <c r="T389" i="4"/>
  <c r="T388" i="4"/>
  <c r="T387" i="4"/>
  <c r="T386" i="4"/>
  <c r="T385" i="4"/>
  <c r="T384" i="4"/>
  <c r="T383" i="4"/>
  <c r="T382" i="4"/>
  <c r="T381" i="4"/>
  <c r="T380" i="4"/>
  <c r="T379" i="4"/>
  <c r="T378" i="4"/>
  <c r="T377" i="4"/>
  <c r="T376" i="4"/>
  <c r="T375" i="4"/>
  <c r="T374" i="4"/>
  <c r="T373" i="4"/>
  <c r="T372" i="4"/>
  <c r="T371" i="4"/>
  <c r="T370" i="4"/>
  <c r="T369" i="4"/>
  <c r="T368" i="4"/>
  <c r="T367" i="4"/>
  <c r="T366" i="4"/>
  <c r="T365" i="4"/>
  <c r="T364" i="4"/>
  <c r="T363" i="4"/>
  <c r="T362" i="4"/>
  <c r="T361" i="4"/>
  <c r="T360" i="4"/>
  <c r="T359" i="4"/>
  <c r="T358" i="4"/>
  <c r="T357" i="4"/>
  <c r="T356" i="4"/>
  <c r="T355" i="4"/>
  <c r="T354" i="4"/>
  <c r="T353" i="4"/>
  <c r="T352" i="4"/>
  <c r="T351" i="4"/>
  <c r="T350" i="4"/>
  <c r="T349" i="4"/>
  <c r="T348" i="4"/>
  <c r="T347" i="4"/>
  <c r="T346" i="4"/>
  <c r="T345" i="4"/>
  <c r="T344" i="4"/>
  <c r="T343" i="4"/>
  <c r="T342" i="4"/>
  <c r="T341" i="4"/>
  <c r="T340" i="4"/>
  <c r="T339" i="4"/>
  <c r="T338" i="4"/>
  <c r="T337" i="4"/>
  <c r="T336" i="4"/>
  <c r="T335" i="4"/>
  <c r="T334" i="4"/>
  <c r="T333" i="4"/>
  <c r="T332" i="4"/>
  <c r="T331" i="4"/>
  <c r="T330" i="4"/>
  <c r="T329" i="4"/>
  <c r="T328" i="4"/>
  <c r="T327" i="4"/>
  <c r="T326" i="4"/>
  <c r="T325" i="4"/>
  <c r="T324" i="4"/>
  <c r="T323" i="4"/>
  <c r="T322" i="4"/>
  <c r="T321" i="4"/>
  <c r="T320" i="4"/>
  <c r="T319" i="4"/>
  <c r="T318" i="4"/>
  <c r="T317" i="4"/>
  <c r="T316" i="4"/>
  <c r="T315" i="4"/>
  <c r="T314" i="4"/>
  <c r="T313" i="4"/>
  <c r="T312" i="4"/>
  <c r="T311" i="4"/>
  <c r="T310" i="4"/>
  <c r="T309" i="4"/>
  <c r="T308" i="4"/>
  <c r="T307" i="4"/>
  <c r="T306" i="4"/>
  <c r="T305" i="4"/>
  <c r="T304" i="4"/>
  <c r="T303" i="4"/>
  <c r="T302" i="4"/>
  <c r="T301" i="4"/>
  <c r="T300" i="4"/>
  <c r="T299" i="4"/>
  <c r="T298" i="4"/>
  <c r="T297" i="4"/>
  <c r="T296" i="4"/>
  <c r="T295" i="4"/>
  <c r="T294" i="4"/>
  <c r="T293" i="4"/>
  <c r="T292" i="4"/>
  <c r="T291" i="4"/>
  <c r="T290" i="4"/>
  <c r="T289" i="4"/>
  <c r="T288" i="4"/>
  <c r="T287" i="4"/>
  <c r="T286" i="4"/>
  <c r="T285" i="4"/>
  <c r="T284" i="4"/>
  <c r="T283" i="4"/>
  <c r="T282" i="4"/>
  <c r="T281" i="4"/>
  <c r="T280" i="4"/>
  <c r="T279" i="4"/>
  <c r="T278" i="4"/>
  <c r="T277" i="4"/>
  <c r="T276" i="4"/>
  <c r="T275" i="4"/>
  <c r="T274" i="4"/>
  <c r="T273" i="4"/>
  <c r="T272" i="4"/>
  <c r="T271" i="4"/>
  <c r="T270" i="4"/>
  <c r="T269" i="4"/>
  <c r="T268" i="4"/>
  <c r="T267" i="4"/>
  <c r="T266" i="4"/>
  <c r="T265" i="4"/>
  <c r="T264" i="4"/>
  <c r="T263" i="4"/>
  <c r="T262" i="4"/>
  <c r="T261" i="4"/>
  <c r="T260" i="4"/>
  <c r="T259" i="4"/>
  <c r="T258" i="4"/>
  <c r="T257" i="4"/>
  <c r="T256" i="4"/>
  <c r="T255" i="4"/>
  <c r="T254" i="4"/>
  <c r="T253" i="4"/>
  <c r="T252" i="4"/>
  <c r="T251" i="4"/>
  <c r="T250" i="4"/>
  <c r="T249" i="4"/>
  <c r="T248" i="4"/>
  <c r="T247" i="4"/>
  <c r="T246" i="4"/>
  <c r="T245" i="4"/>
  <c r="T244" i="4"/>
  <c r="T243" i="4"/>
  <c r="T242" i="4"/>
  <c r="T241" i="4"/>
  <c r="T240" i="4"/>
  <c r="T239" i="4"/>
  <c r="T238" i="4"/>
  <c r="T237" i="4"/>
  <c r="T236" i="4"/>
  <c r="T235" i="4"/>
  <c r="T234" i="4"/>
  <c r="T233" i="4"/>
  <c r="T232" i="4"/>
  <c r="T231" i="4"/>
  <c r="T230" i="4"/>
  <c r="T229" i="4"/>
  <c r="T228" i="4"/>
  <c r="T227" i="4"/>
  <c r="T226" i="4"/>
  <c r="T225" i="4"/>
  <c r="T224" i="4"/>
  <c r="T223" i="4"/>
  <c r="T222" i="4"/>
  <c r="T221" i="4"/>
  <c r="T220" i="4"/>
  <c r="T219" i="4"/>
  <c r="T218" i="4"/>
  <c r="T217" i="4"/>
  <c r="T216" i="4"/>
  <c r="T215" i="4"/>
  <c r="T214" i="4"/>
  <c r="T213" i="4"/>
  <c r="T212" i="4"/>
  <c r="T211" i="4"/>
  <c r="T210" i="4"/>
  <c r="T209" i="4"/>
  <c r="T208" i="4"/>
  <c r="T207" i="4"/>
  <c r="T206" i="4"/>
  <c r="T205" i="4"/>
  <c r="T204" i="4"/>
  <c r="T203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H83" i="25" l="1"/>
  <c r="H84" i="25" s="1"/>
  <c r="H85" i="25" s="1"/>
  <c r="H86" i="25" s="1"/>
  <c r="H87" i="25" s="1"/>
  <c r="H88" i="25" s="1"/>
  <c r="H89" i="25" s="1"/>
  <c r="H90" i="25" s="1"/>
  <c r="H91" i="25" s="1"/>
  <c r="H92" i="25" s="1"/>
  <c r="H93" i="25" s="1"/>
  <c r="H94" i="25" s="1"/>
  <c r="H95" i="25" s="1"/>
  <c r="H96" i="25" s="1"/>
  <c r="H97" i="25" s="1"/>
  <c r="C64" i="25"/>
  <c r="B63" i="25"/>
  <c r="B47" i="25"/>
  <c r="H22" i="25"/>
  <c r="I22" i="25" s="1"/>
  <c r="A22" i="25"/>
  <c r="J22" i="25" s="1"/>
  <c r="H21" i="25"/>
  <c r="I21" i="25" s="1"/>
  <c r="A21" i="25"/>
  <c r="J21" i="25" s="1"/>
  <c r="I20" i="25"/>
  <c r="H20" i="25"/>
  <c r="A20" i="25"/>
  <c r="J20" i="25" s="1"/>
  <c r="H19" i="25"/>
  <c r="I19" i="25" s="1"/>
  <c r="A19" i="25"/>
  <c r="J19" i="25" s="1"/>
  <c r="S18" i="25"/>
  <c r="T18" i="25" s="1"/>
  <c r="C80" i="25" s="1"/>
  <c r="C96" i="25" s="1"/>
  <c r="M18" i="25"/>
  <c r="U18" i="25" s="1"/>
  <c r="H18" i="25"/>
  <c r="I18" i="25" s="1"/>
  <c r="A18" i="25"/>
  <c r="J18" i="25" s="1"/>
  <c r="S17" i="25"/>
  <c r="T17" i="25" s="1"/>
  <c r="C79" i="25" s="1"/>
  <c r="C95" i="25" s="1"/>
  <c r="M17" i="25"/>
  <c r="U17" i="25" s="1"/>
  <c r="H17" i="25"/>
  <c r="I17" i="25" s="1"/>
  <c r="A17" i="25"/>
  <c r="J17" i="25" s="1"/>
  <c r="S16" i="25"/>
  <c r="T16" i="25" s="1"/>
  <c r="C78" i="25" s="1"/>
  <c r="C94" i="25" s="1"/>
  <c r="M16" i="25"/>
  <c r="U16" i="25" s="1"/>
  <c r="H16" i="25"/>
  <c r="I16" i="25" s="1"/>
  <c r="A16" i="25"/>
  <c r="J16" i="25" s="1"/>
  <c r="S15" i="25"/>
  <c r="T15" i="25" s="1"/>
  <c r="C77" i="25" s="1"/>
  <c r="C93" i="25" s="1"/>
  <c r="M15" i="25"/>
  <c r="U15" i="25" s="1"/>
  <c r="H15" i="25"/>
  <c r="I15" i="25" s="1"/>
  <c r="A15" i="25"/>
  <c r="J15" i="25" s="1"/>
  <c r="S14" i="25"/>
  <c r="T14" i="25" s="1"/>
  <c r="C76" i="25" s="1"/>
  <c r="C92" i="25" s="1"/>
  <c r="M14" i="25"/>
  <c r="U14" i="25" s="1"/>
  <c r="H14" i="25"/>
  <c r="I14" i="25" s="1"/>
  <c r="A14" i="25"/>
  <c r="J14" i="25" s="1"/>
  <c r="S13" i="25"/>
  <c r="T13" i="25" s="1"/>
  <c r="C75" i="25" s="1"/>
  <c r="C91" i="25" s="1"/>
  <c r="M13" i="25"/>
  <c r="U13" i="25" s="1"/>
  <c r="I13" i="25"/>
  <c r="H13" i="25"/>
  <c r="A13" i="25"/>
  <c r="J13" i="25" s="1"/>
  <c r="S12" i="25"/>
  <c r="T12" i="25" s="1"/>
  <c r="C74" i="25" s="1"/>
  <c r="C90" i="25" s="1"/>
  <c r="M12" i="25"/>
  <c r="U12" i="25" s="1"/>
  <c r="H12" i="25"/>
  <c r="I12" i="25" s="1"/>
  <c r="A12" i="25"/>
  <c r="J12" i="25" s="1"/>
  <c r="S11" i="25"/>
  <c r="T11" i="25" s="1"/>
  <c r="C73" i="25" s="1"/>
  <c r="C89" i="25" s="1"/>
  <c r="M11" i="25"/>
  <c r="U11" i="25" s="1"/>
  <c r="H11" i="25"/>
  <c r="I11" i="25" s="1"/>
  <c r="A11" i="25"/>
  <c r="J11" i="25" s="1"/>
  <c r="S10" i="25"/>
  <c r="T10" i="25" s="1"/>
  <c r="C72" i="25" s="1"/>
  <c r="C88" i="25" s="1"/>
  <c r="M10" i="25"/>
  <c r="U10" i="25" s="1"/>
  <c r="H10" i="25"/>
  <c r="I10" i="25" s="1"/>
  <c r="A10" i="25"/>
  <c r="J10" i="25" s="1"/>
  <c r="S9" i="25"/>
  <c r="T9" i="25" s="1"/>
  <c r="C71" i="25" s="1"/>
  <c r="C87" i="25" s="1"/>
  <c r="M9" i="25"/>
  <c r="U9" i="25" s="1"/>
  <c r="H9" i="25"/>
  <c r="I9" i="25" s="1"/>
  <c r="A9" i="25"/>
  <c r="J9" i="25" s="1"/>
  <c r="S8" i="25"/>
  <c r="T8" i="25" s="1"/>
  <c r="C70" i="25" s="1"/>
  <c r="C86" i="25" s="1"/>
  <c r="M8" i="25"/>
  <c r="U8" i="25" s="1"/>
  <c r="H8" i="25"/>
  <c r="I8" i="25" s="1"/>
  <c r="A8" i="25"/>
  <c r="J8" i="25" s="1"/>
  <c r="S7" i="25"/>
  <c r="T7" i="25" s="1"/>
  <c r="C69" i="25" s="1"/>
  <c r="C85" i="25" s="1"/>
  <c r="M7" i="25"/>
  <c r="U7" i="25" s="1"/>
  <c r="I7" i="25"/>
  <c r="H7" i="25"/>
  <c r="A7" i="25"/>
  <c r="J7" i="25" s="1"/>
  <c r="S6" i="25"/>
  <c r="T6" i="25" s="1"/>
  <c r="C68" i="25" s="1"/>
  <c r="C84" i="25" s="1"/>
  <c r="M6" i="25"/>
  <c r="U6" i="25" s="1"/>
  <c r="H6" i="25"/>
  <c r="I6" i="25" s="1"/>
  <c r="A6" i="25"/>
  <c r="J6" i="25" s="1"/>
  <c r="S5" i="25"/>
  <c r="T5" i="25" s="1"/>
  <c r="C67" i="25" s="1"/>
  <c r="C83" i="25" s="1"/>
  <c r="M5" i="25"/>
  <c r="U5" i="25" s="1"/>
  <c r="H5" i="25"/>
  <c r="I5" i="25" s="1"/>
  <c r="A5" i="25"/>
  <c r="J5" i="25" s="1"/>
  <c r="S4" i="25"/>
  <c r="T4" i="25" s="1"/>
  <c r="M4" i="25"/>
  <c r="U4" i="25" s="1"/>
  <c r="H4" i="25"/>
  <c r="I4" i="25" s="1"/>
  <c r="A4" i="25"/>
  <c r="J4" i="25" s="1"/>
  <c r="T964" i="22"/>
  <c r="T963" i="22"/>
  <c r="T962" i="22"/>
  <c r="T961" i="22"/>
  <c r="T960" i="22"/>
  <c r="T959" i="22"/>
  <c r="T958" i="22"/>
  <c r="T957" i="22"/>
  <c r="T956" i="22"/>
  <c r="T955" i="22"/>
  <c r="T954" i="22"/>
  <c r="T953" i="22"/>
  <c r="T952" i="22"/>
  <c r="T951" i="22"/>
  <c r="T950" i="22"/>
  <c r="T949" i="22"/>
  <c r="T948" i="22"/>
  <c r="T947" i="22"/>
  <c r="T946" i="22"/>
  <c r="T945" i="22"/>
  <c r="T944" i="22"/>
  <c r="T943" i="22"/>
  <c r="T942" i="22"/>
  <c r="T941" i="22"/>
  <c r="T940" i="22"/>
  <c r="T939" i="22"/>
  <c r="T938" i="22"/>
  <c r="T937" i="22"/>
  <c r="T936" i="22"/>
  <c r="T935" i="22"/>
  <c r="T934" i="22"/>
  <c r="T933" i="22"/>
  <c r="T932" i="22"/>
  <c r="T931" i="22"/>
  <c r="T930" i="22"/>
  <c r="T929" i="22"/>
  <c r="T928" i="22"/>
  <c r="T927" i="22"/>
  <c r="T926" i="22"/>
  <c r="T925" i="22"/>
  <c r="T924" i="22"/>
  <c r="T923" i="22"/>
  <c r="T922" i="22"/>
  <c r="T921" i="22"/>
  <c r="T920" i="22"/>
  <c r="T919" i="22"/>
  <c r="T918" i="22"/>
  <c r="T917" i="22"/>
  <c r="T916" i="22"/>
  <c r="T915" i="22"/>
  <c r="T914" i="22"/>
  <c r="T913" i="22"/>
  <c r="T912" i="22"/>
  <c r="T911" i="22"/>
  <c r="T910" i="22"/>
  <c r="T909" i="22"/>
  <c r="T908" i="22"/>
  <c r="T907" i="22"/>
  <c r="T906" i="22"/>
  <c r="T905" i="22"/>
  <c r="T904" i="22"/>
  <c r="T903" i="22"/>
  <c r="T902" i="22"/>
  <c r="T901" i="22"/>
  <c r="T900" i="22"/>
  <c r="T899" i="22"/>
  <c r="T898" i="22"/>
  <c r="T897" i="22"/>
  <c r="T896" i="22"/>
  <c r="T895" i="22"/>
  <c r="T894" i="22"/>
  <c r="T893" i="22"/>
  <c r="T892" i="22"/>
  <c r="T891" i="22"/>
  <c r="T890" i="22"/>
  <c r="T889" i="22"/>
  <c r="T888" i="22"/>
  <c r="T887" i="22"/>
  <c r="T886" i="22"/>
  <c r="T885" i="22"/>
  <c r="T884" i="22"/>
  <c r="T883" i="22"/>
  <c r="T882" i="22"/>
  <c r="T881" i="22"/>
  <c r="H881" i="22"/>
  <c r="T880" i="22"/>
  <c r="T879" i="22"/>
  <c r="T878" i="22"/>
  <c r="T877" i="22"/>
  <c r="T876" i="22"/>
  <c r="T875" i="22"/>
  <c r="T874" i="22"/>
  <c r="T873" i="22"/>
  <c r="T872" i="22"/>
  <c r="T871" i="22"/>
  <c r="T870" i="22"/>
  <c r="T869" i="22"/>
  <c r="T868" i="22"/>
  <c r="T867" i="22"/>
  <c r="T866" i="22"/>
  <c r="T865" i="22"/>
  <c r="T864" i="22"/>
  <c r="T863" i="22"/>
  <c r="T862" i="22"/>
  <c r="T861" i="22"/>
  <c r="T860" i="22"/>
  <c r="T859" i="22"/>
  <c r="T858" i="22"/>
  <c r="T857" i="22"/>
  <c r="T856" i="22"/>
  <c r="T855" i="22"/>
  <c r="T854" i="22"/>
  <c r="T853" i="22"/>
  <c r="T852" i="22"/>
  <c r="T851" i="22"/>
  <c r="T850" i="22"/>
  <c r="T849" i="22"/>
  <c r="T848" i="22"/>
  <c r="T847" i="22"/>
  <c r="T846" i="22"/>
  <c r="T845" i="22"/>
  <c r="T844" i="22"/>
  <c r="T843" i="22"/>
  <c r="T842" i="22"/>
  <c r="T841" i="22"/>
  <c r="T840" i="22"/>
  <c r="T839" i="22"/>
  <c r="T838" i="22"/>
  <c r="T837" i="22"/>
  <c r="T836" i="22"/>
  <c r="T835" i="22"/>
  <c r="T834" i="22"/>
  <c r="T833" i="22"/>
  <c r="T832" i="22"/>
  <c r="T831" i="22"/>
  <c r="T830" i="22"/>
  <c r="T829" i="22"/>
  <c r="T828" i="22"/>
  <c r="T827" i="22"/>
  <c r="T826" i="22"/>
  <c r="T825" i="22"/>
  <c r="T824" i="22"/>
  <c r="T823" i="22"/>
  <c r="T822" i="22"/>
  <c r="T821" i="22"/>
  <c r="T820" i="22"/>
  <c r="T819" i="22"/>
  <c r="T818" i="22"/>
  <c r="T817" i="22"/>
  <c r="T816" i="22"/>
  <c r="T815" i="22"/>
  <c r="T814" i="22"/>
  <c r="T813" i="22"/>
  <c r="T812" i="22"/>
  <c r="T811" i="22"/>
  <c r="T810" i="22"/>
  <c r="T809" i="22"/>
  <c r="T808" i="22"/>
  <c r="T807" i="22"/>
  <c r="T806" i="22"/>
  <c r="T805" i="22"/>
  <c r="T804" i="22"/>
  <c r="T803" i="22"/>
  <c r="T802" i="22"/>
  <c r="T801" i="22"/>
  <c r="T800" i="22"/>
  <c r="T799" i="22"/>
  <c r="T798" i="22"/>
  <c r="T797" i="22"/>
  <c r="T796" i="22"/>
  <c r="T795" i="22"/>
  <c r="T794" i="22"/>
  <c r="T793" i="22"/>
  <c r="T792" i="22"/>
  <c r="T791" i="22"/>
  <c r="T790" i="22"/>
  <c r="T789" i="22"/>
  <c r="T788" i="22"/>
  <c r="T787" i="22"/>
  <c r="T786" i="22"/>
  <c r="T785" i="22"/>
  <c r="T784" i="22"/>
  <c r="T783" i="22"/>
  <c r="T782" i="22"/>
  <c r="T781" i="22"/>
  <c r="T780" i="22"/>
  <c r="T779" i="22"/>
  <c r="T778" i="22"/>
  <c r="T777" i="22"/>
  <c r="T776" i="22"/>
  <c r="T775" i="22"/>
  <c r="T774" i="22"/>
  <c r="T773" i="22"/>
  <c r="T772" i="22"/>
  <c r="T771" i="22"/>
  <c r="T770" i="22"/>
  <c r="T769" i="22"/>
  <c r="T768" i="22"/>
  <c r="T767" i="22"/>
  <c r="T766" i="22"/>
  <c r="T765" i="22"/>
  <c r="T764" i="22"/>
  <c r="T763" i="22"/>
  <c r="T762" i="22"/>
  <c r="T761" i="22"/>
  <c r="T760" i="22"/>
  <c r="T759" i="22"/>
  <c r="T758" i="22"/>
  <c r="T757" i="22"/>
  <c r="T756" i="22"/>
  <c r="T755" i="22"/>
  <c r="T754" i="22"/>
  <c r="T753" i="22"/>
  <c r="T752" i="22"/>
  <c r="T751" i="22"/>
  <c r="T750" i="22"/>
  <c r="T749" i="22"/>
  <c r="T748" i="22"/>
  <c r="T747" i="22"/>
  <c r="T746" i="22"/>
  <c r="T745" i="22"/>
  <c r="T744" i="22"/>
  <c r="T743" i="22"/>
  <c r="T742" i="22"/>
  <c r="T741" i="22"/>
  <c r="T740" i="22"/>
  <c r="T739" i="22"/>
  <c r="T738" i="22"/>
  <c r="T737" i="22"/>
  <c r="T736" i="22"/>
  <c r="T735" i="22"/>
  <c r="T734" i="22"/>
  <c r="T733" i="22"/>
  <c r="T732" i="22"/>
  <c r="T731" i="22"/>
  <c r="T730" i="22"/>
  <c r="T729" i="22"/>
  <c r="T728" i="22"/>
  <c r="T727" i="22"/>
  <c r="T726" i="22"/>
  <c r="T725" i="22"/>
  <c r="T724" i="22"/>
  <c r="T723" i="22"/>
  <c r="T722" i="22"/>
  <c r="T721" i="22"/>
  <c r="T720" i="22"/>
  <c r="T719" i="22"/>
  <c r="T718" i="22"/>
  <c r="T717" i="22"/>
  <c r="T716" i="22"/>
  <c r="T715" i="22"/>
  <c r="T714" i="22"/>
  <c r="T713" i="22"/>
  <c r="T712" i="22"/>
  <c r="T711" i="22"/>
  <c r="T710" i="22"/>
  <c r="T709" i="22"/>
  <c r="T708" i="22"/>
  <c r="T707" i="22"/>
  <c r="T706" i="22"/>
  <c r="T705" i="22"/>
  <c r="T704" i="22"/>
  <c r="T703" i="22"/>
  <c r="T702" i="22"/>
  <c r="T701" i="22"/>
  <c r="T700" i="22"/>
  <c r="T699" i="22"/>
  <c r="T698" i="22"/>
  <c r="T697" i="22"/>
  <c r="T696" i="22"/>
  <c r="T695" i="22"/>
  <c r="T694" i="22"/>
  <c r="T693" i="22"/>
  <c r="T692" i="22"/>
  <c r="T691" i="22"/>
  <c r="T690" i="22"/>
  <c r="T689" i="22"/>
  <c r="T688" i="22"/>
  <c r="T687" i="22"/>
  <c r="T686" i="22"/>
  <c r="T685" i="22"/>
  <c r="T684" i="22"/>
  <c r="T683" i="22"/>
  <c r="T682" i="22"/>
  <c r="T681" i="22"/>
  <c r="T680" i="22"/>
  <c r="T679" i="22"/>
  <c r="T678" i="22"/>
  <c r="T677" i="22"/>
  <c r="T676" i="22"/>
  <c r="T675" i="22"/>
  <c r="T674" i="22"/>
  <c r="T673" i="22"/>
  <c r="T672" i="22"/>
  <c r="T671" i="22"/>
  <c r="T670" i="22"/>
  <c r="T669" i="22"/>
  <c r="T668" i="22"/>
  <c r="T667" i="22"/>
  <c r="T666" i="22"/>
  <c r="T665" i="22"/>
  <c r="T664" i="22"/>
  <c r="T663" i="22"/>
  <c r="T662" i="22"/>
  <c r="T661" i="22"/>
  <c r="T660" i="22"/>
  <c r="T659" i="22"/>
  <c r="T658" i="22"/>
  <c r="T657" i="22"/>
  <c r="T656" i="22"/>
  <c r="T655" i="22"/>
  <c r="T654" i="22"/>
  <c r="T653" i="22"/>
  <c r="T652" i="22"/>
  <c r="T651" i="22"/>
  <c r="T650" i="22"/>
  <c r="T649" i="22"/>
  <c r="T648" i="22"/>
  <c r="T647" i="22"/>
  <c r="T646" i="22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H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H7" i="22"/>
  <c r="T6" i="22"/>
  <c r="T5" i="22"/>
  <c r="T4" i="22"/>
  <c r="T3" i="22"/>
  <c r="K1" i="22"/>
  <c r="H922" i="22" s="1"/>
  <c r="L963" i="7"/>
  <c r="L962" i="7"/>
  <c r="L961" i="7"/>
  <c r="L960" i="7"/>
  <c r="L959" i="7"/>
  <c r="L958" i="7"/>
  <c r="L957" i="7"/>
  <c r="L956" i="7"/>
  <c r="L955" i="7"/>
  <c r="L954" i="7"/>
  <c r="L953" i="7"/>
  <c r="L952" i="7"/>
  <c r="L951" i="7"/>
  <c r="L950" i="7"/>
  <c r="L949" i="7"/>
  <c r="L948" i="7"/>
  <c r="L947" i="7"/>
  <c r="L946" i="7"/>
  <c r="L945" i="7"/>
  <c r="L944" i="7"/>
  <c r="L943" i="7"/>
  <c r="L942" i="7"/>
  <c r="L941" i="7"/>
  <c r="L940" i="7"/>
  <c r="L939" i="7"/>
  <c r="L938" i="7"/>
  <c r="L937" i="7"/>
  <c r="L936" i="7"/>
  <c r="L935" i="7"/>
  <c r="L934" i="7"/>
  <c r="L933" i="7"/>
  <c r="L932" i="7"/>
  <c r="L931" i="7"/>
  <c r="L930" i="7"/>
  <c r="L929" i="7"/>
  <c r="L928" i="7"/>
  <c r="L927" i="7"/>
  <c r="L926" i="7"/>
  <c r="L925" i="7"/>
  <c r="L924" i="7"/>
  <c r="L923" i="7"/>
  <c r="L922" i="7"/>
  <c r="L921" i="7"/>
  <c r="L920" i="7"/>
  <c r="L919" i="7"/>
  <c r="L918" i="7"/>
  <c r="L917" i="7"/>
  <c r="L916" i="7"/>
  <c r="L915" i="7"/>
  <c r="L914" i="7"/>
  <c r="L913" i="7"/>
  <c r="L912" i="7"/>
  <c r="L911" i="7"/>
  <c r="L910" i="7"/>
  <c r="L909" i="7"/>
  <c r="L908" i="7"/>
  <c r="L907" i="7"/>
  <c r="L906" i="7"/>
  <c r="L905" i="7"/>
  <c r="L904" i="7"/>
  <c r="L903" i="7"/>
  <c r="L902" i="7"/>
  <c r="L901" i="7"/>
  <c r="L900" i="7"/>
  <c r="L899" i="7"/>
  <c r="L898" i="7"/>
  <c r="L897" i="7"/>
  <c r="L896" i="7"/>
  <c r="L895" i="7"/>
  <c r="L894" i="7"/>
  <c r="L893" i="7"/>
  <c r="L892" i="7"/>
  <c r="L891" i="7"/>
  <c r="L890" i="7"/>
  <c r="L889" i="7"/>
  <c r="L888" i="7"/>
  <c r="L887" i="7"/>
  <c r="L886" i="7"/>
  <c r="L885" i="7"/>
  <c r="L884" i="7"/>
  <c r="L883" i="7"/>
  <c r="L882" i="7"/>
  <c r="L881" i="7"/>
  <c r="L880" i="7"/>
  <c r="L879" i="7"/>
  <c r="L878" i="7"/>
  <c r="L877" i="7"/>
  <c r="L876" i="7"/>
  <c r="L875" i="7"/>
  <c r="L874" i="7"/>
  <c r="L873" i="7"/>
  <c r="L872" i="7"/>
  <c r="L871" i="7"/>
  <c r="L870" i="7"/>
  <c r="L869" i="7"/>
  <c r="L868" i="7"/>
  <c r="L867" i="7"/>
  <c r="L866" i="7"/>
  <c r="L865" i="7"/>
  <c r="L864" i="7"/>
  <c r="L863" i="7"/>
  <c r="L862" i="7"/>
  <c r="L861" i="7"/>
  <c r="L860" i="7"/>
  <c r="L859" i="7"/>
  <c r="L858" i="7"/>
  <c r="L857" i="7"/>
  <c r="L856" i="7"/>
  <c r="L855" i="7"/>
  <c r="L854" i="7"/>
  <c r="L853" i="7"/>
  <c r="L852" i="7"/>
  <c r="L851" i="7"/>
  <c r="L850" i="7"/>
  <c r="L849" i="7"/>
  <c r="L848" i="7"/>
  <c r="L847" i="7"/>
  <c r="L846" i="7"/>
  <c r="L845" i="7"/>
  <c r="L844" i="7"/>
  <c r="L843" i="7"/>
  <c r="L842" i="7"/>
  <c r="L841" i="7"/>
  <c r="L840" i="7"/>
  <c r="L839" i="7"/>
  <c r="L838" i="7"/>
  <c r="L837" i="7"/>
  <c r="L836" i="7"/>
  <c r="L835" i="7"/>
  <c r="L834" i="7"/>
  <c r="L833" i="7"/>
  <c r="L832" i="7"/>
  <c r="L831" i="7"/>
  <c r="L830" i="7"/>
  <c r="L829" i="7"/>
  <c r="L828" i="7"/>
  <c r="L827" i="7"/>
  <c r="L826" i="7"/>
  <c r="L825" i="7"/>
  <c r="L824" i="7"/>
  <c r="L823" i="7"/>
  <c r="L822" i="7"/>
  <c r="L821" i="7"/>
  <c r="L820" i="7"/>
  <c r="L819" i="7"/>
  <c r="L818" i="7"/>
  <c r="L817" i="7"/>
  <c r="L816" i="7"/>
  <c r="L815" i="7"/>
  <c r="L814" i="7"/>
  <c r="L813" i="7"/>
  <c r="L812" i="7"/>
  <c r="L811" i="7"/>
  <c r="L810" i="7"/>
  <c r="L809" i="7"/>
  <c r="L808" i="7"/>
  <c r="L807" i="7"/>
  <c r="L806" i="7"/>
  <c r="L805" i="7"/>
  <c r="L804" i="7"/>
  <c r="L803" i="7"/>
  <c r="L802" i="7"/>
  <c r="L801" i="7"/>
  <c r="L800" i="7"/>
  <c r="L799" i="7"/>
  <c r="L798" i="7"/>
  <c r="L797" i="7"/>
  <c r="L796" i="7"/>
  <c r="L795" i="7"/>
  <c r="L794" i="7"/>
  <c r="L793" i="7"/>
  <c r="L792" i="7"/>
  <c r="L791" i="7"/>
  <c r="L790" i="7"/>
  <c r="L789" i="7"/>
  <c r="L788" i="7"/>
  <c r="L787" i="7"/>
  <c r="L786" i="7"/>
  <c r="L785" i="7"/>
  <c r="L784" i="7"/>
  <c r="L783" i="7"/>
  <c r="L782" i="7"/>
  <c r="L781" i="7"/>
  <c r="L780" i="7"/>
  <c r="L779" i="7"/>
  <c r="L778" i="7"/>
  <c r="L777" i="7"/>
  <c r="L776" i="7"/>
  <c r="L775" i="7"/>
  <c r="L774" i="7"/>
  <c r="L773" i="7"/>
  <c r="L772" i="7"/>
  <c r="L771" i="7"/>
  <c r="L770" i="7"/>
  <c r="L769" i="7"/>
  <c r="L768" i="7"/>
  <c r="L767" i="7"/>
  <c r="L766" i="7"/>
  <c r="L765" i="7"/>
  <c r="L764" i="7"/>
  <c r="L763" i="7"/>
  <c r="L762" i="7"/>
  <c r="L761" i="7"/>
  <c r="L760" i="7"/>
  <c r="L759" i="7"/>
  <c r="L758" i="7"/>
  <c r="L757" i="7"/>
  <c r="L756" i="7"/>
  <c r="L755" i="7"/>
  <c r="L754" i="7"/>
  <c r="L753" i="7"/>
  <c r="L752" i="7"/>
  <c r="L751" i="7"/>
  <c r="L750" i="7"/>
  <c r="L749" i="7"/>
  <c r="L748" i="7"/>
  <c r="L747" i="7"/>
  <c r="L746" i="7"/>
  <c r="L745" i="7"/>
  <c r="L744" i="7"/>
  <c r="L743" i="7"/>
  <c r="L742" i="7"/>
  <c r="L741" i="7"/>
  <c r="L740" i="7"/>
  <c r="L739" i="7"/>
  <c r="L738" i="7"/>
  <c r="L737" i="7"/>
  <c r="L736" i="7"/>
  <c r="L735" i="7"/>
  <c r="L734" i="7"/>
  <c r="L733" i="7"/>
  <c r="L732" i="7"/>
  <c r="L731" i="7"/>
  <c r="L730" i="7"/>
  <c r="L729" i="7"/>
  <c r="L728" i="7"/>
  <c r="L727" i="7"/>
  <c r="L726" i="7"/>
  <c r="L725" i="7"/>
  <c r="L724" i="7"/>
  <c r="L723" i="7"/>
  <c r="L722" i="7"/>
  <c r="L721" i="7"/>
  <c r="L720" i="7"/>
  <c r="L719" i="7"/>
  <c r="L718" i="7"/>
  <c r="L717" i="7"/>
  <c r="L716" i="7"/>
  <c r="L715" i="7"/>
  <c r="L714" i="7"/>
  <c r="L713" i="7"/>
  <c r="L712" i="7"/>
  <c r="L711" i="7"/>
  <c r="L710" i="7"/>
  <c r="L709" i="7"/>
  <c r="L708" i="7"/>
  <c r="L707" i="7"/>
  <c r="L706" i="7"/>
  <c r="L705" i="7"/>
  <c r="L704" i="7"/>
  <c r="L703" i="7"/>
  <c r="L702" i="7"/>
  <c r="L701" i="7"/>
  <c r="L700" i="7"/>
  <c r="L699" i="7"/>
  <c r="L698" i="7"/>
  <c r="L697" i="7"/>
  <c r="L696" i="7"/>
  <c r="L695" i="7"/>
  <c r="L694" i="7"/>
  <c r="L693" i="7"/>
  <c r="L692" i="7"/>
  <c r="L691" i="7"/>
  <c r="L690" i="7"/>
  <c r="L689" i="7"/>
  <c r="L688" i="7"/>
  <c r="L687" i="7"/>
  <c r="L686" i="7"/>
  <c r="L685" i="7"/>
  <c r="L684" i="7"/>
  <c r="L683" i="7"/>
  <c r="L682" i="7"/>
  <c r="L681" i="7"/>
  <c r="L680" i="7"/>
  <c r="L679" i="7"/>
  <c r="L678" i="7"/>
  <c r="L677" i="7"/>
  <c r="L676" i="7"/>
  <c r="L675" i="7"/>
  <c r="L674" i="7"/>
  <c r="L673" i="7"/>
  <c r="L672" i="7"/>
  <c r="L671" i="7"/>
  <c r="L670" i="7"/>
  <c r="L669" i="7"/>
  <c r="L668" i="7"/>
  <c r="L667" i="7"/>
  <c r="L666" i="7"/>
  <c r="L665" i="7"/>
  <c r="L664" i="7"/>
  <c r="L663" i="7"/>
  <c r="L662" i="7"/>
  <c r="L661" i="7"/>
  <c r="L660" i="7"/>
  <c r="L659" i="7"/>
  <c r="L658" i="7"/>
  <c r="L657" i="7"/>
  <c r="L656" i="7"/>
  <c r="L655" i="7"/>
  <c r="L654" i="7"/>
  <c r="L653" i="7"/>
  <c r="L652" i="7"/>
  <c r="L651" i="7"/>
  <c r="L650" i="7"/>
  <c r="L649" i="7"/>
  <c r="L648" i="7"/>
  <c r="L647" i="7"/>
  <c r="L646" i="7"/>
  <c r="L645" i="7"/>
  <c r="L644" i="7"/>
  <c r="L643" i="7"/>
  <c r="L642" i="7"/>
  <c r="L641" i="7"/>
  <c r="L640" i="7"/>
  <c r="L639" i="7"/>
  <c r="L638" i="7"/>
  <c r="L637" i="7"/>
  <c r="L636" i="7"/>
  <c r="L635" i="7"/>
  <c r="L634" i="7"/>
  <c r="L633" i="7"/>
  <c r="L632" i="7"/>
  <c r="L631" i="7"/>
  <c r="L630" i="7"/>
  <c r="L629" i="7"/>
  <c r="L628" i="7"/>
  <c r="L627" i="7"/>
  <c r="L626" i="7"/>
  <c r="L625" i="7"/>
  <c r="L624" i="7"/>
  <c r="L623" i="7"/>
  <c r="L622" i="7"/>
  <c r="L621" i="7"/>
  <c r="L620" i="7"/>
  <c r="L619" i="7"/>
  <c r="L618" i="7"/>
  <c r="L617" i="7"/>
  <c r="L616" i="7"/>
  <c r="L615" i="7"/>
  <c r="L614" i="7"/>
  <c r="L613" i="7"/>
  <c r="L612" i="7"/>
  <c r="L611" i="7"/>
  <c r="L610" i="7"/>
  <c r="L609" i="7"/>
  <c r="L608" i="7"/>
  <c r="L607" i="7"/>
  <c r="L606" i="7"/>
  <c r="L605" i="7"/>
  <c r="L604" i="7"/>
  <c r="L603" i="7"/>
  <c r="L602" i="7"/>
  <c r="L601" i="7"/>
  <c r="L600" i="7"/>
  <c r="L599" i="7"/>
  <c r="L598" i="7"/>
  <c r="L597" i="7"/>
  <c r="L596" i="7"/>
  <c r="L595" i="7"/>
  <c r="L594" i="7"/>
  <c r="L593" i="7"/>
  <c r="L592" i="7"/>
  <c r="L591" i="7"/>
  <c r="L590" i="7"/>
  <c r="L589" i="7"/>
  <c r="L588" i="7"/>
  <c r="L587" i="7"/>
  <c r="L586" i="7"/>
  <c r="L585" i="7"/>
  <c r="L584" i="7"/>
  <c r="L583" i="7"/>
  <c r="L582" i="7"/>
  <c r="L581" i="7"/>
  <c r="L580" i="7"/>
  <c r="L579" i="7"/>
  <c r="L578" i="7"/>
  <c r="L577" i="7"/>
  <c r="L576" i="7"/>
  <c r="L575" i="7"/>
  <c r="L574" i="7"/>
  <c r="L573" i="7"/>
  <c r="L572" i="7"/>
  <c r="L571" i="7"/>
  <c r="L570" i="7"/>
  <c r="L569" i="7"/>
  <c r="L568" i="7"/>
  <c r="L567" i="7"/>
  <c r="L566" i="7"/>
  <c r="L565" i="7"/>
  <c r="L564" i="7"/>
  <c r="L563" i="7"/>
  <c r="L562" i="7"/>
  <c r="L561" i="7"/>
  <c r="L560" i="7"/>
  <c r="L559" i="7"/>
  <c r="L558" i="7"/>
  <c r="L557" i="7"/>
  <c r="L556" i="7"/>
  <c r="L555" i="7"/>
  <c r="L554" i="7"/>
  <c r="L553" i="7"/>
  <c r="L552" i="7"/>
  <c r="L551" i="7"/>
  <c r="L550" i="7"/>
  <c r="L549" i="7"/>
  <c r="L548" i="7"/>
  <c r="L547" i="7"/>
  <c r="L546" i="7"/>
  <c r="L545" i="7"/>
  <c r="L544" i="7"/>
  <c r="L543" i="7"/>
  <c r="L542" i="7"/>
  <c r="L541" i="7"/>
  <c r="L540" i="7"/>
  <c r="L539" i="7"/>
  <c r="L538" i="7"/>
  <c r="L537" i="7"/>
  <c r="L536" i="7"/>
  <c r="L535" i="7"/>
  <c r="L534" i="7"/>
  <c r="L533" i="7"/>
  <c r="L532" i="7"/>
  <c r="L531" i="7"/>
  <c r="L530" i="7"/>
  <c r="L529" i="7"/>
  <c r="L528" i="7"/>
  <c r="L527" i="7"/>
  <c r="L526" i="7"/>
  <c r="L525" i="7"/>
  <c r="L524" i="7"/>
  <c r="L523" i="7"/>
  <c r="L522" i="7"/>
  <c r="L521" i="7"/>
  <c r="L520" i="7"/>
  <c r="L519" i="7"/>
  <c r="L518" i="7"/>
  <c r="L517" i="7"/>
  <c r="L516" i="7"/>
  <c r="L515" i="7"/>
  <c r="L514" i="7"/>
  <c r="L513" i="7"/>
  <c r="L512" i="7"/>
  <c r="L511" i="7"/>
  <c r="L510" i="7"/>
  <c r="L509" i="7"/>
  <c r="L508" i="7"/>
  <c r="L507" i="7"/>
  <c r="L506" i="7"/>
  <c r="L505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4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T986" i="4"/>
  <c r="T985" i="4"/>
  <c r="T984" i="4"/>
  <c r="T983" i="4"/>
  <c r="T982" i="4"/>
  <c r="T981" i="4"/>
  <c r="T980" i="4"/>
  <c r="T979" i="4"/>
  <c r="T978" i="4"/>
  <c r="T977" i="4"/>
  <c r="T976" i="4"/>
  <c r="T975" i="4"/>
  <c r="T974" i="4"/>
  <c r="T950" i="4"/>
  <c r="T949" i="4"/>
  <c r="T948" i="4"/>
  <c r="T947" i="4"/>
  <c r="T946" i="4"/>
  <c r="T945" i="4"/>
  <c r="T944" i="4"/>
  <c r="T943" i="4"/>
  <c r="T942" i="4"/>
  <c r="T941" i="4"/>
  <c r="T940" i="4"/>
  <c r="T939" i="4"/>
  <c r="T938" i="4"/>
  <c r="T937" i="4"/>
  <c r="T936" i="4"/>
  <c r="T935" i="4"/>
  <c r="T934" i="4"/>
  <c r="T933" i="4"/>
  <c r="T932" i="4"/>
  <c r="T931" i="4"/>
  <c r="T930" i="4"/>
  <c r="T929" i="4"/>
  <c r="T928" i="4"/>
  <c r="T927" i="4"/>
  <c r="T926" i="4"/>
  <c r="T925" i="4"/>
  <c r="T924" i="4"/>
  <c r="T923" i="4"/>
  <c r="T922" i="4"/>
  <c r="T921" i="4"/>
  <c r="T920" i="4"/>
  <c r="T919" i="4"/>
  <c r="T918" i="4"/>
  <c r="T917" i="4"/>
  <c r="T916" i="4"/>
  <c r="T915" i="4"/>
  <c r="T914" i="4"/>
  <c r="T913" i="4"/>
  <c r="T912" i="4"/>
  <c r="T911" i="4"/>
  <c r="T910" i="4"/>
  <c r="T909" i="4"/>
  <c r="T908" i="4"/>
  <c r="T907" i="4"/>
  <c r="T906" i="4"/>
  <c r="T905" i="4"/>
  <c r="T904" i="4"/>
  <c r="T903" i="4"/>
  <c r="T902" i="4"/>
  <c r="T901" i="4"/>
  <c r="T900" i="4"/>
  <c r="T899" i="4"/>
  <c r="T898" i="4"/>
  <c r="T897" i="4"/>
  <c r="T896" i="4"/>
  <c r="T895" i="4"/>
  <c r="T894" i="4"/>
  <c r="T893" i="4"/>
  <c r="T892" i="4"/>
  <c r="T891" i="4"/>
  <c r="T890" i="4"/>
  <c r="T889" i="4"/>
  <c r="T888" i="4"/>
  <c r="T887" i="4"/>
  <c r="T886" i="4"/>
  <c r="T885" i="4"/>
  <c r="T884" i="4"/>
  <c r="T883" i="4"/>
  <c r="T882" i="4"/>
  <c r="T881" i="4"/>
  <c r="T880" i="4"/>
  <c r="T879" i="4"/>
  <c r="T878" i="4"/>
  <c r="T877" i="4"/>
  <c r="T876" i="4"/>
  <c r="T875" i="4"/>
  <c r="T874" i="4"/>
  <c r="T873" i="4"/>
  <c r="T872" i="4"/>
  <c r="T871" i="4"/>
  <c r="T870" i="4"/>
  <c r="T869" i="4"/>
  <c r="T868" i="4"/>
  <c r="T867" i="4"/>
  <c r="T866" i="4"/>
  <c r="T865" i="4"/>
  <c r="T864" i="4"/>
  <c r="T863" i="4"/>
  <c r="T862" i="4"/>
  <c r="T861" i="4"/>
  <c r="T860" i="4"/>
  <c r="T859" i="4"/>
  <c r="T858" i="4"/>
  <c r="T857" i="4"/>
  <c r="T856" i="4"/>
  <c r="T855" i="4"/>
  <c r="T854" i="4"/>
  <c r="T853" i="4"/>
  <c r="T852" i="4"/>
  <c r="T851" i="4"/>
  <c r="T850" i="4"/>
  <c r="T849" i="4"/>
  <c r="T848" i="4"/>
  <c r="T847" i="4"/>
  <c r="T846" i="4"/>
  <c r="T845" i="4"/>
  <c r="T844" i="4"/>
  <c r="T843" i="4"/>
  <c r="T842" i="4"/>
  <c r="T841" i="4"/>
  <c r="T840" i="4"/>
  <c r="T839" i="4"/>
  <c r="T838" i="4"/>
  <c r="T837" i="4"/>
  <c r="T836" i="4"/>
  <c r="T835" i="4"/>
  <c r="T834" i="4"/>
  <c r="T833" i="4"/>
  <c r="T832" i="4"/>
  <c r="T831" i="4"/>
  <c r="T830" i="4"/>
  <c r="T829" i="4"/>
  <c r="T828" i="4"/>
  <c r="T827" i="4"/>
  <c r="T826" i="4"/>
  <c r="T825" i="4"/>
  <c r="T824" i="4"/>
  <c r="T823" i="4"/>
  <c r="T822" i="4"/>
  <c r="T821" i="4"/>
  <c r="T820" i="4"/>
  <c r="T819" i="4"/>
  <c r="T818" i="4"/>
  <c r="T817" i="4"/>
  <c r="T816" i="4"/>
  <c r="T815" i="4"/>
  <c r="T814" i="4"/>
  <c r="T813" i="4"/>
  <c r="T812" i="4"/>
  <c r="T811" i="4"/>
  <c r="T810" i="4"/>
  <c r="T809" i="4"/>
  <c r="T808" i="4"/>
  <c r="T807" i="4"/>
  <c r="T806" i="4"/>
  <c r="T805" i="4"/>
  <c r="T804" i="4"/>
  <c r="T803" i="4"/>
  <c r="T802" i="4"/>
  <c r="T801" i="4"/>
  <c r="T800" i="4"/>
  <c r="T799" i="4"/>
  <c r="T798" i="4"/>
  <c r="T797" i="4"/>
  <c r="T796" i="4"/>
  <c r="T795" i="4"/>
  <c r="T794" i="4"/>
  <c r="T793" i="4"/>
  <c r="T792" i="4"/>
  <c r="T791" i="4"/>
  <c r="T790" i="4"/>
  <c r="T789" i="4"/>
  <c r="T788" i="4"/>
  <c r="T787" i="4"/>
  <c r="T786" i="4"/>
  <c r="T785" i="4"/>
  <c r="T784" i="4"/>
  <c r="T783" i="4"/>
  <c r="T782" i="4"/>
  <c r="T781" i="4"/>
  <c r="T780" i="4"/>
  <c r="T779" i="4"/>
  <c r="T778" i="4"/>
  <c r="T777" i="4"/>
  <c r="T776" i="4"/>
  <c r="T775" i="4"/>
  <c r="T774" i="4"/>
  <c r="T773" i="4"/>
  <c r="T772" i="4"/>
  <c r="T771" i="4"/>
  <c r="T770" i="4"/>
  <c r="T769" i="4"/>
  <c r="T768" i="4"/>
  <c r="T767" i="4"/>
  <c r="T766" i="4"/>
  <c r="T765" i="4"/>
  <c r="T764" i="4"/>
  <c r="T763" i="4"/>
  <c r="T762" i="4"/>
  <c r="T761" i="4"/>
  <c r="T760" i="4"/>
  <c r="T759" i="4"/>
  <c r="T758" i="4"/>
  <c r="T757" i="4"/>
  <c r="T756" i="4"/>
  <c r="T755" i="4"/>
  <c r="T754" i="4"/>
  <c r="T753" i="4"/>
  <c r="T752" i="4"/>
  <c r="T751" i="4"/>
  <c r="T750" i="4"/>
  <c r="T749" i="4"/>
  <c r="T748" i="4"/>
  <c r="T747" i="4"/>
  <c r="T746" i="4"/>
  <c r="T745" i="4"/>
  <c r="T744" i="4"/>
  <c r="T743" i="4"/>
  <c r="T742" i="4"/>
  <c r="T741" i="4"/>
  <c r="T740" i="4"/>
  <c r="T739" i="4"/>
  <c r="T738" i="4"/>
  <c r="T737" i="4"/>
  <c r="T736" i="4"/>
  <c r="T735" i="4"/>
  <c r="T734" i="4"/>
  <c r="T733" i="4"/>
  <c r="T732" i="4"/>
  <c r="T731" i="4"/>
  <c r="T730" i="4"/>
  <c r="T729" i="4"/>
  <c r="T728" i="4"/>
  <c r="T727" i="4"/>
  <c r="T726" i="4"/>
  <c r="T725" i="4"/>
  <c r="T724" i="4"/>
  <c r="T723" i="4"/>
  <c r="T722" i="4"/>
  <c r="T721" i="4"/>
  <c r="T720" i="4"/>
  <c r="T719" i="4"/>
  <c r="T718" i="4"/>
  <c r="T717" i="4"/>
  <c r="T716" i="4"/>
  <c r="T715" i="4"/>
  <c r="T714" i="4"/>
  <c r="T713" i="4"/>
  <c r="T712" i="4"/>
  <c r="T711" i="4"/>
  <c r="T710" i="4"/>
  <c r="T709" i="4"/>
  <c r="T708" i="4"/>
  <c r="T707" i="4"/>
  <c r="T706" i="4"/>
  <c r="T705" i="4"/>
  <c r="T704" i="4"/>
  <c r="T703" i="4"/>
  <c r="T702" i="4"/>
  <c r="T701" i="4"/>
  <c r="T700" i="4"/>
  <c r="T699" i="4"/>
  <c r="T698" i="4"/>
  <c r="T697" i="4"/>
  <c r="T696" i="4"/>
  <c r="T695" i="4"/>
  <c r="T694" i="4"/>
  <c r="T693" i="4"/>
  <c r="T692" i="4"/>
  <c r="T691" i="4"/>
  <c r="T690" i="4"/>
  <c r="T689" i="4"/>
  <c r="T688" i="4"/>
  <c r="T687" i="4"/>
  <c r="T686" i="4"/>
  <c r="T685" i="4"/>
  <c r="T684" i="4"/>
  <c r="T683" i="4"/>
  <c r="T682" i="4"/>
  <c r="T681" i="4"/>
  <c r="T680" i="4"/>
  <c r="T679" i="4"/>
  <c r="T678" i="4"/>
  <c r="T677" i="4"/>
  <c r="T676" i="4"/>
  <c r="T675" i="4"/>
  <c r="T674" i="4"/>
  <c r="T673" i="4"/>
  <c r="T672" i="4"/>
  <c r="T671" i="4"/>
  <c r="T670" i="4"/>
  <c r="T669" i="4"/>
  <c r="T668" i="4"/>
  <c r="T667" i="4"/>
  <c r="T666" i="4"/>
  <c r="T665" i="4"/>
  <c r="T664" i="4"/>
  <c r="T663" i="4"/>
  <c r="T662" i="4"/>
  <c r="T661" i="4"/>
  <c r="T660" i="4"/>
  <c r="T659" i="4"/>
  <c r="T658" i="4"/>
  <c r="T657" i="4"/>
  <c r="T656" i="4"/>
  <c r="T655" i="4"/>
  <c r="T654" i="4"/>
  <c r="T653" i="4"/>
  <c r="T652" i="4"/>
  <c r="T651" i="4"/>
  <c r="T650" i="4"/>
  <c r="T649" i="4"/>
  <c r="T648" i="4"/>
  <c r="T647" i="4"/>
  <c r="T646" i="4"/>
  <c r="T645" i="4"/>
  <c r="T644" i="4"/>
  <c r="T643" i="4"/>
  <c r="T642" i="4"/>
  <c r="T641" i="4"/>
  <c r="T640" i="4"/>
  <c r="T639" i="4"/>
  <c r="T638" i="4"/>
  <c r="T637" i="4"/>
  <c r="T636" i="4"/>
  <c r="T635" i="4"/>
  <c r="T634" i="4"/>
  <c r="T633" i="4"/>
  <c r="T632" i="4"/>
  <c r="T631" i="4"/>
  <c r="T630" i="4"/>
  <c r="T629" i="4"/>
  <c r="T628" i="4"/>
  <c r="T627" i="4"/>
  <c r="T626" i="4"/>
  <c r="T625" i="4"/>
  <c r="T624" i="4"/>
  <c r="T623" i="4"/>
  <c r="T622" i="4"/>
  <c r="T621" i="4"/>
  <c r="T620" i="4"/>
  <c r="T619" i="4"/>
  <c r="T618" i="4"/>
  <c r="T617" i="4"/>
  <c r="T616" i="4"/>
  <c r="T615" i="4"/>
  <c r="T614" i="4"/>
  <c r="T613" i="4"/>
  <c r="T612" i="4"/>
  <c r="T611" i="4"/>
  <c r="T610" i="4"/>
  <c r="T609" i="4"/>
  <c r="T608" i="4"/>
  <c r="T607" i="4"/>
  <c r="T606" i="4"/>
  <c r="T605" i="4"/>
  <c r="T604" i="4"/>
  <c r="T603" i="4"/>
  <c r="T602" i="4"/>
  <c r="T601" i="4"/>
  <c r="T600" i="4"/>
  <c r="T599" i="4"/>
  <c r="T598" i="4"/>
  <c r="T597" i="4"/>
  <c r="T596" i="4"/>
  <c r="T595" i="4"/>
  <c r="T594" i="4"/>
  <c r="T593" i="4"/>
  <c r="T592" i="4"/>
  <c r="T591" i="4"/>
  <c r="T590" i="4"/>
  <c r="T589" i="4"/>
  <c r="T588" i="4"/>
  <c r="T587" i="4"/>
  <c r="T586" i="4"/>
  <c r="T585" i="4"/>
  <c r="T584" i="4"/>
  <c r="T583" i="4"/>
  <c r="T582" i="4"/>
  <c r="T581" i="4"/>
  <c r="T580" i="4"/>
  <c r="T579" i="4"/>
  <c r="T578" i="4"/>
  <c r="T577" i="4"/>
  <c r="T576" i="4"/>
  <c r="T575" i="4"/>
  <c r="T574" i="4"/>
  <c r="T573" i="4"/>
  <c r="T572" i="4"/>
  <c r="T571" i="4"/>
  <c r="T570" i="4"/>
  <c r="T569" i="4"/>
  <c r="T568" i="4"/>
  <c r="T567" i="4"/>
  <c r="T566" i="4"/>
  <c r="T565" i="4"/>
  <c r="T564" i="4"/>
  <c r="T563" i="4"/>
  <c r="T562" i="4"/>
  <c r="T561" i="4"/>
  <c r="T560" i="4"/>
  <c r="T559" i="4"/>
  <c r="T558" i="4"/>
  <c r="T557" i="4"/>
  <c r="T556" i="4"/>
  <c r="T555" i="4"/>
  <c r="T554" i="4"/>
  <c r="T553" i="4"/>
  <c r="T552" i="4"/>
  <c r="T551" i="4"/>
  <c r="T550" i="4"/>
  <c r="T549" i="4"/>
  <c r="T548" i="4"/>
  <c r="T547" i="4"/>
  <c r="T546" i="4"/>
  <c r="T545" i="4"/>
  <c r="T544" i="4"/>
  <c r="T543" i="4"/>
  <c r="T542" i="4"/>
  <c r="T541" i="4"/>
  <c r="T540" i="4"/>
  <c r="T539" i="4"/>
  <c r="T538" i="4"/>
  <c r="T537" i="4"/>
  <c r="T536" i="4"/>
  <c r="T535" i="4"/>
  <c r="T534" i="4"/>
  <c r="T533" i="4"/>
  <c r="T532" i="4"/>
  <c r="T531" i="4"/>
  <c r="T530" i="4"/>
  <c r="T529" i="4"/>
  <c r="T528" i="4"/>
  <c r="T527" i="4"/>
  <c r="T526" i="4"/>
  <c r="T525" i="4"/>
  <c r="T524" i="4"/>
  <c r="T523" i="4"/>
  <c r="T522" i="4"/>
  <c r="T521" i="4"/>
  <c r="T520" i="4"/>
  <c r="T519" i="4"/>
  <c r="T518" i="4"/>
  <c r="T517" i="4"/>
  <c r="T516" i="4"/>
  <c r="T515" i="4"/>
  <c r="T514" i="4"/>
  <c r="T513" i="4"/>
  <c r="T512" i="4"/>
  <c r="T511" i="4"/>
  <c r="T510" i="4"/>
  <c r="T509" i="4"/>
  <c r="T508" i="4"/>
  <c r="T507" i="4"/>
  <c r="T506" i="4"/>
  <c r="T505" i="4"/>
  <c r="T504" i="4"/>
  <c r="T503" i="4"/>
  <c r="T502" i="4"/>
  <c r="T501" i="4"/>
  <c r="T500" i="4"/>
  <c r="T499" i="4"/>
  <c r="T498" i="4"/>
  <c r="T497" i="4"/>
  <c r="T496" i="4"/>
  <c r="T495" i="4"/>
  <c r="T494" i="4"/>
  <c r="T493" i="4"/>
  <c r="T492" i="4"/>
  <c r="T491" i="4"/>
  <c r="T490" i="4"/>
  <c r="T489" i="4"/>
  <c r="T488" i="4"/>
  <c r="T487" i="4"/>
  <c r="T486" i="4"/>
  <c r="T485" i="4"/>
  <c r="T484" i="4"/>
  <c r="T483" i="4"/>
  <c r="T482" i="4"/>
  <c r="T481" i="4"/>
  <c r="T480" i="4"/>
  <c r="T479" i="4"/>
  <c r="T478" i="4"/>
  <c r="T477" i="4"/>
  <c r="T476" i="4"/>
  <c r="T475" i="4"/>
  <c r="T474" i="4"/>
  <c r="T473" i="4"/>
  <c r="T472" i="4"/>
  <c r="T471" i="4"/>
  <c r="T470" i="4"/>
  <c r="T469" i="4"/>
  <c r="T37" i="4"/>
  <c r="T36" i="4"/>
  <c r="K1" i="4"/>
  <c r="L1" i="20"/>
  <c r="K1" i="3"/>
  <c r="H3" i="4" l="1"/>
  <c r="H11" i="4"/>
  <c r="H19" i="4"/>
  <c r="H27" i="4"/>
  <c r="H35" i="4"/>
  <c r="H43" i="4"/>
  <c r="H51" i="4"/>
  <c r="H59" i="4"/>
  <c r="H67" i="4"/>
  <c r="H75" i="4"/>
  <c r="H83" i="4"/>
  <c r="H91" i="4"/>
  <c r="H99" i="4"/>
  <c r="H107" i="4"/>
  <c r="H115" i="4"/>
  <c r="H123" i="4"/>
  <c r="H131" i="4"/>
  <c r="H139" i="4"/>
  <c r="H147" i="4"/>
  <c r="H155" i="4"/>
  <c r="H163" i="4"/>
  <c r="H171" i="4"/>
  <c r="H179" i="4"/>
  <c r="H187" i="4"/>
  <c r="H195" i="4"/>
  <c r="H203" i="4"/>
  <c r="H211" i="4"/>
  <c r="H219" i="4"/>
  <c r="H227" i="4"/>
  <c r="H235" i="4"/>
  <c r="H243" i="4"/>
  <c r="H251" i="4"/>
  <c r="H259" i="4"/>
  <c r="H267" i="4"/>
  <c r="H275" i="4"/>
  <c r="H283" i="4"/>
  <c r="H291" i="4"/>
  <c r="H299" i="4"/>
  <c r="H307" i="4"/>
  <c r="H315" i="4"/>
  <c r="H323" i="4"/>
  <c r="H331" i="4"/>
  <c r="H339" i="4"/>
  <c r="H347" i="4"/>
  <c r="H355" i="4"/>
  <c r="H363" i="4"/>
  <c r="H371" i="4"/>
  <c r="H379" i="4"/>
  <c r="H387" i="4"/>
  <c r="H395" i="4"/>
  <c r="H403" i="4"/>
  <c r="H411" i="4"/>
  <c r="H419" i="4"/>
  <c r="H427" i="4"/>
  <c r="H435" i="4"/>
  <c r="H443" i="4"/>
  <c r="H451" i="4"/>
  <c r="H459" i="4"/>
  <c r="H467" i="4"/>
  <c r="H475" i="4"/>
  <c r="H483" i="4"/>
  <c r="H491" i="4"/>
  <c r="H499" i="4"/>
  <c r="H507" i="4"/>
  <c r="H515" i="4"/>
  <c r="H523" i="4"/>
  <c r="H531" i="4"/>
  <c r="H539" i="4"/>
  <c r="H547" i="4"/>
  <c r="H555" i="4"/>
  <c r="H563" i="4"/>
  <c r="H571" i="4"/>
  <c r="H579" i="4"/>
  <c r="H587" i="4"/>
  <c r="H595" i="4"/>
  <c r="H603" i="4"/>
  <c r="H611" i="4"/>
  <c r="H619" i="4"/>
  <c r="H627" i="4"/>
  <c r="H635" i="4"/>
  <c r="H643" i="4"/>
  <c r="H651" i="4"/>
  <c r="H659" i="4"/>
  <c r="H667" i="4"/>
  <c r="H675" i="4"/>
  <c r="H4" i="4"/>
  <c r="H12" i="4"/>
  <c r="H20" i="4"/>
  <c r="H28" i="4"/>
  <c r="H36" i="4"/>
  <c r="H44" i="4"/>
  <c r="H52" i="4"/>
  <c r="H60" i="4"/>
  <c r="H68" i="4"/>
  <c r="H76" i="4"/>
  <c r="H84" i="4"/>
  <c r="H92" i="4"/>
  <c r="H100" i="4"/>
  <c r="H108" i="4"/>
  <c r="H116" i="4"/>
  <c r="H124" i="4"/>
  <c r="H132" i="4"/>
  <c r="H140" i="4"/>
  <c r="H148" i="4"/>
  <c r="H156" i="4"/>
  <c r="H164" i="4"/>
  <c r="H172" i="4"/>
  <c r="H180" i="4"/>
  <c r="H188" i="4"/>
  <c r="H196" i="4"/>
  <c r="H204" i="4"/>
  <c r="H212" i="4"/>
  <c r="H220" i="4"/>
  <c r="H228" i="4"/>
  <c r="H236" i="4"/>
  <c r="H244" i="4"/>
  <c r="H252" i="4"/>
  <c r="H260" i="4"/>
  <c r="H268" i="4"/>
  <c r="H276" i="4"/>
  <c r="H284" i="4"/>
  <c r="H292" i="4"/>
  <c r="H300" i="4"/>
  <c r="H308" i="4"/>
  <c r="H316" i="4"/>
  <c r="H324" i="4"/>
  <c r="H332" i="4"/>
  <c r="H340" i="4"/>
  <c r="H348" i="4"/>
  <c r="H356" i="4"/>
  <c r="H364" i="4"/>
  <c r="H372" i="4"/>
  <c r="H380" i="4"/>
  <c r="H388" i="4"/>
  <c r="H396" i="4"/>
  <c r="H404" i="4"/>
  <c r="H412" i="4"/>
  <c r="H420" i="4"/>
  <c r="H428" i="4"/>
  <c r="H436" i="4"/>
  <c r="H444" i="4"/>
  <c r="H452" i="4"/>
  <c r="H460" i="4"/>
  <c r="H468" i="4"/>
  <c r="H476" i="4"/>
  <c r="H484" i="4"/>
  <c r="H492" i="4"/>
  <c r="H500" i="4"/>
  <c r="H508" i="4"/>
  <c r="H516" i="4"/>
  <c r="H524" i="4"/>
  <c r="H532" i="4"/>
  <c r="H540" i="4"/>
  <c r="H548" i="4"/>
  <c r="H556" i="4"/>
  <c r="H564" i="4"/>
  <c r="H5" i="4"/>
  <c r="H13" i="4"/>
  <c r="H21" i="4"/>
  <c r="H29" i="4"/>
  <c r="H37" i="4"/>
  <c r="H45" i="4"/>
  <c r="H53" i="4"/>
  <c r="H61" i="4"/>
  <c r="H69" i="4"/>
  <c r="H77" i="4"/>
  <c r="H85" i="4"/>
  <c r="H93" i="4"/>
  <c r="H101" i="4"/>
  <c r="H109" i="4"/>
  <c r="H117" i="4"/>
  <c r="H125" i="4"/>
  <c r="H133" i="4"/>
  <c r="H141" i="4"/>
  <c r="H149" i="4"/>
  <c r="H157" i="4"/>
  <c r="H165" i="4"/>
  <c r="H173" i="4"/>
  <c r="H181" i="4"/>
  <c r="H189" i="4"/>
  <c r="H197" i="4"/>
  <c r="H205" i="4"/>
  <c r="H213" i="4"/>
  <c r="H221" i="4"/>
  <c r="H229" i="4"/>
  <c r="H237" i="4"/>
  <c r="H245" i="4"/>
  <c r="H253" i="4"/>
  <c r="H261" i="4"/>
  <c r="H269" i="4"/>
  <c r="H277" i="4"/>
  <c r="H285" i="4"/>
  <c r="H293" i="4"/>
  <c r="H301" i="4"/>
  <c r="H309" i="4"/>
  <c r="H317" i="4"/>
  <c r="H325" i="4"/>
  <c r="H333" i="4"/>
  <c r="H341" i="4"/>
  <c r="H349" i="4"/>
  <c r="H357" i="4"/>
  <c r="H365" i="4"/>
  <c r="H373" i="4"/>
  <c r="H381" i="4"/>
  <c r="H389" i="4"/>
  <c r="H397" i="4"/>
  <c r="H405" i="4"/>
  <c r="H413" i="4"/>
  <c r="H421" i="4"/>
  <c r="H429" i="4"/>
  <c r="H437" i="4"/>
  <c r="H445" i="4"/>
  <c r="H453" i="4"/>
  <c r="H461" i="4"/>
  <c r="H469" i="4"/>
  <c r="H477" i="4"/>
  <c r="H485" i="4"/>
  <c r="H493" i="4"/>
  <c r="H501" i="4"/>
  <c r="H509" i="4"/>
  <c r="H517" i="4"/>
  <c r="H525" i="4"/>
  <c r="H533" i="4"/>
  <c r="H541" i="4"/>
  <c r="H549" i="4"/>
  <c r="H557" i="4"/>
  <c r="H565" i="4"/>
  <c r="H573" i="4"/>
  <c r="H581" i="4"/>
  <c r="H589" i="4"/>
  <c r="H597" i="4"/>
  <c r="H605" i="4"/>
  <c r="H613" i="4"/>
  <c r="H621" i="4"/>
  <c r="H629" i="4"/>
  <c r="H637" i="4"/>
  <c r="H645" i="4"/>
  <c r="H653" i="4"/>
  <c r="H661" i="4"/>
  <c r="H669" i="4"/>
  <c r="H677" i="4"/>
  <c r="H6" i="4"/>
  <c r="H14" i="4"/>
  <c r="H22" i="4"/>
  <c r="H30" i="4"/>
  <c r="H38" i="4"/>
  <c r="H46" i="4"/>
  <c r="H54" i="4"/>
  <c r="H62" i="4"/>
  <c r="H70" i="4"/>
  <c r="H78" i="4"/>
  <c r="H86" i="4"/>
  <c r="H94" i="4"/>
  <c r="H102" i="4"/>
  <c r="H110" i="4"/>
  <c r="H118" i="4"/>
  <c r="H126" i="4"/>
  <c r="H134" i="4"/>
  <c r="H142" i="4"/>
  <c r="H150" i="4"/>
  <c r="H158" i="4"/>
  <c r="H166" i="4"/>
  <c r="H174" i="4"/>
  <c r="H182" i="4"/>
  <c r="H190" i="4"/>
  <c r="H198" i="4"/>
  <c r="H206" i="4"/>
  <c r="H214" i="4"/>
  <c r="H222" i="4"/>
  <c r="H230" i="4"/>
  <c r="H238" i="4"/>
  <c r="H246" i="4"/>
  <c r="H254" i="4"/>
  <c r="H262" i="4"/>
  <c r="H270" i="4"/>
  <c r="H278" i="4"/>
  <c r="H286" i="4"/>
  <c r="H294" i="4"/>
  <c r="H302" i="4"/>
  <c r="H310" i="4"/>
  <c r="H318" i="4"/>
  <c r="H326" i="4"/>
  <c r="H334" i="4"/>
  <c r="H342" i="4"/>
  <c r="H350" i="4"/>
  <c r="H358" i="4"/>
  <c r="H366" i="4"/>
  <c r="H374" i="4"/>
  <c r="H382" i="4"/>
  <c r="H390" i="4"/>
  <c r="H398" i="4"/>
  <c r="H406" i="4"/>
  <c r="H414" i="4"/>
  <c r="H422" i="4"/>
  <c r="H430" i="4"/>
  <c r="H438" i="4"/>
  <c r="H446" i="4"/>
  <c r="H454" i="4"/>
  <c r="H462" i="4"/>
  <c r="H470" i="4"/>
  <c r="H478" i="4"/>
  <c r="H486" i="4"/>
  <c r="H494" i="4"/>
  <c r="H502" i="4"/>
  <c r="H510" i="4"/>
  <c r="H518" i="4"/>
  <c r="H526" i="4"/>
  <c r="H534" i="4"/>
  <c r="H542" i="4"/>
  <c r="H550" i="4"/>
  <c r="H558" i="4"/>
  <c r="H566" i="4"/>
  <c r="H574" i="4"/>
  <c r="H582" i="4"/>
  <c r="H590" i="4"/>
  <c r="H598" i="4"/>
  <c r="H606" i="4"/>
  <c r="H614" i="4"/>
  <c r="H622" i="4"/>
  <c r="H630" i="4"/>
  <c r="H638" i="4"/>
  <c r="H646" i="4"/>
  <c r="H654" i="4"/>
  <c r="H662" i="4"/>
  <c r="H670" i="4"/>
  <c r="H678" i="4"/>
  <c r="H7" i="4"/>
  <c r="H15" i="4"/>
  <c r="H23" i="4"/>
  <c r="H31" i="4"/>
  <c r="H39" i="4"/>
  <c r="H47" i="4"/>
  <c r="H55" i="4"/>
  <c r="H63" i="4"/>
  <c r="H71" i="4"/>
  <c r="H79" i="4"/>
  <c r="H87" i="4"/>
  <c r="H95" i="4"/>
  <c r="H103" i="4"/>
  <c r="H111" i="4"/>
  <c r="H119" i="4"/>
  <c r="H127" i="4"/>
  <c r="H135" i="4"/>
  <c r="H143" i="4"/>
  <c r="H151" i="4"/>
  <c r="H159" i="4"/>
  <c r="H167" i="4"/>
  <c r="H175" i="4"/>
  <c r="H183" i="4"/>
  <c r="H191" i="4"/>
  <c r="H199" i="4"/>
  <c r="H207" i="4"/>
  <c r="H215" i="4"/>
  <c r="H223" i="4"/>
  <c r="H231" i="4"/>
  <c r="H239" i="4"/>
  <c r="H247" i="4"/>
  <c r="H255" i="4"/>
  <c r="H263" i="4"/>
  <c r="H271" i="4"/>
  <c r="H279" i="4"/>
  <c r="H287" i="4"/>
  <c r="H295" i="4"/>
  <c r="H303" i="4"/>
  <c r="H311" i="4"/>
  <c r="H319" i="4"/>
  <c r="H327" i="4"/>
  <c r="H335" i="4"/>
  <c r="H343" i="4"/>
  <c r="H351" i="4"/>
  <c r="H359" i="4"/>
  <c r="H367" i="4"/>
  <c r="H375" i="4"/>
  <c r="H383" i="4"/>
  <c r="H391" i="4"/>
  <c r="H399" i="4"/>
  <c r="H407" i="4"/>
  <c r="H415" i="4"/>
  <c r="H423" i="4"/>
  <c r="H431" i="4"/>
  <c r="H439" i="4"/>
  <c r="H447" i="4"/>
  <c r="H455" i="4"/>
  <c r="H463" i="4"/>
  <c r="H471" i="4"/>
  <c r="H479" i="4"/>
  <c r="H487" i="4"/>
  <c r="H495" i="4"/>
  <c r="H503" i="4"/>
  <c r="H511" i="4"/>
  <c r="H519" i="4"/>
  <c r="H527" i="4"/>
  <c r="H535" i="4"/>
  <c r="H543" i="4"/>
  <c r="H551" i="4"/>
  <c r="H559" i="4"/>
  <c r="H567" i="4"/>
  <c r="H575" i="4"/>
  <c r="H583" i="4"/>
  <c r="H591" i="4"/>
  <c r="H599" i="4"/>
  <c r="H607" i="4"/>
  <c r="H615" i="4"/>
  <c r="H623" i="4"/>
  <c r="H631" i="4"/>
  <c r="H639" i="4"/>
  <c r="H647" i="4"/>
  <c r="H655" i="4"/>
  <c r="H663" i="4"/>
  <c r="H671" i="4"/>
  <c r="H679" i="4"/>
  <c r="H9" i="4"/>
  <c r="H32" i="4"/>
  <c r="H50" i="4"/>
  <c r="H73" i="4"/>
  <c r="H96" i="4"/>
  <c r="H114" i="4"/>
  <c r="H137" i="4"/>
  <c r="H160" i="4"/>
  <c r="H178" i="4"/>
  <c r="H201" i="4"/>
  <c r="H224" i="4"/>
  <c r="H242" i="4"/>
  <c r="H265" i="4"/>
  <c r="H288" i="4"/>
  <c r="H306" i="4"/>
  <c r="H329" i="4"/>
  <c r="H352" i="4"/>
  <c r="H370" i="4"/>
  <c r="H393" i="4"/>
  <c r="H416" i="4"/>
  <c r="H434" i="4"/>
  <c r="H457" i="4"/>
  <c r="H480" i="4"/>
  <c r="H498" i="4"/>
  <c r="H521" i="4"/>
  <c r="H544" i="4"/>
  <c r="H562" i="4"/>
  <c r="H580" i="4"/>
  <c r="H596" i="4"/>
  <c r="H612" i="4"/>
  <c r="H628" i="4"/>
  <c r="H644" i="4"/>
  <c r="H660" i="4"/>
  <c r="H676" i="4"/>
  <c r="H687" i="4"/>
  <c r="H695" i="4"/>
  <c r="H703" i="4"/>
  <c r="H711" i="4"/>
  <c r="H719" i="4"/>
  <c r="H727" i="4"/>
  <c r="H735" i="4"/>
  <c r="H743" i="4"/>
  <c r="H751" i="4"/>
  <c r="H759" i="4"/>
  <c r="H767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10" i="4"/>
  <c r="H33" i="4"/>
  <c r="H56" i="4"/>
  <c r="H74" i="4"/>
  <c r="H97" i="4"/>
  <c r="H120" i="4"/>
  <c r="H138" i="4"/>
  <c r="H161" i="4"/>
  <c r="H184" i="4"/>
  <c r="H202" i="4"/>
  <c r="H225" i="4"/>
  <c r="H248" i="4"/>
  <c r="H266" i="4"/>
  <c r="H289" i="4"/>
  <c r="H312" i="4"/>
  <c r="H330" i="4"/>
  <c r="H353" i="4"/>
  <c r="H376" i="4"/>
  <c r="H16" i="4"/>
  <c r="H34" i="4"/>
  <c r="H57" i="4"/>
  <c r="H80" i="4"/>
  <c r="H98" i="4"/>
  <c r="H121" i="4"/>
  <c r="H144" i="4"/>
  <c r="H162" i="4"/>
  <c r="H185" i="4"/>
  <c r="H208" i="4"/>
  <c r="H226" i="4"/>
  <c r="H249" i="4"/>
  <c r="H272" i="4"/>
  <c r="H290" i="4"/>
  <c r="H313" i="4"/>
  <c r="H336" i="4"/>
  <c r="H354" i="4"/>
  <c r="H377" i="4"/>
  <c r="H400" i="4"/>
  <c r="H418" i="4"/>
  <c r="H441" i="4"/>
  <c r="H464" i="4"/>
  <c r="H482" i="4"/>
  <c r="H505" i="4"/>
  <c r="H528" i="4"/>
  <c r="H546" i="4"/>
  <c r="H569" i="4"/>
  <c r="H585" i="4"/>
  <c r="H601" i="4"/>
  <c r="H617" i="4"/>
  <c r="H633" i="4"/>
  <c r="H649" i="4"/>
  <c r="H665" i="4"/>
  <c r="H681" i="4"/>
  <c r="H689" i="4"/>
  <c r="H697" i="4"/>
  <c r="H705" i="4"/>
  <c r="H713" i="4"/>
  <c r="H721" i="4"/>
  <c r="H729" i="4"/>
  <c r="H737" i="4"/>
  <c r="H745" i="4"/>
  <c r="H753" i="4"/>
  <c r="H761" i="4"/>
  <c r="H769" i="4"/>
  <c r="H777" i="4"/>
  <c r="H785" i="4"/>
  <c r="H793" i="4"/>
  <c r="H801" i="4"/>
  <c r="H809" i="4"/>
  <c r="H817" i="4"/>
  <c r="H825" i="4"/>
  <c r="H833" i="4"/>
  <c r="H841" i="4"/>
  <c r="H849" i="4"/>
  <c r="H857" i="4"/>
  <c r="H865" i="4"/>
  <c r="H873" i="4"/>
  <c r="H881" i="4"/>
  <c r="H889" i="4"/>
  <c r="H897" i="4"/>
  <c r="H905" i="4"/>
  <c r="H913" i="4"/>
  <c r="H921" i="4"/>
  <c r="H929" i="4"/>
  <c r="H937" i="4"/>
  <c r="H41" i="4"/>
  <c r="H64" i="4"/>
  <c r="H105" i="4"/>
  <c r="H146" i="4"/>
  <c r="H192" i="4"/>
  <c r="H233" i="4"/>
  <c r="H274" i="4"/>
  <c r="H320" i="4"/>
  <c r="H361" i="4"/>
  <c r="H402" i="4"/>
  <c r="H448" i="4"/>
  <c r="H489" i="4"/>
  <c r="H530" i="4"/>
  <c r="H572" i="4"/>
  <c r="H604" i="4"/>
  <c r="H636" i="4"/>
  <c r="H668" i="4"/>
  <c r="H691" i="4"/>
  <c r="H707" i="4"/>
  <c r="H17" i="4"/>
  <c r="H40" i="4"/>
  <c r="H58" i="4"/>
  <c r="H81" i="4"/>
  <c r="H104" i="4"/>
  <c r="H122" i="4"/>
  <c r="H145" i="4"/>
  <c r="H168" i="4"/>
  <c r="H186" i="4"/>
  <c r="H209" i="4"/>
  <c r="H232" i="4"/>
  <c r="H250" i="4"/>
  <c r="H273" i="4"/>
  <c r="H296" i="4"/>
  <c r="H314" i="4"/>
  <c r="H337" i="4"/>
  <c r="H360" i="4"/>
  <c r="H378" i="4"/>
  <c r="H401" i="4"/>
  <c r="H424" i="4"/>
  <c r="H442" i="4"/>
  <c r="H465" i="4"/>
  <c r="H488" i="4"/>
  <c r="H506" i="4"/>
  <c r="H529" i="4"/>
  <c r="H552" i="4"/>
  <c r="H570" i="4"/>
  <c r="H586" i="4"/>
  <c r="H602" i="4"/>
  <c r="H618" i="4"/>
  <c r="H634" i="4"/>
  <c r="H650" i="4"/>
  <c r="H666" i="4"/>
  <c r="H682" i="4"/>
  <c r="H690" i="4"/>
  <c r="H698" i="4"/>
  <c r="H706" i="4"/>
  <c r="H714" i="4"/>
  <c r="H722" i="4"/>
  <c r="H730" i="4"/>
  <c r="H738" i="4"/>
  <c r="H746" i="4"/>
  <c r="H754" i="4"/>
  <c r="H762" i="4"/>
  <c r="H770" i="4"/>
  <c r="H778" i="4"/>
  <c r="H786" i="4"/>
  <c r="H794" i="4"/>
  <c r="H802" i="4"/>
  <c r="H810" i="4"/>
  <c r="H818" i="4"/>
  <c r="H826" i="4"/>
  <c r="H834" i="4"/>
  <c r="H842" i="4"/>
  <c r="H850" i="4"/>
  <c r="H858" i="4"/>
  <c r="H866" i="4"/>
  <c r="H874" i="4"/>
  <c r="H882" i="4"/>
  <c r="H890" i="4"/>
  <c r="H898" i="4"/>
  <c r="H906" i="4"/>
  <c r="H914" i="4"/>
  <c r="H922" i="4"/>
  <c r="H930" i="4"/>
  <c r="H938" i="4"/>
  <c r="H18" i="4"/>
  <c r="H82" i="4"/>
  <c r="H128" i="4"/>
  <c r="H169" i="4"/>
  <c r="H210" i="4"/>
  <c r="H256" i="4"/>
  <c r="H297" i="4"/>
  <c r="H338" i="4"/>
  <c r="H384" i="4"/>
  <c r="H425" i="4"/>
  <c r="H466" i="4"/>
  <c r="H512" i="4"/>
  <c r="H553" i="4"/>
  <c r="H588" i="4"/>
  <c r="H620" i="4"/>
  <c r="H652" i="4"/>
  <c r="H683" i="4"/>
  <c r="H699" i="4"/>
  <c r="H715" i="4"/>
  <c r="H8" i="4"/>
  <c r="H66" i="4"/>
  <c r="H129" i="4"/>
  <c r="H177" i="4"/>
  <c r="H240" i="4"/>
  <c r="H298" i="4"/>
  <c r="H346" i="4"/>
  <c r="H408" i="4"/>
  <c r="H449" i="4"/>
  <c r="H490" i="4"/>
  <c r="H536" i="4"/>
  <c r="H576" i="4"/>
  <c r="H608" i="4"/>
  <c r="H640" i="4"/>
  <c r="H672" i="4"/>
  <c r="H692" i="4"/>
  <c r="H708" i="4"/>
  <c r="H723" i="4"/>
  <c r="H734" i="4"/>
  <c r="H748" i="4"/>
  <c r="H760" i="4"/>
  <c r="H773" i="4"/>
  <c r="H787" i="4"/>
  <c r="H798" i="4"/>
  <c r="H812" i="4"/>
  <c r="H824" i="4"/>
  <c r="H837" i="4"/>
  <c r="H851" i="4"/>
  <c r="H862" i="4"/>
  <c r="H876" i="4"/>
  <c r="H888" i="4"/>
  <c r="H901" i="4"/>
  <c r="H915" i="4"/>
  <c r="H926" i="4"/>
  <c r="H88" i="4"/>
  <c r="H194" i="4"/>
  <c r="H305" i="4"/>
  <c r="H456" i="4"/>
  <c r="H538" i="4"/>
  <c r="H610" i="4"/>
  <c r="H694" i="4"/>
  <c r="H725" i="4"/>
  <c r="H750" i="4"/>
  <c r="H776" i="4"/>
  <c r="H803" i="4"/>
  <c r="H840" i="4"/>
  <c r="H867" i="4"/>
  <c r="H892" i="4"/>
  <c r="H917" i="4"/>
  <c r="H106" i="4"/>
  <c r="H328" i="4"/>
  <c r="H514" i="4"/>
  <c r="H625" i="4"/>
  <c r="H701" i="4"/>
  <c r="H742" i="4"/>
  <c r="H781" i="4"/>
  <c r="H820" i="4"/>
  <c r="H859" i="4"/>
  <c r="H909" i="4"/>
  <c r="H934" i="4"/>
  <c r="H112" i="4"/>
  <c r="H218" i="4"/>
  <c r="H392" i="4"/>
  <c r="H520" i="4"/>
  <c r="H626" i="4"/>
  <c r="H702" i="4"/>
  <c r="H744" i="4"/>
  <c r="H771" i="4"/>
  <c r="H808" i="4"/>
  <c r="H860" i="4"/>
  <c r="H899" i="4"/>
  <c r="H936" i="4"/>
  <c r="H176" i="4"/>
  <c r="H234" i="4"/>
  <c r="H394" i="4"/>
  <c r="H568" i="4"/>
  <c r="H632" i="4"/>
  <c r="H720" i="4"/>
  <c r="H758" i="4"/>
  <c r="H784" i="4"/>
  <c r="H24" i="4"/>
  <c r="H72" i="4"/>
  <c r="H130" i="4"/>
  <c r="H193" i="4"/>
  <c r="H241" i="4"/>
  <c r="H304" i="4"/>
  <c r="H362" i="4"/>
  <c r="H409" i="4"/>
  <c r="H450" i="4"/>
  <c r="H496" i="4"/>
  <c r="H537" i="4"/>
  <c r="H577" i="4"/>
  <c r="H609" i="4"/>
  <c r="H641" i="4"/>
  <c r="H673" i="4"/>
  <c r="H693" i="4"/>
  <c r="H709" i="4"/>
  <c r="H724" i="4"/>
  <c r="H736" i="4"/>
  <c r="H749" i="4"/>
  <c r="H763" i="4"/>
  <c r="H774" i="4"/>
  <c r="H788" i="4"/>
  <c r="H800" i="4"/>
  <c r="H813" i="4"/>
  <c r="H827" i="4"/>
  <c r="H838" i="4"/>
  <c r="H852" i="4"/>
  <c r="H864" i="4"/>
  <c r="H877" i="4"/>
  <c r="H891" i="4"/>
  <c r="H902" i="4"/>
  <c r="H916" i="4"/>
  <c r="H928" i="4"/>
  <c r="H25" i="4"/>
  <c r="H136" i="4"/>
  <c r="H257" i="4"/>
  <c r="H368" i="4"/>
  <c r="H410" i="4"/>
  <c r="H497" i="4"/>
  <c r="H578" i="4"/>
  <c r="H642" i="4"/>
  <c r="H674" i="4"/>
  <c r="H710" i="4"/>
  <c r="H739" i="4"/>
  <c r="H764" i="4"/>
  <c r="H789" i="4"/>
  <c r="H814" i="4"/>
  <c r="H828" i="4"/>
  <c r="H853" i="4"/>
  <c r="H878" i="4"/>
  <c r="H904" i="4"/>
  <c r="H931" i="4"/>
  <c r="H154" i="4"/>
  <c r="H217" i="4"/>
  <c r="H280" i="4"/>
  <c r="H432" i="4"/>
  <c r="H560" i="4"/>
  <c r="H657" i="4"/>
  <c r="H717" i="4"/>
  <c r="H731" i="4"/>
  <c r="H768" i="4"/>
  <c r="H806" i="4"/>
  <c r="H845" i="4"/>
  <c r="H884" i="4"/>
  <c r="H923" i="4"/>
  <c r="H170" i="4"/>
  <c r="H344" i="4"/>
  <c r="H474" i="4"/>
  <c r="H594" i="4"/>
  <c r="H658" i="4"/>
  <c r="H718" i="4"/>
  <c r="H757" i="4"/>
  <c r="H796" i="4"/>
  <c r="H821" i="4"/>
  <c r="H846" i="4"/>
  <c r="H885" i="4"/>
  <c r="H924" i="4"/>
  <c r="H65" i="4"/>
  <c r="H345" i="4"/>
  <c r="H481" i="4"/>
  <c r="H600" i="4"/>
  <c r="H688" i="4"/>
  <c r="H733" i="4"/>
  <c r="H772" i="4"/>
  <c r="H26" i="4"/>
  <c r="H89" i="4"/>
  <c r="H152" i="4"/>
  <c r="H200" i="4"/>
  <c r="H258" i="4"/>
  <c r="H321" i="4"/>
  <c r="H369" i="4"/>
  <c r="H417" i="4"/>
  <c r="H458" i="4"/>
  <c r="H504" i="4"/>
  <c r="H545" i="4"/>
  <c r="H584" i="4"/>
  <c r="H616" i="4"/>
  <c r="H648" i="4"/>
  <c r="H680" i="4"/>
  <c r="H696" i="4"/>
  <c r="H712" i="4"/>
  <c r="H726" i="4"/>
  <c r="H740" i="4"/>
  <c r="H752" i="4"/>
  <c r="H765" i="4"/>
  <c r="H779" i="4"/>
  <c r="H790" i="4"/>
  <c r="H804" i="4"/>
  <c r="H816" i="4"/>
  <c r="H829" i="4"/>
  <c r="H843" i="4"/>
  <c r="H854" i="4"/>
  <c r="H868" i="4"/>
  <c r="H880" i="4"/>
  <c r="H893" i="4"/>
  <c r="H907" i="4"/>
  <c r="H918" i="4"/>
  <c r="H932" i="4"/>
  <c r="H42" i="4"/>
  <c r="H90" i="4"/>
  <c r="H153" i="4"/>
  <c r="H216" i="4"/>
  <c r="H264" i="4"/>
  <c r="H322" i="4"/>
  <c r="H385" i="4"/>
  <c r="H426" i="4"/>
  <c r="H472" i="4"/>
  <c r="H513" i="4"/>
  <c r="H554" i="4"/>
  <c r="H592" i="4"/>
  <c r="H624" i="4"/>
  <c r="H656" i="4"/>
  <c r="H684" i="4"/>
  <c r="H700" i="4"/>
  <c r="H716" i="4"/>
  <c r="H728" i="4"/>
  <c r="H741" i="4"/>
  <c r="H755" i="4"/>
  <c r="H766" i="4"/>
  <c r="H780" i="4"/>
  <c r="H792" i="4"/>
  <c r="H805" i="4"/>
  <c r="H819" i="4"/>
  <c r="H830" i="4"/>
  <c r="H844" i="4"/>
  <c r="H856" i="4"/>
  <c r="H869" i="4"/>
  <c r="H883" i="4"/>
  <c r="H894" i="4"/>
  <c r="H908" i="4"/>
  <c r="H920" i="4"/>
  <c r="H933" i="4"/>
  <c r="H48" i="4"/>
  <c r="H386" i="4"/>
  <c r="H473" i="4"/>
  <c r="H593" i="4"/>
  <c r="H685" i="4"/>
  <c r="H756" i="4"/>
  <c r="H795" i="4"/>
  <c r="H832" i="4"/>
  <c r="H870" i="4"/>
  <c r="H896" i="4"/>
  <c r="H49" i="4"/>
  <c r="H281" i="4"/>
  <c r="H433" i="4"/>
  <c r="H561" i="4"/>
  <c r="H686" i="4"/>
  <c r="H732" i="4"/>
  <c r="H782" i="4"/>
  <c r="H835" i="4"/>
  <c r="H872" i="4"/>
  <c r="H910" i="4"/>
  <c r="H113" i="4"/>
  <c r="H282" i="4"/>
  <c r="H440" i="4"/>
  <c r="H522" i="4"/>
  <c r="H664" i="4"/>
  <c r="H704" i="4"/>
  <c r="H747" i="4"/>
  <c r="H797" i="4"/>
  <c r="H811" i="4"/>
  <c r="H912" i="4"/>
  <c r="H836" i="4"/>
  <c r="H822" i="4"/>
  <c r="H925" i="4"/>
  <c r="H939" i="4"/>
  <c r="H848" i="4"/>
  <c r="H861" i="4"/>
  <c r="H875" i="4"/>
  <c r="H886" i="4"/>
  <c r="H900" i="4"/>
  <c r="H3" i="3"/>
  <c r="H11" i="3"/>
  <c r="H19" i="3"/>
  <c r="H27" i="3"/>
  <c r="H35" i="3"/>
  <c r="H5" i="3"/>
  <c r="H13" i="3"/>
  <c r="H21" i="3"/>
  <c r="H29" i="3"/>
  <c r="H37" i="3"/>
  <c r="H45" i="3"/>
  <c r="H53" i="3"/>
  <c r="H61" i="3"/>
  <c r="H69" i="3"/>
  <c r="H77" i="3"/>
  <c r="H85" i="3"/>
  <c r="H93" i="3"/>
  <c r="H101" i="3"/>
  <c r="H109" i="3"/>
  <c r="H117" i="3"/>
  <c r="H125" i="3"/>
  <c r="H133" i="3"/>
  <c r="H141" i="3"/>
  <c r="H149" i="3"/>
  <c r="H157" i="3"/>
  <c r="H165" i="3"/>
  <c r="H173" i="3"/>
  <c r="H181" i="3"/>
  <c r="H189" i="3"/>
  <c r="H197" i="3"/>
  <c r="H205" i="3"/>
  <c r="H213" i="3"/>
  <c r="H221" i="3"/>
  <c r="H229" i="3"/>
  <c r="H237" i="3"/>
  <c r="H245" i="3"/>
  <c r="H253" i="3"/>
  <c r="H261" i="3"/>
  <c r="H269" i="3"/>
  <c r="H277" i="3"/>
  <c r="H285" i="3"/>
  <c r="H293" i="3"/>
  <c r="H301" i="3"/>
  <c r="H309" i="3"/>
  <c r="H317" i="3"/>
  <c r="H325" i="3"/>
  <c r="H333" i="3"/>
  <c r="H341" i="3"/>
  <c r="H349" i="3"/>
  <c r="H357" i="3"/>
  <c r="H365" i="3"/>
  <c r="H373" i="3"/>
  <c r="H381" i="3"/>
  <c r="H389" i="3"/>
  <c r="H397" i="3"/>
  <c r="H405" i="3"/>
  <c r="H413" i="3"/>
  <c r="H421" i="3"/>
  <c r="H429" i="3"/>
  <c r="H437" i="3"/>
  <c r="H445" i="3"/>
  <c r="H453" i="3"/>
  <c r="H461" i="3"/>
  <c r="H469" i="3"/>
  <c r="H477" i="3"/>
  <c r="H485" i="3"/>
  <c r="H493" i="3"/>
  <c r="H501" i="3"/>
  <c r="H509" i="3"/>
  <c r="H517" i="3"/>
  <c r="H525" i="3"/>
  <c r="H533" i="3"/>
  <c r="H541" i="3"/>
  <c r="H549" i="3"/>
  <c r="H557" i="3"/>
  <c r="H565" i="3"/>
  <c r="H573" i="3"/>
  <c r="H581" i="3"/>
  <c r="H589" i="3"/>
  <c r="H597" i="3"/>
  <c r="H605" i="3"/>
  <c r="H613" i="3"/>
  <c r="H621" i="3"/>
  <c r="H629" i="3"/>
  <c r="H637" i="3"/>
  <c r="H645" i="3"/>
  <c r="H653" i="3"/>
  <c r="H661" i="3"/>
  <c r="H669" i="3"/>
  <c r="H677" i="3"/>
  <c r="H7" i="3"/>
  <c r="H15" i="3"/>
  <c r="H23" i="3"/>
  <c r="H31" i="3"/>
  <c r="H39" i="3"/>
  <c r="H8" i="3"/>
  <c r="H16" i="3"/>
  <c r="H24" i="3"/>
  <c r="H32" i="3"/>
  <c r="H40" i="3"/>
  <c r="H48" i="3"/>
  <c r="H56" i="3"/>
  <c r="H64" i="3"/>
  <c r="H72" i="3"/>
  <c r="H80" i="3"/>
  <c r="H88" i="3"/>
  <c r="H96" i="3"/>
  <c r="H104" i="3"/>
  <c r="H112" i="3"/>
  <c r="H120" i="3"/>
  <c r="H128" i="3"/>
  <c r="H136" i="3"/>
  <c r="H144" i="3"/>
  <c r="H152" i="3"/>
  <c r="H160" i="3"/>
  <c r="H168" i="3"/>
  <c r="H176" i="3"/>
  <c r="H184" i="3"/>
  <c r="H192" i="3"/>
  <c r="H200" i="3"/>
  <c r="H208" i="3"/>
  <c r="H216" i="3"/>
  <c r="H224" i="3"/>
  <c r="H232" i="3"/>
  <c r="H240" i="3"/>
  <c r="H248" i="3"/>
  <c r="H256" i="3"/>
  <c r="H264" i="3"/>
  <c r="H272" i="3"/>
  <c r="H280" i="3"/>
  <c r="H288" i="3"/>
  <c r="H296" i="3"/>
  <c r="H304" i="3"/>
  <c r="H312" i="3"/>
  <c r="H320" i="3"/>
  <c r="H328" i="3"/>
  <c r="H336" i="3"/>
  <c r="H344" i="3"/>
  <c r="H352" i="3"/>
  <c r="H9" i="3"/>
  <c r="H17" i="3"/>
  <c r="H25" i="3"/>
  <c r="H33" i="3"/>
  <c r="H41" i="3"/>
  <c r="H49" i="3"/>
  <c r="H57" i="3"/>
  <c r="H65" i="3"/>
  <c r="H73" i="3"/>
  <c r="H81" i="3"/>
  <c r="H89" i="3"/>
  <c r="H97" i="3"/>
  <c r="H105" i="3"/>
  <c r="H113" i="3"/>
  <c r="H121" i="3"/>
  <c r="H129" i="3"/>
  <c r="H137" i="3"/>
  <c r="H145" i="3"/>
  <c r="H153" i="3"/>
  <c r="H161" i="3"/>
  <c r="H169" i="3"/>
  <c r="H177" i="3"/>
  <c r="H185" i="3"/>
  <c r="H193" i="3"/>
  <c r="H201" i="3"/>
  <c r="H209" i="3"/>
  <c r="H217" i="3"/>
  <c r="H225" i="3"/>
  <c r="H233" i="3"/>
  <c r="H241" i="3"/>
  <c r="H249" i="3"/>
  <c r="H257" i="3"/>
  <c r="H265" i="3"/>
  <c r="H273" i="3"/>
  <c r="H281" i="3"/>
  <c r="H289" i="3"/>
  <c r="H297" i="3"/>
  <c r="H305" i="3"/>
  <c r="H313" i="3"/>
  <c r="H321" i="3"/>
  <c r="H329" i="3"/>
  <c r="H337" i="3"/>
  <c r="H345" i="3"/>
  <c r="H353" i="3"/>
  <c r="H6" i="3"/>
  <c r="H28" i="3"/>
  <c r="H46" i="3"/>
  <c r="H59" i="3"/>
  <c r="H71" i="3"/>
  <c r="H84" i="3"/>
  <c r="H98" i="3"/>
  <c r="H110" i="3"/>
  <c r="H123" i="3"/>
  <c r="H135" i="3"/>
  <c r="H148" i="3"/>
  <c r="H162" i="3"/>
  <c r="H174" i="3"/>
  <c r="H187" i="3"/>
  <c r="H199" i="3"/>
  <c r="H212" i="3"/>
  <c r="H226" i="3"/>
  <c r="H238" i="3"/>
  <c r="H251" i="3"/>
  <c r="H263" i="3"/>
  <c r="H276" i="3"/>
  <c r="H290" i="3"/>
  <c r="H302" i="3"/>
  <c r="H315" i="3"/>
  <c r="H327" i="3"/>
  <c r="H340" i="3"/>
  <c r="H354" i="3"/>
  <c r="H363" i="3"/>
  <c r="H372" i="3"/>
  <c r="H382" i="3"/>
  <c r="H391" i="3"/>
  <c r="H400" i="3"/>
  <c r="H409" i="3"/>
  <c r="H418" i="3"/>
  <c r="H427" i="3"/>
  <c r="H436" i="3"/>
  <c r="H446" i="3"/>
  <c r="H455" i="3"/>
  <c r="H464" i="3"/>
  <c r="H473" i="3"/>
  <c r="H482" i="3"/>
  <c r="H491" i="3"/>
  <c r="H500" i="3"/>
  <c r="H510" i="3"/>
  <c r="H519" i="3"/>
  <c r="H528" i="3"/>
  <c r="H537" i="3"/>
  <c r="H546" i="3"/>
  <c r="H555" i="3"/>
  <c r="H564" i="3"/>
  <c r="H574" i="3"/>
  <c r="H583" i="3"/>
  <c r="H592" i="3"/>
  <c r="H601" i="3"/>
  <c r="H610" i="3"/>
  <c r="H619" i="3"/>
  <c r="H628" i="3"/>
  <c r="H638" i="3"/>
  <c r="H647" i="3"/>
  <c r="H656" i="3"/>
  <c r="H665" i="3"/>
  <c r="H674" i="3"/>
  <c r="H683" i="3"/>
  <c r="H691" i="3"/>
  <c r="H699" i="3"/>
  <c r="H707" i="3"/>
  <c r="H715" i="3"/>
  <c r="H723" i="3"/>
  <c r="H731" i="3"/>
  <c r="H739" i="3"/>
  <c r="H747" i="3"/>
  <c r="H755" i="3"/>
  <c r="H763" i="3"/>
  <c r="H771" i="3"/>
  <c r="H779" i="3"/>
  <c r="H787" i="3"/>
  <c r="H795" i="3"/>
  <c r="H803" i="3"/>
  <c r="H811" i="3"/>
  <c r="H819" i="3"/>
  <c r="H827" i="3"/>
  <c r="H835" i="3"/>
  <c r="H843" i="3"/>
  <c r="H851" i="3"/>
  <c r="H859" i="3"/>
  <c r="H10" i="3"/>
  <c r="H30" i="3"/>
  <c r="H47" i="3"/>
  <c r="H60" i="3"/>
  <c r="H74" i="3"/>
  <c r="H86" i="3"/>
  <c r="H99" i="3"/>
  <c r="H111" i="3"/>
  <c r="H124" i="3"/>
  <c r="H138" i="3"/>
  <c r="H150" i="3"/>
  <c r="H163" i="3"/>
  <c r="H175" i="3"/>
  <c r="H188" i="3"/>
  <c r="H202" i="3"/>
  <c r="H214" i="3"/>
  <c r="H227" i="3"/>
  <c r="H239" i="3"/>
  <c r="H252" i="3"/>
  <c r="H266" i="3"/>
  <c r="H278" i="3"/>
  <c r="H291" i="3"/>
  <c r="H303" i="3"/>
  <c r="H316" i="3"/>
  <c r="H330" i="3"/>
  <c r="H342" i="3"/>
  <c r="H355" i="3"/>
  <c r="H364" i="3"/>
  <c r="H374" i="3"/>
  <c r="H383" i="3"/>
  <c r="H392" i="3"/>
  <c r="H401" i="3"/>
  <c r="H410" i="3"/>
  <c r="H419" i="3"/>
  <c r="H428" i="3"/>
  <c r="H438" i="3"/>
  <c r="H447" i="3"/>
  <c r="H456" i="3"/>
  <c r="H465" i="3"/>
  <c r="H474" i="3"/>
  <c r="H483" i="3"/>
  <c r="H492" i="3"/>
  <c r="H502" i="3"/>
  <c r="H511" i="3"/>
  <c r="H520" i="3"/>
  <c r="H529" i="3"/>
  <c r="H538" i="3"/>
  <c r="H547" i="3"/>
  <c r="H556" i="3"/>
  <c r="H566" i="3"/>
  <c r="H575" i="3"/>
  <c r="H584" i="3"/>
  <c r="H593" i="3"/>
  <c r="H14" i="3"/>
  <c r="H36" i="3"/>
  <c r="H51" i="3"/>
  <c r="H63" i="3"/>
  <c r="H76" i="3"/>
  <c r="H90" i="3"/>
  <c r="H102" i="3"/>
  <c r="H115" i="3"/>
  <c r="H127" i="3"/>
  <c r="H140" i="3"/>
  <c r="H154" i="3"/>
  <c r="H166" i="3"/>
  <c r="H179" i="3"/>
  <c r="H191" i="3"/>
  <c r="H204" i="3"/>
  <c r="H218" i="3"/>
  <c r="H230" i="3"/>
  <c r="H243" i="3"/>
  <c r="H255" i="3"/>
  <c r="H268" i="3"/>
  <c r="H282" i="3"/>
  <c r="H294" i="3"/>
  <c r="H307" i="3"/>
  <c r="H319" i="3"/>
  <c r="H332" i="3"/>
  <c r="H346" i="3"/>
  <c r="H358" i="3"/>
  <c r="H367" i="3"/>
  <c r="H376" i="3"/>
  <c r="H385" i="3"/>
  <c r="H394" i="3"/>
  <c r="H403" i="3"/>
  <c r="H412" i="3"/>
  <c r="H422" i="3"/>
  <c r="H431" i="3"/>
  <c r="H440" i="3"/>
  <c r="H449" i="3"/>
  <c r="H458" i="3"/>
  <c r="H467" i="3"/>
  <c r="H476" i="3"/>
  <c r="H486" i="3"/>
  <c r="H495" i="3"/>
  <c r="H504" i="3"/>
  <c r="H513" i="3"/>
  <c r="H522" i="3"/>
  <c r="H531" i="3"/>
  <c r="H540" i="3"/>
  <c r="H550" i="3"/>
  <c r="H559" i="3"/>
  <c r="H568" i="3"/>
  <c r="H577" i="3"/>
  <c r="H586" i="3"/>
  <c r="H595" i="3"/>
  <c r="H604" i="3"/>
  <c r="H614" i="3"/>
  <c r="H623" i="3"/>
  <c r="H632" i="3"/>
  <c r="H641" i="3"/>
  <c r="H650" i="3"/>
  <c r="H659" i="3"/>
  <c r="H668" i="3"/>
  <c r="H678" i="3"/>
  <c r="H686" i="3"/>
  <c r="H694" i="3"/>
  <c r="H702" i="3"/>
  <c r="H710" i="3"/>
  <c r="H718" i="3"/>
  <c r="H726" i="3"/>
  <c r="H734" i="3"/>
  <c r="H742" i="3"/>
  <c r="H750" i="3"/>
  <c r="H758" i="3"/>
  <c r="H766" i="3"/>
  <c r="H774" i="3"/>
  <c r="H782" i="3"/>
  <c r="H790" i="3"/>
  <c r="H18" i="3"/>
  <c r="H38" i="3"/>
  <c r="H52" i="3"/>
  <c r="H66" i="3"/>
  <c r="H78" i="3"/>
  <c r="H91" i="3"/>
  <c r="H103" i="3"/>
  <c r="H116" i="3"/>
  <c r="H130" i="3"/>
  <c r="H142" i="3"/>
  <c r="H155" i="3"/>
  <c r="H167" i="3"/>
  <c r="H180" i="3"/>
  <c r="H194" i="3"/>
  <c r="H206" i="3"/>
  <c r="H219" i="3"/>
  <c r="H231" i="3"/>
  <c r="H244" i="3"/>
  <c r="H258" i="3"/>
  <c r="H270" i="3"/>
  <c r="H283" i="3"/>
  <c r="H295" i="3"/>
  <c r="H308" i="3"/>
  <c r="H322" i="3"/>
  <c r="H334" i="3"/>
  <c r="H347" i="3"/>
  <c r="H359" i="3"/>
  <c r="H368" i="3"/>
  <c r="H377" i="3"/>
  <c r="H386" i="3"/>
  <c r="H395" i="3"/>
  <c r="H404" i="3"/>
  <c r="H414" i="3"/>
  <c r="H423" i="3"/>
  <c r="H432" i="3"/>
  <c r="H441" i="3"/>
  <c r="H450" i="3"/>
  <c r="H459" i="3"/>
  <c r="H468" i="3"/>
  <c r="H478" i="3"/>
  <c r="H487" i="3"/>
  <c r="H496" i="3"/>
  <c r="H505" i="3"/>
  <c r="H514" i="3"/>
  <c r="H523" i="3"/>
  <c r="H532" i="3"/>
  <c r="H542" i="3"/>
  <c r="H551" i="3"/>
  <c r="H560" i="3"/>
  <c r="H569" i="3"/>
  <c r="H578" i="3"/>
  <c r="H587" i="3"/>
  <c r="H596" i="3"/>
  <c r="H606" i="3"/>
  <c r="H615" i="3"/>
  <c r="H624" i="3"/>
  <c r="H633" i="3"/>
  <c r="H642" i="3"/>
  <c r="H651" i="3"/>
  <c r="H660" i="3"/>
  <c r="H670" i="3"/>
  <c r="H679" i="3"/>
  <c r="H687" i="3"/>
  <c r="H695" i="3"/>
  <c r="H703" i="3"/>
  <c r="H711" i="3"/>
  <c r="H719" i="3"/>
  <c r="H727" i="3"/>
  <c r="H735" i="3"/>
  <c r="H743" i="3"/>
  <c r="H751" i="3"/>
  <c r="H759" i="3"/>
  <c r="H767" i="3"/>
  <c r="H775" i="3"/>
  <c r="H783" i="3"/>
  <c r="H791" i="3"/>
  <c r="H799" i="3"/>
  <c r="H807" i="3"/>
  <c r="H815" i="3"/>
  <c r="H823" i="3"/>
  <c r="H831" i="3"/>
  <c r="H839" i="3"/>
  <c r="H847" i="3"/>
  <c r="H855" i="3"/>
  <c r="H863" i="3"/>
  <c r="H4" i="3"/>
  <c r="H44" i="3"/>
  <c r="H70" i="3"/>
  <c r="H95" i="3"/>
  <c r="H122" i="3"/>
  <c r="H147" i="3"/>
  <c r="H172" i="3"/>
  <c r="H198" i="3"/>
  <c r="H223" i="3"/>
  <c r="H250" i="3"/>
  <c r="H275" i="3"/>
  <c r="H300" i="3"/>
  <c r="H326" i="3"/>
  <c r="H351" i="3"/>
  <c r="H371" i="3"/>
  <c r="H390" i="3"/>
  <c r="H408" i="3"/>
  <c r="H426" i="3"/>
  <c r="H444" i="3"/>
  <c r="H463" i="3"/>
  <c r="H481" i="3"/>
  <c r="H499" i="3"/>
  <c r="H518" i="3"/>
  <c r="H536" i="3"/>
  <c r="H554" i="3"/>
  <c r="H572" i="3"/>
  <c r="H591" i="3"/>
  <c r="H608" i="3"/>
  <c r="H622" i="3"/>
  <c r="H636" i="3"/>
  <c r="H652" i="3"/>
  <c r="H666" i="3"/>
  <c r="H681" i="3"/>
  <c r="H693" i="3"/>
  <c r="H706" i="3"/>
  <c r="H720" i="3"/>
  <c r="H732" i="3"/>
  <c r="H745" i="3"/>
  <c r="H757" i="3"/>
  <c r="H770" i="3"/>
  <c r="H784" i="3"/>
  <c r="H796" i="3"/>
  <c r="H806" i="3"/>
  <c r="H817" i="3"/>
  <c r="H828" i="3"/>
  <c r="H838" i="3"/>
  <c r="H849" i="3"/>
  <c r="H860" i="3"/>
  <c r="H869" i="3"/>
  <c r="H877" i="3"/>
  <c r="H885" i="3"/>
  <c r="H893" i="3"/>
  <c r="H901" i="3"/>
  <c r="H909" i="3"/>
  <c r="H917" i="3"/>
  <c r="H925" i="3"/>
  <c r="H933" i="3"/>
  <c r="H941" i="3"/>
  <c r="H949" i="3"/>
  <c r="H957" i="3"/>
  <c r="H965" i="3"/>
  <c r="H973" i="3"/>
  <c r="H981" i="3"/>
  <c r="H989" i="3"/>
  <c r="H12" i="3"/>
  <c r="H50" i="3"/>
  <c r="H75" i="3"/>
  <c r="H100" i="3"/>
  <c r="H126" i="3"/>
  <c r="H151" i="3"/>
  <c r="H178" i="3"/>
  <c r="H203" i="3"/>
  <c r="H228" i="3"/>
  <c r="H254" i="3"/>
  <c r="H279" i="3"/>
  <c r="H306" i="3"/>
  <c r="H331" i="3"/>
  <c r="H356" i="3"/>
  <c r="H375" i="3"/>
  <c r="H393" i="3"/>
  <c r="H411" i="3"/>
  <c r="H430" i="3"/>
  <c r="H448" i="3"/>
  <c r="H466" i="3"/>
  <c r="H484" i="3"/>
  <c r="H503" i="3"/>
  <c r="H521" i="3"/>
  <c r="H539" i="3"/>
  <c r="H558" i="3"/>
  <c r="H576" i="3"/>
  <c r="H594" i="3"/>
  <c r="H609" i="3"/>
  <c r="H625" i="3"/>
  <c r="H639" i="3"/>
  <c r="H654" i="3"/>
  <c r="H667" i="3"/>
  <c r="H682" i="3"/>
  <c r="H696" i="3"/>
  <c r="H708" i="3"/>
  <c r="H721" i="3"/>
  <c r="H733" i="3"/>
  <c r="H746" i="3"/>
  <c r="H760" i="3"/>
  <c r="H772" i="3"/>
  <c r="H785" i="3"/>
  <c r="H797" i="3"/>
  <c r="H808" i="3"/>
  <c r="H818" i="3"/>
  <c r="H829" i="3"/>
  <c r="H840" i="3"/>
  <c r="H850" i="3"/>
  <c r="H861" i="3"/>
  <c r="H870" i="3"/>
  <c r="H878" i="3"/>
  <c r="H886" i="3"/>
  <c r="H894" i="3"/>
  <c r="H902" i="3"/>
  <c r="H910" i="3"/>
  <c r="H918" i="3"/>
  <c r="H926" i="3"/>
  <c r="H934" i="3"/>
  <c r="H942" i="3"/>
  <c r="H950" i="3"/>
  <c r="H958" i="3"/>
  <c r="H966" i="3"/>
  <c r="H974" i="3"/>
  <c r="H982" i="3"/>
  <c r="H990" i="3"/>
  <c r="H434" i="3"/>
  <c r="H896" i="3"/>
  <c r="H944" i="3"/>
  <c r="H960" i="3"/>
  <c r="H976" i="3"/>
  <c r="H984" i="3"/>
  <c r="H20" i="3"/>
  <c r="H54" i="3"/>
  <c r="H79" i="3"/>
  <c r="H106" i="3"/>
  <c r="H131" i="3"/>
  <c r="H156" i="3"/>
  <c r="H182" i="3"/>
  <c r="H207" i="3"/>
  <c r="H234" i="3"/>
  <c r="H259" i="3"/>
  <c r="H284" i="3"/>
  <c r="H310" i="3"/>
  <c r="H335" i="3"/>
  <c r="H360" i="3"/>
  <c r="H378" i="3"/>
  <c r="H396" i="3"/>
  <c r="H415" i="3"/>
  <c r="H433" i="3"/>
  <c r="H451" i="3"/>
  <c r="H470" i="3"/>
  <c r="H488" i="3"/>
  <c r="H506" i="3"/>
  <c r="H524" i="3"/>
  <c r="H543" i="3"/>
  <c r="H561" i="3"/>
  <c r="H579" i="3"/>
  <c r="H598" i="3"/>
  <c r="H611" i="3"/>
  <c r="H626" i="3"/>
  <c r="H640" i="3"/>
  <c r="H655" i="3"/>
  <c r="H671" i="3"/>
  <c r="H684" i="3"/>
  <c r="H697" i="3"/>
  <c r="H709" i="3"/>
  <c r="H722" i="3"/>
  <c r="H736" i="3"/>
  <c r="H748" i="3"/>
  <c r="H761" i="3"/>
  <c r="H773" i="3"/>
  <c r="H786" i="3"/>
  <c r="H798" i="3"/>
  <c r="H809" i="3"/>
  <c r="H820" i="3"/>
  <c r="H830" i="3"/>
  <c r="H841" i="3"/>
  <c r="H852" i="3"/>
  <c r="H862" i="3"/>
  <c r="H871" i="3"/>
  <c r="H879" i="3"/>
  <c r="H887" i="3"/>
  <c r="H895" i="3"/>
  <c r="H903" i="3"/>
  <c r="H911" i="3"/>
  <c r="H919" i="3"/>
  <c r="H927" i="3"/>
  <c r="H935" i="3"/>
  <c r="H943" i="3"/>
  <c r="H951" i="3"/>
  <c r="H959" i="3"/>
  <c r="H967" i="3"/>
  <c r="H975" i="3"/>
  <c r="H983" i="3"/>
  <c r="H991" i="3"/>
  <c r="H489" i="3"/>
  <c r="H22" i="3"/>
  <c r="H55" i="3"/>
  <c r="H82" i="3"/>
  <c r="H107" i="3"/>
  <c r="H132" i="3"/>
  <c r="H158" i="3"/>
  <c r="H183" i="3"/>
  <c r="H210" i="3"/>
  <c r="H235" i="3"/>
  <c r="H260" i="3"/>
  <c r="H286" i="3"/>
  <c r="H311" i="3"/>
  <c r="H338" i="3"/>
  <c r="H361" i="3"/>
  <c r="H379" i="3"/>
  <c r="H398" i="3"/>
  <c r="H416" i="3"/>
  <c r="H452" i="3"/>
  <c r="H471" i="3"/>
  <c r="H507" i="3"/>
  <c r="H526" i="3"/>
  <c r="H544" i="3"/>
  <c r="H562" i="3"/>
  <c r="H580" i="3"/>
  <c r="H599" i="3"/>
  <c r="H612" i="3"/>
  <c r="H627" i="3"/>
  <c r="H643" i="3"/>
  <c r="H657" i="3"/>
  <c r="H672" i="3"/>
  <c r="H685" i="3"/>
  <c r="H698" i="3"/>
  <c r="H712" i="3"/>
  <c r="H724" i="3"/>
  <c r="H737" i="3"/>
  <c r="H749" i="3"/>
  <c r="H762" i="3"/>
  <c r="H776" i="3"/>
  <c r="H788" i="3"/>
  <c r="H800" i="3"/>
  <c r="H810" i="3"/>
  <c r="H821" i="3"/>
  <c r="H832" i="3"/>
  <c r="H842" i="3"/>
  <c r="H853" i="3"/>
  <c r="H864" i="3"/>
  <c r="H872" i="3"/>
  <c r="H880" i="3"/>
  <c r="H888" i="3"/>
  <c r="H904" i="3"/>
  <c r="H912" i="3"/>
  <c r="H920" i="3"/>
  <c r="H928" i="3"/>
  <c r="H936" i="3"/>
  <c r="H952" i="3"/>
  <c r="H968" i="3"/>
  <c r="H992" i="3"/>
  <c r="H26" i="3"/>
  <c r="H58" i="3"/>
  <c r="H83" i="3"/>
  <c r="H108" i="3"/>
  <c r="H134" i="3"/>
  <c r="H159" i="3"/>
  <c r="H186" i="3"/>
  <c r="H211" i="3"/>
  <c r="H236" i="3"/>
  <c r="H262" i="3"/>
  <c r="H287" i="3"/>
  <c r="H314" i="3"/>
  <c r="H339" i="3"/>
  <c r="H362" i="3"/>
  <c r="H380" i="3"/>
  <c r="H399" i="3"/>
  <c r="H417" i="3"/>
  <c r="H435" i="3"/>
  <c r="H454" i="3"/>
  <c r="H472" i="3"/>
  <c r="H490" i="3"/>
  <c r="H508" i="3"/>
  <c r="H527" i="3"/>
  <c r="H545" i="3"/>
  <c r="H563" i="3"/>
  <c r="H582" i="3"/>
  <c r="H600" i="3"/>
  <c r="H616" i="3"/>
  <c r="H630" i="3"/>
  <c r="H644" i="3"/>
  <c r="H658" i="3"/>
  <c r="H673" i="3"/>
  <c r="H688" i="3"/>
  <c r="H700" i="3"/>
  <c r="H713" i="3"/>
  <c r="H725" i="3"/>
  <c r="H738" i="3"/>
  <c r="H752" i="3"/>
  <c r="H764" i="3"/>
  <c r="H777" i="3"/>
  <c r="H789" i="3"/>
  <c r="H801" i="3"/>
  <c r="H812" i="3"/>
  <c r="H822" i="3"/>
  <c r="H833" i="3"/>
  <c r="H844" i="3"/>
  <c r="H854" i="3"/>
  <c r="H865" i="3"/>
  <c r="H873" i="3"/>
  <c r="H881" i="3"/>
  <c r="H889" i="3"/>
  <c r="H897" i="3"/>
  <c r="H905" i="3"/>
  <c r="H913" i="3"/>
  <c r="H921" i="3"/>
  <c r="H929" i="3"/>
  <c r="H937" i="3"/>
  <c r="H945" i="3"/>
  <c r="H953" i="3"/>
  <c r="H961" i="3"/>
  <c r="H969" i="3"/>
  <c r="H977" i="3"/>
  <c r="H985" i="3"/>
  <c r="H993" i="3"/>
  <c r="H67" i="3"/>
  <c r="H195" i="3"/>
  <c r="H246" i="3"/>
  <c r="H298" i="3"/>
  <c r="H348" i="3"/>
  <c r="H387" i="3"/>
  <c r="H424" i="3"/>
  <c r="H460" i="3"/>
  <c r="H497" i="3"/>
  <c r="H534" i="3"/>
  <c r="H570" i="3"/>
  <c r="H603" i="3"/>
  <c r="H634" i="3"/>
  <c r="H663" i="3"/>
  <c r="H690" i="3"/>
  <c r="H716" i="3"/>
  <c r="H741" i="3"/>
  <c r="H768" i="3"/>
  <c r="H34" i="3"/>
  <c r="H62" i="3"/>
  <c r="H87" i="3"/>
  <c r="H114" i="3"/>
  <c r="H139" i="3"/>
  <c r="H164" i="3"/>
  <c r="H190" i="3"/>
  <c r="H215" i="3"/>
  <c r="H242" i="3"/>
  <c r="H267" i="3"/>
  <c r="H292" i="3"/>
  <c r="H318" i="3"/>
  <c r="H343" i="3"/>
  <c r="H366" i="3"/>
  <c r="H384" i="3"/>
  <c r="H402" i="3"/>
  <c r="H420" i="3"/>
  <c r="H439" i="3"/>
  <c r="H457" i="3"/>
  <c r="H475" i="3"/>
  <c r="H494" i="3"/>
  <c r="H512" i="3"/>
  <c r="H530" i="3"/>
  <c r="H548" i="3"/>
  <c r="H567" i="3"/>
  <c r="H585" i="3"/>
  <c r="H602" i="3"/>
  <c r="H617" i="3"/>
  <c r="H631" i="3"/>
  <c r="H646" i="3"/>
  <c r="H662" i="3"/>
  <c r="H675" i="3"/>
  <c r="H689" i="3"/>
  <c r="H701" i="3"/>
  <c r="H714" i="3"/>
  <c r="H728" i="3"/>
  <c r="H740" i="3"/>
  <c r="H753" i="3"/>
  <c r="H765" i="3"/>
  <c r="H778" i="3"/>
  <c r="H792" i="3"/>
  <c r="H802" i="3"/>
  <c r="H813" i="3"/>
  <c r="H824" i="3"/>
  <c r="H834" i="3"/>
  <c r="H845" i="3"/>
  <c r="H856" i="3"/>
  <c r="H866" i="3"/>
  <c r="H874" i="3"/>
  <c r="H882" i="3"/>
  <c r="H890" i="3"/>
  <c r="H898" i="3"/>
  <c r="H906" i="3"/>
  <c r="H914" i="3"/>
  <c r="H922" i="3"/>
  <c r="H930" i="3"/>
  <c r="H938" i="3"/>
  <c r="H946" i="3"/>
  <c r="H954" i="3"/>
  <c r="H962" i="3"/>
  <c r="H970" i="3"/>
  <c r="H978" i="3"/>
  <c r="H986" i="3"/>
  <c r="H994" i="3"/>
  <c r="H42" i="3"/>
  <c r="H92" i="3"/>
  <c r="H118" i="3"/>
  <c r="H143" i="3"/>
  <c r="H170" i="3"/>
  <c r="H220" i="3"/>
  <c r="H271" i="3"/>
  <c r="H323" i="3"/>
  <c r="H369" i="3"/>
  <c r="H406" i="3"/>
  <c r="H442" i="3"/>
  <c r="H479" i="3"/>
  <c r="H515" i="3"/>
  <c r="H552" i="3"/>
  <c r="H588" i="3"/>
  <c r="H618" i="3"/>
  <c r="H648" i="3"/>
  <c r="H676" i="3"/>
  <c r="H704" i="3"/>
  <c r="H729" i="3"/>
  <c r="H754" i="3"/>
  <c r="H94" i="3"/>
  <c r="H299" i="3"/>
  <c r="H462" i="3"/>
  <c r="H607" i="3"/>
  <c r="H717" i="3"/>
  <c r="H794" i="3"/>
  <c r="H837" i="3"/>
  <c r="H876" i="3"/>
  <c r="H908" i="3"/>
  <c r="H940" i="3"/>
  <c r="H972" i="3"/>
  <c r="H370" i="3"/>
  <c r="H535" i="3"/>
  <c r="H119" i="3"/>
  <c r="H324" i="3"/>
  <c r="H480" i="3"/>
  <c r="H620" i="3"/>
  <c r="H730" i="3"/>
  <c r="H804" i="3"/>
  <c r="H846" i="3"/>
  <c r="H883" i="3"/>
  <c r="H915" i="3"/>
  <c r="H947" i="3"/>
  <c r="H979" i="3"/>
  <c r="H516" i="3"/>
  <c r="H649" i="3"/>
  <c r="H756" i="3"/>
  <c r="H814" i="3"/>
  <c r="H857" i="3"/>
  <c r="H891" i="3"/>
  <c r="H923" i="3"/>
  <c r="H955" i="3"/>
  <c r="H987" i="3"/>
  <c r="H196" i="3"/>
  <c r="H664" i="3"/>
  <c r="H816" i="3"/>
  <c r="H892" i="3"/>
  <c r="H988" i="3"/>
  <c r="H146" i="3"/>
  <c r="H350" i="3"/>
  <c r="H498" i="3"/>
  <c r="H635" i="3"/>
  <c r="H744" i="3"/>
  <c r="H805" i="3"/>
  <c r="H848" i="3"/>
  <c r="H884" i="3"/>
  <c r="H916" i="3"/>
  <c r="H948" i="3"/>
  <c r="H980" i="3"/>
  <c r="H171" i="3"/>
  <c r="H388" i="3"/>
  <c r="H769" i="3"/>
  <c r="H858" i="3"/>
  <c r="H924" i="3"/>
  <c r="H956" i="3"/>
  <c r="H222" i="3"/>
  <c r="H407" i="3"/>
  <c r="H553" i="3"/>
  <c r="H680" i="3"/>
  <c r="H780" i="3"/>
  <c r="H825" i="3"/>
  <c r="H867" i="3"/>
  <c r="H899" i="3"/>
  <c r="H931" i="3"/>
  <c r="H963" i="3"/>
  <c r="H995" i="3"/>
  <c r="H43" i="3"/>
  <c r="H247" i="3"/>
  <c r="H425" i="3"/>
  <c r="H571" i="3"/>
  <c r="H692" i="3"/>
  <c r="H781" i="3"/>
  <c r="H826" i="3"/>
  <c r="H868" i="3"/>
  <c r="H900" i="3"/>
  <c r="H932" i="3"/>
  <c r="H964" i="3"/>
  <c r="H996" i="3"/>
  <c r="H68" i="3"/>
  <c r="H274" i="3"/>
  <c r="H443" i="3"/>
  <c r="H590" i="3"/>
  <c r="H705" i="3"/>
  <c r="H793" i="3"/>
  <c r="H836" i="3"/>
  <c r="H875" i="3"/>
  <c r="H907" i="3"/>
  <c r="H939" i="3"/>
  <c r="H971" i="3"/>
  <c r="H15" i="22"/>
  <c r="H162" i="22"/>
  <c r="H612" i="22"/>
  <c r="H23" i="22"/>
  <c r="H226" i="22"/>
  <c r="H494" i="22"/>
  <c r="H31" i="22"/>
  <c r="H290" i="22"/>
  <c r="H733" i="22"/>
  <c r="H354" i="22"/>
  <c r="H418" i="22"/>
  <c r="H34" i="22"/>
  <c r="H2" i="4"/>
  <c r="H10" i="22"/>
  <c r="H18" i="22"/>
  <c r="H26" i="22"/>
  <c r="H42" i="22"/>
  <c r="H106" i="22"/>
  <c r="H170" i="22"/>
  <c r="H234" i="22"/>
  <c r="H298" i="22"/>
  <c r="H362" i="22"/>
  <c r="H426" i="22"/>
  <c r="H482" i="22"/>
  <c r="H628" i="22"/>
  <c r="H5" i="22"/>
  <c r="H13" i="22"/>
  <c r="H21" i="22"/>
  <c r="H29" i="22"/>
  <c r="H50" i="22"/>
  <c r="H114" i="22"/>
  <c r="H178" i="22"/>
  <c r="H242" i="22"/>
  <c r="H306" i="22"/>
  <c r="H370" i="22"/>
  <c r="H434" i="22"/>
  <c r="H502" i="22"/>
  <c r="H516" i="22"/>
  <c r="H644" i="22"/>
  <c r="C66" i="25"/>
  <c r="T19" i="25"/>
  <c r="H964" i="22"/>
  <c r="H960" i="22"/>
  <c r="H956" i="22"/>
  <c r="H952" i="22"/>
  <c r="H948" i="22"/>
  <c r="H944" i="22"/>
  <c r="H940" i="22"/>
  <c r="H936" i="22"/>
  <c r="H932" i="22"/>
  <c r="H928" i="22"/>
  <c r="H924" i="22"/>
  <c r="H920" i="22"/>
  <c r="H916" i="22"/>
  <c r="H912" i="22"/>
  <c r="H908" i="22"/>
  <c r="H904" i="22"/>
  <c r="H900" i="22"/>
  <c r="H896" i="22"/>
  <c r="H892" i="22"/>
  <c r="H888" i="22"/>
  <c r="H884" i="22"/>
  <c r="H880" i="22"/>
  <c r="H876" i="22"/>
  <c r="H872" i="22"/>
  <c r="H868" i="22"/>
  <c r="H864" i="22"/>
  <c r="H860" i="22"/>
  <c r="H856" i="22"/>
  <c r="H852" i="22"/>
  <c r="H848" i="22"/>
  <c r="H844" i="22"/>
  <c r="H840" i="22"/>
  <c r="H836" i="22"/>
  <c r="H832" i="22"/>
  <c r="H828" i="22"/>
  <c r="H824" i="22"/>
  <c r="H820" i="22"/>
  <c r="H816" i="22"/>
  <c r="H812" i="22"/>
  <c r="H808" i="22"/>
  <c r="H804" i="22"/>
  <c r="H800" i="22"/>
  <c r="H796" i="22"/>
  <c r="H792" i="22"/>
  <c r="H788" i="22"/>
  <c r="H784" i="22"/>
  <c r="H780" i="22"/>
  <c r="H776" i="22"/>
  <c r="H772" i="22"/>
  <c r="H768" i="22"/>
  <c r="H764" i="22"/>
  <c r="H760" i="22"/>
  <c r="H756" i="22"/>
  <c r="H752" i="22"/>
  <c r="H748" i="22"/>
  <c r="H744" i="22"/>
  <c r="H740" i="22"/>
  <c r="H736" i="22"/>
  <c r="H732" i="22"/>
  <c r="H728" i="22"/>
  <c r="H724" i="22"/>
  <c r="H720" i="22"/>
  <c r="H716" i="22"/>
  <c r="H961" i="22"/>
  <c r="H947" i="22"/>
  <c r="H938" i="22"/>
  <c r="H929" i="22"/>
  <c r="H915" i="22"/>
  <c r="H906" i="22"/>
  <c r="H897" i="22"/>
  <c r="H883" i="22"/>
  <c r="H874" i="22"/>
  <c r="H865" i="22"/>
  <c r="H851" i="22"/>
  <c r="H842" i="22"/>
  <c r="H833" i="22"/>
  <c r="H819" i="22"/>
  <c r="H810" i="22"/>
  <c r="H801" i="22"/>
  <c r="H787" i="22"/>
  <c r="H778" i="22"/>
  <c r="H769" i="22"/>
  <c r="H755" i="22"/>
  <c r="H746" i="22"/>
  <c r="H737" i="22"/>
  <c r="H723" i="22"/>
  <c r="H951" i="22"/>
  <c r="H942" i="22"/>
  <c r="H933" i="22"/>
  <c r="H919" i="22"/>
  <c r="H910" i="22"/>
  <c r="H901" i="22"/>
  <c r="H887" i="22"/>
  <c r="H878" i="22"/>
  <c r="H869" i="22"/>
  <c r="H855" i="22"/>
  <c r="H846" i="22"/>
  <c r="H837" i="22"/>
  <c r="H823" i="22"/>
  <c r="H814" i="22"/>
  <c r="H805" i="22"/>
  <c r="H791" i="22"/>
  <c r="H782" i="22"/>
  <c r="H773" i="22"/>
  <c r="H759" i="22"/>
  <c r="H750" i="22"/>
  <c r="H741" i="22"/>
  <c r="H727" i="22"/>
  <c r="H718" i="22"/>
  <c r="H955" i="22"/>
  <c r="H946" i="22"/>
  <c r="H937" i="22"/>
  <c r="H923" i="22"/>
  <c r="H914" i="22"/>
  <c r="H905" i="22"/>
  <c r="H891" i="22"/>
  <c r="H882" i="22"/>
  <c r="H873" i="22"/>
  <c r="H859" i="22"/>
  <c r="H850" i="22"/>
  <c r="H841" i="22"/>
  <c r="H827" i="22"/>
  <c r="H818" i="22"/>
  <c r="H809" i="22"/>
  <c r="H795" i="22"/>
  <c r="H786" i="22"/>
  <c r="H777" i="22"/>
  <c r="H763" i="22"/>
  <c r="H754" i="22"/>
  <c r="H745" i="22"/>
  <c r="H731" i="22"/>
  <c r="H722" i="22"/>
  <c r="H713" i="22"/>
  <c r="H709" i="22"/>
  <c r="H705" i="22"/>
  <c r="H701" i="22"/>
  <c r="H697" i="22"/>
  <c r="H693" i="22"/>
  <c r="H689" i="22"/>
  <c r="H685" i="22"/>
  <c r="H681" i="22"/>
  <c r="H677" i="22"/>
  <c r="H673" i="22"/>
  <c r="H669" i="22"/>
  <c r="H665" i="22"/>
  <c r="H661" i="22"/>
  <c r="H657" i="22"/>
  <c r="H653" i="22"/>
  <c r="H649" i="22"/>
  <c r="H645" i="22"/>
  <c r="H641" i="22"/>
  <c r="H637" i="22"/>
  <c r="H633" i="22"/>
  <c r="H629" i="22"/>
  <c r="H625" i="22"/>
  <c r="H621" i="22"/>
  <c r="H617" i="22"/>
  <c r="H613" i="22"/>
  <c r="H609" i="22"/>
  <c r="H605" i="22"/>
  <c r="H601" i="22"/>
  <c r="H597" i="22"/>
  <c r="H593" i="22"/>
  <c r="H589" i="22"/>
  <c r="H585" i="22"/>
  <c r="H581" i="22"/>
  <c r="H577" i="22"/>
  <c r="H573" i="22"/>
  <c r="H569" i="22"/>
  <c r="H565" i="22"/>
  <c r="H561" i="22"/>
  <c r="H557" i="22"/>
  <c r="H553" i="22"/>
  <c r="H549" i="22"/>
  <c r="H545" i="22"/>
  <c r="H541" i="22"/>
  <c r="H537" i="22"/>
  <c r="H533" i="22"/>
  <c r="H529" i="22"/>
  <c r="H525" i="22"/>
  <c r="H521" i="22"/>
  <c r="H517" i="22"/>
  <c r="H513" i="22"/>
  <c r="H509" i="22"/>
  <c r="H959" i="22"/>
  <c r="H950" i="22"/>
  <c r="H941" i="22"/>
  <c r="H927" i="22"/>
  <c r="H918" i="22"/>
  <c r="H909" i="22"/>
  <c r="H895" i="22"/>
  <c r="H886" i="22"/>
  <c r="H877" i="22"/>
  <c r="H863" i="22"/>
  <c r="H854" i="22"/>
  <c r="H845" i="22"/>
  <c r="H831" i="22"/>
  <c r="H822" i="22"/>
  <c r="H813" i="22"/>
  <c r="H799" i="22"/>
  <c r="H790" i="22"/>
  <c r="H781" i="22"/>
  <c r="H767" i="22"/>
  <c r="H758" i="22"/>
  <c r="H749" i="22"/>
  <c r="H735" i="22"/>
  <c r="H726" i="22"/>
  <c r="H717" i="22"/>
  <c r="H958" i="22"/>
  <c r="H949" i="22"/>
  <c r="H935" i="22"/>
  <c r="H926" i="22"/>
  <c r="H917" i="22"/>
  <c r="H903" i="22"/>
  <c r="H894" i="22"/>
  <c r="H885" i="22"/>
  <c r="H871" i="22"/>
  <c r="H862" i="22"/>
  <c r="H853" i="22"/>
  <c r="H839" i="22"/>
  <c r="H830" i="22"/>
  <c r="H821" i="22"/>
  <c r="H807" i="22"/>
  <c r="H798" i="22"/>
  <c r="H789" i="22"/>
  <c r="H775" i="22"/>
  <c r="H766" i="22"/>
  <c r="H757" i="22"/>
  <c r="H743" i="22"/>
  <c r="H734" i="22"/>
  <c r="H725" i="22"/>
  <c r="H962" i="22"/>
  <c r="H953" i="22"/>
  <c r="H939" i="22"/>
  <c r="H930" i="22"/>
  <c r="H921" i="22"/>
  <c r="H907" i="22"/>
  <c r="H898" i="22"/>
  <c r="H889" i="22"/>
  <c r="H875" i="22"/>
  <c r="H866" i="22"/>
  <c r="H857" i="22"/>
  <c r="H843" i="22"/>
  <c r="H834" i="22"/>
  <c r="H825" i="22"/>
  <c r="H811" i="22"/>
  <c r="H802" i="22"/>
  <c r="H793" i="22"/>
  <c r="H779" i="22"/>
  <c r="H770" i="22"/>
  <c r="H761" i="22"/>
  <c r="H747" i="22"/>
  <c r="H738" i="22"/>
  <c r="H729" i="22"/>
  <c r="H715" i="22"/>
  <c r="H711" i="22"/>
  <c r="H707" i="22"/>
  <c r="H703" i="22"/>
  <c r="H699" i="22"/>
  <c r="H695" i="22"/>
  <c r="H691" i="22"/>
  <c r="H687" i="22"/>
  <c r="H683" i="22"/>
  <c r="H679" i="22"/>
  <c r="H675" i="22"/>
  <c r="H671" i="22"/>
  <c r="H667" i="22"/>
  <c r="H663" i="22"/>
  <c r="H659" i="22"/>
  <c r="H655" i="22"/>
  <c r="H651" i="22"/>
  <c r="H647" i="22"/>
  <c r="H643" i="22"/>
  <c r="H639" i="22"/>
  <c r="H635" i="22"/>
  <c r="H631" i="22"/>
  <c r="H627" i="22"/>
  <c r="H623" i="22"/>
  <c r="H619" i="22"/>
  <c r="H615" i="22"/>
  <c r="H611" i="22"/>
  <c r="H607" i="22"/>
  <c r="H603" i="22"/>
  <c r="H599" i="22"/>
  <c r="H595" i="22"/>
  <c r="H591" i="22"/>
  <c r="H587" i="22"/>
  <c r="H583" i="22"/>
  <c r="H579" i="22"/>
  <c r="H575" i="22"/>
  <c r="H571" i="22"/>
  <c r="H567" i="22"/>
  <c r="H563" i="22"/>
  <c r="H559" i="22"/>
  <c r="H555" i="22"/>
  <c r="H551" i="22"/>
  <c r="H547" i="22"/>
  <c r="H543" i="22"/>
  <c r="H539" i="22"/>
  <c r="H535" i="22"/>
  <c r="H531" i="22"/>
  <c r="H527" i="22"/>
  <c r="H523" i="22"/>
  <c r="H519" i="22"/>
  <c r="H515" i="22"/>
  <c r="H511" i="22"/>
  <c r="H934" i="22"/>
  <c r="H867" i="22"/>
  <c r="H847" i="22"/>
  <c r="H806" i="22"/>
  <c r="H739" i="22"/>
  <c r="H719" i="22"/>
  <c r="H702" i="22"/>
  <c r="H686" i="22"/>
  <c r="H670" i="22"/>
  <c r="H654" i="22"/>
  <c r="H638" i="22"/>
  <c r="H622" i="22"/>
  <c r="H606" i="22"/>
  <c r="H590" i="22"/>
  <c r="H574" i="22"/>
  <c r="H558" i="22"/>
  <c r="H542" i="22"/>
  <c r="H526" i="22"/>
  <c r="H510" i="22"/>
  <c r="H471" i="22"/>
  <c r="H463" i="22"/>
  <c r="H455" i="22"/>
  <c r="H447" i="22"/>
  <c r="H439" i="22"/>
  <c r="H431" i="22"/>
  <c r="H423" i="22"/>
  <c r="H415" i="22"/>
  <c r="H407" i="22"/>
  <c r="H399" i="22"/>
  <c r="H391" i="22"/>
  <c r="H383" i="22"/>
  <c r="H375" i="22"/>
  <c r="H367" i="22"/>
  <c r="H359" i="22"/>
  <c r="H351" i="22"/>
  <c r="H343" i="22"/>
  <c r="H335" i="22"/>
  <c r="H327" i="22"/>
  <c r="H319" i="22"/>
  <c r="H311" i="22"/>
  <c r="H303" i="22"/>
  <c r="H295" i="22"/>
  <c r="H287" i="22"/>
  <c r="H279" i="22"/>
  <c r="H271" i="22"/>
  <c r="H263" i="22"/>
  <c r="H255" i="22"/>
  <c r="H247" i="22"/>
  <c r="H239" i="22"/>
  <c r="H231" i="22"/>
  <c r="H223" i="22"/>
  <c r="H215" i="22"/>
  <c r="H207" i="22"/>
  <c r="H199" i="22"/>
  <c r="H191" i="22"/>
  <c r="H183" i="22"/>
  <c r="H175" i="22"/>
  <c r="H167" i="22"/>
  <c r="H159" i="22"/>
  <c r="H151" i="22"/>
  <c r="H143" i="22"/>
  <c r="H135" i="22"/>
  <c r="H127" i="22"/>
  <c r="H119" i="22"/>
  <c r="H111" i="22"/>
  <c r="H103" i="22"/>
  <c r="H95" i="22"/>
  <c r="H87" i="22"/>
  <c r="H79" i="22"/>
  <c r="H71" i="22"/>
  <c r="H63" i="22"/>
  <c r="H55" i="22"/>
  <c r="H47" i="22"/>
  <c r="H39" i="22"/>
  <c r="H954" i="22"/>
  <c r="H913" i="22"/>
  <c r="H893" i="22"/>
  <c r="H826" i="22"/>
  <c r="H785" i="22"/>
  <c r="H765" i="22"/>
  <c r="H712" i="22"/>
  <c r="H696" i="22"/>
  <c r="H680" i="22"/>
  <c r="H664" i="22"/>
  <c r="H648" i="22"/>
  <c r="H632" i="22"/>
  <c r="H616" i="22"/>
  <c r="H600" i="22"/>
  <c r="H584" i="22"/>
  <c r="H568" i="22"/>
  <c r="H552" i="22"/>
  <c r="H536" i="22"/>
  <c r="H520" i="22"/>
  <c r="H505" i="22"/>
  <c r="H501" i="22"/>
  <c r="H497" i="22"/>
  <c r="H493" i="22"/>
  <c r="H489" i="22"/>
  <c r="H485" i="22"/>
  <c r="H481" i="22"/>
  <c r="H477" i="22"/>
  <c r="H468" i="22"/>
  <c r="H460" i="22"/>
  <c r="H452" i="22"/>
  <c r="H444" i="22"/>
  <c r="H436" i="22"/>
  <c r="H428" i="22"/>
  <c r="H420" i="22"/>
  <c r="H412" i="22"/>
  <c r="H404" i="22"/>
  <c r="H396" i="22"/>
  <c r="H388" i="22"/>
  <c r="H380" i="22"/>
  <c r="H372" i="22"/>
  <c r="H364" i="22"/>
  <c r="H356" i="22"/>
  <c r="H348" i="22"/>
  <c r="H340" i="22"/>
  <c r="H332" i="22"/>
  <c r="H324" i="22"/>
  <c r="H316" i="22"/>
  <c r="H308" i="22"/>
  <c r="H300" i="22"/>
  <c r="H292" i="22"/>
  <c r="H284" i="22"/>
  <c r="H276" i="22"/>
  <c r="H268" i="22"/>
  <c r="H260" i="22"/>
  <c r="H252" i="22"/>
  <c r="H244" i="22"/>
  <c r="H236" i="22"/>
  <c r="H228" i="22"/>
  <c r="H220" i="22"/>
  <c r="H212" i="22"/>
  <c r="H204" i="22"/>
  <c r="H196" i="22"/>
  <c r="H188" i="22"/>
  <c r="H180" i="22"/>
  <c r="H172" i="22"/>
  <c r="H164" i="22"/>
  <c r="H156" i="22"/>
  <c r="H148" i="22"/>
  <c r="H140" i="22"/>
  <c r="H132" i="22"/>
  <c r="H124" i="22"/>
  <c r="H116" i="22"/>
  <c r="H108" i="22"/>
  <c r="H100" i="22"/>
  <c r="H92" i="22"/>
  <c r="H84" i="22"/>
  <c r="H76" i="22"/>
  <c r="H68" i="22"/>
  <c r="H60" i="22"/>
  <c r="H52" i="22"/>
  <c r="H44" i="22"/>
  <c r="H36" i="22"/>
  <c r="H899" i="22"/>
  <c r="H879" i="22"/>
  <c r="H838" i="22"/>
  <c r="H771" i="22"/>
  <c r="H751" i="22"/>
  <c r="H706" i="22"/>
  <c r="H690" i="22"/>
  <c r="H674" i="22"/>
  <c r="H658" i="22"/>
  <c r="H642" i="22"/>
  <c r="H626" i="22"/>
  <c r="H610" i="22"/>
  <c r="H594" i="22"/>
  <c r="H578" i="22"/>
  <c r="H562" i="22"/>
  <c r="H546" i="22"/>
  <c r="H530" i="22"/>
  <c r="H514" i="22"/>
  <c r="H473" i="22"/>
  <c r="H465" i="22"/>
  <c r="H457" i="22"/>
  <c r="H449" i="22"/>
  <c r="H441" i="22"/>
  <c r="H433" i="22"/>
  <c r="H425" i="22"/>
  <c r="H417" i="22"/>
  <c r="H409" i="22"/>
  <c r="H401" i="22"/>
  <c r="H393" i="22"/>
  <c r="H385" i="22"/>
  <c r="H377" i="22"/>
  <c r="H369" i="22"/>
  <c r="H361" i="22"/>
  <c r="H353" i="22"/>
  <c r="H345" i="22"/>
  <c r="H337" i="22"/>
  <c r="H329" i="22"/>
  <c r="H321" i="22"/>
  <c r="H313" i="22"/>
  <c r="H305" i="22"/>
  <c r="H297" i="22"/>
  <c r="H289" i="22"/>
  <c r="H281" i="22"/>
  <c r="H273" i="22"/>
  <c r="H265" i="22"/>
  <c r="H257" i="22"/>
  <c r="H249" i="22"/>
  <c r="H241" i="22"/>
  <c r="H233" i="22"/>
  <c r="H225" i="22"/>
  <c r="H217" i="22"/>
  <c r="H209" i="22"/>
  <c r="H201" i="22"/>
  <c r="H193" i="22"/>
  <c r="H185" i="22"/>
  <c r="H177" i="22"/>
  <c r="H169" i="22"/>
  <c r="H161" i="22"/>
  <c r="H153" i="22"/>
  <c r="H145" i="22"/>
  <c r="H137" i="22"/>
  <c r="H129" i="22"/>
  <c r="H121" i="22"/>
  <c r="H113" i="22"/>
  <c r="H105" i="22"/>
  <c r="H97" i="22"/>
  <c r="H89" i="22"/>
  <c r="H81" i="22"/>
  <c r="H73" i="22"/>
  <c r="H65" i="22"/>
  <c r="H57" i="22"/>
  <c r="H49" i="22"/>
  <c r="H41" i="22"/>
  <c r="H945" i="22"/>
  <c r="H925" i="22"/>
  <c r="H858" i="22"/>
  <c r="H817" i="22"/>
  <c r="H797" i="22"/>
  <c r="H730" i="22"/>
  <c r="H700" i="22"/>
  <c r="H684" i="22"/>
  <c r="H668" i="22"/>
  <c r="H652" i="22"/>
  <c r="H636" i="22"/>
  <c r="H620" i="22"/>
  <c r="H604" i="22"/>
  <c r="H588" i="22"/>
  <c r="H572" i="22"/>
  <c r="H556" i="22"/>
  <c r="H540" i="22"/>
  <c r="H524" i="22"/>
  <c r="H508" i="22"/>
  <c r="H504" i="22"/>
  <c r="H500" i="22"/>
  <c r="H496" i="22"/>
  <c r="H492" i="22"/>
  <c r="H488" i="22"/>
  <c r="H484" i="22"/>
  <c r="H480" i="22"/>
  <c r="H476" i="22"/>
  <c r="H470" i="22"/>
  <c r="H462" i="22"/>
  <c r="H454" i="22"/>
  <c r="H446" i="22"/>
  <c r="H438" i="22"/>
  <c r="H430" i="22"/>
  <c r="H422" i="22"/>
  <c r="H414" i="22"/>
  <c r="H406" i="22"/>
  <c r="H398" i="22"/>
  <c r="H390" i="22"/>
  <c r="H382" i="22"/>
  <c r="H374" i="22"/>
  <c r="H366" i="22"/>
  <c r="H358" i="22"/>
  <c r="H350" i="22"/>
  <c r="H342" i="22"/>
  <c r="H334" i="22"/>
  <c r="H326" i="22"/>
  <c r="H318" i="22"/>
  <c r="H310" i="22"/>
  <c r="H302" i="22"/>
  <c r="H294" i="22"/>
  <c r="H286" i="22"/>
  <c r="H278" i="22"/>
  <c r="H270" i="22"/>
  <c r="H262" i="22"/>
  <c r="H254" i="22"/>
  <c r="H246" i="22"/>
  <c r="H238" i="22"/>
  <c r="H230" i="22"/>
  <c r="H222" i="22"/>
  <c r="H214" i="22"/>
  <c r="H206" i="22"/>
  <c r="H198" i="22"/>
  <c r="H190" i="22"/>
  <c r="H182" i="22"/>
  <c r="H174" i="22"/>
  <c r="H166" i="22"/>
  <c r="H158" i="22"/>
  <c r="H150" i="22"/>
  <c r="H142" i="22"/>
  <c r="H134" i="22"/>
  <c r="H126" i="22"/>
  <c r="H118" i="22"/>
  <c r="H110" i="22"/>
  <c r="H102" i="22"/>
  <c r="H94" i="22"/>
  <c r="H86" i="22"/>
  <c r="H78" i="22"/>
  <c r="H70" i="22"/>
  <c r="H62" i="22"/>
  <c r="H54" i="22"/>
  <c r="H46" i="22"/>
  <c r="H38" i="22"/>
  <c r="H931" i="22"/>
  <c r="H911" i="22"/>
  <c r="H870" i="22"/>
  <c r="H803" i="22"/>
  <c r="H783" i="22"/>
  <c r="H742" i="22"/>
  <c r="H710" i="22"/>
  <c r="H694" i="22"/>
  <c r="H678" i="22"/>
  <c r="H662" i="22"/>
  <c r="H646" i="22"/>
  <c r="H630" i="22"/>
  <c r="H614" i="22"/>
  <c r="H598" i="22"/>
  <c r="H582" i="22"/>
  <c r="H566" i="22"/>
  <c r="H550" i="22"/>
  <c r="H534" i="22"/>
  <c r="H518" i="22"/>
  <c r="H467" i="22"/>
  <c r="H459" i="22"/>
  <c r="H451" i="22"/>
  <c r="H443" i="22"/>
  <c r="H435" i="22"/>
  <c r="H427" i="22"/>
  <c r="H419" i="22"/>
  <c r="H411" i="22"/>
  <c r="H403" i="22"/>
  <c r="H395" i="22"/>
  <c r="H387" i="22"/>
  <c r="H379" i="22"/>
  <c r="H371" i="22"/>
  <c r="H363" i="22"/>
  <c r="H355" i="22"/>
  <c r="H347" i="22"/>
  <c r="H339" i="22"/>
  <c r="H331" i="22"/>
  <c r="H323" i="22"/>
  <c r="H315" i="22"/>
  <c r="H307" i="22"/>
  <c r="H299" i="22"/>
  <c r="H291" i="22"/>
  <c r="H283" i="22"/>
  <c r="H275" i="22"/>
  <c r="H267" i="22"/>
  <c r="H259" i="22"/>
  <c r="H251" i="22"/>
  <c r="H243" i="22"/>
  <c r="H235" i="22"/>
  <c r="H227" i="22"/>
  <c r="H219" i="22"/>
  <c r="H211" i="22"/>
  <c r="H203" i="22"/>
  <c r="H195" i="22"/>
  <c r="H187" i="22"/>
  <c r="H179" i="22"/>
  <c r="H171" i="22"/>
  <c r="H163" i="22"/>
  <c r="H155" i="22"/>
  <c r="H147" i="22"/>
  <c r="H139" i="22"/>
  <c r="H131" i="22"/>
  <c r="H123" i="22"/>
  <c r="H115" i="22"/>
  <c r="H107" i="22"/>
  <c r="H99" i="22"/>
  <c r="H91" i="22"/>
  <c r="H83" i="22"/>
  <c r="H75" i="22"/>
  <c r="H67" i="22"/>
  <c r="H59" i="22"/>
  <c r="H51" i="22"/>
  <c r="H43" i="22"/>
  <c r="H35" i="22"/>
  <c r="H957" i="22"/>
  <c r="H890" i="22"/>
  <c r="H849" i="22"/>
  <c r="H829" i="22"/>
  <c r="H762" i="22"/>
  <c r="H721" i="22"/>
  <c r="H704" i="22"/>
  <c r="H688" i="22"/>
  <c r="H672" i="22"/>
  <c r="H656" i="22"/>
  <c r="H640" i="22"/>
  <c r="H624" i="22"/>
  <c r="H608" i="22"/>
  <c r="H592" i="22"/>
  <c r="H576" i="22"/>
  <c r="H560" i="22"/>
  <c r="H544" i="22"/>
  <c r="H528" i="22"/>
  <c r="H512" i="22"/>
  <c r="H507" i="22"/>
  <c r="H503" i="22"/>
  <c r="H499" i="22"/>
  <c r="H495" i="22"/>
  <c r="H491" i="22"/>
  <c r="H487" i="22"/>
  <c r="H483" i="22"/>
  <c r="H479" i="22"/>
  <c r="H475" i="22"/>
  <c r="H472" i="22"/>
  <c r="H464" i="22"/>
  <c r="H456" i="22"/>
  <c r="H448" i="22"/>
  <c r="H440" i="22"/>
  <c r="H432" i="22"/>
  <c r="H424" i="22"/>
  <c r="H416" i="22"/>
  <c r="H408" i="22"/>
  <c r="H400" i="22"/>
  <c r="H392" i="22"/>
  <c r="H384" i="22"/>
  <c r="H376" i="22"/>
  <c r="H368" i="22"/>
  <c r="H360" i="22"/>
  <c r="H352" i="22"/>
  <c r="H344" i="22"/>
  <c r="H336" i="22"/>
  <c r="H328" i="22"/>
  <c r="H320" i="22"/>
  <c r="H312" i="22"/>
  <c r="H304" i="22"/>
  <c r="H296" i="22"/>
  <c r="H288" i="22"/>
  <c r="H280" i="22"/>
  <c r="H272" i="22"/>
  <c r="H264" i="22"/>
  <c r="H256" i="22"/>
  <c r="H248" i="22"/>
  <c r="H240" i="22"/>
  <c r="H232" i="22"/>
  <c r="H224" i="22"/>
  <c r="H216" i="22"/>
  <c r="H208" i="22"/>
  <c r="H200" i="22"/>
  <c r="H192" i="22"/>
  <c r="H184" i="22"/>
  <c r="H176" i="22"/>
  <c r="H168" i="22"/>
  <c r="H160" i="22"/>
  <c r="H152" i="22"/>
  <c r="H144" i="22"/>
  <c r="H136" i="22"/>
  <c r="H128" i="22"/>
  <c r="H120" i="22"/>
  <c r="H112" i="22"/>
  <c r="H104" i="22"/>
  <c r="H96" i="22"/>
  <c r="H88" i="22"/>
  <c r="H80" i="22"/>
  <c r="H72" i="22"/>
  <c r="H64" i="22"/>
  <c r="H56" i="22"/>
  <c r="H48" i="22"/>
  <c r="H40" i="22"/>
  <c r="H32" i="22"/>
  <c r="H963" i="22"/>
  <c r="H943" i="22"/>
  <c r="H902" i="22"/>
  <c r="H835" i="22"/>
  <c r="H815" i="22"/>
  <c r="H774" i="22"/>
  <c r="H714" i="22"/>
  <c r="H698" i="22"/>
  <c r="H682" i="22"/>
  <c r="H666" i="22"/>
  <c r="H650" i="22"/>
  <c r="H634" i="22"/>
  <c r="H618" i="22"/>
  <c r="H602" i="22"/>
  <c r="H586" i="22"/>
  <c r="H570" i="22"/>
  <c r="H554" i="22"/>
  <c r="H538" i="22"/>
  <c r="H522" i="22"/>
  <c r="H469" i="22"/>
  <c r="H461" i="22"/>
  <c r="H453" i="22"/>
  <c r="H445" i="22"/>
  <c r="H437" i="22"/>
  <c r="H429" i="22"/>
  <c r="H421" i="22"/>
  <c r="H413" i="22"/>
  <c r="H405" i="22"/>
  <c r="H397" i="22"/>
  <c r="H389" i="22"/>
  <c r="H381" i="22"/>
  <c r="H373" i="22"/>
  <c r="H365" i="22"/>
  <c r="H357" i="22"/>
  <c r="H349" i="22"/>
  <c r="H341" i="22"/>
  <c r="H333" i="22"/>
  <c r="H325" i="22"/>
  <c r="H317" i="22"/>
  <c r="H309" i="22"/>
  <c r="H301" i="22"/>
  <c r="H293" i="22"/>
  <c r="H285" i="22"/>
  <c r="H277" i="22"/>
  <c r="H269" i="22"/>
  <c r="H261" i="22"/>
  <c r="H253" i="22"/>
  <c r="H245" i="22"/>
  <c r="H237" i="22"/>
  <c r="H229" i="22"/>
  <c r="H221" i="22"/>
  <c r="H213" i="22"/>
  <c r="H205" i="22"/>
  <c r="H197" i="22"/>
  <c r="H189" i="22"/>
  <c r="H181" i="22"/>
  <c r="H173" i="22"/>
  <c r="H165" i="22"/>
  <c r="H157" i="22"/>
  <c r="H149" i="22"/>
  <c r="H141" i="22"/>
  <c r="H133" i="22"/>
  <c r="H125" i="22"/>
  <c r="H117" i="22"/>
  <c r="H109" i="22"/>
  <c r="H101" i="22"/>
  <c r="H93" i="22"/>
  <c r="H85" i="22"/>
  <c r="H77" i="22"/>
  <c r="H69" i="22"/>
  <c r="H61" i="22"/>
  <c r="H53" i="22"/>
  <c r="H45" i="22"/>
  <c r="H37" i="22"/>
  <c r="H8" i="22"/>
  <c r="H16" i="22"/>
  <c r="H24" i="22"/>
  <c r="H58" i="22"/>
  <c r="H122" i="22"/>
  <c r="H186" i="22"/>
  <c r="H250" i="22"/>
  <c r="H314" i="22"/>
  <c r="H378" i="22"/>
  <c r="H442" i="22"/>
  <c r="H490" i="22"/>
  <c r="H532" i="22"/>
  <c r="H660" i="22"/>
  <c r="H861" i="22"/>
  <c r="H3" i="22"/>
  <c r="H11" i="22"/>
  <c r="H19" i="22"/>
  <c r="H27" i="22"/>
  <c r="H66" i="22"/>
  <c r="H130" i="22"/>
  <c r="H194" i="22"/>
  <c r="H258" i="22"/>
  <c r="H322" i="22"/>
  <c r="H386" i="22"/>
  <c r="H450" i="22"/>
  <c r="H478" i="22"/>
  <c r="H548" i="22"/>
  <c r="H676" i="22"/>
  <c r="H6" i="22"/>
  <c r="H14" i="22"/>
  <c r="H22" i="22"/>
  <c r="H30" i="22"/>
  <c r="H33" i="22"/>
  <c r="H74" i="22"/>
  <c r="H138" i="22"/>
  <c r="H202" i="22"/>
  <c r="H266" i="22"/>
  <c r="H330" i="22"/>
  <c r="H394" i="22"/>
  <c r="H458" i="22"/>
  <c r="H498" i="22"/>
  <c r="H564" i="22"/>
  <c r="H692" i="22"/>
  <c r="H753" i="22"/>
  <c r="H9" i="22"/>
  <c r="H17" i="22"/>
  <c r="H25" i="22"/>
  <c r="H82" i="22"/>
  <c r="H146" i="22"/>
  <c r="H210" i="22"/>
  <c r="H274" i="22"/>
  <c r="H338" i="22"/>
  <c r="H402" i="22"/>
  <c r="H466" i="22"/>
  <c r="H486" i="22"/>
  <c r="H580" i="22"/>
  <c r="H708" i="22"/>
  <c r="H4" i="22"/>
  <c r="H12" i="22"/>
  <c r="H20" i="22"/>
  <c r="H28" i="22"/>
  <c r="H90" i="22"/>
  <c r="H154" i="22"/>
  <c r="H218" i="22"/>
  <c r="H282" i="22"/>
  <c r="H346" i="22"/>
  <c r="H410" i="22"/>
  <c r="H474" i="22"/>
  <c r="H506" i="22"/>
  <c r="H596" i="22"/>
  <c r="H794" i="22"/>
  <c r="I23" i="25"/>
  <c r="B64" i="25"/>
  <c r="C82" i="25" l="1"/>
  <c r="B97" i="25" s="1"/>
  <c r="B81" i="25"/>
  <c r="B99" i="25" s="1"/>
  <c r="C99" i="25" l="1"/>
</calcChain>
</file>

<file path=xl/comments1.xml><?xml version="1.0" encoding="utf-8"?>
<comments xmlns="http://schemas.openxmlformats.org/spreadsheetml/2006/main">
  <authors>
    <author>Matthew Lee</author>
  </authors>
  <commentList>
    <comment ref="H2" authorId="0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EXCLUDE SAT &amp; SUN</t>
        </r>
      </text>
    </comment>
  </commentList>
</comments>
</file>

<file path=xl/comments2.xml><?xml version="1.0" encoding="utf-8"?>
<comments xmlns="http://schemas.openxmlformats.org/spreadsheetml/2006/main">
  <authors>
    <author>Nicholas Bricknell</author>
  </authors>
  <commentList>
    <comment ref="D1" authorId="0" shapeId="0">
      <text>
        <r>
          <rPr>
            <b/>
            <sz val="9"/>
            <rFont val="Tahoma"/>
            <family val="2"/>
          </rPr>
          <t>Object code for Payroll Tax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<sst xmlns="http://schemas.openxmlformats.org/spreadsheetml/2006/main" count="18713" uniqueCount="518">
  <si>
    <t>Emp Code</t>
  </si>
  <si>
    <t>Emp Name</t>
  </si>
  <si>
    <t>Cost Centre</t>
  </si>
  <si>
    <t>Description</t>
  </si>
  <si>
    <t>Type</t>
  </si>
  <si>
    <t>GL Account</t>
  </si>
  <si>
    <t>Debit</t>
  </si>
  <si>
    <t>Credit</t>
  </si>
  <si>
    <t>GL</t>
  </si>
  <si>
    <t>SCHWANKE, ANNMARIE MRS</t>
  </si>
  <si>
    <t>MEL SENIOR AUDIT</t>
  </si>
  <si>
    <t>AL PAID</t>
  </si>
  <si>
    <t>00</t>
  </si>
  <si>
    <t>WHITE, TERESA MS</t>
  </si>
  <si>
    <t>CREMONESI, BRUCE MR</t>
  </si>
  <si>
    <t>MEL CENTRAL IT</t>
  </si>
  <si>
    <t>MOONSAMY, MAYEN MR</t>
  </si>
  <si>
    <t>MEL CENTRAL SALES</t>
  </si>
  <si>
    <t>GODDAER, KEVIN MR</t>
  </si>
  <si>
    <t>MANAGING DIRECTOR</t>
  </si>
  <si>
    <t>CHANDRA, SHARON MRS</t>
  </si>
  <si>
    <t>SYDNEY CUSTOMER CARE</t>
  </si>
  <si>
    <t>SENTHURAN, SUGANIYA MRS</t>
  </si>
  <si>
    <t>SYD MICRO SETUP</t>
  </si>
  <si>
    <t>BOATWRIGHT, ANNA MRS</t>
  </si>
  <si>
    <t>SYD MICRO CONFIRMATION</t>
  </si>
  <si>
    <t>ADHIKARI, UJJWAL MR</t>
  </si>
  <si>
    <t>SYD Sample Registration</t>
  </si>
  <si>
    <t>XYLOPORTA, MARIA MRS</t>
  </si>
  <si>
    <t>SYD CHEM ANALYSIS</t>
  </si>
  <si>
    <t>ANDERSON, BELINDA MISS</t>
  </si>
  <si>
    <t>REGMI-ADHIKARI, MONIKA MRS</t>
  </si>
  <si>
    <t>SYD MICRO MEDIA</t>
  </si>
  <si>
    <t>TRIFON, MARIA MS</t>
  </si>
  <si>
    <t>MEL LAB ADMIN</t>
  </si>
  <si>
    <t>MENON, SHIVANI MISS</t>
  </si>
  <si>
    <t>MEL MICRO SETUP</t>
  </si>
  <si>
    <t>BHARADWAJ, GAURAV MR</t>
  </si>
  <si>
    <t>SOLEIMANI, MARYAM MS</t>
  </si>
  <si>
    <t>KO, SOL MR</t>
  </si>
  <si>
    <t>RAVAL, DRASHTI MRS</t>
  </si>
  <si>
    <t>MEL MICRO CONFIRMATION</t>
  </si>
  <si>
    <t>KIANIMEHR, SHIVA MS</t>
  </si>
  <si>
    <t>MEL MICRO MEDIA</t>
  </si>
  <si>
    <t>KAPADIA, MUFFADAL MR</t>
  </si>
  <si>
    <t>MEL MICRO LAB</t>
  </si>
  <si>
    <t>BATTY, MELISA MS</t>
  </si>
  <si>
    <t>BYRNE, LIAN MS</t>
  </si>
  <si>
    <t>MELBOURNE SALES</t>
  </si>
  <si>
    <t>DEMARCHI, STELLA MRS</t>
  </si>
  <si>
    <t>BRI Micro Media</t>
  </si>
  <si>
    <t>DELANEY, MEGAN FIONA MS</t>
  </si>
  <si>
    <t>BRISBANE MICRO LAB</t>
  </si>
  <si>
    <t>MCCANN-DORAN, CONOR MR</t>
  </si>
  <si>
    <t>PERTH MICRO SETUP</t>
  </si>
  <si>
    <t>DHOBI, JALPABEN MRS</t>
  </si>
  <si>
    <t>PREMTHONG, VATCHAREE MISS</t>
  </si>
  <si>
    <t>PERTH MICRO MEDIA</t>
  </si>
  <si>
    <t>LEAVE LOAIDING</t>
  </si>
  <si>
    <t>MEL Sample Registration</t>
  </si>
  <si>
    <t>MEL CENTRAL LAB ADMIN</t>
  </si>
  <si>
    <t>AL PAID - TERMED</t>
  </si>
  <si>
    <t>MEL CUSTOMER CARE</t>
  </si>
  <si>
    <t>LSL PAID - TERMED</t>
  </si>
  <si>
    <t>CASUAL PAID</t>
  </si>
  <si>
    <t>SINGH, NAMARTA MISS</t>
  </si>
  <si>
    <t>O'NEILL, CHRISTINE MRS</t>
  </si>
  <si>
    <t>BRISBANE LAB ADMIN</t>
  </si>
  <si>
    <t>HARRIS, KYM MS</t>
  </si>
  <si>
    <t>LAWRENCE, SHARON MS</t>
  </si>
  <si>
    <t>STANICA, ANDREEA MRS</t>
  </si>
  <si>
    <t>MEL SCIENTIFIC SERVICES</t>
  </si>
  <si>
    <t>OVERTIME</t>
  </si>
  <si>
    <t>YU, SHAN MISS</t>
  </si>
  <si>
    <t>ZHAO, ZHENJUN MR</t>
  </si>
  <si>
    <t>BOGAHAPITIYA, PRASANGA MRS</t>
  </si>
  <si>
    <t>ALI, MEHWISH MRS</t>
  </si>
  <si>
    <t>KODOR, MARA MRS</t>
  </si>
  <si>
    <t>PATEL, ANITA MRS</t>
  </si>
  <si>
    <t>MOODLEY, PRESHALIN MR</t>
  </si>
  <si>
    <t>FOROOGHI, MARZIEH MRS</t>
  </si>
  <si>
    <t>HO, JOHN MR</t>
  </si>
  <si>
    <t>SOHNY, THALITHA MRS</t>
  </si>
  <si>
    <t>RESUS, ZARA MISS</t>
  </si>
  <si>
    <t>RANGARAJ, USHA MRS</t>
  </si>
  <si>
    <t>ISLAM, MD FOKHRUL MR</t>
  </si>
  <si>
    <t>BANDI, RENU MRS</t>
  </si>
  <si>
    <t>PATEL, VIPUL MR</t>
  </si>
  <si>
    <t>HWANG, MI HEI MS</t>
  </si>
  <si>
    <t>PATEL, SWETA SHANTILAL MISS</t>
  </si>
  <si>
    <t>HANANIA, FERRIZ MR</t>
  </si>
  <si>
    <t>SCHOLZ, ERAN MR</t>
  </si>
  <si>
    <t>ABAZARI, HASTI MRS</t>
  </si>
  <si>
    <t>SYD MICRO LAB</t>
  </si>
  <si>
    <t>HOMAINEJAD, DORNA MS</t>
  </si>
  <si>
    <t>TRUONG, DAVID MR</t>
  </si>
  <si>
    <t>KAUR, SHIVREET MISS</t>
  </si>
  <si>
    <t>ZULQURNAIN, NAILA MRS</t>
  </si>
  <si>
    <t>SYD CHEM LAB</t>
  </si>
  <si>
    <t>PRASHANTHAN, ARANE MRS</t>
  </si>
  <si>
    <t>MOSTAFA, ALI MR</t>
  </si>
  <si>
    <t>SIVARAMAN, POORANI MS</t>
  </si>
  <si>
    <t>RATTLE, ROSE MRS</t>
  </si>
  <si>
    <t>DUDEKULA, SUSHMA BEE MRS</t>
  </si>
  <si>
    <t>RAMALINGAM, JANSI MS</t>
  </si>
  <si>
    <t>LIN, LIN MISS</t>
  </si>
  <si>
    <t>USMAN, ZAKIYYAH MISS</t>
  </si>
  <si>
    <t>AHN, ERIC MR</t>
  </si>
  <si>
    <t>VOHRA, ATEEV MR</t>
  </si>
  <si>
    <t>SUNDARA RAJAN, KALAI SELVI MRS</t>
  </si>
  <si>
    <t>TRIVEDI, ARTI MRS</t>
  </si>
  <si>
    <t>SIVARAJ, DURGA MRS</t>
  </si>
  <si>
    <t>YADAGIRI, SIRI MS</t>
  </si>
  <si>
    <t>HAGGAG, ABDEL MR</t>
  </si>
  <si>
    <t>HOLMES, JULIAN MR</t>
  </si>
  <si>
    <t>KELLY, KYLE MR</t>
  </si>
  <si>
    <t>HUSSAIN, EMRAN MR</t>
  </si>
  <si>
    <t>VASHISHTH, DEEPIKA MS</t>
  </si>
  <si>
    <t>RADHA, IKSHITHA MS</t>
  </si>
  <si>
    <t>TSELEKIDIS, SIA MS</t>
  </si>
  <si>
    <t>BRI Sample Registration</t>
  </si>
  <si>
    <t>SAMANTHIPUDI VASUDEVAN, KOKILA MRS</t>
  </si>
  <si>
    <t>RECHE SOLER, YAIZA MISS</t>
  </si>
  <si>
    <t>KASHANI, ANGELA MRS</t>
  </si>
  <si>
    <t>IQBAL, SHABANA MRS</t>
  </si>
  <si>
    <t>GALLAGHER, TROY MR</t>
  </si>
  <si>
    <t>JOYCE, BLAKE MR</t>
  </si>
  <si>
    <t>PINDORIA, NIKSHEE MISS</t>
  </si>
  <si>
    <t>SURYAVANSHI, SNEHAL HEMANT MRS</t>
  </si>
  <si>
    <t>BERA, KHUSHBU MS</t>
  </si>
  <si>
    <t>SEAL, MIHIKA MS</t>
  </si>
  <si>
    <t>GALLOP, MITCHEL MR</t>
  </si>
  <si>
    <t>STREAT, MEL MS</t>
  </si>
  <si>
    <t>PERTH MICRO CONFIRMATION</t>
  </si>
  <si>
    <t>ROY, JISHA MRS</t>
  </si>
  <si>
    <t>PERTH Sample Registration</t>
  </si>
  <si>
    <t>CHEN, JIAOYANG MS</t>
  </si>
  <si>
    <t>STILLITANO, SUE MRS</t>
  </si>
  <si>
    <t>SERPAUL, ROSHELLE MRS</t>
  </si>
  <si>
    <t>ALLOWANCES</t>
  </si>
  <si>
    <t>EVANS, LUCY MISS</t>
  </si>
  <si>
    <t>WIGG, JO MS</t>
  </si>
  <si>
    <t>NARAYANA SWAMY, KUSUMA MRS</t>
  </si>
  <si>
    <t>PETRAKIS, NICK MR</t>
  </si>
  <si>
    <t>HUMAN RESOURCES</t>
  </si>
  <si>
    <t>CHARLTON, STEPHANIE MISS</t>
  </si>
  <si>
    <t>EDEN, ANTHONY MR</t>
  </si>
  <si>
    <t>MEL FINANCE</t>
  </si>
  <si>
    <t>AHMED, IMTIAZ MR</t>
  </si>
  <si>
    <t>THEW, BENJAMIN MR</t>
  </si>
  <si>
    <t>SYDNEY SALES</t>
  </si>
  <si>
    <t>FERRIS, NADIA MISS</t>
  </si>
  <si>
    <t>GODWIN, COLLEEN MRS</t>
  </si>
  <si>
    <t>RAMIREZ CASTRO, MARIA MRS</t>
  </si>
  <si>
    <t>MCDONALD, WILMA MRS</t>
  </si>
  <si>
    <t>SAINI, CARA MISS</t>
  </si>
  <si>
    <t>BRISBANE SALES</t>
  </si>
  <si>
    <t>FONG, LAWRENCE MR</t>
  </si>
  <si>
    <t>PERTH CUSTOMER CARE</t>
  </si>
  <si>
    <t>MARKOSKA, KATERINA MRS</t>
  </si>
  <si>
    <t>DANIELLS, MARIE MISS</t>
  </si>
  <si>
    <t>PERTH Sales</t>
  </si>
  <si>
    <t>ALLIE, FREDA MS</t>
  </si>
  <si>
    <t>SAL SAC</t>
  </si>
  <si>
    <t>LI, MATTHEW MR</t>
  </si>
  <si>
    <t>CHEN, SOK KIAN MS</t>
  </si>
  <si>
    <t>SUPER - DR</t>
  </si>
  <si>
    <t>DAWSON, MARK DR</t>
  </si>
  <si>
    <t>PARMAR, DINUSHA MRS</t>
  </si>
  <si>
    <t>SKIPPER, MELINDA MS</t>
  </si>
  <si>
    <t>MEL CENTRAL QUALITY</t>
  </si>
  <si>
    <t>KARIMZADA, OMID MR</t>
  </si>
  <si>
    <t>HOLLY, DONNA MRS</t>
  </si>
  <si>
    <t>CAMPBELL-MCKECHNIE, ALMA MS</t>
  </si>
  <si>
    <t>PRAEKELT, WILNA MRS</t>
  </si>
  <si>
    <t>ESTORES, FELICIA MS</t>
  </si>
  <si>
    <t>ASHTON, DAVE MR</t>
  </si>
  <si>
    <t>COUDERT, ZOE MS</t>
  </si>
  <si>
    <t>MEL CENTRAL MARKETING</t>
  </si>
  <si>
    <t>CHAN, CHARMAINE MS</t>
  </si>
  <si>
    <t>DENG, OLIVER MR</t>
  </si>
  <si>
    <t>ZHAO, IRENE MRS</t>
  </si>
  <si>
    <t>ALISIC, SUVADA MRS</t>
  </si>
  <si>
    <t>AKKOYUN, METE HAN MR</t>
  </si>
  <si>
    <t>TUIMASEVE, AMENAH MRS</t>
  </si>
  <si>
    <t>SAAD, KAREN MS</t>
  </si>
  <si>
    <t>ASAROGLU, ESRA MRS</t>
  </si>
  <si>
    <t>ALMASSI, AREZOO MISS</t>
  </si>
  <si>
    <t>KANTHAN, SU MS</t>
  </si>
  <si>
    <t>YASEEN, MISBAH MRS</t>
  </si>
  <si>
    <t>WU, JUN MRS</t>
  </si>
  <si>
    <t>SYD RESEARCH &amp; DEVELOPMENT</t>
  </si>
  <si>
    <t>LETHBORG, GABRIELLA MISS</t>
  </si>
  <si>
    <t>HOLLEY, KRISTY MRS</t>
  </si>
  <si>
    <t>STAMATOVA, ZORICA MRS</t>
  </si>
  <si>
    <t>MOORKANATH, ANU MRS</t>
  </si>
  <si>
    <t>MOORE, SALOTE MS</t>
  </si>
  <si>
    <t>BRISBANE CUSTOMER CARE</t>
  </si>
  <si>
    <t>MENDIVELSO-BOHORQUEZ, SANDRA MISS</t>
  </si>
  <si>
    <t>FROST, JAMES MR</t>
  </si>
  <si>
    <t>MAVRONICHOLAS, CHRISTOPHER MR</t>
  </si>
  <si>
    <t>BRISBANE CHEMISTRY MILK TESTING</t>
  </si>
  <si>
    <t>GUEVARA LUJAN, GABRIELA MS</t>
  </si>
  <si>
    <t>SALARIES &amp; WAGES</t>
  </si>
  <si>
    <t>WILLIAMS, NICOLE MISS</t>
  </si>
  <si>
    <t>AL PAID - CR</t>
  </si>
  <si>
    <t>112.2160.100</t>
  </si>
  <si>
    <t>PAYG - TAX</t>
  </si>
  <si>
    <t>NET CLEARING</t>
  </si>
  <si>
    <t>SUPER SAL SAC - CR</t>
  </si>
  <si>
    <t>112.2160.200</t>
  </si>
  <si>
    <t>SUPER CLEARING</t>
  </si>
  <si>
    <t>1st Pay Period</t>
  </si>
  <si>
    <t>*Exclude Payroll Tax(will be in AP)</t>
  </si>
  <si>
    <t>Account Number</t>
  </si>
  <si>
    <t>DR</t>
  </si>
  <si>
    <t>CR</t>
  </si>
  <si>
    <t xml:space="preserve">S/L </t>
  </si>
  <si>
    <t>S/L</t>
  </si>
  <si>
    <t>Remarks</t>
  </si>
  <si>
    <t>Batch Number</t>
  </si>
  <si>
    <t>12013250.4040.100</t>
  </si>
  <si>
    <t>12018099.4040.100</t>
  </si>
  <si>
    <t>12020611.4040.100</t>
  </si>
  <si>
    <t>12020711.4040.100</t>
  </si>
  <si>
    <t>12020800.4040.100</t>
  </si>
  <si>
    <t>12021021.4040.100</t>
  </si>
  <si>
    <t>12022511.4040.100</t>
  </si>
  <si>
    <t>12030500.4040.100</t>
  </si>
  <si>
    <t>12030611.4040.100</t>
  </si>
  <si>
    <t>12032511.4040.100</t>
  </si>
  <si>
    <t>12033011.4040.100</t>
  </si>
  <si>
    <t>12043011.4040.100</t>
  </si>
  <si>
    <t>12060611.4040.100</t>
  </si>
  <si>
    <t>112.2180.200</t>
  </si>
  <si>
    <t>112.2180.100</t>
  </si>
  <si>
    <t>112.2180.300</t>
  </si>
  <si>
    <t>12033011.4010.200</t>
  </si>
  <si>
    <t>12043011.4010.200</t>
  </si>
  <si>
    <t>12013012.4010.300</t>
  </si>
  <si>
    <t>12020611.4010.300</t>
  </si>
  <si>
    <t>12020711.4010.300</t>
  </si>
  <si>
    <t>12020800.4010.300</t>
  </si>
  <si>
    <t>12021021.4010.300</t>
  </si>
  <si>
    <t>12022511.4010.300</t>
  </si>
  <si>
    <t>12023011.4010.300</t>
  </si>
  <si>
    <t>12023021.4010.300</t>
  </si>
  <si>
    <t>12030611.4010.300</t>
  </si>
  <si>
    <t>12030711.4010.300</t>
  </si>
  <si>
    <t>12030800.4010.300</t>
  </si>
  <si>
    <t>12032511.4010.300</t>
  </si>
  <si>
    <t>12033011.4010.300</t>
  </si>
  <si>
    <t>12040800.4010.300</t>
  </si>
  <si>
    <t>12043011.4010.300</t>
  </si>
  <si>
    <t>12060611.4010.300</t>
  </si>
  <si>
    <t>12060711.4010.300</t>
  </si>
  <si>
    <t>12060800.4010.300</t>
  </si>
  <si>
    <t>12062511.4010.300</t>
  </si>
  <si>
    <t>12010500.4010.400</t>
  </si>
  <si>
    <t>12013250.4010.400</t>
  </si>
  <si>
    <t>12018099.4010.400</t>
  </si>
  <si>
    <t>12018599.4010.400</t>
  </si>
  <si>
    <t>12019099.4010.400</t>
  </si>
  <si>
    <t>12019199.4010.400</t>
  </si>
  <si>
    <t>12020611.4010.400</t>
  </si>
  <si>
    <t>12020711.4010.400</t>
  </si>
  <si>
    <t>12020800.4010.400</t>
  </si>
  <si>
    <t>12021021.4010.400</t>
  </si>
  <si>
    <t>12022511.4010.400</t>
  </si>
  <si>
    <t>12023011.4010.400</t>
  </si>
  <si>
    <t>12028099.4010.400</t>
  </si>
  <si>
    <t>12030611.4010.400</t>
  </si>
  <si>
    <t>12030711.4010.400</t>
  </si>
  <si>
    <t>12033011.4010.400</t>
  </si>
  <si>
    <t>12038099.4010.400</t>
  </si>
  <si>
    <t>12040500.4010.400</t>
  </si>
  <si>
    <t>12043011.4010.400</t>
  </si>
  <si>
    <t>12048099.4010.400</t>
  </si>
  <si>
    <t>12060400.4010.400</t>
  </si>
  <si>
    <t>12060611.4010.400</t>
  </si>
  <si>
    <t>12068099.4010.400</t>
  </si>
  <si>
    <t>12010500.4080.100</t>
  </si>
  <si>
    <t>12013250.4080.100</t>
  </si>
  <si>
    <t>12013300.4080.100</t>
  </si>
  <si>
    <t>12019199.4080.100</t>
  </si>
  <si>
    <t>12060611.4080.100</t>
  </si>
  <si>
    <t>12010700.4080.100</t>
  </si>
  <si>
    <t>12013012.4080.100</t>
  </si>
  <si>
    <t>12018099.4080.100</t>
  </si>
  <si>
    <t>12018199.4080.100</t>
  </si>
  <si>
    <t>12018599.4080.100</t>
  </si>
  <si>
    <t>12019099.4080.100</t>
  </si>
  <si>
    <t>12020400.4080.100</t>
  </si>
  <si>
    <t>12020611.4080.100</t>
  </si>
  <si>
    <t>12020711.4080.100</t>
  </si>
  <si>
    <t>12020800.4080.100</t>
  </si>
  <si>
    <t>12021021.4080.100</t>
  </si>
  <si>
    <t>12022511.4080.100</t>
  </si>
  <si>
    <t>12023011.4080.100</t>
  </si>
  <si>
    <t>12023021.4080.100</t>
  </si>
  <si>
    <t>12024021.4080.100</t>
  </si>
  <si>
    <t>12028099.4080.100</t>
  </si>
  <si>
    <t>12030400.4080.100</t>
  </si>
  <si>
    <t>12030500.4080.100</t>
  </si>
  <si>
    <t>12030611.4080.100</t>
  </si>
  <si>
    <t>12030711.4080.100</t>
  </si>
  <si>
    <t>12030800.4080.100</t>
  </si>
  <si>
    <t>12032511.4080.100</t>
  </si>
  <si>
    <t>12033011.4080.100</t>
  </si>
  <si>
    <t>12038099.4080.100</t>
  </si>
  <si>
    <t>12040400.4080.100</t>
  </si>
  <si>
    <t>12040500.4080.100</t>
  </si>
  <si>
    <t>12040800.4080.100</t>
  </si>
  <si>
    <t>12042511.4080.100</t>
  </si>
  <si>
    <t>12043011.4080.100</t>
  </si>
  <si>
    <t>12043123.4080.100</t>
  </si>
  <si>
    <t>12048099.4080.100</t>
  </si>
  <si>
    <t>12060400.4080.100</t>
  </si>
  <si>
    <t>12060711.4080.100</t>
  </si>
  <si>
    <t>12060800.4080.100</t>
  </si>
  <si>
    <t>12062511.4080.100</t>
  </si>
  <si>
    <t>12068099.4080.100</t>
  </si>
  <si>
    <t>12010500.4010.100</t>
  </si>
  <si>
    <t>12010700.4010.100</t>
  </si>
  <si>
    <t>12013012.4010.100</t>
  </si>
  <si>
    <t>12013250.4010.100</t>
  </si>
  <si>
    <t>12013300.4010.100</t>
  </si>
  <si>
    <t>12018099.4010.100</t>
  </si>
  <si>
    <t>12018199.4010.100</t>
  </si>
  <si>
    <t>12018599.4010.100</t>
  </si>
  <si>
    <t>12019099.4010.100</t>
  </si>
  <si>
    <t>12019199.4010.100</t>
  </si>
  <si>
    <t>12020400.4010.100</t>
  </si>
  <si>
    <t>12020611.4010.100</t>
  </si>
  <si>
    <t>12020711.4010.100</t>
  </si>
  <si>
    <t>12020800.4010.100</t>
  </si>
  <si>
    <t>12021021.4010.100</t>
  </si>
  <si>
    <t>12022511.4010.100</t>
  </si>
  <si>
    <t>12023011.4010.100</t>
  </si>
  <si>
    <t>12023021.4010.100</t>
  </si>
  <si>
    <t>12024021.4010.100</t>
  </si>
  <si>
    <t>12028099.4010.100</t>
  </si>
  <si>
    <t>12030400.4010.100</t>
  </si>
  <si>
    <t>12030500.4010.100</t>
  </si>
  <si>
    <t>12030611.4010.100</t>
  </si>
  <si>
    <t>12030711.4010.100</t>
  </si>
  <si>
    <t>12030800.4010.100</t>
  </si>
  <si>
    <t>12032511.4010.100</t>
  </si>
  <si>
    <t>12033011.4010.100</t>
  </si>
  <si>
    <t>12038099.4010.100</t>
  </si>
  <si>
    <t>12040400.4010.100</t>
  </si>
  <si>
    <t>12040500.4010.100</t>
  </si>
  <si>
    <t>12040800.4010.100</t>
  </si>
  <si>
    <t>12042511.4010.100</t>
  </si>
  <si>
    <t>12043011.4010.100</t>
  </si>
  <si>
    <t>12043123.4010.100</t>
  </si>
  <si>
    <t>12048099.4010.100</t>
  </si>
  <si>
    <t>12060400.4010.100</t>
  </si>
  <si>
    <t>12060611.4010.100</t>
  </si>
  <si>
    <t>12060711.4010.100</t>
  </si>
  <si>
    <t>12060800.4010.100</t>
  </si>
  <si>
    <t>12062511.4010.100</t>
  </si>
  <si>
    <t>12068099.4010.100</t>
  </si>
  <si>
    <t>SWATHI KRISHNA, SHIVANI MISS</t>
  </si>
  <si>
    <t>RUSSELL, ADAM MR</t>
  </si>
  <si>
    <t>QURASHI, RAYEED AHMED MR</t>
  </si>
  <si>
    <t>RAVI, SOORYA NARAYANAN MR</t>
  </si>
  <si>
    <t>NANAYAKKARA W V W, SHALINI MISS</t>
  </si>
  <si>
    <t>2nd Pay Period</t>
  </si>
  <si>
    <t>Days of Accrual</t>
  </si>
  <si>
    <t>12019199.4040.100</t>
  </si>
  <si>
    <t>12023011.4040.100</t>
  </si>
  <si>
    <t>12040400.4040.100</t>
  </si>
  <si>
    <t>12048099.4040.100</t>
  </si>
  <si>
    <t>12030611.4010.200</t>
  </si>
  <si>
    <t>12043123.4010.300</t>
  </si>
  <si>
    <t>Payroll  Accrual</t>
  </si>
  <si>
    <t>Reversible</t>
  </si>
  <si>
    <t>Batch</t>
  </si>
  <si>
    <t>12010500.4040.100</t>
  </si>
  <si>
    <t>12018199.4040.100</t>
  </si>
  <si>
    <t>12028099.4040.100</t>
  </si>
  <si>
    <t>12030400.4040.100</t>
  </si>
  <si>
    <t>12040400.4040.200</t>
  </si>
  <si>
    <t>Ref 2</t>
  </si>
  <si>
    <t>LSL PAID</t>
  </si>
  <si>
    <t>EL-KLINK, IMAN MS</t>
  </si>
  <si>
    <t>AVERY, SUE MS</t>
  </si>
  <si>
    <t>HAMILTON, Paul MR</t>
  </si>
  <si>
    <t>AHMADI, MARYAM MRS</t>
  </si>
  <si>
    <t>LSL PAID - CR</t>
  </si>
  <si>
    <t>3rd Pay Period</t>
  </si>
  <si>
    <t>2nd Pay Period 27/03/2012</t>
  </si>
  <si>
    <t>1st Pay Period 13/03/2012</t>
  </si>
  <si>
    <t>We paid</t>
  </si>
  <si>
    <t xml:space="preserve">should  be </t>
  </si>
  <si>
    <t>overpaid</t>
  </si>
  <si>
    <t>PATEL Vipul</t>
  </si>
  <si>
    <t>REGMI-ADHIKARI MONIKA</t>
  </si>
  <si>
    <t>BOGAHAPITIYA PRASANGA</t>
  </si>
  <si>
    <t>PATEL ANAL</t>
  </si>
  <si>
    <t>MOORKANATH ANUPRIYA</t>
  </si>
  <si>
    <t>IQBAL Shabana</t>
  </si>
  <si>
    <t>RESUS Zara</t>
  </si>
  <si>
    <t>SIM Aaron</t>
  </si>
  <si>
    <t>JOYCE BLAKE</t>
  </si>
  <si>
    <t>STANICA Andreea</t>
  </si>
  <si>
    <t>SIVARAMAN Poorani</t>
  </si>
  <si>
    <t>MENON Shruti</t>
  </si>
  <si>
    <t>LETHBORG GABRIELLA</t>
  </si>
  <si>
    <t>DUDEKULA Sushma Bee</t>
  </si>
  <si>
    <t>CHONG Ben</t>
  </si>
  <si>
    <t>TAMBURIC Stanojka</t>
  </si>
  <si>
    <t>RAMALINGAM JANSI</t>
  </si>
  <si>
    <t>RATHORE Manju Kanwar</t>
  </si>
  <si>
    <t>BADARI RAGHU</t>
  </si>
  <si>
    <t>KASHANI ANGELA</t>
  </si>
  <si>
    <t>DAS ARPITA</t>
  </si>
  <si>
    <t>SHELDON ELIZABETH</t>
  </si>
  <si>
    <t>WEERAKKODY NIMSHA</t>
  </si>
  <si>
    <t>CARRECK Wella</t>
  </si>
  <si>
    <t>PARVATHANENI Pushpa Leela</t>
  </si>
  <si>
    <t>Journal</t>
  </si>
  <si>
    <t>Remark</t>
  </si>
  <si>
    <t>Ref</t>
  </si>
  <si>
    <t>Meal Allow Adj FN121119</t>
  </si>
  <si>
    <t>12033123.4010.100</t>
  </si>
  <si>
    <t>Meal Allow Adj FN261119</t>
  </si>
  <si>
    <t>3 Days Accrued Payroll Nov 19</t>
  </si>
  <si>
    <t>112.2160</t>
  </si>
  <si>
    <t>12022511.4020.300</t>
  </si>
  <si>
    <t>3 Days Accrued Payroll Tax Nov 19</t>
  </si>
  <si>
    <t>12020711.4020.300</t>
  </si>
  <si>
    <t>12030611.4020.300</t>
  </si>
  <si>
    <t>12021021.4020.300</t>
  </si>
  <si>
    <t>12043123.4020.300</t>
  </si>
  <si>
    <t>12013012.4020.300</t>
  </si>
  <si>
    <t>12020611.4020.300</t>
  </si>
  <si>
    <t>HADAGINAMAKKI, SHILPA MRS</t>
  </si>
  <si>
    <t>CHAUHAN, VIKRAM MR</t>
  </si>
  <si>
    <t>KHAMBAY, BILL MR</t>
  </si>
  <si>
    <t>WIJESINGHE, PULASTHI MR</t>
  </si>
  <si>
    <t>PERTH MICRO LAB</t>
  </si>
  <si>
    <t>CHEUNG, CINDY MISS</t>
  </si>
  <si>
    <t>SANOBER, FAHMI MS</t>
  </si>
  <si>
    <t>12024021.4040.100</t>
  </si>
  <si>
    <t>12063011.4010.300</t>
  </si>
  <si>
    <t>12063011.4080.100</t>
  </si>
  <si>
    <t>12063011.4010.100</t>
  </si>
  <si>
    <t>PATEL, DHAVAL MR</t>
  </si>
  <si>
    <t>12023021.4040.100</t>
  </si>
  <si>
    <t>Batch No:</t>
  </si>
  <si>
    <t>Days of Accruals:</t>
  </si>
  <si>
    <t>JOKATAMA, SIKITI MISS</t>
  </si>
  <si>
    <t>SYD LAB ADMIN</t>
  </si>
  <si>
    <t>12040800.4040.100</t>
  </si>
  <si>
    <t>12042511.4040.100</t>
  </si>
  <si>
    <t>12020500.4080.100</t>
  </si>
  <si>
    <t>12020500.4010.100</t>
  </si>
  <si>
    <t>112.2170</t>
  </si>
  <si>
    <t>xxxx</t>
  </si>
  <si>
    <t>`</t>
  </si>
  <si>
    <t xml:space="preserve">Narrative </t>
  </si>
  <si>
    <t>Batch Number:</t>
  </si>
  <si>
    <t>12010700.4040.100</t>
  </si>
  <si>
    <t>12013012.4040.100</t>
  </si>
  <si>
    <t>12013300.4040.100</t>
  </si>
  <si>
    <t>12038099.4040.100</t>
  </si>
  <si>
    <t>12060711.4040.100</t>
  </si>
  <si>
    <t>12060800.4040.100</t>
  </si>
  <si>
    <t>12020500.4010.300</t>
  </si>
  <si>
    <t>12042511.4010.300</t>
  </si>
  <si>
    <t>12013012.4010.400</t>
  </si>
  <si>
    <t>12020500.4010.400</t>
  </si>
  <si>
    <t>12030800.4010.400</t>
  </si>
  <si>
    <t>12032511.4010.400</t>
  </si>
  <si>
    <t>12040800.4010.400</t>
  </si>
  <si>
    <t>12062511.4010.400</t>
  </si>
  <si>
    <t>AHMED, NAJIYAH MISS</t>
  </si>
  <si>
    <t>SAHIR, KORISH MR</t>
  </si>
  <si>
    <t>SMITH, KAREN MRS</t>
  </si>
  <si>
    <t>CAO, KIM MISS</t>
  </si>
  <si>
    <t>12062511.4040.100</t>
  </si>
  <si>
    <t>12023011.4010.200</t>
  </si>
  <si>
    <t>12060800.4010.400</t>
  </si>
  <si>
    <t>12020611.4010.1</t>
  </si>
  <si>
    <t>12020711.4010.1</t>
  </si>
  <si>
    <t>12020800.4010.1</t>
  </si>
  <si>
    <t>12021021.4010.1</t>
  </si>
  <si>
    <t>12022511.4010.1</t>
  </si>
  <si>
    <t>12023011.4010.1</t>
  </si>
  <si>
    <t>12023021.4010.1</t>
  </si>
  <si>
    <t>12024021.4010.1</t>
  </si>
  <si>
    <t>12028099.4010.1</t>
  </si>
  <si>
    <t>12030400.4010.1</t>
  </si>
  <si>
    <t>12030500.4010.1</t>
  </si>
  <si>
    <t>12030611.4010.1</t>
  </si>
  <si>
    <t>12030711.4010.1</t>
  </si>
  <si>
    <t>12030800.4010.1</t>
  </si>
  <si>
    <t>12032511.4010.1</t>
  </si>
  <si>
    <t>12033011.4010.1</t>
  </si>
  <si>
    <t>12038099.4010.1</t>
  </si>
  <si>
    <t>12040400.4010.1</t>
  </si>
  <si>
    <t>12040500.4010.1</t>
  </si>
  <si>
    <t>12040800.4010.1</t>
  </si>
  <si>
    <t>12042511.4010.1</t>
  </si>
  <si>
    <t>12043011.4010.1</t>
  </si>
  <si>
    <t>12043123.4010.1</t>
  </si>
  <si>
    <t>12048099.4010.1</t>
  </si>
  <si>
    <t>12060400.4010.1</t>
  </si>
  <si>
    <t>12060611.4010.1</t>
  </si>
  <si>
    <t>12060711.4010.1</t>
  </si>
  <si>
    <t>12060800.4010.1</t>
  </si>
  <si>
    <t>12062511.4010.1</t>
  </si>
  <si>
    <t>12063011.4010.1</t>
  </si>
  <si>
    <t>12068099.4010.1</t>
  </si>
  <si>
    <t xml:space="preserve"> 6 Days Payroll Accrual Nov 22</t>
  </si>
  <si>
    <t xml:space="preserve"> 6 Days PTax Accrual Nov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</si>
</sst>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0.000"/>
    <numFmt numFmtId="165" formatCode="0.0000"/>
    <numFmt numFmtId="166" formatCode="#,##0.00_ ;\-#,##0.00\ "/>
    <numFmt numFmtId="167" formatCode="0.0%"/>
  </numFmts>
  <fonts count="13" x14ac:knownFonts="1">
    <font>
      <sz val="10"/>
      <color indexed="8"/>
      <name val="ARIAL"/>
      <charset val="1"/>
    </font>
    <font>
      <b/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top"/>
    </xf>
    <xf numFmtId="43" fontId="4" fillId="0" borderId="0" applyFont="0" applyFill="0" applyBorder="0" applyAlignment="0" applyProtection="0">
      <alignment vertical="top"/>
    </xf>
    <xf numFmtId="0" fontId="3" fillId="0" borderId="0"/>
    <xf numFmtId="0" fontId="4" fillId="0" borderId="0">
      <alignment vertical="top"/>
    </xf>
    <xf numFmtId="43" fontId="3" fillId="0" borderId="0" applyFont="0" applyFill="0" applyBorder="0" applyAlignment="0" applyProtection="0"/>
    <xf numFmtId="0" fontId="3" fillId="9" borderId="3" applyNumberFormat="0" applyFont="0" applyAlignment="0" applyProtection="0"/>
  </cellStyleXfs>
  <cellXfs count="112">
    <xf numFmtId="0" fontId="0" fillId="0" borderId="0" xfId="0">
      <alignment vertical="top"/>
    </xf>
    <xf numFmtId="0" fontId="1" fillId="0" borderId="0" xfId="0" applyFont="1">
      <alignment vertical="top"/>
    </xf>
    <xf numFmtId="43" fontId="0" fillId="0" borderId="0" xfId="1" applyFont="1">
      <alignment vertical="top"/>
    </xf>
    <xf numFmtId="14" fontId="2" fillId="2" borderId="0" xfId="2" applyNumberFormat="1" applyFont="1" applyFill="1"/>
    <xf numFmtId="43" fontId="2" fillId="0" borderId="0" xfId="1" applyFont="1" applyAlignment="1"/>
    <xf numFmtId="0" fontId="2" fillId="0" borderId="0" xfId="2" applyFont="1"/>
    <xf numFmtId="43" fontId="3" fillId="0" borderId="0" xfId="1" applyFont="1" applyAlignment="1"/>
    <xf numFmtId="0" fontId="3" fillId="0" borderId="0" xfId="2"/>
    <xf numFmtId="0" fontId="1" fillId="2" borderId="0" xfId="0" applyFont="1" applyFill="1">
      <alignment vertical="top"/>
    </xf>
    <xf numFmtId="43" fontId="1" fillId="2" borderId="0" xfId="1" applyFont="1" applyFill="1">
      <alignment vertical="top"/>
    </xf>
    <xf numFmtId="0" fontId="4" fillId="0" borderId="0" xfId="0" applyFont="1">
      <alignment vertical="top"/>
    </xf>
    <xf numFmtId="0" fontId="3" fillId="0" borderId="0" xfId="2" applyFill="1"/>
    <xf numFmtId="43" fontId="1" fillId="0" borderId="1" xfId="1" applyFont="1" applyBorder="1">
      <alignment vertical="top"/>
    </xf>
    <xf numFmtId="9" fontId="1" fillId="0" borderId="0" xfId="0" applyNumberFormat="1" applyFont="1">
      <alignment vertical="top"/>
    </xf>
    <xf numFmtId="164" fontId="0" fillId="0" borderId="0" xfId="0" applyNumberFormat="1">
      <alignment vertical="top"/>
    </xf>
    <xf numFmtId="165" fontId="0" fillId="0" borderId="0" xfId="0" applyNumberFormat="1">
      <alignment vertical="top"/>
    </xf>
    <xf numFmtId="2" fontId="0" fillId="0" borderId="0" xfId="0" applyNumberFormat="1">
      <alignment vertical="top"/>
    </xf>
    <xf numFmtId="4" fontId="4" fillId="0" borderId="0" xfId="0" applyNumberFormat="1" applyFont="1">
      <alignment vertical="top"/>
    </xf>
    <xf numFmtId="4" fontId="0" fillId="0" borderId="0" xfId="0" applyNumberFormat="1">
      <alignment vertical="top"/>
    </xf>
    <xf numFmtId="0" fontId="0" fillId="3" borderId="0" xfId="0" applyFill="1">
      <alignment vertical="top"/>
    </xf>
    <xf numFmtId="4" fontId="4" fillId="3" borderId="0" xfId="0" applyNumberFormat="1" applyFont="1" applyFill="1">
      <alignment vertical="top"/>
    </xf>
    <xf numFmtId="4" fontId="0" fillId="3" borderId="0" xfId="0" applyNumberFormat="1" applyFill="1">
      <alignment vertical="top"/>
    </xf>
    <xf numFmtId="0" fontId="0" fillId="0" borderId="0" xfId="0" applyFill="1">
      <alignment vertical="top"/>
    </xf>
    <xf numFmtId="4" fontId="4" fillId="0" borderId="0" xfId="0" applyNumberFormat="1" applyFont="1" applyFill="1">
      <alignment vertical="top"/>
    </xf>
    <xf numFmtId="4" fontId="0" fillId="0" borderId="0" xfId="0" applyNumberFormat="1" applyFill="1">
      <alignment vertical="top"/>
    </xf>
    <xf numFmtId="0" fontId="1" fillId="0" borderId="0" xfId="0" applyFont="1" applyFill="1">
      <alignment vertical="top"/>
    </xf>
    <xf numFmtId="2" fontId="0" fillId="0" borderId="0" xfId="0" applyNumberFormat="1" applyFill="1">
      <alignment vertical="top"/>
    </xf>
    <xf numFmtId="2" fontId="1" fillId="0" borderId="0" xfId="0" applyNumberFormat="1" applyFont="1" applyFill="1">
      <alignment vertical="top"/>
    </xf>
    <xf numFmtId="49" fontId="1" fillId="0" borderId="0" xfId="0" applyNumberFormat="1" applyFont="1" applyFill="1">
      <alignment vertical="top"/>
    </xf>
    <xf numFmtId="0" fontId="1" fillId="4" borderId="0" xfId="0" applyFont="1" applyFill="1">
      <alignment vertical="top"/>
    </xf>
    <xf numFmtId="0" fontId="0" fillId="0" borderId="0" xfId="0" applyAlignment="1"/>
    <xf numFmtId="2" fontId="4" fillId="0" borderId="0" xfId="0" applyNumberFormat="1" applyFont="1" applyFill="1">
      <alignment vertical="top"/>
    </xf>
    <xf numFmtId="17" fontId="1" fillId="6" borderId="0" xfId="0" applyNumberFormat="1" applyFont="1" applyFill="1">
      <alignment vertical="top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left" vertical="top"/>
    </xf>
    <xf numFmtId="43" fontId="0" fillId="0" borderId="0" xfId="0" applyNumberFormat="1" applyFill="1">
      <alignment vertical="top"/>
    </xf>
    <xf numFmtId="9" fontId="1" fillId="0" borderId="0" xfId="0" applyNumberFormat="1" applyFont="1" applyFill="1">
      <alignment vertical="top"/>
    </xf>
    <xf numFmtId="0" fontId="3" fillId="0" borderId="0" xfId="2" applyFill="1" applyAlignment="1">
      <alignment horizontal="left"/>
    </xf>
    <xf numFmtId="0" fontId="4" fillId="0" borderId="0" xfId="0" applyFont="1" applyFill="1">
      <alignment vertical="top"/>
    </xf>
    <xf numFmtId="0" fontId="0" fillId="7" borderId="0" xfId="0" applyFill="1">
      <alignment vertical="top"/>
    </xf>
    <xf numFmtId="49" fontId="0" fillId="0" borderId="0" xfId="0" applyNumberFormat="1">
      <alignment vertical="top"/>
    </xf>
    <xf numFmtId="0" fontId="0" fillId="0" borderId="0" xfId="0" applyNumberFormat="1">
      <alignment vertical="top"/>
    </xf>
    <xf numFmtId="0" fontId="0" fillId="5" borderId="0" xfId="0" applyFill="1" applyAlignment="1"/>
    <xf numFmtId="49" fontId="1" fillId="2" borderId="0" xfId="0" applyNumberFormat="1" applyFont="1" applyFill="1">
      <alignment vertical="top"/>
    </xf>
    <xf numFmtId="49" fontId="0" fillId="0" borderId="0" xfId="0" applyNumberFormat="1" applyFill="1">
      <alignment vertical="top"/>
    </xf>
    <xf numFmtId="3" fontId="4" fillId="0" borderId="0" xfId="0" applyNumberFormat="1" applyFont="1">
      <alignment vertical="top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left" vertical="top"/>
    </xf>
    <xf numFmtId="164" fontId="5" fillId="0" borderId="0" xfId="0" applyNumberFormat="1" applyFont="1" applyFill="1">
      <alignment vertical="top"/>
    </xf>
    <xf numFmtId="0" fontId="7" fillId="0" borderId="0" xfId="0" applyNumberFormat="1" applyFont="1" applyAlignment="1"/>
    <xf numFmtId="2" fontId="7" fillId="0" borderId="0" xfId="0" applyNumberFormat="1" applyFont="1" applyFill="1">
      <alignment vertical="top"/>
    </xf>
    <xf numFmtId="2" fontId="6" fillId="0" borderId="0" xfId="0" applyNumberFormat="1" applyFont="1">
      <alignment vertical="top"/>
    </xf>
    <xf numFmtId="4" fontId="6" fillId="0" borderId="0" xfId="0" applyNumberFormat="1" applyFont="1">
      <alignment vertical="top"/>
    </xf>
    <xf numFmtId="0" fontId="5" fillId="8" borderId="0" xfId="0" applyFont="1" applyFill="1">
      <alignment vertical="top"/>
    </xf>
    <xf numFmtId="0" fontId="5" fillId="4" borderId="0" xfId="0" applyFont="1" applyFill="1">
      <alignment vertical="top"/>
    </xf>
    <xf numFmtId="0" fontId="7" fillId="0" borderId="0" xfId="0" applyFont="1" applyAlignment="1">
      <alignment horizontal="left"/>
    </xf>
    <xf numFmtId="2" fontId="6" fillId="0" borderId="0" xfId="0" applyNumberFormat="1" applyFont="1" applyFill="1">
      <alignment vertical="top"/>
    </xf>
    <xf numFmtId="49" fontId="6" fillId="0" borderId="0" xfId="0" applyNumberFormat="1" applyFont="1">
      <alignment vertical="top"/>
    </xf>
    <xf numFmtId="0" fontId="6" fillId="0" borderId="0" xfId="0" applyFont="1" applyFill="1">
      <alignment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1" fillId="6" borderId="0" xfId="0" applyFont="1" applyFill="1">
      <alignment vertical="top"/>
    </xf>
    <xf numFmtId="2" fontId="1" fillId="6" borderId="0" xfId="0" applyNumberFormat="1" applyFont="1" applyFill="1">
      <alignment vertical="top"/>
    </xf>
    <xf numFmtId="0" fontId="7" fillId="0" borderId="0" xfId="0" applyFont="1" applyAlignment="1"/>
    <xf numFmtId="17" fontId="1" fillId="5" borderId="0" xfId="0" applyNumberFormat="1" applyFont="1" applyFill="1">
      <alignment vertical="top"/>
    </xf>
    <xf numFmtId="165" fontId="0" fillId="0" borderId="0" xfId="0" applyNumberForma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4" fillId="0" borderId="0" xfId="0" applyNumberFormat="1" applyFont="1" applyAlignment="1"/>
    <xf numFmtId="0" fontId="5" fillId="0" borderId="2" xfId="0" applyFont="1" applyFill="1" applyBorder="1">
      <alignment vertical="top"/>
    </xf>
    <xf numFmtId="0" fontId="6" fillId="0" borderId="0" xfId="0" applyFont="1" applyFill="1" applyAlignment="1">
      <alignment horizontal="left" vertical="top"/>
    </xf>
    <xf numFmtId="166" fontId="6" fillId="0" borderId="0" xfId="0" applyNumberFormat="1" applyFont="1" applyFill="1">
      <alignment vertical="top"/>
    </xf>
    <xf numFmtId="43" fontId="6" fillId="0" borderId="0" xfId="1" applyFont="1" applyFill="1">
      <alignment vertical="top"/>
    </xf>
    <xf numFmtId="0" fontId="5" fillId="0" borderId="0" xfId="0" applyFont="1" applyFill="1" applyAlignment="1">
      <alignment horizontal="left" vertical="top"/>
    </xf>
    <xf numFmtId="165" fontId="0" fillId="0" borderId="0" xfId="0" applyNumberFormat="1" applyAlignment="1"/>
    <xf numFmtId="14" fontId="5" fillId="5" borderId="0" xfId="0" applyNumberFormat="1" applyFont="1" applyFill="1">
      <alignment vertical="top"/>
    </xf>
    <xf numFmtId="0" fontId="5" fillId="0" borderId="0" xfId="0" applyFont="1" applyFill="1">
      <alignment vertical="top"/>
    </xf>
    <xf numFmtId="0" fontId="5" fillId="4" borderId="2" xfId="0" applyFont="1" applyFill="1" applyBorder="1">
      <alignment vertical="top"/>
    </xf>
    <xf numFmtId="43" fontId="5" fillId="0" borderId="2" xfId="1" applyFont="1" applyFill="1" applyBorder="1">
      <alignment vertical="top"/>
    </xf>
    <xf numFmtId="43" fontId="0" fillId="0" borderId="0" xfId="1" applyFont="1" applyAlignment="1"/>
    <xf numFmtId="165" fontId="4" fillId="0" borderId="0" xfId="0" applyNumberFormat="1" applyFont="1">
      <alignment vertical="top"/>
    </xf>
    <xf numFmtId="4" fontId="6" fillId="0" borderId="0" xfId="0" applyNumberFormat="1" applyFont="1" applyFill="1">
      <alignment vertical="top"/>
    </xf>
    <xf numFmtId="0" fontId="6" fillId="0" borderId="0" xfId="0" quotePrefix="1" applyFont="1" applyFill="1">
      <alignment vertical="top"/>
    </xf>
    <xf numFmtId="49" fontId="12" fillId="0" borderId="0" xfId="0" applyNumberFormat="1" applyFont="1" applyAlignment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165" fontId="4" fillId="0" borderId="0" xfId="0" applyNumberFormat="1" applyFont="1" applyFill="1" applyAlignment="1">
      <alignment horizontal="left"/>
    </xf>
    <xf numFmtId="9" fontId="5" fillId="0" borderId="0" xfId="0" applyNumberFormat="1" applyFont="1" applyFill="1">
      <alignment vertical="top"/>
    </xf>
    <xf numFmtId="49" fontId="11" fillId="0" borderId="0" xfId="0" applyNumberFormat="1" applyFont="1" applyFill="1">
      <alignment vertical="top"/>
    </xf>
    <xf numFmtId="0" fontId="5" fillId="6" borderId="0" xfId="0" applyFont="1" applyFill="1">
      <alignment vertical="top"/>
    </xf>
    <xf numFmtId="2" fontId="5" fillId="6" borderId="0" xfId="0" applyNumberFormat="1" applyFont="1" applyFill="1">
      <alignment vertical="top"/>
    </xf>
    <xf numFmtId="14" fontId="5" fillId="6" borderId="0" xfId="0" applyNumberFormat="1" applyFont="1" applyFill="1" applyAlignment="1">
      <alignment horizontal="left" vertical="top"/>
    </xf>
    <xf numFmtId="0" fontId="5" fillId="6" borderId="0" xfId="1" applyNumberFormat="1" applyFont="1" applyFill="1">
      <alignment vertical="top"/>
    </xf>
    <xf numFmtId="49" fontId="5" fillId="6" borderId="0" xfId="0" applyNumberFormat="1" applyFont="1" applyFill="1">
      <alignment vertical="top"/>
    </xf>
    <xf numFmtId="0" fontId="5" fillId="6" borderId="0" xfId="0" applyFont="1" applyFill="1" applyAlignment="1">
      <alignment horizontal="left" vertical="top"/>
    </xf>
    <xf numFmtId="0" fontId="5" fillId="6" borderId="2" xfId="0" applyFont="1" applyFill="1" applyBorder="1" applyAlignment="1">
      <alignment horizontal="left" vertical="top"/>
    </xf>
    <xf numFmtId="2" fontId="5" fillId="6" borderId="2" xfId="0" applyNumberFormat="1" applyFont="1" applyFill="1" applyBorder="1">
      <alignment vertical="top"/>
    </xf>
    <xf numFmtId="0" fontId="5" fillId="6" borderId="2" xfId="0" applyFont="1" applyFill="1" applyBorder="1">
      <alignment vertical="top"/>
    </xf>
    <xf numFmtId="166" fontId="5" fillId="6" borderId="2" xfId="0" applyNumberFormat="1" applyFont="1" applyFill="1" applyBorder="1">
      <alignment vertical="top"/>
    </xf>
    <xf numFmtId="14" fontId="5" fillId="6" borderId="2" xfId="0" applyNumberFormat="1" applyFont="1" applyFill="1" applyBorder="1">
      <alignment vertical="top"/>
    </xf>
    <xf numFmtId="43" fontId="0" fillId="0" borderId="0" xfId="0" applyNumberFormat="1" applyAlignment="1"/>
    <xf numFmtId="49" fontId="7" fillId="0" borderId="0" xfId="0" applyNumberFormat="1" applyFont="1" applyAlignment="1"/>
    <xf numFmtId="49" fontId="0" fillId="0" borderId="0" xfId="0" applyNumberFormat="1" applyFill="1" applyAlignment="1">
      <alignment horizontal="left"/>
    </xf>
    <xf numFmtId="0" fontId="4" fillId="0" borderId="0" xfId="0" applyFont="1" applyAlignment="1"/>
    <xf numFmtId="165" fontId="0" fillId="0" borderId="0" xfId="0" applyNumberFormat="1" applyFill="1">
      <alignment vertical="top"/>
    </xf>
    <xf numFmtId="43" fontId="4" fillId="0" borderId="0" xfId="0" applyNumberFormat="1" applyFont="1" applyFill="1">
      <alignment vertical="top"/>
    </xf>
    <xf numFmtId="167" fontId="6" fillId="0" borderId="0" xfId="0" applyNumberFormat="1" applyFont="1" applyFill="1">
      <alignment vertical="top"/>
    </xf>
    <xf numFmtId="0" fontId="5" fillId="0" borderId="0" xfId="0" applyFont="1" applyFill="1" applyAlignment="1">
      <alignment horizontal="right" vertical="top"/>
    </xf>
    <xf numFmtId="0" fontId="1" fillId="2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 vertical="top"/>
    </xf>
    <xf numFmtId="49" fontId="4" fillId="0" borderId="0" xfId="0" applyNumberFormat="1" applyFont="1" applyFill="1">
      <alignment vertical="top"/>
    </xf>
  </cellXfs>
  <cellStyles count="6">
    <cellStyle name="Comma" xfId="1" builtinId="3"/>
    <cellStyle name="Comma 2" xfId="4"/>
    <cellStyle name="Normal" xfId="0" builtinId="0"/>
    <cellStyle name="Normal 2" xfId="2"/>
    <cellStyle name="Normal 3" xfId="3"/>
    <cellStyle name="Note 2" xf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28575</xdr:rowOff>
        </xdr:from>
        <xdr:to>
          <xdr:col>13</xdr:col>
          <xdr:colOff>600075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9525</xdr:rowOff>
        </xdr:from>
        <xdr:to>
          <xdr:col>14</xdr:col>
          <xdr:colOff>9525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0</xdr:row>
          <xdr:rowOff>57150</xdr:rowOff>
        </xdr:from>
        <xdr:to>
          <xdr:col>18</xdr:col>
          <xdr:colOff>457200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Payroll &amp; Ptax Accrual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0</xdr:row>
          <xdr:rowOff>28575</xdr:rowOff>
        </xdr:from>
        <xdr:to>
          <xdr:col>12</xdr:col>
          <xdr:colOff>2219325</xdr:colOff>
          <xdr:row>1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O995"/>
  <sheetViews>
    <sheetView tabSelected="1" workbookViewId="0">
      <pane ySplit="1" topLeftCell="A158" activePane="bottomLeft" state="frozen"/>
      <selection pane="bottomLeft" activeCell="J651" sqref="J651:J995"/>
    </sheetView>
  </sheetViews>
  <sheetFormatPr defaultColWidth="9" defaultRowHeight="12.75" x14ac:dyDescent="0.2"/>
  <cols>
    <col min="1" max="1" width="9.85546875" customWidth="1"/>
    <col min="2" max="2" width="37" customWidth="1"/>
    <col min="3" max="4" width="33.140625" customWidth="1"/>
    <col min="5" max="5" width="18.140625" customWidth="1"/>
    <col min="6" max="6" width="20.5703125" customWidth="1"/>
    <col min="7" max="7" width="12.140625" style="47" customWidth="1"/>
    <col min="8" max="9" width="9.28515625" customWidth="1"/>
    <col min="12" max="12" width="20.42578125" customWidth="1"/>
  </cols>
  <sheetData>
    <row r="1" spans="1:15" s="1" customFormat="1" ht="27.95" customHeight="1" x14ac:dyDescent="0.2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</v>
      </c>
      <c r="G1" s="42" t="s">
        <v>5</v>
      </c>
      <c r="H1" s="42" t="s">
        <v>6</v>
      </c>
      <c r="I1" s="42" t="s">
        <v>7</v>
      </c>
      <c r="L1" s="8" t="s">
        <v>8</v>
      </c>
    </row>
    <row r="2" spans="1:15" x14ac:dyDescent="0.2">
      <c r="A2" s="30">
        <v>18726</v>
      </c>
      <c r="B2" s="30" t="s">
        <v>162</v>
      </c>
      <c r="C2" s="30">
        <v>12010500</v>
      </c>
      <c r="D2" s="30" t="s">
        <v>60</v>
      </c>
      <c r="E2" s="30">
        <v>1</v>
      </c>
      <c r="F2" s="30" t="s">
        <v>11</v>
      </c>
      <c r="G2" s="30">
        <v>4040.1</v>
      </c>
      <c r="H2" s="30">
        <v>653.84</v>
      </c>
      <c r="I2" s="30"/>
      <c r="J2" s="69" t="s">
        <v>12</v>
      </c>
      <c r="K2" s="30"/>
      <c r="L2" s="30" t="str">
        <f t="shared" ref="L2:L65" si="0">C2&amp;"."&amp;G2&amp;J2</f>
        <v>12010500.4040.100</v>
      </c>
      <c r="M2" s="30"/>
      <c r="N2" s="30"/>
      <c r="O2" s="30"/>
    </row>
    <row r="3" spans="1:15" x14ac:dyDescent="0.2">
      <c r="A3" s="30">
        <v>152</v>
      </c>
      <c r="B3" s="30" t="s">
        <v>169</v>
      </c>
      <c r="C3" s="30">
        <v>12010700</v>
      </c>
      <c r="D3" s="30" t="s">
        <v>170</v>
      </c>
      <c r="E3" s="30">
        <v>1</v>
      </c>
      <c r="F3" s="30" t="s">
        <v>11</v>
      </c>
      <c r="G3" s="30">
        <v>4040.1</v>
      </c>
      <c r="H3" s="30">
        <v>769.24</v>
      </c>
      <c r="I3" s="30"/>
      <c r="J3" s="69" t="s">
        <v>12</v>
      </c>
      <c r="K3" s="30"/>
      <c r="L3" s="30" t="str">
        <f t="shared" si="0"/>
        <v>12010700.4040.100</v>
      </c>
      <c r="M3" s="30"/>
      <c r="N3" s="30"/>
      <c r="O3" s="30"/>
    </row>
    <row r="4" spans="1:15" x14ac:dyDescent="0.2">
      <c r="A4" s="30">
        <v>18736</v>
      </c>
      <c r="B4" s="30" t="s">
        <v>70</v>
      </c>
      <c r="C4" s="30">
        <v>12013012</v>
      </c>
      <c r="D4" s="30" t="s">
        <v>71</v>
      </c>
      <c r="E4" s="30">
        <v>1</v>
      </c>
      <c r="F4" s="30" t="s">
        <v>11</v>
      </c>
      <c r="G4" s="30">
        <v>4040.1</v>
      </c>
      <c r="H4" s="30">
        <v>55.59</v>
      </c>
      <c r="I4" s="30"/>
      <c r="J4" s="69" t="s">
        <v>12</v>
      </c>
      <c r="K4" s="30"/>
      <c r="L4" s="30" t="str">
        <f t="shared" si="0"/>
        <v>12013012.4040.100</v>
      </c>
      <c r="M4" s="30"/>
      <c r="N4" s="30"/>
      <c r="O4" s="30"/>
    </row>
    <row r="5" spans="1:15" x14ac:dyDescent="0.2">
      <c r="A5" s="30">
        <v>18988</v>
      </c>
      <c r="B5" s="30" t="s">
        <v>175</v>
      </c>
      <c r="C5" s="30">
        <v>12013250</v>
      </c>
      <c r="D5" s="30" t="s">
        <v>10</v>
      </c>
      <c r="E5" s="30">
        <v>1</v>
      </c>
      <c r="F5" s="30" t="s">
        <v>11</v>
      </c>
      <c r="G5" s="30">
        <v>4040.1</v>
      </c>
      <c r="H5" s="30">
        <v>269.23</v>
      </c>
      <c r="I5" s="30"/>
      <c r="J5" s="69" t="s">
        <v>12</v>
      </c>
      <c r="K5" s="30"/>
      <c r="L5" s="30" t="str">
        <f t="shared" si="0"/>
        <v>12013250.4040.100</v>
      </c>
      <c r="M5" s="30"/>
      <c r="N5" s="30"/>
      <c r="O5" s="30"/>
    </row>
    <row r="6" spans="1:15" x14ac:dyDescent="0.2">
      <c r="A6" s="30">
        <v>220</v>
      </c>
      <c r="B6" s="30" t="s">
        <v>14</v>
      </c>
      <c r="C6" s="30">
        <v>12013300</v>
      </c>
      <c r="D6" s="30" t="s">
        <v>15</v>
      </c>
      <c r="E6" s="30">
        <v>1</v>
      </c>
      <c r="F6" s="30" t="s">
        <v>11</v>
      </c>
      <c r="G6" s="30">
        <v>4040.1</v>
      </c>
      <c r="H6" s="30">
        <v>965.43</v>
      </c>
      <c r="I6" s="30"/>
      <c r="J6" s="69" t="s">
        <v>12</v>
      </c>
      <c r="K6" s="30"/>
      <c r="L6" s="30" t="str">
        <f t="shared" si="0"/>
        <v>12013300.4040.100</v>
      </c>
      <c r="M6" s="30"/>
      <c r="N6" s="30"/>
      <c r="O6" s="30"/>
    </row>
    <row r="7" spans="1:15" x14ac:dyDescent="0.2">
      <c r="A7" s="30">
        <v>18948</v>
      </c>
      <c r="B7" s="30" t="s">
        <v>142</v>
      </c>
      <c r="C7" s="30">
        <v>12018099</v>
      </c>
      <c r="D7" s="30" t="s">
        <v>17</v>
      </c>
      <c r="E7" s="30">
        <v>1</v>
      </c>
      <c r="F7" s="30" t="s">
        <v>11</v>
      </c>
      <c r="G7" s="30">
        <v>4040.1</v>
      </c>
      <c r="H7" s="30">
        <v>1046.1600000000001</v>
      </c>
      <c r="I7" s="30"/>
      <c r="J7" s="69" t="s">
        <v>12</v>
      </c>
      <c r="K7" s="30"/>
      <c r="L7" s="30" t="str">
        <f t="shared" si="0"/>
        <v>12018099.4040.100</v>
      </c>
      <c r="M7" s="30"/>
      <c r="N7" s="30"/>
      <c r="O7" s="30"/>
    </row>
    <row r="8" spans="1:15" x14ac:dyDescent="0.2">
      <c r="A8" s="30">
        <v>18853</v>
      </c>
      <c r="B8" s="30" t="s">
        <v>146</v>
      </c>
      <c r="C8" s="30">
        <v>12019199</v>
      </c>
      <c r="D8" s="30" t="s">
        <v>147</v>
      </c>
      <c r="E8" s="30">
        <v>1</v>
      </c>
      <c r="F8" s="30" t="s">
        <v>11</v>
      </c>
      <c r="G8" s="30">
        <v>4040.1</v>
      </c>
      <c r="H8" s="30">
        <v>607.04999999999995</v>
      </c>
      <c r="I8" s="30"/>
      <c r="J8" s="69" t="s">
        <v>12</v>
      </c>
      <c r="K8" s="30"/>
      <c r="L8" s="30" t="str">
        <f t="shared" si="0"/>
        <v>12019199.4040.100</v>
      </c>
      <c r="M8" s="30"/>
      <c r="N8" s="30"/>
      <c r="O8" s="30"/>
    </row>
    <row r="9" spans="1:15" x14ac:dyDescent="0.2">
      <c r="A9" s="30">
        <v>19003</v>
      </c>
      <c r="B9" s="30" t="s">
        <v>388</v>
      </c>
      <c r="C9" s="30">
        <v>12019199</v>
      </c>
      <c r="D9" s="30" t="s">
        <v>147</v>
      </c>
      <c r="E9" s="30">
        <v>1</v>
      </c>
      <c r="F9" s="30" t="s">
        <v>11</v>
      </c>
      <c r="G9" s="30">
        <v>4040.1</v>
      </c>
      <c r="H9" s="30">
        <v>311.54000000000002</v>
      </c>
      <c r="I9" s="30"/>
      <c r="J9" s="69" t="s">
        <v>12</v>
      </c>
      <c r="K9" s="30"/>
      <c r="L9" s="30" t="str">
        <f t="shared" si="0"/>
        <v>12019199.4040.100</v>
      </c>
      <c r="M9" s="30"/>
      <c r="N9" s="30"/>
      <c r="O9" s="30"/>
    </row>
    <row r="10" spans="1:15" x14ac:dyDescent="0.2">
      <c r="A10" s="30">
        <v>18741</v>
      </c>
      <c r="B10" s="30" t="s">
        <v>179</v>
      </c>
      <c r="C10" s="30">
        <v>12019199</v>
      </c>
      <c r="D10" s="30" t="s">
        <v>147</v>
      </c>
      <c r="E10" s="30">
        <v>1</v>
      </c>
      <c r="F10" s="30" t="s">
        <v>11</v>
      </c>
      <c r="G10" s="30">
        <v>4040.1</v>
      </c>
      <c r="H10" s="30">
        <v>653.84</v>
      </c>
      <c r="I10" s="30"/>
      <c r="J10" s="69" t="s">
        <v>12</v>
      </c>
      <c r="K10" s="30"/>
      <c r="L10" s="30" t="str">
        <f t="shared" si="0"/>
        <v>12019199.4040.100</v>
      </c>
      <c r="M10" s="30"/>
      <c r="N10" s="30"/>
      <c r="O10" s="30"/>
    </row>
    <row r="11" spans="1:15" x14ac:dyDescent="0.2">
      <c r="A11" s="30">
        <v>19022</v>
      </c>
      <c r="B11" s="30" t="s">
        <v>113</v>
      </c>
      <c r="C11" s="30">
        <v>12019199</v>
      </c>
      <c r="D11" s="30" t="s">
        <v>147</v>
      </c>
      <c r="E11" s="30">
        <v>1</v>
      </c>
      <c r="F11" s="30" t="s">
        <v>11</v>
      </c>
      <c r="G11" s="30">
        <v>4040.1</v>
      </c>
      <c r="H11" s="30">
        <v>1338.46</v>
      </c>
      <c r="I11" s="30"/>
      <c r="J11" s="69" t="s">
        <v>12</v>
      </c>
      <c r="K11" s="30"/>
      <c r="L11" s="30" t="str">
        <f t="shared" si="0"/>
        <v>12019199.4040.100</v>
      </c>
      <c r="M11" s="30"/>
      <c r="N11" s="30"/>
      <c r="O11" s="30"/>
    </row>
    <row r="12" spans="1:15" x14ac:dyDescent="0.2">
      <c r="A12" s="30">
        <v>18550</v>
      </c>
      <c r="B12" s="30" t="s">
        <v>165</v>
      </c>
      <c r="C12" s="30">
        <v>12019199</v>
      </c>
      <c r="D12" s="30" t="s">
        <v>147</v>
      </c>
      <c r="E12" s="30">
        <v>1</v>
      </c>
      <c r="F12" s="30" t="s">
        <v>11</v>
      </c>
      <c r="G12" s="30">
        <v>4040.1</v>
      </c>
      <c r="H12" s="30">
        <v>379.13</v>
      </c>
      <c r="I12" s="30"/>
      <c r="J12" s="69" t="s">
        <v>12</v>
      </c>
      <c r="K12" s="30"/>
      <c r="L12" s="30" t="str">
        <f t="shared" si="0"/>
        <v>12019199.4040.100</v>
      </c>
      <c r="M12" s="30"/>
      <c r="N12" s="30"/>
      <c r="O12" s="30"/>
    </row>
    <row r="13" spans="1:15" x14ac:dyDescent="0.2">
      <c r="A13" s="30">
        <v>18589</v>
      </c>
      <c r="B13" s="30" t="s">
        <v>75</v>
      </c>
      <c r="C13" s="30">
        <v>12020611</v>
      </c>
      <c r="D13" s="30" t="s">
        <v>23</v>
      </c>
      <c r="E13" s="30">
        <v>1</v>
      </c>
      <c r="F13" s="30" t="s">
        <v>11</v>
      </c>
      <c r="G13" s="30">
        <v>4040.1</v>
      </c>
      <c r="H13" s="30">
        <v>444.74</v>
      </c>
      <c r="I13" s="30"/>
      <c r="J13" s="69" t="s">
        <v>12</v>
      </c>
      <c r="K13" s="30"/>
      <c r="L13" s="30" t="str">
        <f t="shared" si="0"/>
        <v>12020611.4040.100</v>
      </c>
      <c r="M13" s="30"/>
      <c r="N13" s="30"/>
      <c r="O13" s="30"/>
    </row>
    <row r="14" spans="1:15" x14ac:dyDescent="0.2">
      <c r="A14" s="30">
        <v>18630</v>
      </c>
      <c r="B14" s="30" t="s">
        <v>204</v>
      </c>
      <c r="C14" s="30">
        <v>12020800</v>
      </c>
      <c r="D14" s="30" t="s">
        <v>27</v>
      </c>
      <c r="E14" s="30">
        <v>1</v>
      </c>
      <c r="F14" s="30" t="s">
        <v>11</v>
      </c>
      <c r="G14" s="30">
        <v>4040.1</v>
      </c>
      <c r="H14" s="30">
        <v>196.05</v>
      </c>
      <c r="I14" s="30"/>
      <c r="J14" s="69" t="s">
        <v>12</v>
      </c>
      <c r="K14" s="30"/>
      <c r="L14" s="30" t="str">
        <f t="shared" si="0"/>
        <v>12020800.4040.100</v>
      </c>
      <c r="M14" s="30"/>
      <c r="N14" s="30"/>
      <c r="O14" s="30"/>
    </row>
    <row r="15" spans="1:15" x14ac:dyDescent="0.2">
      <c r="A15" s="30">
        <v>18687</v>
      </c>
      <c r="B15" s="30" t="s">
        <v>83</v>
      </c>
      <c r="C15" s="30">
        <v>12021021</v>
      </c>
      <c r="D15" s="30" t="s">
        <v>29</v>
      </c>
      <c r="E15" s="30">
        <v>1</v>
      </c>
      <c r="F15" s="30" t="s">
        <v>11</v>
      </c>
      <c r="G15" s="30">
        <v>4040.1</v>
      </c>
      <c r="H15" s="30">
        <v>2268.2600000000002</v>
      </c>
      <c r="I15" s="30"/>
      <c r="J15" s="69" t="s">
        <v>12</v>
      </c>
      <c r="K15" s="30"/>
      <c r="L15" s="30" t="str">
        <f t="shared" si="0"/>
        <v>12021021.4040.100</v>
      </c>
      <c r="M15" s="30"/>
      <c r="N15" s="30"/>
      <c r="O15" s="30"/>
    </row>
    <row r="16" spans="1:15" x14ac:dyDescent="0.2">
      <c r="A16" s="30">
        <v>19033</v>
      </c>
      <c r="B16" s="30" t="s">
        <v>389</v>
      </c>
      <c r="C16" s="30">
        <v>12021021</v>
      </c>
      <c r="D16" s="30" t="s">
        <v>29</v>
      </c>
      <c r="E16" s="30">
        <v>1</v>
      </c>
      <c r="F16" s="30" t="s">
        <v>11</v>
      </c>
      <c r="G16" s="30">
        <v>4040.1</v>
      </c>
      <c r="H16" s="30">
        <v>180.54</v>
      </c>
      <c r="I16" s="30"/>
      <c r="J16" s="69" t="s">
        <v>12</v>
      </c>
      <c r="K16" s="30"/>
      <c r="L16" s="30" t="str">
        <f t="shared" si="0"/>
        <v>12021021.4040.100</v>
      </c>
      <c r="M16" s="30"/>
      <c r="N16" s="30"/>
      <c r="O16" s="30"/>
    </row>
    <row r="17" spans="1:15" x14ac:dyDescent="0.2">
      <c r="A17" s="30">
        <v>18781</v>
      </c>
      <c r="B17" s="30" t="s">
        <v>82</v>
      </c>
      <c r="C17" s="30">
        <v>12021021</v>
      </c>
      <c r="D17" s="30" t="s">
        <v>29</v>
      </c>
      <c r="E17" s="30">
        <v>1</v>
      </c>
      <c r="F17" s="30" t="s">
        <v>11</v>
      </c>
      <c r="G17" s="30">
        <v>4040.1</v>
      </c>
      <c r="H17" s="30">
        <v>2822.7</v>
      </c>
      <c r="I17" s="30"/>
      <c r="J17" s="69" t="s">
        <v>12</v>
      </c>
      <c r="K17" s="30"/>
      <c r="L17" s="30" t="str">
        <f t="shared" si="0"/>
        <v>12021021.4040.100</v>
      </c>
      <c r="M17" s="30"/>
      <c r="N17" s="30"/>
      <c r="O17" s="30"/>
    </row>
    <row r="18" spans="1:15" x14ac:dyDescent="0.2">
      <c r="A18" s="30">
        <v>18559</v>
      </c>
      <c r="B18" s="30" t="s">
        <v>87</v>
      </c>
      <c r="C18" s="30">
        <v>12021021</v>
      </c>
      <c r="D18" s="30" t="s">
        <v>29</v>
      </c>
      <c r="E18" s="30">
        <v>1</v>
      </c>
      <c r="F18" s="30" t="s">
        <v>11</v>
      </c>
      <c r="G18" s="30">
        <v>4040.1</v>
      </c>
      <c r="H18" s="30">
        <v>4442.32</v>
      </c>
      <c r="I18" s="30"/>
      <c r="J18" s="69" t="s">
        <v>12</v>
      </c>
      <c r="K18" s="30"/>
      <c r="L18" s="30" t="str">
        <f t="shared" si="0"/>
        <v>12021021.4040.100</v>
      </c>
      <c r="M18" s="30"/>
      <c r="N18" s="30"/>
      <c r="O18" s="30"/>
    </row>
    <row r="19" spans="1:15" x14ac:dyDescent="0.2">
      <c r="A19" s="30">
        <v>18659</v>
      </c>
      <c r="B19" s="30" t="s">
        <v>88</v>
      </c>
      <c r="C19" s="30">
        <v>12021021</v>
      </c>
      <c r="D19" s="30" t="s">
        <v>29</v>
      </c>
      <c r="E19" s="30">
        <v>1</v>
      </c>
      <c r="F19" s="30" t="s">
        <v>11</v>
      </c>
      <c r="G19" s="30">
        <v>4040.1</v>
      </c>
      <c r="H19" s="30">
        <v>236.27</v>
      </c>
      <c r="I19" s="30"/>
      <c r="J19" s="69" t="s">
        <v>12</v>
      </c>
      <c r="K19" s="30"/>
      <c r="L19" s="30" t="str">
        <f t="shared" si="0"/>
        <v>12021021.4040.100</v>
      </c>
      <c r="M19" s="30"/>
      <c r="N19" s="30"/>
      <c r="O19" s="30"/>
    </row>
    <row r="20" spans="1:15" x14ac:dyDescent="0.2">
      <c r="A20" s="30">
        <v>141</v>
      </c>
      <c r="B20" s="30" t="s">
        <v>185</v>
      </c>
      <c r="C20" s="30">
        <v>12022511</v>
      </c>
      <c r="D20" s="30" t="s">
        <v>32</v>
      </c>
      <c r="E20" s="30">
        <v>1</v>
      </c>
      <c r="F20" s="30" t="s">
        <v>11</v>
      </c>
      <c r="G20" s="30">
        <v>4040.1</v>
      </c>
      <c r="H20" s="30">
        <v>361.08</v>
      </c>
      <c r="I20" s="30"/>
      <c r="J20" s="69" t="s">
        <v>12</v>
      </c>
      <c r="K20" s="30"/>
      <c r="L20" s="30" t="str">
        <f t="shared" si="0"/>
        <v>12022511.4040.100</v>
      </c>
      <c r="M20" s="30"/>
      <c r="N20" s="30"/>
      <c r="O20" s="30"/>
    </row>
    <row r="21" spans="1:15" x14ac:dyDescent="0.2">
      <c r="A21" s="30">
        <v>11229</v>
      </c>
      <c r="B21" s="30" t="s">
        <v>31</v>
      </c>
      <c r="C21" s="30">
        <v>12022511</v>
      </c>
      <c r="D21" s="30" t="s">
        <v>32</v>
      </c>
      <c r="E21" s="30">
        <v>1</v>
      </c>
      <c r="F21" s="30" t="s">
        <v>11</v>
      </c>
      <c r="G21" s="30">
        <v>4040.1</v>
      </c>
      <c r="H21" s="30">
        <v>299.32</v>
      </c>
      <c r="I21" s="30"/>
      <c r="J21" s="69" t="s">
        <v>12</v>
      </c>
      <c r="K21" s="30"/>
      <c r="L21" s="30" t="str">
        <f t="shared" si="0"/>
        <v>12022511.4040.100</v>
      </c>
      <c r="M21" s="30"/>
      <c r="N21" s="30"/>
      <c r="O21" s="30"/>
    </row>
    <row r="22" spans="1:15" x14ac:dyDescent="0.2">
      <c r="A22" s="30">
        <v>18961</v>
      </c>
      <c r="B22" s="30" t="s">
        <v>90</v>
      </c>
      <c r="C22" s="30">
        <v>12022511</v>
      </c>
      <c r="D22" s="30" t="s">
        <v>32</v>
      </c>
      <c r="E22" s="30">
        <v>1</v>
      </c>
      <c r="F22" s="30" t="s">
        <v>11</v>
      </c>
      <c r="G22" s="30">
        <v>4040.1</v>
      </c>
      <c r="H22" s="30">
        <v>196.05</v>
      </c>
      <c r="I22" s="30"/>
      <c r="J22" s="69" t="s">
        <v>12</v>
      </c>
      <c r="K22" s="30"/>
      <c r="L22" s="30" t="str">
        <f t="shared" si="0"/>
        <v>12022511.4040.100</v>
      </c>
      <c r="M22" s="30"/>
      <c r="N22" s="30"/>
      <c r="O22" s="30"/>
    </row>
    <row r="23" spans="1:15" x14ac:dyDescent="0.2">
      <c r="A23" s="30">
        <v>19007</v>
      </c>
      <c r="B23" s="30" t="s">
        <v>189</v>
      </c>
      <c r="C23" s="30">
        <v>12023011</v>
      </c>
      <c r="D23" s="30" t="s">
        <v>93</v>
      </c>
      <c r="E23" s="30">
        <v>1</v>
      </c>
      <c r="F23" s="30" t="s">
        <v>11</v>
      </c>
      <c r="G23" s="30">
        <v>4040.1</v>
      </c>
      <c r="H23" s="30">
        <v>51.59</v>
      </c>
      <c r="I23" s="30"/>
      <c r="J23" s="69" t="s">
        <v>12</v>
      </c>
      <c r="K23" s="30"/>
      <c r="L23" s="30" t="str">
        <f t="shared" si="0"/>
        <v>12023011.4040.100</v>
      </c>
      <c r="M23" s="30"/>
      <c r="N23" s="30"/>
      <c r="O23" s="30"/>
    </row>
    <row r="24" spans="1:15" x14ac:dyDescent="0.2">
      <c r="A24" s="30">
        <v>19032</v>
      </c>
      <c r="B24" s="30" t="s">
        <v>386</v>
      </c>
      <c r="C24" s="30">
        <v>12023011</v>
      </c>
      <c r="D24" s="30" t="s">
        <v>93</v>
      </c>
      <c r="E24" s="30">
        <v>1</v>
      </c>
      <c r="F24" s="30" t="s">
        <v>11</v>
      </c>
      <c r="G24" s="30">
        <v>4040.1</v>
      </c>
      <c r="H24" s="30">
        <v>196.05</v>
      </c>
      <c r="I24" s="30"/>
      <c r="J24" s="69" t="s">
        <v>12</v>
      </c>
      <c r="K24" s="30"/>
      <c r="L24" s="30" t="str">
        <f t="shared" si="0"/>
        <v>12023011.4040.100</v>
      </c>
      <c r="M24" s="30"/>
      <c r="N24" s="30"/>
      <c r="O24" s="30"/>
    </row>
    <row r="25" spans="1:15" x14ac:dyDescent="0.2">
      <c r="A25" s="30">
        <v>19038</v>
      </c>
      <c r="B25" s="30" t="s">
        <v>449</v>
      </c>
      <c r="C25" s="30">
        <v>12023021</v>
      </c>
      <c r="D25" s="30" t="s">
        <v>98</v>
      </c>
      <c r="E25" s="30">
        <v>1</v>
      </c>
      <c r="F25" s="30" t="s">
        <v>11</v>
      </c>
      <c r="G25" s="30">
        <v>4040.1</v>
      </c>
      <c r="H25" s="30">
        <v>326.92</v>
      </c>
      <c r="I25" s="30"/>
      <c r="J25" s="69" t="s">
        <v>12</v>
      </c>
      <c r="K25" s="30"/>
      <c r="L25" s="30" t="str">
        <f t="shared" si="0"/>
        <v>12023021.4040.100</v>
      </c>
      <c r="M25" s="30"/>
      <c r="N25" s="30"/>
      <c r="O25" s="30"/>
    </row>
    <row r="26" spans="1:15" x14ac:dyDescent="0.2">
      <c r="A26" s="30">
        <v>18581</v>
      </c>
      <c r="B26" s="30" t="s">
        <v>190</v>
      </c>
      <c r="C26" s="30">
        <v>12024021</v>
      </c>
      <c r="D26" s="30" t="s">
        <v>191</v>
      </c>
      <c r="E26" s="30">
        <v>1</v>
      </c>
      <c r="F26" s="30" t="s">
        <v>11</v>
      </c>
      <c r="G26" s="30">
        <v>4040.1</v>
      </c>
      <c r="H26" s="30">
        <v>1265.04</v>
      </c>
      <c r="I26" s="30"/>
      <c r="J26" s="69" t="s">
        <v>12</v>
      </c>
      <c r="K26" s="30"/>
      <c r="L26" s="30" t="str">
        <f t="shared" si="0"/>
        <v>12024021.4040.100</v>
      </c>
      <c r="M26" s="30"/>
      <c r="N26" s="30"/>
      <c r="O26" s="30"/>
    </row>
    <row r="27" spans="1:15" x14ac:dyDescent="0.2">
      <c r="A27" s="30">
        <v>44705</v>
      </c>
      <c r="B27" s="30" t="s">
        <v>149</v>
      </c>
      <c r="C27" s="30">
        <v>12028099</v>
      </c>
      <c r="D27" s="30" t="s">
        <v>150</v>
      </c>
      <c r="E27" s="30">
        <v>1</v>
      </c>
      <c r="F27" s="30" t="s">
        <v>11</v>
      </c>
      <c r="G27" s="30">
        <v>4040.1</v>
      </c>
      <c r="H27" s="30">
        <v>821.86</v>
      </c>
      <c r="I27" s="30"/>
      <c r="J27" s="69" t="s">
        <v>12</v>
      </c>
      <c r="K27" s="30"/>
      <c r="L27" s="30" t="str">
        <f t="shared" si="0"/>
        <v>12028099.4040.100</v>
      </c>
      <c r="M27" s="30"/>
      <c r="N27" s="30"/>
      <c r="O27" s="30"/>
    </row>
    <row r="28" spans="1:15" x14ac:dyDescent="0.2">
      <c r="A28" s="30">
        <v>18805</v>
      </c>
      <c r="B28" s="30" t="s">
        <v>192</v>
      </c>
      <c r="C28" s="30">
        <v>12030400</v>
      </c>
      <c r="D28" s="30" t="s">
        <v>62</v>
      </c>
      <c r="E28" s="30">
        <v>1</v>
      </c>
      <c r="F28" s="30" t="s">
        <v>11</v>
      </c>
      <c r="G28" s="30">
        <v>4040.1</v>
      </c>
      <c r="H28" s="30">
        <v>461.54</v>
      </c>
      <c r="I28" s="30"/>
      <c r="J28" s="69" t="s">
        <v>12</v>
      </c>
      <c r="K28" s="30"/>
      <c r="L28" s="30" t="str">
        <f t="shared" si="0"/>
        <v>12030400.4040.100</v>
      </c>
      <c r="M28" s="30"/>
      <c r="N28" s="30"/>
      <c r="O28" s="30"/>
    </row>
    <row r="29" spans="1:15" x14ac:dyDescent="0.2">
      <c r="A29" s="30">
        <v>266</v>
      </c>
      <c r="B29" s="30" t="s">
        <v>194</v>
      </c>
      <c r="C29" s="30">
        <v>12030500</v>
      </c>
      <c r="D29" s="30" t="s">
        <v>34</v>
      </c>
      <c r="E29" s="30">
        <v>1</v>
      </c>
      <c r="F29" s="30" t="s">
        <v>11</v>
      </c>
      <c r="G29" s="30">
        <v>4040.1</v>
      </c>
      <c r="H29" s="30">
        <v>495.16</v>
      </c>
      <c r="I29" s="30"/>
      <c r="J29" s="69" t="s">
        <v>12</v>
      </c>
      <c r="K29" s="30"/>
      <c r="L29" s="30" t="str">
        <f t="shared" si="0"/>
        <v>12030500.4040.100</v>
      </c>
      <c r="M29" s="30"/>
      <c r="N29" s="30"/>
      <c r="O29" s="30"/>
    </row>
    <row r="30" spans="1:15" x14ac:dyDescent="0.2">
      <c r="A30" s="30">
        <v>302</v>
      </c>
      <c r="B30" s="30" t="s">
        <v>33</v>
      </c>
      <c r="C30" s="30">
        <v>12030500</v>
      </c>
      <c r="D30" s="30" t="s">
        <v>34</v>
      </c>
      <c r="E30" s="30">
        <v>1</v>
      </c>
      <c r="F30" s="30" t="s">
        <v>11</v>
      </c>
      <c r="G30" s="30">
        <v>4040.1</v>
      </c>
      <c r="H30" s="30">
        <v>1143.26</v>
      </c>
      <c r="I30" s="30"/>
      <c r="J30" s="69" t="s">
        <v>12</v>
      </c>
      <c r="K30" s="30"/>
      <c r="L30" s="30" t="str">
        <f t="shared" si="0"/>
        <v>12030500.4040.100</v>
      </c>
      <c r="M30" s="30"/>
      <c r="N30" s="30"/>
      <c r="O30" s="30"/>
    </row>
    <row r="31" spans="1:15" x14ac:dyDescent="0.2">
      <c r="A31" s="30">
        <v>18822</v>
      </c>
      <c r="B31" s="30" t="s">
        <v>103</v>
      </c>
      <c r="C31" s="30">
        <v>12030611</v>
      </c>
      <c r="D31" s="30" t="s">
        <v>36</v>
      </c>
      <c r="E31" s="30">
        <v>1</v>
      </c>
      <c r="F31" s="30" t="s">
        <v>11</v>
      </c>
      <c r="G31" s="30">
        <v>4040.1</v>
      </c>
      <c r="H31" s="30">
        <v>196.05</v>
      </c>
      <c r="I31" s="30"/>
      <c r="J31" s="69" t="s">
        <v>12</v>
      </c>
      <c r="K31" s="30"/>
      <c r="L31" s="30" t="str">
        <f t="shared" si="0"/>
        <v>12030611.4040.100</v>
      </c>
      <c r="M31" s="30"/>
      <c r="N31" s="30"/>
      <c r="O31" s="30"/>
    </row>
    <row r="32" spans="1:15" x14ac:dyDescent="0.2">
      <c r="A32" s="30">
        <v>18979</v>
      </c>
      <c r="B32" s="30" t="s">
        <v>39</v>
      </c>
      <c r="C32" s="30">
        <v>12030611</v>
      </c>
      <c r="D32" s="30" t="s">
        <v>36</v>
      </c>
      <c r="E32" s="30">
        <v>1</v>
      </c>
      <c r="F32" s="30" t="s">
        <v>11</v>
      </c>
      <c r="G32" s="30">
        <v>4040.1</v>
      </c>
      <c r="H32" s="30">
        <v>174.78</v>
      </c>
      <c r="I32" s="30"/>
      <c r="J32" s="69" t="s">
        <v>12</v>
      </c>
      <c r="K32" s="30"/>
      <c r="L32" s="30" t="str">
        <f t="shared" si="0"/>
        <v>12030611.4040.100</v>
      </c>
      <c r="M32" s="30"/>
      <c r="N32" s="30"/>
      <c r="O32" s="30"/>
    </row>
    <row r="33" spans="1:15" x14ac:dyDescent="0.2">
      <c r="A33" s="30">
        <v>18736</v>
      </c>
      <c r="B33" s="30" t="s">
        <v>70</v>
      </c>
      <c r="C33" s="30">
        <v>12032511</v>
      </c>
      <c r="D33" s="30" t="s">
        <v>43</v>
      </c>
      <c r="E33" s="30">
        <v>1</v>
      </c>
      <c r="F33" s="30" t="s">
        <v>11</v>
      </c>
      <c r="G33" s="30">
        <v>4040.1</v>
      </c>
      <c r="H33" s="30">
        <v>166.78</v>
      </c>
      <c r="I33" s="30"/>
      <c r="J33" s="69" t="s">
        <v>12</v>
      </c>
      <c r="K33" s="30"/>
      <c r="L33" s="30" t="str">
        <f t="shared" si="0"/>
        <v>12032511.4040.100</v>
      </c>
      <c r="M33" s="30"/>
      <c r="N33" s="30"/>
      <c r="O33" s="30"/>
    </row>
    <row r="34" spans="1:15" x14ac:dyDescent="0.2">
      <c r="A34" s="30">
        <v>18932</v>
      </c>
      <c r="B34" s="30" t="s">
        <v>44</v>
      </c>
      <c r="C34" s="30">
        <v>12033011</v>
      </c>
      <c r="D34" s="30" t="s">
        <v>45</v>
      </c>
      <c r="E34" s="30">
        <v>1</v>
      </c>
      <c r="F34" s="30" t="s">
        <v>11</v>
      </c>
      <c r="G34" s="30">
        <v>4040.1</v>
      </c>
      <c r="H34" s="30">
        <v>889.48</v>
      </c>
      <c r="I34" s="30"/>
      <c r="J34" s="69" t="s">
        <v>12</v>
      </c>
      <c r="K34" s="30"/>
      <c r="L34" s="30" t="str">
        <f t="shared" si="0"/>
        <v>12033011.4040.100</v>
      </c>
      <c r="M34" s="30"/>
      <c r="N34" s="30"/>
      <c r="O34" s="30"/>
    </row>
    <row r="35" spans="1:15" x14ac:dyDescent="0.2">
      <c r="A35" s="30">
        <v>19019</v>
      </c>
      <c r="B35" s="30" t="s">
        <v>108</v>
      </c>
      <c r="C35" s="30">
        <v>12033011</v>
      </c>
      <c r="D35" s="30" t="s">
        <v>45</v>
      </c>
      <c r="E35" s="30">
        <v>1</v>
      </c>
      <c r="F35" s="30" t="s">
        <v>11</v>
      </c>
      <c r="G35" s="30">
        <v>4040.1</v>
      </c>
      <c r="H35" s="30">
        <v>95.02</v>
      </c>
      <c r="I35" s="30"/>
      <c r="J35" s="69" t="s">
        <v>12</v>
      </c>
      <c r="K35" s="30"/>
      <c r="L35" s="30" t="str">
        <f t="shared" si="0"/>
        <v>12033011.4040.100</v>
      </c>
      <c r="M35" s="30"/>
      <c r="N35" s="30"/>
      <c r="O35" s="30"/>
    </row>
    <row r="36" spans="1:15" x14ac:dyDescent="0.2">
      <c r="A36" s="30">
        <v>19015</v>
      </c>
      <c r="B36" s="30" t="s">
        <v>116</v>
      </c>
      <c r="C36" s="30">
        <v>12033011</v>
      </c>
      <c r="D36" s="30" t="s">
        <v>45</v>
      </c>
      <c r="E36" s="30">
        <v>1</v>
      </c>
      <c r="F36" s="30" t="s">
        <v>11</v>
      </c>
      <c r="G36" s="30">
        <v>4040.1</v>
      </c>
      <c r="H36" s="30">
        <v>95.02</v>
      </c>
      <c r="I36" s="30"/>
      <c r="J36" s="69" t="s">
        <v>12</v>
      </c>
      <c r="K36" s="30"/>
      <c r="L36" s="30" t="str">
        <f t="shared" si="0"/>
        <v>12033011.4040.100</v>
      </c>
      <c r="M36" s="30"/>
      <c r="N36" s="30"/>
      <c r="O36" s="30"/>
    </row>
    <row r="37" spans="1:15" x14ac:dyDescent="0.2">
      <c r="A37" s="30">
        <v>18923</v>
      </c>
      <c r="B37" s="30" t="s">
        <v>46</v>
      </c>
      <c r="C37" s="30">
        <v>12033011</v>
      </c>
      <c r="D37" s="30" t="s">
        <v>45</v>
      </c>
      <c r="E37" s="30">
        <v>1</v>
      </c>
      <c r="F37" s="30" t="s">
        <v>11</v>
      </c>
      <c r="G37" s="30">
        <v>4040.1</v>
      </c>
      <c r="H37" s="30">
        <v>349.56</v>
      </c>
      <c r="I37" s="30"/>
      <c r="J37" s="69" t="s">
        <v>12</v>
      </c>
      <c r="K37" s="30"/>
      <c r="L37" s="30" t="str">
        <f t="shared" si="0"/>
        <v>12033011.4040.100</v>
      </c>
      <c r="M37" s="30"/>
      <c r="N37" s="30"/>
      <c r="O37" s="30"/>
    </row>
    <row r="38" spans="1:15" x14ac:dyDescent="0.2">
      <c r="A38" s="30">
        <v>18998</v>
      </c>
      <c r="B38" s="30" t="s">
        <v>47</v>
      </c>
      <c r="C38" s="30">
        <v>12038099</v>
      </c>
      <c r="D38" s="30" t="s">
        <v>48</v>
      </c>
      <c r="E38" s="30">
        <v>1</v>
      </c>
      <c r="F38" s="30" t="s">
        <v>11</v>
      </c>
      <c r="G38" s="30">
        <v>4040.1</v>
      </c>
      <c r="H38" s="30">
        <v>1153.8499999999999</v>
      </c>
      <c r="I38" s="30"/>
      <c r="J38" s="69" t="s">
        <v>12</v>
      </c>
      <c r="K38" s="30"/>
      <c r="L38" s="30" t="str">
        <f t="shared" si="0"/>
        <v>12038099.4040.100</v>
      </c>
      <c r="M38" s="30"/>
      <c r="N38" s="30"/>
      <c r="O38" s="30"/>
    </row>
    <row r="39" spans="1:15" x14ac:dyDescent="0.2">
      <c r="A39" s="30">
        <v>18904</v>
      </c>
      <c r="B39" s="30" t="s">
        <v>119</v>
      </c>
      <c r="C39" s="30">
        <v>12040800</v>
      </c>
      <c r="D39" s="30" t="s">
        <v>120</v>
      </c>
      <c r="E39" s="30">
        <v>1</v>
      </c>
      <c r="F39" s="30" t="s">
        <v>11</v>
      </c>
      <c r="G39" s="30">
        <v>4040.1</v>
      </c>
      <c r="H39" s="30">
        <v>980.23</v>
      </c>
      <c r="I39" s="30"/>
      <c r="J39" s="69" t="s">
        <v>12</v>
      </c>
      <c r="K39" s="30"/>
      <c r="L39" s="30" t="str">
        <f t="shared" si="0"/>
        <v>12040800.4040.100</v>
      </c>
      <c r="M39" s="30"/>
      <c r="N39" s="30"/>
      <c r="O39" s="30"/>
    </row>
    <row r="40" spans="1:15" x14ac:dyDescent="0.2">
      <c r="A40" s="30">
        <v>18650</v>
      </c>
      <c r="B40" s="30" t="s">
        <v>49</v>
      </c>
      <c r="C40" s="30">
        <v>12042511</v>
      </c>
      <c r="D40" s="30" t="s">
        <v>50</v>
      </c>
      <c r="E40" s="30">
        <v>1</v>
      </c>
      <c r="F40" s="30" t="s">
        <v>11</v>
      </c>
      <c r="G40" s="30">
        <v>4040.1</v>
      </c>
      <c r="H40" s="30">
        <v>465.02</v>
      </c>
      <c r="I40" s="30"/>
      <c r="J40" s="69" t="s">
        <v>12</v>
      </c>
      <c r="K40" s="30"/>
      <c r="L40" s="30" t="str">
        <f t="shared" si="0"/>
        <v>12042511.4040.100</v>
      </c>
      <c r="M40" s="30"/>
      <c r="N40" s="30"/>
      <c r="O40" s="30"/>
    </row>
    <row r="41" spans="1:15" x14ac:dyDescent="0.2">
      <c r="A41" s="30">
        <v>18850</v>
      </c>
      <c r="B41" s="30" t="s">
        <v>123</v>
      </c>
      <c r="C41" s="30">
        <v>12043011</v>
      </c>
      <c r="D41" s="30" t="s">
        <v>52</v>
      </c>
      <c r="E41" s="30">
        <v>1</v>
      </c>
      <c r="F41" s="30" t="s">
        <v>11</v>
      </c>
      <c r="G41" s="30">
        <v>4040.1</v>
      </c>
      <c r="H41" s="30">
        <v>3029.33</v>
      </c>
      <c r="I41" s="30"/>
      <c r="J41" s="69" t="s">
        <v>12</v>
      </c>
      <c r="K41" s="30"/>
      <c r="L41" s="30" t="str">
        <f t="shared" si="0"/>
        <v>12043011.4040.100</v>
      </c>
      <c r="M41" s="30"/>
      <c r="N41" s="30"/>
      <c r="O41" s="30"/>
    </row>
    <row r="42" spans="1:15" x14ac:dyDescent="0.2">
      <c r="A42" s="30">
        <v>18990</v>
      </c>
      <c r="B42" s="30" t="s">
        <v>125</v>
      </c>
      <c r="C42" s="30">
        <v>12043011</v>
      </c>
      <c r="D42" s="30" t="s">
        <v>52</v>
      </c>
      <c r="E42" s="30">
        <v>1</v>
      </c>
      <c r="F42" s="30" t="s">
        <v>11</v>
      </c>
      <c r="G42" s="30">
        <v>4040.1</v>
      </c>
      <c r="H42" s="30">
        <v>541.62</v>
      </c>
      <c r="I42" s="30"/>
      <c r="J42" s="69" t="s">
        <v>12</v>
      </c>
      <c r="K42" s="30"/>
      <c r="L42" s="30" t="str">
        <f t="shared" si="0"/>
        <v>12043011.4040.100</v>
      </c>
      <c r="M42" s="30"/>
      <c r="N42" s="30"/>
      <c r="O42" s="30"/>
    </row>
    <row r="43" spans="1:15" x14ac:dyDescent="0.2">
      <c r="A43" s="30">
        <v>19031</v>
      </c>
      <c r="B43" s="30" t="s">
        <v>387</v>
      </c>
      <c r="C43" s="30">
        <v>12048099</v>
      </c>
      <c r="D43" s="30" t="s">
        <v>156</v>
      </c>
      <c r="E43" s="30">
        <v>1</v>
      </c>
      <c r="F43" s="30" t="s">
        <v>11</v>
      </c>
      <c r="G43" s="30">
        <v>4040.1</v>
      </c>
      <c r="H43" s="30">
        <v>326.92</v>
      </c>
      <c r="I43" s="30"/>
      <c r="J43" s="69" t="s">
        <v>12</v>
      </c>
      <c r="K43" s="30"/>
      <c r="L43" s="30" t="str">
        <f t="shared" si="0"/>
        <v>12048099.4040.100</v>
      </c>
      <c r="M43" s="30"/>
      <c r="N43" s="30"/>
      <c r="O43" s="30"/>
    </row>
    <row r="44" spans="1:15" x14ac:dyDescent="0.2">
      <c r="A44" s="30">
        <v>18634</v>
      </c>
      <c r="B44" s="30" t="s">
        <v>129</v>
      </c>
      <c r="C44" s="30">
        <v>12060611</v>
      </c>
      <c r="D44" s="30" t="s">
        <v>54</v>
      </c>
      <c r="E44" s="30">
        <v>1</v>
      </c>
      <c r="F44" s="30" t="s">
        <v>11</v>
      </c>
      <c r="G44" s="30">
        <v>4040.1</v>
      </c>
      <c r="H44" s="30">
        <v>248.7</v>
      </c>
      <c r="I44" s="30"/>
      <c r="J44" s="69" t="s">
        <v>12</v>
      </c>
      <c r="K44" s="30"/>
      <c r="L44" s="30" t="str">
        <f t="shared" si="0"/>
        <v>12060611.4040.100</v>
      </c>
      <c r="M44" s="30"/>
      <c r="N44" s="30"/>
      <c r="O44" s="30"/>
    </row>
    <row r="45" spans="1:15" x14ac:dyDescent="0.2">
      <c r="A45" s="30">
        <v>18996</v>
      </c>
      <c r="B45" s="30" t="s">
        <v>127</v>
      </c>
      <c r="C45" s="30">
        <v>12060611</v>
      </c>
      <c r="D45" s="30" t="s">
        <v>54</v>
      </c>
      <c r="E45" s="30">
        <v>1</v>
      </c>
      <c r="F45" s="30" t="s">
        <v>11</v>
      </c>
      <c r="G45" s="30">
        <v>4040.1</v>
      </c>
      <c r="H45" s="30">
        <v>196.05</v>
      </c>
      <c r="I45" s="30"/>
      <c r="J45" s="69" t="s">
        <v>12</v>
      </c>
      <c r="K45" s="30"/>
      <c r="L45" s="30" t="str">
        <f t="shared" si="0"/>
        <v>12060611.4040.100</v>
      </c>
      <c r="M45" s="30"/>
      <c r="N45" s="30"/>
      <c r="O45" s="30"/>
    </row>
    <row r="46" spans="1:15" x14ac:dyDescent="0.2">
      <c r="A46" s="30">
        <v>18898</v>
      </c>
      <c r="B46" s="30" t="s">
        <v>130</v>
      </c>
      <c r="C46" s="30">
        <v>12060611</v>
      </c>
      <c r="D46" s="30" t="s">
        <v>54</v>
      </c>
      <c r="E46" s="30">
        <v>1</v>
      </c>
      <c r="F46" s="30" t="s">
        <v>11</v>
      </c>
      <c r="G46" s="30">
        <v>4040.1</v>
      </c>
      <c r="H46" s="30">
        <v>887.38</v>
      </c>
      <c r="I46" s="30"/>
      <c r="J46" s="69" t="s">
        <v>12</v>
      </c>
      <c r="K46" s="30"/>
      <c r="L46" s="30" t="str">
        <f t="shared" si="0"/>
        <v>12060611.4040.100</v>
      </c>
      <c r="M46" s="30"/>
      <c r="N46" s="30"/>
      <c r="O46" s="30"/>
    </row>
    <row r="47" spans="1:15" x14ac:dyDescent="0.2">
      <c r="A47" s="30">
        <v>18791</v>
      </c>
      <c r="B47" s="30" t="s">
        <v>132</v>
      </c>
      <c r="C47" s="30">
        <v>12060711</v>
      </c>
      <c r="D47" s="30" t="s">
        <v>133</v>
      </c>
      <c r="E47" s="30">
        <v>1</v>
      </c>
      <c r="F47" s="30" t="s">
        <v>11</v>
      </c>
      <c r="G47" s="30">
        <v>4040.1</v>
      </c>
      <c r="H47" s="30">
        <v>1922.08</v>
      </c>
      <c r="I47" s="30"/>
      <c r="J47" s="69" t="s">
        <v>12</v>
      </c>
      <c r="K47" s="30"/>
      <c r="L47" s="30" t="str">
        <f t="shared" si="0"/>
        <v>12060711.4040.100</v>
      </c>
      <c r="M47" s="30"/>
      <c r="N47" s="30"/>
      <c r="O47" s="30"/>
    </row>
    <row r="48" spans="1:15" x14ac:dyDescent="0.2">
      <c r="A48" s="30">
        <v>18953</v>
      </c>
      <c r="B48" s="30" t="s">
        <v>136</v>
      </c>
      <c r="C48" s="30">
        <v>12060800</v>
      </c>
      <c r="D48" s="30" t="s">
        <v>135</v>
      </c>
      <c r="E48" s="30">
        <v>1</v>
      </c>
      <c r="F48" s="30" t="s">
        <v>11</v>
      </c>
      <c r="G48" s="30">
        <v>4040.1</v>
      </c>
      <c r="H48" s="30">
        <v>722.16</v>
      </c>
      <c r="I48" s="30"/>
      <c r="J48" s="69" t="s">
        <v>12</v>
      </c>
      <c r="K48" s="30"/>
      <c r="L48" s="30" t="str">
        <f t="shared" si="0"/>
        <v>12060800.4040.100</v>
      </c>
      <c r="M48" s="30"/>
      <c r="N48" s="30"/>
      <c r="O48" s="30"/>
    </row>
    <row r="49" spans="1:15" x14ac:dyDescent="0.2">
      <c r="A49" s="30">
        <v>18997</v>
      </c>
      <c r="B49" s="30" t="s">
        <v>141</v>
      </c>
      <c r="C49" s="30">
        <v>112</v>
      </c>
      <c r="D49" s="30" t="s">
        <v>10</v>
      </c>
      <c r="E49" s="30">
        <v>2</v>
      </c>
      <c r="F49" s="30" t="s">
        <v>58</v>
      </c>
      <c r="G49" s="30">
        <v>2180.1999999999998</v>
      </c>
      <c r="H49" s="30">
        <v>996.67</v>
      </c>
      <c r="I49" s="30"/>
      <c r="J49" s="69" t="s">
        <v>12</v>
      </c>
      <c r="K49" s="30"/>
      <c r="L49" s="30" t="str">
        <f t="shared" si="0"/>
        <v>112.2180.200</v>
      </c>
      <c r="M49" s="30"/>
      <c r="N49" s="30"/>
      <c r="O49" s="30"/>
    </row>
    <row r="50" spans="1:15" x14ac:dyDescent="0.2">
      <c r="A50" s="30">
        <v>11229</v>
      </c>
      <c r="B50" s="30" t="s">
        <v>31</v>
      </c>
      <c r="C50" s="30">
        <v>112</v>
      </c>
      <c r="D50" s="30" t="s">
        <v>32</v>
      </c>
      <c r="E50" s="30">
        <v>2</v>
      </c>
      <c r="F50" s="30" t="s">
        <v>58</v>
      </c>
      <c r="G50" s="30">
        <v>2180.1999999999998</v>
      </c>
      <c r="H50" s="30">
        <v>574.6</v>
      </c>
      <c r="I50" s="30"/>
      <c r="J50" s="69" t="s">
        <v>12</v>
      </c>
      <c r="K50" s="30"/>
      <c r="L50" s="30" t="str">
        <f t="shared" si="0"/>
        <v>112.2180.200</v>
      </c>
      <c r="M50" s="30"/>
      <c r="N50" s="30"/>
      <c r="O50" s="30"/>
    </row>
    <row r="51" spans="1:15" x14ac:dyDescent="0.2">
      <c r="A51" s="30">
        <v>19016</v>
      </c>
      <c r="B51" s="30" t="s">
        <v>96</v>
      </c>
      <c r="C51" s="30">
        <v>112</v>
      </c>
      <c r="D51" s="30" t="s">
        <v>93</v>
      </c>
      <c r="E51" s="30">
        <v>2</v>
      </c>
      <c r="F51" s="30" t="s">
        <v>58</v>
      </c>
      <c r="G51" s="30">
        <v>2180.1999999999998</v>
      </c>
      <c r="H51" s="30">
        <v>258.25</v>
      </c>
      <c r="I51" s="30"/>
      <c r="J51" s="69" t="s">
        <v>12</v>
      </c>
      <c r="K51" s="30"/>
      <c r="L51" s="30" t="str">
        <f t="shared" si="0"/>
        <v>112.2180.200</v>
      </c>
      <c r="M51" s="30"/>
      <c r="N51" s="30"/>
      <c r="O51" s="30"/>
    </row>
    <row r="52" spans="1:15" x14ac:dyDescent="0.2">
      <c r="A52" s="30">
        <v>18901</v>
      </c>
      <c r="B52" s="30" t="s">
        <v>37</v>
      </c>
      <c r="C52" s="30">
        <v>112</v>
      </c>
      <c r="D52" s="30" t="s">
        <v>36</v>
      </c>
      <c r="E52" s="30">
        <v>2</v>
      </c>
      <c r="F52" s="30" t="s">
        <v>58</v>
      </c>
      <c r="G52" s="30">
        <v>2180.1999999999998</v>
      </c>
      <c r="H52" s="30">
        <v>787.77</v>
      </c>
      <c r="I52" s="30"/>
      <c r="J52" s="69" t="s">
        <v>12</v>
      </c>
      <c r="K52" s="30"/>
      <c r="L52" s="30" t="str">
        <f t="shared" si="0"/>
        <v>112.2180.200</v>
      </c>
      <c r="M52" s="30"/>
      <c r="N52" s="30"/>
      <c r="O52" s="30"/>
    </row>
    <row r="53" spans="1:15" x14ac:dyDescent="0.2">
      <c r="A53" s="30">
        <v>18997</v>
      </c>
      <c r="B53" s="30" t="s">
        <v>141</v>
      </c>
      <c r="C53" s="30">
        <v>112</v>
      </c>
      <c r="D53" s="30" t="s">
        <v>10</v>
      </c>
      <c r="E53" s="30">
        <v>3</v>
      </c>
      <c r="F53" s="30" t="s">
        <v>61</v>
      </c>
      <c r="G53" s="30">
        <v>2180.1</v>
      </c>
      <c r="H53" s="30">
        <v>2613.27</v>
      </c>
      <c r="I53" s="30"/>
      <c r="J53" s="69" t="s">
        <v>12</v>
      </c>
      <c r="K53" s="30"/>
      <c r="L53" s="30" t="str">
        <f t="shared" si="0"/>
        <v>112.2180.100</v>
      </c>
      <c r="M53" s="30"/>
      <c r="N53" s="30"/>
      <c r="O53" s="30"/>
    </row>
    <row r="54" spans="1:15" x14ac:dyDescent="0.2">
      <c r="A54" s="30">
        <v>11229</v>
      </c>
      <c r="B54" s="30" t="s">
        <v>31</v>
      </c>
      <c r="C54" s="30">
        <v>112</v>
      </c>
      <c r="D54" s="30" t="s">
        <v>32</v>
      </c>
      <c r="E54" s="30">
        <v>3</v>
      </c>
      <c r="F54" s="30" t="s">
        <v>61</v>
      </c>
      <c r="G54" s="30">
        <v>2180.1</v>
      </c>
      <c r="H54" s="30">
        <v>5653.05</v>
      </c>
      <c r="I54" s="30"/>
      <c r="J54" s="69" t="s">
        <v>12</v>
      </c>
      <c r="K54" s="30"/>
      <c r="L54" s="30" t="str">
        <f t="shared" si="0"/>
        <v>112.2180.100</v>
      </c>
      <c r="M54" s="30"/>
      <c r="N54" s="30"/>
      <c r="O54" s="30"/>
    </row>
    <row r="55" spans="1:15" x14ac:dyDescent="0.2">
      <c r="A55" s="30">
        <v>19016</v>
      </c>
      <c r="B55" s="30" t="s">
        <v>96</v>
      </c>
      <c r="C55" s="30">
        <v>112</v>
      </c>
      <c r="D55" s="30" t="s">
        <v>93</v>
      </c>
      <c r="E55" s="30">
        <v>3</v>
      </c>
      <c r="F55" s="30" t="s">
        <v>61</v>
      </c>
      <c r="G55" s="30">
        <v>2180.1</v>
      </c>
      <c r="H55" s="30">
        <v>879.21</v>
      </c>
      <c r="I55" s="30"/>
      <c r="J55" s="69" t="s">
        <v>12</v>
      </c>
      <c r="K55" s="30"/>
      <c r="L55" s="30" t="str">
        <f t="shared" si="0"/>
        <v>112.2180.100</v>
      </c>
      <c r="M55" s="30"/>
      <c r="N55" s="30"/>
      <c r="O55" s="30"/>
    </row>
    <row r="56" spans="1:15" x14ac:dyDescent="0.2">
      <c r="A56" s="30">
        <v>18901</v>
      </c>
      <c r="B56" s="30" t="s">
        <v>37</v>
      </c>
      <c r="C56" s="30">
        <v>112</v>
      </c>
      <c r="D56" s="30" t="s">
        <v>36</v>
      </c>
      <c r="E56" s="30">
        <v>3</v>
      </c>
      <c r="F56" s="30" t="s">
        <v>61</v>
      </c>
      <c r="G56" s="30">
        <v>2180.1</v>
      </c>
      <c r="H56" s="30">
        <v>184.57</v>
      </c>
      <c r="I56" s="30"/>
      <c r="J56" s="69" t="s">
        <v>12</v>
      </c>
      <c r="K56" s="30"/>
      <c r="L56" s="30" t="str">
        <f t="shared" si="0"/>
        <v>112.2180.100</v>
      </c>
      <c r="M56" s="30"/>
      <c r="N56" s="30"/>
      <c r="O56" s="30"/>
    </row>
    <row r="57" spans="1:15" x14ac:dyDescent="0.2">
      <c r="A57" s="30">
        <v>19030</v>
      </c>
      <c r="B57" s="30" t="s">
        <v>364</v>
      </c>
      <c r="C57" s="30">
        <v>12033011</v>
      </c>
      <c r="D57" s="30" t="s">
        <v>45</v>
      </c>
      <c r="E57" s="30">
        <v>10</v>
      </c>
      <c r="F57" s="30" t="s">
        <v>64</v>
      </c>
      <c r="G57" s="30">
        <v>4010.2</v>
      </c>
      <c r="H57" s="30">
        <v>1631.19</v>
      </c>
      <c r="I57" s="30"/>
      <c r="J57" s="69" t="s">
        <v>12</v>
      </c>
      <c r="K57" s="30"/>
      <c r="L57" s="30" t="str">
        <f t="shared" si="0"/>
        <v>12033011.4010.200</v>
      </c>
      <c r="M57" s="30"/>
      <c r="N57" s="30"/>
      <c r="O57" s="30"/>
    </row>
    <row r="58" spans="1:15" x14ac:dyDescent="0.2">
      <c r="A58" s="30">
        <v>18917</v>
      </c>
      <c r="B58" s="30" t="s">
        <v>68</v>
      </c>
      <c r="C58" s="30">
        <v>12043011</v>
      </c>
      <c r="D58" s="30" t="s">
        <v>52</v>
      </c>
      <c r="E58" s="30">
        <v>10</v>
      </c>
      <c r="F58" s="30" t="s">
        <v>64</v>
      </c>
      <c r="G58" s="30">
        <v>4010.2</v>
      </c>
      <c r="H58" s="30">
        <v>384.04</v>
      </c>
      <c r="I58" s="30"/>
      <c r="J58" s="69" t="s">
        <v>12</v>
      </c>
      <c r="K58" s="30"/>
      <c r="L58" s="30" t="str">
        <f t="shared" si="0"/>
        <v>12043011.4010.200</v>
      </c>
      <c r="M58" s="30"/>
      <c r="N58" s="30"/>
      <c r="O58" s="30"/>
    </row>
    <row r="59" spans="1:15" x14ac:dyDescent="0.2">
      <c r="A59" s="30">
        <v>19023</v>
      </c>
      <c r="B59" s="30" t="s">
        <v>69</v>
      </c>
      <c r="C59" s="30">
        <v>12043011</v>
      </c>
      <c r="D59" s="30" t="s">
        <v>52</v>
      </c>
      <c r="E59" s="30">
        <v>10</v>
      </c>
      <c r="F59" s="30" t="s">
        <v>64</v>
      </c>
      <c r="G59" s="30">
        <v>4010.2</v>
      </c>
      <c r="H59" s="30">
        <v>672.74</v>
      </c>
      <c r="I59" s="30"/>
      <c r="J59" s="69" t="s">
        <v>12</v>
      </c>
      <c r="K59" s="30"/>
      <c r="L59" s="30" t="str">
        <f t="shared" si="0"/>
        <v>12043011.4010.200</v>
      </c>
      <c r="M59" s="30"/>
      <c r="N59" s="30"/>
      <c r="O59" s="30"/>
    </row>
    <row r="60" spans="1:15" x14ac:dyDescent="0.2">
      <c r="A60" s="30">
        <v>18736</v>
      </c>
      <c r="B60" s="30" t="s">
        <v>70</v>
      </c>
      <c r="C60" s="30">
        <v>12013012</v>
      </c>
      <c r="D60" s="30" t="s">
        <v>71</v>
      </c>
      <c r="E60" s="30">
        <v>12</v>
      </c>
      <c r="F60" s="30" t="s">
        <v>72</v>
      </c>
      <c r="G60" s="30">
        <v>4010.3</v>
      </c>
      <c r="H60" s="30">
        <v>207.32</v>
      </c>
      <c r="I60" s="30"/>
      <c r="J60" s="69" t="s">
        <v>12</v>
      </c>
      <c r="K60" s="30"/>
      <c r="L60" s="30" t="str">
        <f t="shared" si="0"/>
        <v>12013012.4010.300</v>
      </c>
      <c r="M60" s="30"/>
      <c r="N60" s="30"/>
      <c r="O60" s="30"/>
    </row>
    <row r="61" spans="1:15" x14ac:dyDescent="0.2">
      <c r="A61" s="30">
        <v>18893</v>
      </c>
      <c r="B61" s="30" t="s">
        <v>444</v>
      </c>
      <c r="C61" s="30">
        <v>12020500</v>
      </c>
      <c r="D61" s="30" t="s">
        <v>454</v>
      </c>
      <c r="E61" s="30">
        <v>12</v>
      </c>
      <c r="F61" s="30" t="s">
        <v>72</v>
      </c>
      <c r="G61" s="30">
        <v>4010.3</v>
      </c>
      <c r="H61" s="30">
        <v>8.9</v>
      </c>
      <c r="I61" s="30"/>
      <c r="J61" s="69" t="s">
        <v>12</v>
      </c>
      <c r="K61" s="30"/>
      <c r="L61" s="30" t="str">
        <f t="shared" si="0"/>
        <v>12020500.4010.300</v>
      </c>
      <c r="M61" s="30"/>
      <c r="N61" s="30"/>
      <c r="O61" s="30"/>
    </row>
    <row r="62" spans="1:15" x14ac:dyDescent="0.2">
      <c r="A62" s="30">
        <v>18957</v>
      </c>
      <c r="B62" s="30" t="s">
        <v>74</v>
      </c>
      <c r="C62" s="30">
        <v>12020611</v>
      </c>
      <c r="D62" s="30" t="s">
        <v>23</v>
      </c>
      <c r="E62" s="30">
        <v>12</v>
      </c>
      <c r="F62" s="30" t="s">
        <v>72</v>
      </c>
      <c r="G62" s="30">
        <v>4010.3</v>
      </c>
      <c r="H62" s="30">
        <v>101.29</v>
      </c>
      <c r="I62" s="30"/>
      <c r="J62" s="69" t="s">
        <v>12</v>
      </c>
      <c r="K62" s="30"/>
      <c r="L62" s="30" t="str">
        <f t="shared" si="0"/>
        <v>12020611.4010.300</v>
      </c>
      <c r="M62" s="30"/>
      <c r="N62" s="30"/>
      <c r="O62" s="30"/>
    </row>
    <row r="63" spans="1:15" x14ac:dyDescent="0.2">
      <c r="A63" s="30">
        <v>18903</v>
      </c>
      <c r="B63" s="30" t="s">
        <v>73</v>
      </c>
      <c r="C63" s="30">
        <v>12020611</v>
      </c>
      <c r="D63" s="30" t="s">
        <v>23</v>
      </c>
      <c r="E63" s="30">
        <v>12</v>
      </c>
      <c r="F63" s="30" t="s">
        <v>72</v>
      </c>
      <c r="G63" s="30">
        <v>4010.3</v>
      </c>
      <c r="H63" s="30">
        <v>239.16</v>
      </c>
      <c r="I63" s="30"/>
      <c r="J63" s="69" t="s">
        <v>12</v>
      </c>
      <c r="K63" s="30"/>
      <c r="L63" s="30" t="str">
        <f t="shared" si="0"/>
        <v>12020611.4010.300</v>
      </c>
      <c r="M63" s="30"/>
      <c r="N63" s="30"/>
      <c r="O63" s="30"/>
    </row>
    <row r="64" spans="1:15" x14ac:dyDescent="0.2">
      <c r="A64" s="30">
        <v>18893</v>
      </c>
      <c r="B64" s="30" t="s">
        <v>444</v>
      </c>
      <c r="C64" s="30">
        <v>12020611</v>
      </c>
      <c r="D64" s="30" t="s">
        <v>23</v>
      </c>
      <c r="E64" s="30">
        <v>12</v>
      </c>
      <c r="F64" s="30" t="s">
        <v>72</v>
      </c>
      <c r="G64" s="30">
        <v>4010.3</v>
      </c>
      <c r="H64" s="30">
        <v>4.45</v>
      </c>
      <c r="I64" s="30"/>
      <c r="J64" s="69" t="s">
        <v>12</v>
      </c>
      <c r="K64" s="30"/>
      <c r="L64" s="30" t="str">
        <f t="shared" si="0"/>
        <v>12020611.4010.300</v>
      </c>
      <c r="M64" s="30"/>
      <c r="N64" s="30"/>
      <c r="O64" s="30"/>
    </row>
    <row r="65" spans="1:15" x14ac:dyDescent="0.2">
      <c r="A65" s="30">
        <v>18</v>
      </c>
      <c r="B65" s="30" t="s">
        <v>24</v>
      </c>
      <c r="C65" s="30">
        <v>12020711</v>
      </c>
      <c r="D65" s="30" t="s">
        <v>25</v>
      </c>
      <c r="E65" s="30">
        <v>12</v>
      </c>
      <c r="F65" s="30" t="s">
        <v>72</v>
      </c>
      <c r="G65" s="30">
        <v>4010.3</v>
      </c>
      <c r="H65" s="30">
        <v>24.43</v>
      </c>
      <c r="I65" s="30"/>
      <c r="J65" s="69" t="s">
        <v>12</v>
      </c>
      <c r="K65" s="30"/>
      <c r="L65" s="30" t="str">
        <f t="shared" si="0"/>
        <v>12020711.4010.300</v>
      </c>
      <c r="M65" s="30"/>
      <c r="N65" s="30"/>
      <c r="O65" s="30"/>
    </row>
    <row r="66" spans="1:15" x14ac:dyDescent="0.2">
      <c r="A66" s="30">
        <v>18879</v>
      </c>
      <c r="B66" s="30" t="s">
        <v>79</v>
      </c>
      <c r="C66" s="30">
        <v>12020711</v>
      </c>
      <c r="D66" s="30" t="s">
        <v>25</v>
      </c>
      <c r="E66" s="30">
        <v>12</v>
      </c>
      <c r="F66" s="30" t="s">
        <v>72</v>
      </c>
      <c r="G66" s="30">
        <v>4010.3</v>
      </c>
      <c r="H66" s="30">
        <v>67.58</v>
      </c>
      <c r="I66" s="30"/>
      <c r="J66" s="69" t="s">
        <v>12</v>
      </c>
      <c r="K66" s="30"/>
      <c r="L66" s="30" t="str">
        <f t="shared" ref="L66:L129" si="1">C66&amp;"."&amp;G66&amp;J66</f>
        <v>12020711.4010.300</v>
      </c>
      <c r="M66" s="30"/>
      <c r="N66" s="30"/>
      <c r="O66" s="30"/>
    </row>
    <row r="67" spans="1:15" x14ac:dyDescent="0.2">
      <c r="A67" s="30">
        <v>19013</v>
      </c>
      <c r="B67" s="30" t="s">
        <v>81</v>
      </c>
      <c r="C67" s="30">
        <v>12020800</v>
      </c>
      <c r="D67" s="30" t="s">
        <v>27</v>
      </c>
      <c r="E67" s="30">
        <v>12</v>
      </c>
      <c r="F67" s="30" t="s">
        <v>72</v>
      </c>
      <c r="G67" s="30">
        <v>4010.3</v>
      </c>
      <c r="H67" s="30">
        <v>322.72000000000003</v>
      </c>
      <c r="I67" s="30"/>
      <c r="J67" s="69" t="s">
        <v>12</v>
      </c>
      <c r="K67" s="30"/>
      <c r="L67" s="30" t="str">
        <f t="shared" si="1"/>
        <v>12020800.4010.300</v>
      </c>
      <c r="M67" s="30"/>
      <c r="N67" s="30"/>
      <c r="O67" s="30"/>
    </row>
    <row r="68" spans="1:15" x14ac:dyDescent="0.2">
      <c r="A68" s="30">
        <v>18630</v>
      </c>
      <c r="B68" s="30" t="s">
        <v>204</v>
      </c>
      <c r="C68" s="30">
        <v>12020800</v>
      </c>
      <c r="D68" s="30" t="s">
        <v>27</v>
      </c>
      <c r="E68" s="30">
        <v>12</v>
      </c>
      <c r="F68" s="30" t="s">
        <v>72</v>
      </c>
      <c r="G68" s="30">
        <v>4010.3</v>
      </c>
      <c r="H68" s="30">
        <v>38.69</v>
      </c>
      <c r="I68" s="30"/>
      <c r="J68" s="69" t="s">
        <v>12</v>
      </c>
      <c r="K68" s="30"/>
      <c r="L68" s="30" t="str">
        <f t="shared" si="1"/>
        <v>12020800.4010.300</v>
      </c>
      <c r="M68" s="30"/>
      <c r="N68" s="30"/>
      <c r="O68" s="30"/>
    </row>
    <row r="69" spans="1:15" x14ac:dyDescent="0.2">
      <c r="A69" s="30">
        <v>18967</v>
      </c>
      <c r="B69" s="30" t="s">
        <v>85</v>
      </c>
      <c r="C69" s="30">
        <v>12021021</v>
      </c>
      <c r="D69" s="30" t="s">
        <v>29</v>
      </c>
      <c r="E69" s="30">
        <v>12</v>
      </c>
      <c r="F69" s="30" t="s">
        <v>72</v>
      </c>
      <c r="G69" s="30">
        <v>4010.3</v>
      </c>
      <c r="H69" s="30">
        <v>203.44</v>
      </c>
      <c r="I69" s="30"/>
      <c r="J69" s="69" t="s">
        <v>12</v>
      </c>
      <c r="K69" s="30"/>
      <c r="L69" s="30" t="str">
        <f t="shared" si="1"/>
        <v>12021021.4010.300</v>
      </c>
      <c r="M69" s="30"/>
      <c r="N69" s="30"/>
      <c r="O69" s="30"/>
    </row>
    <row r="70" spans="1:15" x14ac:dyDescent="0.2">
      <c r="A70" s="30">
        <v>18894</v>
      </c>
      <c r="B70" s="30" t="s">
        <v>89</v>
      </c>
      <c r="C70" s="30">
        <v>12021021</v>
      </c>
      <c r="D70" s="30" t="s">
        <v>29</v>
      </c>
      <c r="E70" s="30">
        <v>12</v>
      </c>
      <c r="F70" s="30" t="s">
        <v>72</v>
      </c>
      <c r="G70" s="30">
        <v>4010.3</v>
      </c>
      <c r="H70" s="30">
        <v>429.82</v>
      </c>
      <c r="I70" s="30"/>
      <c r="J70" s="69" t="s">
        <v>12</v>
      </c>
      <c r="K70" s="30"/>
      <c r="L70" s="30" t="str">
        <f t="shared" si="1"/>
        <v>12021021.4010.300</v>
      </c>
      <c r="M70" s="30"/>
      <c r="N70" s="30"/>
      <c r="O70" s="30"/>
    </row>
    <row r="71" spans="1:15" x14ac:dyDescent="0.2">
      <c r="A71" s="30">
        <v>18687</v>
      </c>
      <c r="B71" s="30" t="s">
        <v>83</v>
      </c>
      <c r="C71" s="30">
        <v>12021021</v>
      </c>
      <c r="D71" s="30" t="s">
        <v>29</v>
      </c>
      <c r="E71" s="30">
        <v>12</v>
      </c>
      <c r="F71" s="30" t="s">
        <v>72</v>
      </c>
      <c r="G71" s="30">
        <v>4010.3</v>
      </c>
      <c r="H71" s="30">
        <v>212.65</v>
      </c>
      <c r="I71" s="30"/>
      <c r="J71" s="69" t="s">
        <v>12</v>
      </c>
      <c r="K71" s="30"/>
      <c r="L71" s="30" t="str">
        <f t="shared" si="1"/>
        <v>12021021.4010.300</v>
      </c>
      <c r="M71" s="30"/>
      <c r="N71" s="30"/>
      <c r="O71" s="30"/>
    </row>
    <row r="72" spans="1:15" x14ac:dyDescent="0.2">
      <c r="A72" s="30">
        <v>18733</v>
      </c>
      <c r="B72" s="30" t="s">
        <v>86</v>
      </c>
      <c r="C72" s="30">
        <v>12021021</v>
      </c>
      <c r="D72" s="30" t="s">
        <v>29</v>
      </c>
      <c r="E72" s="30">
        <v>12</v>
      </c>
      <c r="F72" s="30" t="s">
        <v>72</v>
      </c>
      <c r="G72" s="30">
        <v>4010.3</v>
      </c>
      <c r="H72" s="30">
        <v>106.8</v>
      </c>
      <c r="I72" s="30"/>
      <c r="J72" s="69" t="s">
        <v>12</v>
      </c>
      <c r="K72" s="30"/>
      <c r="L72" s="30" t="str">
        <f t="shared" si="1"/>
        <v>12021021.4010.300</v>
      </c>
      <c r="M72" s="30"/>
      <c r="N72" s="30"/>
      <c r="O72" s="30"/>
    </row>
    <row r="73" spans="1:15" x14ac:dyDescent="0.2">
      <c r="A73" s="30">
        <v>18659</v>
      </c>
      <c r="B73" s="30" t="s">
        <v>88</v>
      </c>
      <c r="C73" s="30">
        <v>12021021</v>
      </c>
      <c r="D73" s="30" t="s">
        <v>29</v>
      </c>
      <c r="E73" s="30">
        <v>12</v>
      </c>
      <c r="F73" s="30" t="s">
        <v>72</v>
      </c>
      <c r="G73" s="30">
        <v>4010.3</v>
      </c>
      <c r="H73" s="30">
        <v>44.3</v>
      </c>
      <c r="I73" s="30"/>
      <c r="J73" s="69" t="s">
        <v>12</v>
      </c>
      <c r="K73" s="30"/>
      <c r="L73" s="30" t="str">
        <f t="shared" si="1"/>
        <v>12021021.4010.300</v>
      </c>
      <c r="M73" s="30"/>
      <c r="N73" s="30"/>
      <c r="O73" s="30"/>
    </row>
    <row r="74" spans="1:15" x14ac:dyDescent="0.2">
      <c r="A74" s="30">
        <v>18960</v>
      </c>
      <c r="B74" s="30" t="s">
        <v>84</v>
      </c>
      <c r="C74" s="30">
        <v>12021021</v>
      </c>
      <c r="D74" s="30" t="s">
        <v>29</v>
      </c>
      <c r="E74" s="30">
        <v>12</v>
      </c>
      <c r="F74" s="30" t="s">
        <v>72</v>
      </c>
      <c r="G74" s="30">
        <v>4010.3</v>
      </c>
      <c r="H74" s="30">
        <v>15.44</v>
      </c>
      <c r="I74" s="30"/>
      <c r="J74" s="69" t="s">
        <v>12</v>
      </c>
      <c r="K74" s="30"/>
      <c r="L74" s="30" t="str">
        <f t="shared" si="1"/>
        <v>12021021.4010.300</v>
      </c>
      <c r="M74" s="30"/>
      <c r="N74" s="30"/>
      <c r="O74" s="30"/>
    </row>
    <row r="75" spans="1:15" x14ac:dyDescent="0.2">
      <c r="A75" s="30">
        <v>18911</v>
      </c>
      <c r="B75" s="30" t="s">
        <v>28</v>
      </c>
      <c r="C75" s="30">
        <v>12021021</v>
      </c>
      <c r="D75" s="30" t="s">
        <v>29</v>
      </c>
      <c r="E75" s="30">
        <v>12</v>
      </c>
      <c r="F75" s="30" t="s">
        <v>72</v>
      </c>
      <c r="G75" s="30">
        <v>4010.3</v>
      </c>
      <c r="H75" s="30">
        <v>203.56</v>
      </c>
      <c r="I75" s="30"/>
      <c r="J75" s="69" t="s">
        <v>12</v>
      </c>
      <c r="K75" s="30"/>
      <c r="L75" s="30" t="str">
        <f t="shared" si="1"/>
        <v>12021021.4010.300</v>
      </c>
      <c r="M75" s="30"/>
      <c r="N75" s="30"/>
      <c r="O75" s="30"/>
    </row>
    <row r="76" spans="1:15" x14ac:dyDescent="0.2">
      <c r="A76" s="30">
        <v>18781</v>
      </c>
      <c r="B76" s="30" t="s">
        <v>82</v>
      </c>
      <c r="C76" s="30">
        <v>12021021</v>
      </c>
      <c r="D76" s="30" t="s">
        <v>29</v>
      </c>
      <c r="E76" s="30">
        <v>12</v>
      </c>
      <c r="F76" s="30" t="s">
        <v>72</v>
      </c>
      <c r="G76" s="30">
        <v>4010.3</v>
      </c>
      <c r="H76" s="30">
        <v>155.31</v>
      </c>
      <c r="I76" s="30"/>
      <c r="J76" s="69" t="s">
        <v>12</v>
      </c>
      <c r="K76" s="30"/>
      <c r="L76" s="30" t="str">
        <f t="shared" si="1"/>
        <v>12021021.4010.300</v>
      </c>
      <c r="M76" s="30"/>
      <c r="N76" s="30"/>
      <c r="O76" s="30"/>
    </row>
    <row r="77" spans="1:15" x14ac:dyDescent="0.2">
      <c r="A77" s="30">
        <v>19033</v>
      </c>
      <c r="B77" s="30" t="s">
        <v>389</v>
      </c>
      <c r="C77" s="30">
        <v>12021021</v>
      </c>
      <c r="D77" s="30" t="s">
        <v>29</v>
      </c>
      <c r="E77" s="30">
        <v>12</v>
      </c>
      <c r="F77" s="30" t="s">
        <v>72</v>
      </c>
      <c r="G77" s="30">
        <v>4010.3</v>
      </c>
      <c r="H77" s="30">
        <v>112.84</v>
      </c>
      <c r="I77" s="30"/>
      <c r="J77" s="69" t="s">
        <v>12</v>
      </c>
      <c r="K77" s="30"/>
      <c r="L77" s="30" t="str">
        <f t="shared" si="1"/>
        <v>12021021.4010.300</v>
      </c>
      <c r="M77" s="30"/>
      <c r="N77" s="30"/>
      <c r="O77" s="30"/>
    </row>
    <row r="78" spans="1:15" x14ac:dyDescent="0.2">
      <c r="A78" s="30">
        <v>141</v>
      </c>
      <c r="B78" s="30" t="s">
        <v>185</v>
      </c>
      <c r="C78" s="30">
        <v>12022511</v>
      </c>
      <c r="D78" s="30" t="s">
        <v>32</v>
      </c>
      <c r="E78" s="30">
        <v>12</v>
      </c>
      <c r="F78" s="30" t="s">
        <v>72</v>
      </c>
      <c r="G78" s="30">
        <v>4010.3</v>
      </c>
      <c r="H78" s="30">
        <v>17.82</v>
      </c>
      <c r="I78" s="30"/>
      <c r="J78" s="69" t="s">
        <v>12</v>
      </c>
      <c r="K78" s="30"/>
      <c r="L78" s="30" t="str">
        <f t="shared" si="1"/>
        <v>12022511.4010.300</v>
      </c>
      <c r="M78" s="30"/>
      <c r="N78" s="30"/>
      <c r="O78" s="30"/>
    </row>
    <row r="79" spans="1:15" x14ac:dyDescent="0.2">
      <c r="A79" s="30">
        <v>18961</v>
      </c>
      <c r="B79" s="30" t="s">
        <v>90</v>
      </c>
      <c r="C79" s="30">
        <v>12022511</v>
      </c>
      <c r="D79" s="30" t="s">
        <v>32</v>
      </c>
      <c r="E79" s="30">
        <v>12</v>
      </c>
      <c r="F79" s="30" t="s">
        <v>72</v>
      </c>
      <c r="G79" s="30">
        <v>4010.3</v>
      </c>
      <c r="H79" s="30">
        <v>380.48</v>
      </c>
      <c r="I79" s="30"/>
      <c r="J79" s="69" t="s">
        <v>12</v>
      </c>
      <c r="K79" s="30"/>
      <c r="L79" s="30" t="str">
        <f t="shared" si="1"/>
        <v>12022511.4010.300</v>
      </c>
      <c r="M79" s="30"/>
      <c r="N79" s="30"/>
      <c r="O79" s="30"/>
    </row>
    <row r="80" spans="1:15" x14ac:dyDescent="0.2">
      <c r="A80" s="30">
        <v>19007</v>
      </c>
      <c r="B80" s="30" t="s">
        <v>189</v>
      </c>
      <c r="C80" s="30">
        <v>12023011</v>
      </c>
      <c r="D80" s="30" t="s">
        <v>93</v>
      </c>
      <c r="E80" s="30">
        <v>12</v>
      </c>
      <c r="F80" s="30" t="s">
        <v>72</v>
      </c>
      <c r="G80" s="30">
        <v>4010.3</v>
      </c>
      <c r="H80" s="30">
        <v>38.69</v>
      </c>
      <c r="I80" s="30"/>
      <c r="J80" s="69" t="s">
        <v>12</v>
      </c>
      <c r="K80" s="30"/>
      <c r="L80" s="30" t="str">
        <f t="shared" si="1"/>
        <v>12023011.4010.300</v>
      </c>
      <c r="M80" s="30"/>
      <c r="N80" s="30"/>
      <c r="O80" s="30"/>
    </row>
    <row r="81" spans="1:15" x14ac:dyDescent="0.2">
      <c r="A81" s="30">
        <v>18974</v>
      </c>
      <c r="B81" s="30" t="s">
        <v>94</v>
      </c>
      <c r="C81" s="30">
        <v>12023011</v>
      </c>
      <c r="D81" s="30" t="s">
        <v>93</v>
      </c>
      <c r="E81" s="30">
        <v>12</v>
      </c>
      <c r="F81" s="30" t="s">
        <v>72</v>
      </c>
      <c r="G81" s="30">
        <v>4010.3</v>
      </c>
      <c r="H81" s="30">
        <v>175.56</v>
      </c>
      <c r="I81" s="30"/>
      <c r="J81" s="69" t="s">
        <v>12</v>
      </c>
      <c r="K81" s="30"/>
      <c r="L81" s="30" t="str">
        <f t="shared" si="1"/>
        <v>12023011.4010.300</v>
      </c>
      <c r="M81" s="30"/>
      <c r="N81" s="30"/>
      <c r="O81" s="30"/>
    </row>
    <row r="82" spans="1:15" x14ac:dyDescent="0.2">
      <c r="A82" s="30">
        <v>18999</v>
      </c>
      <c r="B82" s="30" t="s">
        <v>92</v>
      </c>
      <c r="C82" s="30">
        <v>12023011</v>
      </c>
      <c r="D82" s="30" t="s">
        <v>93</v>
      </c>
      <c r="E82" s="30">
        <v>12</v>
      </c>
      <c r="F82" s="30" t="s">
        <v>72</v>
      </c>
      <c r="G82" s="30">
        <v>4010.3</v>
      </c>
      <c r="H82" s="30">
        <v>99.65</v>
      </c>
      <c r="I82" s="30"/>
      <c r="J82" s="69" t="s">
        <v>12</v>
      </c>
      <c r="K82" s="30"/>
      <c r="L82" s="30" t="str">
        <f t="shared" si="1"/>
        <v>12023011.4010.300</v>
      </c>
      <c r="M82" s="30"/>
      <c r="N82" s="30"/>
      <c r="O82" s="30"/>
    </row>
    <row r="83" spans="1:15" x14ac:dyDescent="0.2">
      <c r="A83" s="30">
        <v>19026</v>
      </c>
      <c r="B83" s="30" t="s">
        <v>187</v>
      </c>
      <c r="C83" s="30">
        <v>12023011</v>
      </c>
      <c r="D83" s="30" t="s">
        <v>93</v>
      </c>
      <c r="E83" s="30">
        <v>12</v>
      </c>
      <c r="F83" s="30" t="s">
        <v>72</v>
      </c>
      <c r="G83" s="30">
        <v>4010.3</v>
      </c>
      <c r="H83" s="30">
        <v>58.04</v>
      </c>
      <c r="I83" s="30"/>
      <c r="J83" s="69" t="s">
        <v>12</v>
      </c>
      <c r="K83" s="30"/>
      <c r="L83" s="30" t="str">
        <f t="shared" si="1"/>
        <v>12023011.4010.300</v>
      </c>
      <c r="M83" s="30"/>
      <c r="N83" s="30"/>
      <c r="O83" s="30"/>
    </row>
    <row r="84" spans="1:15" x14ac:dyDescent="0.2">
      <c r="A84" s="30">
        <v>19006</v>
      </c>
      <c r="B84" s="30" t="s">
        <v>95</v>
      </c>
      <c r="C84" s="30">
        <v>12023011</v>
      </c>
      <c r="D84" s="30" t="s">
        <v>93</v>
      </c>
      <c r="E84" s="30">
        <v>12</v>
      </c>
      <c r="F84" s="30" t="s">
        <v>72</v>
      </c>
      <c r="G84" s="30">
        <v>4010.3</v>
      </c>
      <c r="H84" s="30">
        <v>116.08</v>
      </c>
      <c r="I84" s="30"/>
      <c r="J84" s="69" t="s">
        <v>12</v>
      </c>
      <c r="K84" s="30"/>
      <c r="L84" s="30" t="str">
        <f t="shared" si="1"/>
        <v>12023011.4010.300</v>
      </c>
      <c r="M84" s="30"/>
      <c r="N84" s="30"/>
      <c r="O84" s="30"/>
    </row>
    <row r="85" spans="1:15" x14ac:dyDescent="0.2">
      <c r="A85" s="30">
        <v>19027</v>
      </c>
      <c r="B85" s="30" t="s">
        <v>365</v>
      </c>
      <c r="C85" s="30">
        <v>12023021</v>
      </c>
      <c r="D85" s="30" t="s">
        <v>98</v>
      </c>
      <c r="E85" s="30">
        <v>12</v>
      </c>
      <c r="F85" s="30" t="s">
        <v>72</v>
      </c>
      <c r="G85" s="30">
        <v>4010.3</v>
      </c>
      <c r="H85" s="30">
        <v>1.29</v>
      </c>
      <c r="I85" s="30"/>
      <c r="J85" s="69" t="s">
        <v>12</v>
      </c>
      <c r="K85" s="30"/>
      <c r="L85" s="30" t="str">
        <f t="shared" si="1"/>
        <v>12023021.4010.300</v>
      </c>
      <c r="M85" s="30"/>
      <c r="N85" s="30"/>
      <c r="O85" s="30"/>
    </row>
    <row r="86" spans="1:15" x14ac:dyDescent="0.2">
      <c r="A86" s="30">
        <v>18980</v>
      </c>
      <c r="B86" s="30" t="s">
        <v>97</v>
      </c>
      <c r="C86" s="30">
        <v>12023021</v>
      </c>
      <c r="D86" s="30" t="s">
        <v>98</v>
      </c>
      <c r="E86" s="30">
        <v>12</v>
      </c>
      <c r="F86" s="30" t="s">
        <v>72</v>
      </c>
      <c r="G86" s="30">
        <v>4010.3</v>
      </c>
      <c r="H86" s="30">
        <v>25.79</v>
      </c>
      <c r="I86" s="30"/>
      <c r="J86" s="69" t="s">
        <v>12</v>
      </c>
      <c r="K86" s="30"/>
      <c r="L86" s="30" t="str">
        <f t="shared" si="1"/>
        <v>12023021.4010.300</v>
      </c>
      <c r="M86" s="30"/>
      <c r="N86" s="30"/>
      <c r="O86" s="30"/>
    </row>
    <row r="87" spans="1:15" x14ac:dyDescent="0.2">
      <c r="A87" s="30">
        <v>19021</v>
      </c>
      <c r="B87" s="30" t="s">
        <v>99</v>
      </c>
      <c r="C87" s="30">
        <v>12023021</v>
      </c>
      <c r="D87" s="30" t="s">
        <v>98</v>
      </c>
      <c r="E87" s="30">
        <v>12</v>
      </c>
      <c r="F87" s="30" t="s">
        <v>72</v>
      </c>
      <c r="G87" s="30">
        <v>4010.3</v>
      </c>
      <c r="H87" s="30">
        <v>30.31</v>
      </c>
      <c r="I87" s="30"/>
      <c r="J87" s="69" t="s">
        <v>12</v>
      </c>
      <c r="K87" s="30"/>
      <c r="L87" s="30" t="str">
        <f t="shared" si="1"/>
        <v>12023021.4010.300</v>
      </c>
      <c r="M87" s="30"/>
      <c r="N87" s="30"/>
      <c r="O87" s="30"/>
    </row>
    <row r="88" spans="1:15" x14ac:dyDescent="0.2">
      <c r="A88" s="30">
        <v>18827</v>
      </c>
      <c r="B88" s="30" t="s">
        <v>104</v>
      </c>
      <c r="C88" s="30">
        <v>12030611</v>
      </c>
      <c r="D88" s="30" t="s">
        <v>36</v>
      </c>
      <c r="E88" s="30">
        <v>12</v>
      </c>
      <c r="F88" s="30" t="s">
        <v>72</v>
      </c>
      <c r="G88" s="30">
        <v>4010.3</v>
      </c>
      <c r="H88" s="30">
        <v>629.62</v>
      </c>
      <c r="I88" s="30"/>
      <c r="J88" s="69" t="s">
        <v>12</v>
      </c>
      <c r="K88" s="30"/>
      <c r="L88" s="30" t="str">
        <f t="shared" si="1"/>
        <v>12030611.4010.300</v>
      </c>
      <c r="M88" s="30"/>
      <c r="N88" s="30"/>
      <c r="O88" s="30"/>
    </row>
    <row r="89" spans="1:15" x14ac:dyDescent="0.2">
      <c r="A89" s="30">
        <v>18887</v>
      </c>
      <c r="B89" s="30" t="s">
        <v>105</v>
      </c>
      <c r="C89" s="30">
        <v>12030611</v>
      </c>
      <c r="D89" s="30" t="s">
        <v>36</v>
      </c>
      <c r="E89" s="30">
        <v>12</v>
      </c>
      <c r="F89" s="30" t="s">
        <v>72</v>
      </c>
      <c r="G89" s="30">
        <v>4010.3</v>
      </c>
      <c r="H89" s="30">
        <v>580.03</v>
      </c>
      <c r="I89" s="30"/>
      <c r="J89" s="69" t="s">
        <v>12</v>
      </c>
      <c r="K89" s="30"/>
      <c r="L89" s="30" t="str">
        <f t="shared" si="1"/>
        <v>12030611.4010.300</v>
      </c>
      <c r="M89" s="30"/>
      <c r="N89" s="30"/>
      <c r="O89" s="30"/>
    </row>
    <row r="90" spans="1:15" x14ac:dyDescent="0.2">
      <c r="A90" s="30">
        <v>18918</v>
      </c>
      <c r="B90" s="30" t="s">
        <v>38</v>
      </c>
      <c r="C90" s="30">
        <v>12030611</v>
      </c>
      <c r="D90" s="30" t="s">
        <v>36</v>
      </c>
      <c r="E90" s="30">
        <v>12</v>
      </c>
      <c r="F90" s="30" t="s">
        <v>72</v>
      </c>
      <c r="G90" s="30">
        <v>4010.3</v>
      </c>
      <c r="H90" s="30">
        <v>634.15</v>
      </c>
      <c r="I90" s="30"/>
      <c r="J90" s="69" t="s">
        <v>12</v>
      </c>
      <c r="K90" s="30"/>
      <c r="L90" s="30" t="str">
        <f t="shared" si="1"/>
        <v>12030611.4010.300</v>
      </c>
      <c r="M90" s="30"/>
      <c r="N90" s="30"/>
      <c r="O90" s="30"/>
    </row>
    <row r="91" spans="1:15" x14ac:dyDescent="0.2">
      <c r="A91" s="30">
        <v>18949</v>
      </c>
      <c r="B91" s="30" t="s">
        <v>35</v>
      </c>
      <c r="C91" s="30">
        <v>12030611</v>
      </c>
      <c r="D91" s="30" t="s">
        <v>36</v>
      </c>
      <c r="E91" s="30">
        <v>12</v>
      </c>
      <c r="F91" s="30" t="s">
        <v>72</v>
      </c>
      <c r="G91" s="30">
        <v>4010.3</v>
      </c>
      <c r="H91" s="30">
        <v>1486.68</v>
      </c>
      <c r="I91" s="30"/>
      <c r="J91" s="69" t="s">
        <v>12</v>
      </c>
      <c r="K91" s="30"/>
      <c r="L91" s="30" t="str">
        <f t="shared" si="1"/>
        <v>12030611.4010.300</v>
      </c>
      <c r="M91" s="30"/>
      <c r="N91" s="30"/>
      <c r="O91" s="30"/>
    </row>
    <row r="92" spans="1:15" x14ac:dyDescent="0.2">
      <c r="A92" s="30">
        <v>18901</v>
      </c>
      <c r="B92" s="30" t="s">
        <v>37</v>
      </c>
      <c r="C92" s="30">
        <v>12030611</v>
      </c>
      <c r="D92" s="30" t="s">
        <v>36</v>
      </c>
      <c r="E92" s="30">
        <v>12</v>
      </c>
      <c r="F92" s="30" t="s">
        <v>72</v>
      </c>
      <c r="G92" s="30">
        <v>4010.3</v>
      </c>
      <c r="H92" s="30">
        <v>850.39</v>
      </c>
      <c r="I92" s="30"/>
      <c r="J92" s="69" t="s">
        <v>12</v>
      </c>
      <c r="K92" s="30"/>
      <c r="L92" s="30" t="str">
        <f t="shared" si="1"/>
        <v>12030611.4010.300</v>
      </c>
      <c r="M92" s="30"/>
      <c r="N92" s="30"/>
      <c r="O92" s="30"/>
    </row>
    <row r="93" spans="1:15" x14ac:dyDescent="0.2">
      <c r="A93" s="30">
        <v>18929</v>
      </c>
      <c r="B93" s="30" t="s">
        <v>106</v>
      </c>
      <c r="C93" s="30">
        <v>12030611</v>
      </c>
      <c r="D93" s="30" t="s">
        <v>36</v>
      </c>
      <c r="E93" s="30">
        <v>12</v>
      </c>
      <c r="F93" s="30" t="s">
        <v>72</v>
      </c>
      <c r="G93" s="30">
        <v>4010.3</v>
      </c>
      <c r="H93" s="30">
        <v>196.47</v>
      </c>
      <c r="I93" s="30"/>
      <c r="J93" s="69" t="s">
        <v>12</v>
      </c>
      <c r="K93" s="30"/>
      <c r="L93" s="30" t="str">
        <f t="shared" si="1"/>
        <v>12030611.4010.300</v>
      </c>
      <c r="M93" s="30"/>
      <c r="N93" s="30"/>
      <c r="O93" s="30"/>
    </row>
    <row r="94" spans="1:15" x14ac:dyDescent="0.2">
      <c r="A94" s="30">
        <v>134</v>
      </c>
      <c r="B94" s="30" t="s">
        <v>102</v>
      </c>
      <c r="C94" s="30">
        <v>12030611</v>
      </c>
      <c r="D94" s="30" t="s">
        <v>36</v>
      </c>
      <c r="E94" s="30">
        <v>12</v>
      </c>
      <c r="F94" s="30" t="s">
        <v>72</v>
      </c>
      <c r="G94" s="30">
        <v>4010.3</v>
      </c>
      <c r="H94" s="30">
        <v>311.98</v>
      </c>
      <c r="I94" s="30"/>
      <c r="J94" s="69" t="s">
        <v>12</v>
      </c>
      <c r="K94" s="30"/>
      <c r="L94" s="30" t="str">
        <f t="shared" si="1"/>
        <v>12030611.4010.300</v>
      </c>
      <c r="M94" s="30"/>
      <c r="N94" s="30"/>
      <c r="O94" s="30"/>
    </row>
    <row r="95" spans="1:15" x14ac:dyDescent="0.2">
      <c r="A95" s="30">
        <v>18797</v>
      </c>
      <c r="B95" s="30" t="s">
        <v>101</v>
      </c>
      <c r="C95" s="30">
        <v>12030611</v>
      </c>
      <c r="D95" s="30" t="s">
        <v>36</v>
      </c>
      <c r="E95" s="30">
        <v>12</v>
      </c>
      <c r="F95" s="30" t="s">
        <v>72</v>
      </c>
      <c r="G95" s="30">
        <v>4010.3</v>
      </c>
      <c r="H95" s="30">
        <v>248.92</v>
      </c>
      <c r="I95" s="30"/>
      <c r="J95" s="69" t="s">
        <v>12</v>
      </c>
      <c r="K95" s="30"/>
      <c r="L95" s="30" t="str">
        <f t="shared" si="1"/>
        <v>12030611.4010.300</v>
      </c>
      <c r="M95" s="30"/>
      <c r="N95" s="30"/>
      <c r="O95" s="30"/>
    </row>
    <row r="96" spans="1:15" x14ac:dyDescent="0.2">
      <c r="A96" s="30">
        <v>18822</v>
      </c>
      <c r="B96" s="30" t="s">
        <v>103</v>
      </c>
      <c r="C96" s="30">
        <v>12030611</v>
      </c>
      <c r="D96" s="30" t="s">
        <v>36</v>
      </c>
      <c r="E96" s="30">
        <v>12</v>
      </c>
      <c r="F96" s="30" t="s">
        <v>72</v>
      </c>
      <c r="G96" s="30">
        <v>4010.3</v>
      </c>
      <c r="H96" s="30">
        <v>158.41999999999999</v>
      </c>
      <c r="I96" s="30"/>
      <c r="J96" s="69" t="s">
        <v>12</v>
      </c>
      <c r="K96" s="30"/>
      <c r="L96" s="30" t="str">
        <f t="shared" si="1"/>
        <v>12030611.4010.300</v>
      </c>
      <c r="M96" s="30"/>
      <c r="N96" s="30"/>
      <c r="O96" s="30"/>
    </row>
    <row r="97" spans="1:15" x14ac:dyDescent="0.2">
      <c r="A97" s="30">
        <v>18979</v>
      </c>
      <c r="B97" s="30" t="s">
        <v>39</v>
      </c>
      <c r="C97" s="30">
        <v>12030611</v>
      </c>
      <c r="D97" s="30" t="s">
        <v>36</v>
      </c>
      <c r="E97" s="30">
        <v>12</v>
      </c>
      <c r="F97" s="30" t="s">
        <v>72</v>
      </c>
      <c r="G97" s="30">
        <v>4010.3</v>
      </c>
      <c r="H97" s="30">
        <v>352.44</v>
      </c>
      <c r="I97" s="30"/>
      <c r="J97" s="69" t="s">
        <v>12</v>
      </c>
      <c r="K97" s="30"/>
      <c r="L97" s="30" t="str">
        <f t="shared" si="1"/>
        <v>12030611.4010.300</v>
      </c>
      <c r="M97" s="30"/>
      <c r="N97" s="30"/>
      <c r="O97" s="30"/>
    </row>
    <row r="98" spans="1:15" x14ac:dyDescent="0.2">
      <c r="A98" s="30">
        <v>18989</v>
      </c>
      <c r="B98" s="30" t="s">
        <v>107</v>
      </c>
      <c r="C98" s="30">
        <v>12030800</v>
      </c>
      <c r="D98" s="30" t="s">
        <v>59</v>
      </c>
      <c r="E98" s="30">
        <v>12</v>
      </c>
      <c r="F98" s="30" t="s">
        <v>72</v>
      </c>
      <c r="G98" s="30">
        <v>4010.3</v>
      </c>
      <c r="H98" s="30">
        <v>781.74</v>
      </c>
      <c r="I98" s="30"/>
      <c r="J98" s="69" t="s">
        <v>12</v>
      </c>
      <c r="K98" s="30"/>
      <c r="L98" s="30" t="str">
        <f t="shared" si="1"/>
        <v>12030800.4010.300</v>
      </c>
      <c r="M98" s="30"/>
      <c r="N98" s="30"/>
      <c r="O98" s="30"/>
    </row>
    <row r="99" spans="1:15" x14ac:dyDescent="0.2">
      <c r="A99" s="30">
        <v>18736</v>
      </c>
      <c r="B99" s="30" t="s">
        <v>70</v>
      </c>
      <c r="C99" s="30">
        <v>12032511</v>
      </c>
      <c r="D99" s="30" t="s">
        <v>43</v>
      </c>
      <c r="E99" s="30">
        <v>12</v>
      </c>
      <c r="F99" s="30" t="s">
        <v>72</v>
      </c>
      <c r="G99" s="30">
        <v>4010.3</v>
      </c>
      <c r="H99" s="30">
        <v>621.94000000000005</v>
      </c>
      <c r="I99" s="30"/>
      <c r="J99" s="69" t="s">
        <v>12</v>
      </c>
      <c r="K99" s="30"/>
      <c r="L99" s="30" t="str">
        <f t="shared" si="1"/>
        <v>12032511.4010.300</v>
      </c>
      <c r="M99" s="30"/>
      <c r="N99" s="30"/>
      <c r="O99" s="30"/>
    </row>
    <row r="100" spans="1:15" x14ac:dyDescent="0.2">
      <c r="A100" s="30">
        <v>19017</v>
      </c>
      <c r="B100" s="30" t="s">
        <v>65</v>
      </c>
      <c r="C100" s="30">
        <v>12033011</v>
      </c>
      <c r="D100" s="30" t="s">
        <v>45</v>
      </c>
      <c r="E100" s="30">
        <v>12</v>
      </c>
      <c r="F100" s="30" t="s">
        <v>72</v>
      </c>
      <c r="G100" s="30">
        <v>4010.3</v>
      </c>
      <c r="H100" s="30">
        <v>698.9</v>
      </c>
      <c r="I100" s="30"/>
      <c r="J100" s="69" t="s">
        <v>12</v>
      </c>
      <c r="K100" s="30"/>
      <c r="L100" s="30" t="str">
        <f t="shared" si="1"/>
        <v>12033011.4010.300</v>
      </c>
      <c r="M100" s="30"/>
      <c r="N100" s="30"/>
      <c r="O100" s="30"/>
    </row>
    <row r="101" spans="1:15" x14ac:dyDescent="0.2">
      <c r="A101" s="30">
        <v>19028</v>
      </c>
      <c r="B101" s="30" t="s">
        <v>367</v>
      </c>
      <c r="C101" s="30">
        <v>12033011</v>
      </c>
      <c r="D101" s="30" t="s">
        <v>45</v>
      </c>
      <c r="E101" s="30">
        <v>12</v>
      </c>
      <c r="F101" s="30" t="s">
        <v>72</v>
      </c>
      <c r="G101" s="30">
        <v>4010.3</v>
      </c>
      <c r="H101" s="30">
        <v>781.13</v>
      </c>
      <c r="I101" s="30"/>
      <c r="J101" s="69" t="s">
        <v>12</v>
      </c>
      <c r="K101" s="30"/>
      <c r="L101" s="30" t="str">
        <f t="shared" si="1"/>
        <v>12033011.4010.300</v>
      </c>
      <c r="M101" s="30"/>
      <c r="N101" s="30"/>
      <c r="O101" s="30"/>
    </row>
    <row r="102" spans="1:15" x14ac:dyDescent="0.2">
      <c r="A102" s="30">
        <v>18932</v>
      </c>
      <c r="B102" s="30" t="s">
        <v>44</v>
      </c>
      <c r="C102" s="30">
        <v>12033011</v>
      </c>
      <c r="D102" s="30" t="s">
        <v>45</v>
      </c>
      <c r="E102" s="30">
        <v>12</v>
      </c>
      <c r="F102" s="30" t="s">
        <v>72</v>
      </c>
      <c r="G102" s="30">
        <v>4010.3</v>
      </c>
      <c r="H102" s="30">
        <v>605.17999999999995</v>
      </c>
      <c r="I102" s="30"/>
      <c r="J102" s="69" t="s">
        <v>12</v>
      </c>
      <c r="K102" s="30"/>
      <c r="L102" s="30" t="str">
        <f t="shared" si="1"/>
        <v>12033011.4010.300</v>
      </c>
      <c r="M102" s="30"/>
      <c r="N102" s="30"/>
      <c r="O102" s="30"/>
    </row>
    <row r="103" spans="1:15" x14ac:dyDescent="0.2">
      <c r="A103" s="30">
        <v>19015</v>
      </c>
      <c r="B103" s="30" t="s">
        <v>116</v>
      </c>
      <c r="C103" s="30">
        <v>12033011</v>
      </c>
      <c r="D103" s="30" t="s">
        <v>45</v>
      </c>
      <c r="E103" s="30">
        <v>12</v>
      </c>
      <c r="F103" s="30" t="s">
        <v>72</v>
      </c>
      <c r="G103" s="30">
        <v>4010.3</v>
      </c>
      <c r="H103" s="30">
        <v>462.83</v>
      </c>
      <c r="I103" s="30"/>
      <c r="J103" s="69" t="s">
        <v>12</v>
      </c>
      <c r="K103" s="30"/>
      <c r="L103" s="30" t="str">
        <f t="shared" si="1"/>
        <v>12033011.4010.300</v>
      </c>
      <c r="M103" s="30"/>
      <c r="N103" s="30"/>
      <c r="O103" s="30"/>
    </row>
    <row r="104" spans="1:15" x14ac:dyDescent="0.2">
      <c r="A104" s="30">
        <v>19011</v>
      </c>
      <c r="B104" s="30" t="s">
        <v>111</v>
      </c>
      <c r="C104" s="30">
        <v>12033011</v>
      </c>
      <c r="D104" s="30" t="s">
        <v>45</v>
      </c>
      <c r="E104" s="30">
        <v>12</v>
      </c>
      <c r="F104" s="30" t="s">
        <v>72</v>
      </c>
      <c r="G104" s="30">
        <v>4010.3</v>
      </c>
      <c r="H104" s="30">
        <v>781.35</v>
      </c>
      <c r="I104" s="30"/>
      <c r="J104" s="69" t="s">
        <v>12</v>
      </c>
      <c r="K104" s="30"/>
      <c r="L104" s="30" t="str">
        <f t="shared" si="1"/>
        <v>12033011.4010.300</v>
      </c>
      <c r="M104" s="30"/>
      <c r="N104" s="30"/>
      <c r="O104" s="30"/>
    </row>
    <row r="105" spans="1:15" x14ac:dyDescent="0.2">
      <c r="A105" s="30">
        <v>19019</v>
      </c>
      <c r="B105" s="30" t="s">
        <v>108</v>
      </c>
      <c r="C105" s="30">
        <v>12033011</v>
      </c>
      <c r="D105" s="30" t="s">
        <v>45</v>
      </c>
      <c r="E105" s="30">
        <v>12</v>
      </c>
      <c r="F105" s="30" t="s">
        <v>72</v>
      </c>
      <c r="G105" s="30">
        <v>4010.3</v>
      </c>
      <c r="H105" s="30">
        <v>493.91</v>
      </c>
      <c r="I105" s="30"/>
      <c r="J105" s="69" t="s">
        <v>12</v>
      </c>
      <c r="K105" s="30"/>
      <c r="L105" s="30" t="str">
        <f t="shared" si="1"/>
        <v>12033011.4010.300</v>
      </c>
      <c r="M105" s="30"/>
      <c r="N105" s="30"/>
      <c r="O105" s="30"/>
    </row>
    <row r="106" spans="1:15" x14ac:dyDescent="0.2">
      <c r="A106" s="30">
        <v>18607</v>
      </c>
      <c r="B106" s="30" t="s">
        <v>109</v>
      </c>
      <c r="C106" s="30">
        <v>12033011</v>
      </c>
      <c r="D106" s="30" t="s">
        <v>45</v>
      </c>
      <c r="E106" s="30">
        <v>12</v>
      </c>
      <c r="F106" s="30" t="s">
        <v>72</v>
      </c>
      <c r="G106" s="30">
        <v>4010.3</v>
      </c>
      <c r="H106" s="30">
        <v>548.13</v>
      </c>
      <c r="I106" s="30"/>
      <c r="J106" s="69" t="s">
        <v>12</v>
      </c>
      <c r="K106" s="30"/>
      <c r="L106" s="30" t="str">
        <f t="shared" si="1"/>
        <v>12033011.4010.300</v>
      </c>
      <c r="M106" s="30"/>
      <c r="N106" s="30"/>
      <c r="O106" s="30"/>
    </row>
    <row r="107" spans="1:15" x14ac:dyDescent="0.2">
      <c r="A107" s="30">
        <v>19012</v>
      </c>
      <c r="B107" s="30" t="s">
        <v>110</v>
      </c>
      <c r="C107" s="30">
        <v>12033011</v>
      </c>
      <c r="D107" s="30" t="s">
        <v>45</v>
      </c>
      <c r="E107" s="30">
        <v>12</v>
      </c>
      <c r="F107" s="30" t="s">
        <v>72</v>
      </c>
      <c r="G107" s="30">
        <v>4010.3</v>
      </c>
      <c r="H107" s="30">
        <v>481.42</v>
      </c>
      <c r="I107" s="30"/>
      <c r="J107" s="69" t="s">
        <v>12</v>
      </c>
      <c r="K107" s="30"/>
      <c r="L107" s="30" t="str">
        <f t="shared" si="1"/>
        <v>12033011.4010.300</v>
      </c>
      <c r="M107" s="30"/>
      <c r="N107" s="30"/>
      <c r="O107" s="30"/>
    </row>
    <row r="108" spans="1:15" x14ac:dyDescent="0.2">
      <c r="A108" s="30">
        <v>18983</v>
      </c>
      <c r="B108" s="30" t="s">
        <v>112</v>
      </c>
      <c r="C108" s="30">
        <v>12033011</v>
      </c>
      <c r="D108" s="30" t="s">
        <v>45</v>
      </c>
      <c r="E108" s="30">
        <v>12</v>
      </c>
      <c r="F108" s="30" t="s">
        <v>72</v>
      </c>
      <c r="G108" s="30">
        <v>4010.3</v>
      </c>
      <c r="H108" s="30">
        <v>978.33</v>
      </c>
      <c r="I108" s="30"/>
      <c r="J108" s="69" t="s">
        <v>12</v>
      </c>
      <c r="K108" s="30"/>
      <c r="L108" s="30" t="str">
        <f t="shared" si="1"/>
        <v>12033011.4010.300</v>
      </c>
      <c r="M108" s="30"/>
      <c r="N108" s="30"/>
      <c r="O108" s="30"/>
    </row>
    <row r="109" spans="1:15" x14ac:dyDescent="0.2">
      <c r="A109" s="30">
        <v>18679</v>
      </c>
      <c r="B109" s="30" t="s">
        <v>114</v>
      </c>
      <c r="C109" s="30">
        <v>12033011</v>
      </c>
      <c r="D109" s="30" t="s">
        <v>45</v>
      </c>
      <c r="E109" s="30">
        <v>12</v>
      </c>
      <c r="F109" s="30" t="s">
        <v>72</v>
      </c>
      <c r="G109" s="30">
        <v>4010.3</v>
      </c>
      <c r="H109" s="30">
        <v>5.75</v>
      </c>
      <c r="I109" s="30"/>
      <c r="J109" s="69" t="s">
        <v>12</v>
      </c>
      <c r="K109" s="30"/>
      <c r="L109" s="30" t="str">
        <f t="shared" si="1"/>
        <v>12033011.4010.300</v>
      </c>
      <c r="M109" s="30"/>
      <c r="N109" s="30"/>
      <c r="O109" s="30"/>
    </row>
    <row r="110" spans="1:15" x14ac:dyDescent="0.2">
      <c r="A110" s="30">
        <v>19029</v>
      </c>
      <c r="B110" s="30" t="s">
        <v>366</v>
      </c>
      <c r="C110" s="30">
        <v>12033011</v>
      </c>
      <c r="D110" s="30" t="s">
        <v>45</v>
      </c>
      <c r="E110" s="30">
        <v>12</v>
      </c>
      <c r="F110" s="30" t="s">
        <v>72</v>
      </c>
      <c r="G110" s="30">
        <v>4010.3</v>
      </c>
      <c r="H110" s="30">
        <v>857.16</v>
      </c>
      <c r="I110" s="30"/>
      <c r="J110" s="69" t="s">
        <v>12</v>
      </c>
      <c r="K110" s="30"/>
      <c r="L110" s="30" t="str">
        <f t="shared" si="1"/>
        <v>12033011.4010.300</v>
      </c>
      <c r="M110" s="30"/>
      <c r="N110" s="30"/>
      <c r="O110" s="30"/>
    </row>
    <row r="111" spans="1:15" x14ac:dyDescent="0.2">
      <c r="A111" s="30">
        <v>18829</v>
      </c>
      <c r="B111" s="30" t="s">
        <v>115</v>
      </c>
      <c r="C111" s="30">
        <v>12033011</v>
      </c>
      <c r="D111" s="30" t="s">
        <v>45</v>
      </c>
      <c r="E111" s="30">
        <v>12</v>
      </c>
      <c r="F111" s="30" t="s">
        <v>72</v>
      </c>
      <c r="G111" s="30">
        <v>4010.3</v>
      </c>
      <c r="H111" s="30">
        <v>1056.94</v>
      </c>
      <c r="I111" s="30"/>
      <c r="J111" s="69" t="s">
        <v>12</v>
      </c>
      <c r="K111" s="30"/>
      <c r="L111" s="30" t="str">
        <f t="shared" si="1"/>
        <v>12033011.4010.300</v>
      </c>
      <c r="M111" s="30"/>
      <c r="N111" s="30"/>
      <c r="O111" s="30"/>
    </row>
    <row r="112" spans="1:15" x14ac:dyDescent="0.2">
      <c r="A112" s="30">
        <v>19009</v>
      </c>
      <c r="B112" s="30" t="s">
        <v>117</v>
      </c>
      <c r="C112" s="30">
        <v>12033011</v>
      </c>
      <c r="D112" s="30" t="s">
        <v>45</v>
      </c>
      <c r="E112" s="30">
        <v>12</v>
      </c>
      <c r="F112" s="30" t="s">
        <v>72</v>
      </c>
      <c r="G112" s="30">
        <v>4010.3</v>
      </c>
      <c r="H112" s="30">
        <v>718.41</v>
      </c>
      <c r="I112" s="30"/>
      <c r="J112" s="69" t="s">
        <v>12</v>
      </c>
      <c r="K112" s="30"/>
      <c r="L112" s="30" t="str">
        <f t="shared" si="1"/>
        <v>12033011.4010.300</v>
      </c>
      <c r="M112" s="30"/>
      <c r="N112" s="30"/>
      <c r="O112" s="30"/>
    </row>
    <row r="113" spans="1:15" x14ac:dyDescent="0.2">
      <c r="A113" s="30">
        <v>19008</v>
      </c>
      <c r="B113" s="30" t="s">
        <v>118</v>
      </c>
      <c r="C113" s="30">
        <v>12033011</v>
      </c>
      <c r="D113" s="30" t="s">
        <v>45</v>
      </c>
      <c r="E113" s="30">
        <v>12</v>
      </c>
      <c r="F113" s="30" t="s">
        <v>72</v>
      </c>
      <c r="G113" s="30">
        <v>4010.3</v>
      </c>
      <c r="H113" s="30">
        <v>23</v>
      </c>
      <c r="I113" s="30"/>
      <c r="J113" s="69" t="s">
        <v>12</v>
      </c>
      <c r="K113" s="30"/>
      <c r="L113" s="30" t="str">
        <f t="shared" si="1"/>
        <v>12033011.4010.300</v>
      </c>
      <c r="M113" s="30"/>
      <c r="N113" s="30"/>
      <c r="O113" s="30"/>
    </row>
    <row r="114" spans="1:15" x14ac:dyDescent="0.2">
      <c r="A114" s="30">
        <v>18923</v>
      </c>
      <c r="B114" s="30" t="s">
        <v>46</v>
      </c>
      <c r="C114" s="30">
        <v>12033011</v>
      </c>
      <c r="D114" s="30" t="s">
        <v>45</v>
      </c>
      <c r="E114" s="30">
        <v>12</v>
      </c>
      <c r="F114" s="30" t="s">
        <v>72</v>
      </c>
      <c r="G114" s="30">
        <v>4010.3</v>
      </c>
      <c r="H114" s="30">
        <v>52.32</v>
      </c>
      <c r="I114" s="30"/>
      <c r="J114" s="69" t="s">
        <v>12</v>
      </c>
      <c r="K114" s="30"/>
      <c r="L114" s="30" t="str">
        <f t="shared" si="1"/>
        <v>12033011.4010.300</v>
      </c>
      <c r="M114" s="30"/>
      <c r="N114" s="30"/>
      <c r="O114" s="30"/>
    </row>
    <row r="115" spans="1:15" x14ac:dyDescent="0.2">
      <c r="A115" s="30">
        <v>18904</v>
      </c>
      <c r="B115" s="30" t="s">
        <v>119</v>
      </c>
      <c r="C115" s="30">
        <v>12040800</v>
      </c>
      <c r="D115" s="30" t="s">
        <v>120</v>
      </c>
      <c r="E115" s="30">
        <v>12</v>
      </c>
      <c r="F115" s="30" t="s">
        <v>72</v>
      </c>
      <c r="G115" s="30">
        <v>4010.3</v>
      </c>
      <c r="H115" s="30">
        <v>100.6</v>
      </c>
      <c r="I115" s="30"/>
      <c r="J115" s="69" t="s">
        <v>12</v>
      </c>
      <c r="K115" s="30"/>
      <c r="L115" s="30" t="str">
        <f t="shared" si="1"/>
        <v>12040800.4010.300</v>
      </c>
      <c r="M115" s="30"/>
      <c r="N115" s="30"/>
      <c r="O115" s="30"/>
    </row>
    <row r="116" spans="1:15" x14ac:dyDescent="0.2">
      <c r="A116" s="30">
        <v>18650</v>
      </c>
      <c r="B116" s="30" t="s">
        <v>49</v>
      </c>
      <c r="C116" s="30">
        <v>12042511</v>
      </c>
      <c r="D116" s="30" t="s">
        <v>50</v>
      </c>
      <c r="E116" s="30">
        <v>12</v>
      </c>
      <c r="F116" s="30" t="s">
        <v>72</v>
      </c>
      <c r="G116" s="30">
        <v>4010.3</v>
      </c>
      <c r="H116" s="30">
        <v>0.77</v>
      </c>
      <c r="I116" s="30"/>
      <c r="J116" s="69" t="s">
        <v>12</v>
      </c>
      <c r="K116" s="30"/>
      <c r="L116" s="30" t="str">
        <f t="shared" si="1"/>
        <v>12042511.4010.300</v>
      </c>
      <c r="M116" s="30"/>
      <c r="N116" s="30"/>
      <c r="O116" s="30"/>
    </row>
    <row r="117" spans="1:15" x14ac:dyDescent="0.2">
      <c r="A117" s="30">
        <v>18924</v>
      </c>
      <c r="B117" s="30" t="s">
        <v>121</v>
      </c>
      <c r="C117" s="30">
        <v>12043011</v>
      </c>
      <c r="D117" s="30" t="s">
        <v>52</v>
      </c>
      <c r="E117" s="30">
        <v>12</v>
      </c>
      <c r="F117" s="30" t="s">
        <v>72</v>
      </c>
      <c r="G117" s="30">
        <v>4010.3</v>
      </c>
      <c r="H117" s="30">
        <v>32.659999999999997</v>
      </c>
      <c r="I117" s="30"/>
      <c r="J117" s="69" t="s">
        <v>12</v>
      </c>
      <c r="K117" s="30"/>
      <c r="L117" s="30" t="str">
        <f t="shared" si="1"/>
        <v>12043011.4010.300</v>
      </c>
      <c r="M117" s="30"/>
      <c r="N117" s="30"/>
      <c r="O117" s="30"/>
    </row>
    <row r="118" spans="1:15" x14ac:dyDescent="0.2">
      <c r="A118" s="30">
        <v>18703</v>
      </c>
      <c r="B118" s="30" t="s">
        <v>126</v>
      </c>
      <c r="C118" s="30">
        <v>12043011</v>
      </c>
      <c r="D118" s="30" t="s">
        <v>52</v>
      </c>
      <c r="E118" s="30">
        <v>12</v>
      </c>
      <c r="F118" s="30" t="s">
        <v>72</v>
      </c>
      <c r="G118" s="30">
        <v>4010.3</v>
      </c>
      <c r="H118" s="30">
        <v>378.3</v>
      </c>
      <c r="I118" s="30"/>
      <c r="J118" s="69" t="s">
        <v>12</v>
      </c>
      <c r="K118" s="30"/>
      <c r="L118" s="30" t="str">
        <f t="shared" si="1"/>
        <v>12043011.4010.300</v>
      </c>
      <c r="M118" s="30"/>
      <c r="N118" s="30"/>
      <c r="O118" s="30"/>
    </row>
    <row r="119" spans="1:15" x14ac:dyDescent="0.2">
      <c r="A119" s="30">
        <v>19039</v>
      </c>
      <c r="B119" s="30" t="s">
        <v>443</v>
      </c>
      <c r="C119" s="30">
        <v>12043011</v>
      </c>
      <c r="D119" s="30" t="s">
        <v>52</v>
      </c>
      <c r="E119" s="30">
        <v>12</v>
      </c>
      <c r="F119" s="30" t="s">
        <v>72</v>
      </c>
      <c r="G119" s="30">
        <v>4010.3</v>
      </c>
      <c r="H119" s="30">
        <v>11.28</v>
      </c>
      <c r="I119" s="30"/>
      <c r="J119" s="69" t="s">
        <v>12</v>
      </c>
      <c r="K119" s="30"/>
      <c r="L119" s="30" t="str">
        <f t="shared" si="1"/>
        <v>12043011.4010.300</v>
      </c>
      <c r="M119" s="30"/>
      <c r="N119" s="30"/>
      <c r="O119" s="30"/>
    </row>
    <row r="120" spans="1:15" x14ac:dyDescent="0.2">
      <c r="A120" s="30">
        <v>18646</v>
      </c>
      <c r="B120" s="30" t="s">
        <v>124</v>
      </c>
      <c r="C120" s="30">
        <v>12043011</v>
      </c>
      <c r="D120" s="30" t="s">
        <v>52</v>
      </c>
      <c r="E120" s="30">
        <v>12</v>
      </c>
      <c r="F120" s="30" t="s">
        <v>72</v>
      </c>
      <c r="G120" s="30">
        <v>4010.3</v>
      </c>
      <c r="H120" s="30">
        <v>145.43</v>
      </c>
      <c r="I120" s="30"/>
      <c r="J120" s="69" t="s">
        <v>12</v>
      </c>
      <c r="K120" s="30"/>
      <c r="L120" s="30" t="str">
        <f t="shared" si="1"/>
        <v>12043011.4010.300</v>
      </c>
      <c r="M120" s="30"/>
      <c r="N120" s="30"/>
      <c r="O120" s="30"/>
    </row>
    <row r="121" spans="1:15" x14ac:dyDescent="0.2">
      <c r="A121" s="30">
        <v>18986</v>
      </c>
      <c r="B121" s="30" t="s">
        <v>153</v>
      </c>
      <c r="C121" s="30">
        <v>12043011</v>
      </c>
      <c r="D121" s="30" t="s">
        <v>52</v>
      </c>
      <c r="E121" s="30">
        <v>12</v>
      </c>
      <c r="F121" s="30" t="s">
        <v>72</v>
      </c>
      <c r="G121" s="30">
        <v>4010.3</v>
      </c>
      <c r="H121" s="30">
        <v>1.19</v>
      </c>
      <c r="I121" s="30"/>
      <c r="J121" s="69" t="s">
        <v>12</v>
      </c>
      <c r="K121" s="30"/>
      <c r="L121" s="30" t="str">
        <f t="shared" si="1"/>
        <v>12043011.4010.300</v>
      </c>
      <c r="M121" s="30"/>
      <c r="N121" s="30"/>
      <c r="O121" s="30"/>
    </row>
    <row r="122" spans="1:15" x14ac:dyDescent="0.2">
      <c r="A122" s="30">
        <v>18850</v>
      </c>
      <c r="B122" s="30" t="s">
        <v>123</v>
      </c>
      <c r="C122" s="30">
        <v>12043011</v>
      </c>
      <c r="D122" s="30" t="s">
        <v>52</v>
      </c>
      <c r="E122" s="30">
        <v>12</v>
      </c>
      <c r="F122" s="30" t="s">
        <v>72</v>
      </c>
      <c r="G122" s="30">
        <v>4010.3</v>
      </c>
      <c r="H122" s="30">
        <v>121.58</v>
      </c>
      <c r="I122" s="30"/>
      <c r="J122" s="69" t="s">
        <v>12</v>
      </c>
      <c r="K122" s="30"/>
      <c r="L122" s="30" t="str">
        <f t="shared" si="1"/>
        <v>12043011.4010.300</v>
      </c>
      <c r="M122" s="30"/>
      <c r="N122" s="30"/>
      <c r="O122" s="30"/>
    </row>
    <row r="123" spans="1:15" x14ac:dyDescent="0.2">
      <c r="A123" s="30">
        <v>18970</v>
      </c>
      <c r="B123" s="30" t="s">
        <v>200</v>
      </c>
      <c r="C123" s="30">
        <v>12043123</v>
      </c>
      <c r="D123" s="30" t="s">
        <v>201</v>
      </c>
      <c r="E123" s="30">
        <v>12</v>
      </c>
      <c r="F123" s="30" t="s">
        <v>72</v>
      </c>
      <c r="G123" s="30">
        <v>4010.3</v>
      </c>
      <c r="H123" s="30">
        <v>1.93</v>
      </c>
      <c r="I123" s="30"/>
      <c r="J123" s="69" t="s">
        <v>12</v>
      </c>
      <c r="K123" s="30"/>
      <c r="L123" s="30" t="str">
        <f t="shared" si="1"/>
        <v>12043123.4010.300</v>
      </c>
      <c r="M123" s="30"/>
      <c r="N123" s="30"/>
      <c r="O123" s="30"/>
    </row>
    <row r="124" spans="1:15" x14ac:dyDescent="0.2">
      <c r="A124" s="30">
        <v>18823</v>
      </c>
      <c r="B124" s="30" t="s">
        <v>53</v>
      </c>
      <c r="C124" s="30">
        <v>12060611</v>
      </c>
      <c r="D124" s="30" t="s">
        <v>54</v>
      </c>
      <c r="E124" s="30">
        <v>12</v>
      </c>
      <c r="F124" s="30" t="s">
        <v>72</v>
      </c>
      <c r="G124" s="30">
        <v>4010.3</v>
      </c>
      <c r="H124" s="30">
        <v>224.1</v>
      </c>
      <c r="I124" s="30"/>
      <c r="J124" s="69" t="s">
        <v>12</v>
      </c>
      <c r="K124" s="30"/>
      <c r="L124" s="30" t="str">
        <f t="shared" si="1"/>
        <v>12060611.4010.300</v>
      </c>
      <c r="M124" s="30"/>
      <c r="N124" s="30"/>
      <c r="O124" s="30"/>
    </row>
    <row r="125" spans="1:15" x14ac:dyDescent="0.2">
      <c r="A125" s="30">
        <v>18927</v>
      </c>
      <c r="B125" s="30" t="s">
        <v>55</v>
      </c>
      <c r="C125" s="30">
        <v>12060611</v>
      </c>
      <c r="D125" s="30" t="s">
        <v>54</v>
      </c>
      <c r="E125" s="30">
        <v>12</v>
      </c>
      <c r="F125" s="30" t="s">
        <v>72</v>
      </c>
      <c r="G125" s="30">
        <v>4010.3</v>
      </c>
      <c r="H125" s="30">
        <v>34.82</v>
      </c>
      <c r="I125" s="30"/>
      <c r="J125" s="69" t="s">
        <v>12</v>
      </c>
      <c r="K125" s="30"/>
      <c r="L125" s="30" t="str">
        <f t="shared" si="1"/>
        <v>12060611.4010.300</v>
      </c>
      <c r="M125" s="30"/>
      <c r="N125" s="30"/>
      <c r="O125" s="30"/>
    </row>
    <row r="126" spans="1:15" x14ac:dyDescent="0.2">
      <c r="A126" s="30">
        <v>18634</v>
      </c>
      <c r="B126" s="30" t="s">
        <v>129</v>
      </c>
      <c r="C126" s="30">
        <v>12060611</v>
      </c>
      <c r="D126" s="30" t="s">
        <v>54</v>
      </c>
      <c r="E126" s="30">
        <v>12</v>
      </c>
      <c r="F126" s="30" t="s">
        <v>72</v>
      </c>
      <c r="G126" s="30">
        <v>4010.3</v>
      </c>
      <c r="H126" s="30">
        <v>35.75</v>
      </c>
      <c r="I126" s="30"/>
      <c r="J126" s="69" t="s">
        <v>12</v>
      </c>
      <c r="K126" s="30"/>
      <c r="L126" s="30" t="str">
        <f t="shared" si="1"/>
        <v>12060611.4010.300</v>
      </c>
      <c r="M126" s="30"/>
      <c r="N126" s="30"/>
      <c r="O126" s="30"/>
    </row>
    <row r="127" spans="1:15" x14ac:dyDescent="0.2">
      <c r="A127" s="30">
        <v>18996</v>
      </c>
      <c r="B127" s="30" t="s">
        <v>127</v>
      </c>
      <c r="C127" s="30">
        <v>12060611</v>
      </c>
      <c r="D127" s="30" t="s">
        <v>54</v>
      </c>
      <c r="E127" s="30">
        <v>12</v>
      </c>
      <c r="F127" s="30" t="s">
        <v>72</v>
      </c>
      <c r="G127" s="30">
        <v>4010.3</v>
      </c>
      <c r="H127" s="30">
        <v>219.26</v>
      </c>
      <c r="I127" s="30"/>
      <c r="J127" s="69" t="s">
        <v>12</v>
      </c>
      <c r="K127" s="30"/>
      <c r="L127" s="30" t="str">
        <f t="shared" si="1"/>
        <v>12060611.4010.300</v>
      </c>
      <c r="M127" s="30"/>
      <c r="N127" s="30"/>
      <c r="O127" s="30"/>
    </row>
    <row r="128" spans="1:15" x14ac:dyDescent="0.2">
      <c r="A128" s="30">
        <v>18895</v>
      </c>
      <c r="B128" s="30" t="s">
        <v>128</v>
      </c>
      <c r="C128" s="30">
        <v>12060611</v>
      </c>
      <c r="D128" s="30" t="s">
        <v>54</v>
      </c>
      <c r="E128" s="30">
        <v>12</v>
      </c>
      <c r="F128" s="30" t="s">
        <v>72</v>
      </c>
      <c r="G128" s="30">
        <v>4010.3</v>
      </c>
      <c r="H128" s="30">
        <v>104.97</v>
      </c>
      <c r="I128" s="30"/>
      <c r="J128" s="69" t="s">
        <v>12</v>
      </c>
      <c r="K128" s="30"/>
      <c r="L128" s="30" t="str">
        <f t="shared" si="1"/>
        <v>12060611.4010.300</v>
      </c>
      <c r="M128" s="30"/>
      <c r="N128" s="30"/>
      <c r="O128" s="30"/>
    </row>
    <row r="129" spans="1:15" x14ac:dyDescent="0.2">
      <c r="A129" s="30">
        <v>18898</v>
      </c>
      <c r="B129" s="30" t="s">
        <v>130</v>
      </c>
      <c r="C129" s="30">
        <v>12060611</v>
      </c>
      <c r="D129" s="30" t="s">
        <v>54</v>
      </c>
      <c r="E129" s="30">
        <v>12</v>
      </c>
      <c r="F129" s="30" t="s">
        <v>72</v>
      </c>
      <c r="G129" s="30">
        <v>4010.3</v>
      </c>
      <c r="H129" s="30">
        <v>289.55</v>
      </c>
      <c r="I129" s="30"/>
      <c r="J129" s="69" t="s">
        <v>12</v>
      </c>
      <c r="K129" s="30"/>
      <c r="L129" s="30" t="str">
        <f t="shared" si="1"/>
        <v>12060611.4010.300</v>
      </c>
      <c r="M129" s="30"/>
      <c r="N129" s="30"/>
      <c r="O129" s="30"/>
    </row>
    <row r="130" spans="1:15" x14ac:dyDescent="0.2">
      <c r="A130" s="30">
        <v>18791</v>
      </c>
      <c r="B130" s="30" t="s">
        <v>132</v>
      </c>
      <c r="C130" s="30">
        <v>12060711</v>
      </c>
      <c r="D130" s="30" t="s">
        <v>133</v>
      </c>
      <c r="E130" s="30">
        <v>12</v>
      </c>
      <c r="F130" s="30" t="s">
        <v>72</v>
      </c>
      <c r="G130" s="30">
        <v>4010.3</v>
      </c>
      <c r="H130" s="30">
        <v>75.87</v>
      </c>
      <c r="I130" s="30"/>
      <c r="J130" s="69" t="s">
        <v>12</v>
      </c>
      <c r="K130" s="30"/>
      <c r="L130" s="30" t="str">
        <f t="shared" ref="L130:L193" si="2">C130&amp;"."&amp;G130&amp;J130</f>
        <v>12060711.4010.300</v>
      </c>
      <c r="M130" s="30"/>
      <c r="N130" s="30"/>
      <c r="O130" s="30"/>
    </row>
    <row r="131" spans="1:15" x14ac:dyDescent="0.2">
      <c r="A131" s="30">
        <v>18561</v>
      </c>
      <c r="B131" s="30" t="s">
        <v>134</v>
      </c>
      <c r="C131" s="30">
        <v>12060800</v>
      </c>
      <c r="D131" s="30" t="s">
        <v>135</v>
      </c>
      <c r="E131" s="30">
        <v>12</v>
      </c>
      <c r="F131" s="30" t="s">
        <v>72</v>
      </c>
      <c r="G131" s="30">
        <v>4010.3</v>
      </c>
      <c r="H131" s="30">
        <v>211.84</v>
      </c>
      <c r="I131" s="30"/>
      <c r="J131" s="69" t="s">
        <v>12</v>
      </c>
      <c r="K131" s="30"/>
      <c r="L131" s="30" t="str">
        <f t="shared" si="2"/>
        <v>12060800.4010.300</v>
      </c>
      <c r="M131" s="30"/>
      <c r="N131" s="30"/>
      <c r="O131" s="30"/>
    </row>
    <row r="132" spans="1:15" x14ac:dyDescent="0.2">
      <c r="A132" s="30">
        <v>18953</v>
      </c>
      <c r="B132" s="30" t="s">
        <v>136</v>
      </c>
      <c r="C132" s="30">
        <v>12060800</v>
      </c>
      <c r="D132" s="30" t="s">
        <v>135</v>
      </c>
      <c r="E132" s="30">
        <v>12</v>
      </c>
      <c r="F132" s="30" t="s">
        <v>72</v>
      </c>
      <c r="G132" s="30">
        <v>4010.3</v>
      </c>
      <c r="H132" s="30">
        <v>71.27</v>
      </c>
      <c r="I132" s="30"/>
      <c r="J132" s="69" t="s">
        <v>12</v>
      </c>
      <c r="K132" s="30"/>
      <c r="L132" s="30" t="str">
        <f t="shared" si="2"/>
        <v>12060800.4010.300</v>
      </c>
      <c r="M132" s="30"/>
      <c r="N132" s="30"/>
      <c r="O132" s="30"/>
    </row>
    <row r="133" spans="1:15" x14ac:dyDescent="0.2">
      <c r="A133" s="30">
        <v>156</v>
      </c>
      <c r="B133" s="30" t="s">
        <v>137</v>
      </c>
      <c r="C133" s="30">
        <v>12062511</v>
      </c>
      <c r="D133" s="30" t="s">
        <v>57</v>
      </c>
      <c r="E133" s="30">
        <v>12</v>
      </c>
      <c r="F133" s="30" t="s">
        <v>72</v>
      </c>
      <c r="G133" s="30">
        <v>4010.3</v>
      </c>
      <c r="H133" s="30">
        <v>6.9</v>
      </c>
      <c r="I133" s="30"/>
      <c r="J133" s="69" t="s">
        <v>12</v>
      </c>
      <c r="K133" s="30"/>
      <c r="L133" s="30" t="str">
        <f t="shared" si="2"/>
        <v>12062511.4010.300</v>
      </c>
      <c r="M133" s="30"/>
      <c r="N133" s="30"/>
      <c r="O133" s="30"/>
    </row>
    <row r="134" spans="1:15" x14ac:dyDescent="0.2">
      <c r="A134" s="30">
        <v>18792</v>
      </c>
      <c r="B134" s="30" t="s">
        <v>56</v>
      </c>
      <c r="C134" s="30">
        <v>12062511</v>
      </c>
      <c r="D134" s="30" t="s">
        <v>57</v>
      </c>
      <c r="E134" s="30">
        <v>12</v>
      </c>
      <c r="F134" s="30" t="s">
        <v>72</v>
      </c>
      <c r="G134" s="30">
        <v>4010.3</v>
      </c>
      <c r="H134" s="30">
        <v>222.49</v>
      </c>
      <c r="I134" s="30"/>
      <c r="J134" s="69" t="s">
        <v>12</v>
      </c>
      <c r="K134" s="30"/>
      <c r="L134" s="30" t="str">
        <f t="shared" si="2"/>
        <v>12062511.4010.300</v>
      </c>
      <c r="M134" s="30"/>
      <c r="N134" s="30"/>
      <c r="O134" s="30"/>
    </row>
    <row r="135" spans="1:15" x14ac:dyDescent="0.2">
      <c r="A135" s="30">
        <v>18506</v>
      </c>
      <c r="B135" s="30" t="s">
        <v>438</v>
      </c>
      <c r="C135" s="30">
        <v>12062511</v>
      </c>
      <c r="D135" s="30" t="s">
        <v>57</v>
      </c>
      <c r="E135" s="30">
        <v>12</v>
      </c>
      <c r="F135" s="30" t="s">
        <v>72</v>
      </c>
      <c r="G135" s="30">
        <v>4010.3</v>
      </c>
      <c r="H135" s="30">
        <v>33.65</v>
      </c>
      <c r="I135" s="30"/>
      <c r="J135" s="69" t="s">
        <v>12</v>
      </c>
      <c r="K135" s="30"/>
      <c r="L135" s="30" t="str">
        <f t="shared" si="2"/>
        <v>12062511.4010.300</v>
      </c>
      <c r="M135" s="30"/>
      <c r="N135" s="30"/>
      <c r="O135" s="30"/>
    </row>
    <row r="136" spans="1:15" x14ac:dyDescent="0.2">
      <c r="A136" s="30">
        <v>19037</v>
      </c>
      <c r="B136" s="30" t="s">
        <v>441</v>
      </c>
      <c r="C136" s="30">
        <v>12063011</v>
      </c>
      <c r="D136" s="30" t="s">
        <v>442</v>
      </c>
      <c r="E136" s="30">
        <v>12</v>
      </c>
      <c r="F136" s="30" t="s">
        <v>72</v>
      </c>
      <c r="G136" s="30">
        <v>4010.3</v>
      </c>
      <c r="H136" s="30">
        <v>35.04</v>
      </c>
      <c r="I136" s="30"/>
      <c r="J136" s="69" t="s">
        <v>12</v>
      </c>
      <c r="K136" s="30"/>
      <c r="L136" s="30" t="str">
        <f t="shared" si="2"/>
        <v>12063011.4010.300</v>
      </c>
      <c r="M136" s="30"/>
      <c r="N136" s="30"/>
      <c r="O136" s="30"/>
    </row>
    <row r="137" spans="1:15" x14ac:dyDescent="0.2">
      <c r="A137" s="30">
        <v>18517</v>
      </c>
      <c r="B137" s="30" t="s">
        <v>140</v>
      </c>
      <c r="C137" s="30">
        <v>12010500</v>
      </c>
      <c r="D137" s="30" t="s">
        <v>60</v>
      </c>
      <c r="E137" s="30">
        <v>20</v>
      </c>
      <c r="F137" s="30" t="s">
        <v>139</v>
      </c>
      <c r="G137" s="30">
        <v>4010.4</v>
      </c>
      <c r="H137" s="30">
        <v>230.77</v>
      </c>
      <c r="I137" s="30"/>
      <c r="J137" s="69" t="s">
        <v>12</v>
      </c>
      <c r="K137" s="30"/>
      <c r="L137" s="30" t="str">
        <f t="shared" si="2"/>
        <v>12010500.4010.400</v>
      </c>
      <c r="M137" s="30"/>
      <c r="N137" s="30"/>
      <c r="O137" s="30"/>
    </row>
    <row r="138" spans="1:15" x14ac:dyDescent="0.2">
      <c r="A138" s="30">
        <v>18736</v>
      </c>
      <c r="B138" s="30" t="s">
        <v>70</v>
      </c>
      <c r="C138" s="30">
        <v>12013012</v>
      </c>
      <c r="D138" s="30" t="s">
        <v>71</v>
      </c>
      <c r="E138" s="30">
        <v>20</v>
      </c>
      <c r="F138" s="30" t="s">
        <v>139</v>
      </c>
      <c r="G138" s="30">
        <v>4010.4</v>
      </c>
      <c r="H138" s="30">
        <v>24.15</v>
      </c>
      <c r="I138" s="30"/>
      <c r="J138" s="69" t="s">
        <v>12</v>
      </c>
      <c r="K138" s="30"/>
      <c r="L138" s="30" t="str">
        <f t="shared" si="2"/>
        <v>12013012.4010.400</v>
      </c>
      <c r="M138" s="30"/>
      <c r="N138" s="30"/>
      <c r="O138" s="30"/>
    </row>
    <row r="139" spans="1:15" x14ac:dyDescent="0.2">
      <c r="A139" s="30">
        <v>19014</v>
      </c>
      <c r="B139" s="30" t="s">
        <v>171</v>
      </c>
      <c r="C139" s="30">
        <v>12013012</v>
      </c>
      <c r="D139" s="30" t="s">
        <v>71</v>
      </c>
      <c r="E139" s="30">
        <v>20</v>
      </c>
      <c r="F139" s="30" t="s">
        <v>139</v>
      </c>
      <c r="G139" s="30">
        <v>4010.4</v>
      </c>
      <c r="H139" s="30">
        <v>140</v>
      </c>
      <c r="I139" s="30"/>
      <c r="J139" s="69" t="s">
        <v>12</v>
      </c>
      <c r="K139" s="30"/>
      <c r="L139" s="30" t="str">
        <f t="shared" si="2"/>
        <v>12013012.4010.400</v>
      </c>
      <c r="M139" s="30"/>
      <c r="N139" s="30"/>
      <c r="O139" s="30"/>
    </row>
    <row r="140" spans="1:15" x14ac:dyDescent="0.2">
      <c r="A140" s="30">
        <v>18920</v>
      </c>
      <c r="B140" s="30" t="s">
        <v>9</v>
      </c>
      <c r="C140" s="30">
        <v>12013250</v>
      </c>
      <c r="D140" s="30" t="s">
        <v>10</v>
      </c>
      <c r="E140" s="30">
        <v>20</v>
      </c>
      <c r="F140" s="30" t="s">
        <v>139</v>
      </c>
      <c r="G140" s="30">
        <v>4010.4</v>
      </c>
      <c r="H140" s="30">
        <v>692.31</v>
      </c>
      <c r="I140" s="30"/>
      <c r="J140" s="69" t="s">
        <v>12</v>
      </c>
      <c r="K140" s="30"/>
      <c r="L140" s="30" t="str">
        <f t="shared" si="2"/>
        <v>12013250.4010.400</v>
      </c>
      <c r="M140" s="30"/>
      <c r="N140" s="30"/>
      <c r="O140" s="30"/>
    </row>
    <row r="141" spans="1:15" x14ac:dyDescent="0.2">
      <c r="A141" s="30">
        <v>18997</v>
      </c>
      <c r="B141" s="30" t="s">
        <v>141</v>
      </c>
      <c r="C141" s="30">
        <v>12013250</v>
      </c>
      <c r="D141" s="30" t="s">
        <v>10</v>
      </c>
      <c r="E141" s="30">
        <v>20</v>
      </c>
      <c r="F141" s="30" t="s">
        <v>139</v>
      </c>
      <c r="G141" s="30">
        <v>4010.4</v>
      </c>
      <c r="H141" s="30">
        <v>76.92</v>
      </c>
      <c r="I141" s="30"/>
      <c r="J141" s="69" t="s">
        <v>12</v>
      </c>
      <c r="K141" s="30"/>
      <c r="L141" s="30" t="str">
        <f t="shared" si="2"/>
        <v>12013250.4010.400</v>
      </c>
      <c r="M141" s="30"/>
      <c r="N141" s="30"/>
      <c r="O141" s="30"/>
    </row>
    <row r="142" spans="1:15" x14ac:dyDescent="0.2">
      <c r="A142" s="30">
        <v>18948</v>
      </c>
      <c r="B142" s="30" t="s">
        <v>142</v>
      </c>
      <c r="C142" s="30">
        <v>12018099</v>
      </c>
      <c r="D142" s="30" t="s">
        <v>17</v>
      </c>
      <c r="E142" s="30">
        <v>20</v>
      </c>
      <c r="F142" s="30" t="s">
        <v>139</v>
      </c>
      <c r="G142" s="30">
        <v>4010.4</v>
      </c>
      <c r="H142" s="30">
        <v>692.31</v>
      </c>
      <c r="I142" s="30"/>
      <c r="J142" s="69" t="s">
        <v>12</v>
      </c>
      <c r="K142" s="30"/>
      <c r="L142" s="30" t="str">
        <f t="shared" si="2"/>
        <v>12018099.4010.400</v>
      </c>
      <c r="M142" s="30"/>
      <c r="N142" s="30"/>
      <c r="O142" s="30"/>
    </row>
    <row r="143" spans="1:15" x14ac:dyDescent="0.2">
      <c r="A143" s="30">
        <v>18716</v>
      </c>
      <c r="B143" s="30" t="s">
        <v>16</v>
      </c>
      <c r="C143" s="30">
        <v>12018099</v>
      </c>
      <c r="D143" s="30" t="s">
        <v>17</v>
      </c>
      <c r="E143" s="30">
        <v>20</v>
      </c>
      <c r="F143" s="30" t="s">
        <v>139</v>
      </c>
      <c r="G143" s="30">
        <v>4010.4</v>
      </c>
      <c r="H143" s="30">
        <v>692.31</v>
      </c>
      <c r="I143" s="30"/>
      <c r="J143" s="69" t="s">
        <v>12</v>
      </c>
      <c r="K143" s="30"/>
      <c r="L143" s="30" t="str">
        <f t="shared" si="2"/>
        <v>12018099.4010.400</v>
      </c>
      <c r="M143" s="30"/>
      <c r="N143" s="30"/>
      <c r="O143" s="30"/>
    </row>
    <row r="144" spans="1:15" x14ac:dyDescent="0.2">
      <c r="A144" s="30">
        <v>18969</v>
      </c>
      <c r="B144" s="30" t="s">
        <v>143</v>
      </c>
      <c r="C144" s="30">
        <v>12018599</v>
      </c>
      <c r="D144" s="30" t="s">
        <v>144</v>
      </c>
      <c r="E144" s="30">
        <v>20</v>
      </c>
      <c r="F144" s="30" t="s">
        <v>139</v>
      </c>
      <c r="G144" s="30">
        <v>4010.4</v>
      </c>
      <c r="H144" s="30">
        <v>267.23</v>
      </c>
      <c r="I144" s="30"/>
      <c r="J144" s="69" t="s">
        <v>12</v>
      </c>
      <c r="K144" s="30"/>
      <c r="L144" s="30" t="str">
        <f t="shared" si="2"/>
        <v>12018599.4010.400</v>
      </c>
      <c r="M144" s="30"/>
      <c r="N144" s="30"/>
      <c r="O144" s="30"/>
    </row>
    <row r="145" spans="1:15" x14ac:dyDescent="0.2">
      <c r="A145" s="30">
        <v>18862</v>
      </c>
      <c r="B145" s="30" t="s">
        <v>145</v>
      </c>
      <c r="C145" s="30">
        <v>12018599</v>
      </c>
      <c r="D145" s="30" t="s">
        <v>144</v>
      </c>
      <c r="E145" s="30">
        <v>20</v>
      </c>
      <c r="F145" s="30" t="s">
        <v>139</v>
      </c>
      <c r="G145" s="30">
        <v>4010.4</v>
      </c>
      <c r="H145" s="30">
        <v>36.46</v>
      </c>
      <c r="I145" s="30"/>
      <c r="J145" s="69" t="s">
        <v>12</v>
      </c>
      <c r="K145" s="30"/>
      <c r="L145" s="30" t="str">
        <f t="shared" si="2"/>
        <v>12018599.4010.400</v>
      </c>
      <c r="M145" s="30"/>
      <c r="N145" s="30"/>
      <c r="O145" s="30"/>
    </row>
    <row r="146" spans="1:15" x14ac:dyDescent="0.2">
      <c r="A146" s="30">
        <v>18886</v>
      </c>
      <c r="B146" s="30" t="s">
        <v>18</v>
      </c>
      <c r="C146" s="30">
        <v>12019099</v>
      </c>
      <c r="D146" s="30" t="s">
        <v>19</v>
      </c>
      <c r="E146" s="30">
        <v>20</v>
      </c>
      <c r="F146" s="30" t="s">
        <v>139</v>
      </c>
      <c r="G146" s="30">
        <v>4010.4</v>
      </c>
      <c r="H146" s="30">
        <v>692.31</v>
      </c>
      <c r="I146" s="30"/>
      <c r="J146" s="69" t="s">
        <v>12</v>
      </c>
      <c r="K146" s="30"/>
      <c r="L146" s="30" t="str">
        <f t="shared" si="2"/>
        <v>12019099.4010.400</v>
      </c>
      <c r="M146" s="30"/>
      <c r="N146" s="30"/>
      <c r="O146" s="30"/>
    </row>
    <row r="147" spans="1:15" x14ac:dyDescent="0.2">
      <c r="A147" s="30">
        <v>18853</v>
      </c>
      <c r="B147" s="30" t="s">
        <v>146</v>
      </c>
      <c r="C147" s="30">
        <v>12019199</v>
      </c>
      <c r="D147" s="30" t="s">
        <v>147</v>
      </c>
      <c r="E147" s="30">
        <v>20</v>
      </c>
      <c r="F147" s="30" t="s">
        <v>139</v>
      </c>
      <c r="G147" s="30">
        <v>4010.4</v>
      </c>
      <c r="H147" s="30">
        <v>692.31</v>
      </c>
      <c r="I147" s="30"/>
      <c r="J147" s="69" t="s">
        <v>12</v>
      </c>
      <c r="K147" s="30"/>
      <c r="L147" s="30" t="str">
        <f t="shared" si="2"/>
        <v>12019199.4010.400</v>
      </c>
      <c r="M147" s="30"/>
      <c r="N147" s="30"/>
      <c r="O147" s="30"/>
    </row>
    <row r="148" spans="1:15" x14ac:dyDescent="0.2">
      <c r="A148" s="30">
        <v>18893</v>
      </c>
      <c r="B148" s="30" t="s">
        <v>444</v>
      </c>
      <c r="C148" s="30">
        <v>12020500</v>
      </c>
      <c r="D148" s="30" t="s">
        <v>454</v>
      </c>
      <c r="E148" s="30">
        <v>20</v>
      </c>
      <c r="F148" s="30" t="s">
        <v>139</v>
      </c>
      <c r="G148" s="30">
        <v>4010.4</v>
      </c>
      <c r="H148" s="30">
        <v>2828.94</v>
      </c>
      <c r="I148" s="30"/>
      <c r="J148" s="69" t="s">
        <v>12</v>
      </c>
      <c r="K148" s="30"/>
      <c r="L148" s="30" t="str">
        <f t="shared" si="2"/>
        <v>12020500.4010.400</v>
      </c>
      <c r="M148" s="30"/>
      <c r="N148" s="30"/>
      <c r="O148" s="30"/>
    </row>
    <row r="149" spans="1:15" x14ac:dyDescent="0.2">
      <c r="A149" s="30">
        <v>18866</v>
      </c>
      <c r="B149" s="30" t="s">
        <v>76</v>
      </c>
      <c r="C149" s="30">
        <v>12020611</v>
      </c>
      <c r="D149" s="30" t="s">
        <v>23</v>
      </c>
      <c r="E149" s="30">
        <v>20</v>
      </c>
      <c r="F149" s="30" t="s">
        <v>139</v>
      </c>
      <c r="G149" s="30">
        <v>4010.4</v>
      </c>
      <c r="H149" s="30">
        <v>36.46</v>
      </c>
      <c r="I149" s="30"/>
      <c r="J149" s="69" t="s">
        <v>12</v>
      </c>
      <c r="K149" s="30"/>
      <c r="L149" s="30" t="str">
        <f t="shared" si="2"/>
        <v>12020611.4010.400</v>
      </c>
      <c r="M149" s="30"/>
      <c r="N149" s="30"/>
      <c r="O149" s="30"/>
    </row>
    <row r="150" spans="1:15" x14ac:dyDescent="0.2">
      <c r="A150" s="30">
        <v>18831</v>
      </c>
      <c r="B150" s="30" t="s">
        <v>22</v>
      </c>
      <c r="C150" s="30">
        <v>12020611</v>
      </c>
      <c r="D150" s="30" t="s">
        <v>23</v>
      </c>
      <c r="E150" s="30">
        <v>20</v>
      </c>
      <c r="F150" s="30" t="s">
        <v>139</v>
      </c>
      <c r="G150" s="30">
        <v>4010.4</v>
      </c>
      <c r="H150" s="30">
        <v>117.63</v>
      </c>
      <c r="I150" s="30"/>
      <c r="J150" s="69" t="s">
        <v>12</v>
      </c>
      <c r="K150" s="30"/>
      <c r="L150" s="30" t="str">
        <f t="shared" si="2"/>
        <v>12020611.4010.400</v>
      </c>
      <c r="M150" s="30"/>
      <c r="N150" s="30"/>
      <c r="O150" s="30"/>
    </row>
    <row r="151" spans="1:15" x14ac:dyDescent="0.2">
      <c r="A151" s="30">
        <v>18903</v>
      </c>
      <c r="B151" s="30" t="s">
        <v>73</v>
      </c>
      <c r="C151" s="30">
        <v>12020611</v>
      </c>
      <c r="D151" s="30" t="s">
        <v>23</v>
      </c>
      <c r="E151" s="30">
        <v>20</v>
      </c>
      <c r="F151" s="30" t="s">
        <v>139</v>
      </c>
      <c r="G151" s="30">
        <v>4010.4</v>
      </c>
      <c r="H151" s="30">
        <v>242.35</v>
      </c>
      <c r="I151" s="30"/>
      <c r="J151" s="69" t="s">
        <v>12</v>
      </c>
      <c r="K151" s="30"/>
      <c r="L151" s="30" t="str">
        <f t="shared" si="2"/>
        <v>12020611.4010.400</v>
      </c>
      <c r="M151" s="30"/>
      <c r="N151" s="30"/>
      <c r="O151" s="30"/>
    </row>
    <row r="152" spans="1:15" x14ac:dyDescent="0.2">
      <c r="A152" s="30">
        <v>18893</v>
      </c>
      <c r="B152" s="30" t="s">
        <v>444</v>
      </c>
      <c r="C152" s="30">
        <v>12020611</v>
      </c>
      <c r="D152" s="30" t="s">
        <v>23</v>
      </c>
      <c r="E152" s="30">
        <v>20</v>
      </c>
      <c r="F152" s="30" t="s">
        <v>139</v>
      </c>
      <c r="G152" s="30">
        <v>4010.4</v>
      </c>
      <c r="H152" s="30">
        <v>1414.26</v>
      </c>
      <c r="I152" s="30"/>
      <c r="J152" s="69" t="s">
        <v>12</v>
      </c>
      <c r="K152" s="30"/>
      <c r="L152" s="30" t="str">
        <f t="shared" si="2"/>
        <v>12020611.4010.400</v>
      </c>
      <c r="M152" s="30"/>
      <c r="N152" s="30"/>
      <c r="O152" s="30"/>
    </row>
    <row r="153" spans="1:15" x14ac:dyDescent="0.2">
      <c r="A153" s="30">
        <v>18879</v>
      </c>
      <c r="B153" s="30" t="s">
        <v>79</v>
      </c>
      <c r="C153" s="30">
        <v>12020711</v>
      </c>
      <c r="D153" s="30" t="s">
        <v>25</v>
      </c>
      <c r="E153" s="30">
        <v>20</v>
      </c>
      <c r="F153" s="30" t="s">
        <v>139</v>
      </c>
      <c r="G153" s="30">
        <v>4010.4</v>
      </c>
      <c r="H153" s="30">
        <v>207.31</v>
      </c>
      <c r="I153" s="30"/>
      <c r="J153" s="69" t="s">
        <v>12</v>
      </c>
      <c r="K153" s="30"/>
      <c r="L153" s="30" t="str">
        <f t="shared" si="2"/>
        <v>12020711.4010.400</v>
      </c>
      <c r="M153" s="30"/>
      <c r="N153" s="30"/>
      <c r="O153" s="30"/>
    </row>
    <row r="154" spans="1:15" x14ac:dyDescent="0.2">
      <c r="A154" s="30">
        <v>18631</v>
      </c>
      <c r="B154" s="30" t="s">
        <v>80</v>
      </c>
      <c r="C154" s="30">
        <v>12020711</v>
      </c>
      <c r="D154" s="30" t="s">
        <v>25</v>
      </c>
      <c r="E154" s="30">
        <v>20</v>
      </c>
      <c r="F154" s="30" t="s">
        <v>139</v>
      </c>
      <c r="G154" s="30">
        <v>4010.4</v>
      </c>
      <c r="H154" s="30">
        <v>36.46</v>
      </c>
      <c r="I154" s="30"/>
      <c r="J154" s="69" t="s">
        <v>12</v>
      </c>
      <c r="K154" s="30"/>
      <c r="L154" s="30" t="str">
        <f t="shared" si="2"/>
        <v>12020711.4010.400</v>
      </c>
      <c r="M154" s="30"/>
      <c r="N154" s="30"/>
      <c r="O154" s="30"/>
    </row>
    <row r="155" spans="1:15" x14ac:dyDescent="0.2">
      <c r="A155" s="30">
        <v>19013</v>
      </c>
      <c r="B155" s="30" t="s">
        <v>81</v>
      </c>
      <c r="C155" s="30">
        <v>12020800</v>
      </c>
      <c r="D155" s="30" t="s">
        <v>27</v>
      </c>
      <c r="E155" s="30">
        <v>20</v>
      </c>
      <c r="F155" s="30" t="s">
        <v>139</v>
      </c>
      <c r="G155" s="30">
        <v>4010.4</v>
      </c>
      <c r="H155" s="30">
        <v>355.7</v>
      </c>
      <c r="I155" s="30"/>
      <c r="J155" s="69" t="s">
        <v>12</v>
      </c>
      <c r="K155" s="30"/>
      <c r="L155" s="30" t="str">
        <f t="shared" si="2"/>
        <v>12020800.4010.400</v>
      </c>
      <c r="M155" s="30"/>
      <c r="N155" s="30"/>
      <c r="O155" s="30"/>
    </row>
    <row r="156" spans="1:15" x14ac:dyDescent="0.2">
      <c r="A156" s="30">
        <v>18911</v>
      </c>
      <c r="B156" s="30" t="s">
        <v>28</v>
      </c>
      <c r="C156" s="30">
        <v>12021021</v>
      </c>
      <c r="D156" s="30" t="s">
        <v>29</v>
      </c>
      <c r="E156" s="30">
        <v>20</v>
      </c>
      <c r="F156" s="30" t="s">
        <v>139</v>
      </c>
      <c r="G156" s="30">
        <v>4010.4</v>
      </c>
      <c r="H156" s="30">
        <v>36.46</v>
      </c>
      <c r="I156" s="30"/>
      <c r="J156" s="69" t="s">
        <v>12</v>
      </c>
      <c r="K156" s="30"/>
      <c r="L156" s="30" t="str">
        <f t="shared" si="2"/>
        <v>12021021.4010.400</v>
      </c>
      <c r="M156" s="30"/>
      <c r="N156" s="30"/>
      <c r="O156" s="30"/>
    </row>
    <row r="157" spans="1:15" x14ac:dyDescent="0.2">
      <c r="A157" s="30">
        <v>18960</v>
      </c>
      <c r="B157" s="30" t="s">
        <v>84</v>
      </c>
      <c r="C157" s="30">
        <v>12021021</v>
      </c>
      <c r="D157" s="30" t="s">
        <v>29</v>
      </c>
      <c r="E157" s="30">
        <v>20</v>
      </c>
      <c r="F157" s="30" t="s">
        <v>139</v>
      </c>
      <c r="G157" s="30">
        <v>4010.4</v>
      </c>
      <c r="H157" s="30">
        <v>55.59</v>
      </c>
      <c r="I157" s="30"/>
      <c r="J157" s="69" t="s">
        <v>12</v>
      </c>
      <c r="K157" s="30"/>
      <c r="L157" s="30" t="str">
        <f t="shared" si="2"/>
        <v>12021021.4010.400</v>
      </c>
      <c r="M157" s="30"/>
      <c r="N157" s="30"/>
      <c r="O157" s="30"/>
    </row>
    <row r="158" spans="1:15" x14ac:dyDescent="0.2">
      <c r="A158" s="30">
        <v>145</v>
      </c>
      <c r="B158" s="30" t="s">
        <v>91</v>
      </c>
      <c r="C158" s="30">
        <v>12022511</v>
      </c>
      <c r="D158" s="30" t="s">
        <v>32</v>
      </c>
      <c r="E158" s="30">
        <v>20</v>
      </c>
      <c r="F158" s="30" t="s">
        <v>139</v>
      </c>
      <c r="G158" s="30">
        <v>4010.4</v>
      </c>
      <c r="H158" s="30">
        <v>311.11</v>
      </c>
      <c r="I158" s="30"/>
      <c r="J158" s="69" t="s">
        <v>12</v>
      </c>
      <c r="K158" s="30"/>
      <c r="L158" s="30" t="str">
        <f t="shared" si="2"/>
        <v>12022511.4010.400</v>
      </c>
      <c r="M158" s="30"/>
      <c r="N158" s="30"/>
      <c r="O158" s="30"/>
    </row>
    <row r="159" spans="1:15" x14ac:dyDescent="0.2">
      <c r="A159" s="30">
        <v>18961</v>
      </c>
      <c r="B159" s="30" t="s">
        <v>90</v>
      </c>
      <c r="C159" s="30">
        <v>12022511</v>
      </c>
      <c r="D159" s="30" t="s">
        <v>32</v>
      </c>
      <c r="E159" s="30">
        <v>20</v>
      </c>
      <c r="F159" s="30" t="s">
        <v>139</v>
      </c>
      <c r="G159" s="30">
        <v>4010.4</v>
      </c>
      <c r="H159" s="30">
        <v>264.66000000000003</v>
      </c>
      <c r="I159" s="30"/>
      <c r="J159" s="69" t="s">
        <v>12</v>
      </c>
      <c r="K159" s="30"/>
      <c r="L159" s="30" t="str">
        <f t="shared" si="2"/>
        <v>12022511.4010.400</v>
      </c>
      <c r="M159" s="30"/>
      <c r="N159" s="30"/>
      <c r="O159" s="30"/>
    </row>
    <row r="160" spans="1:15" x14ac:dyDescent="0.2">
      <c r="A160" s="30">
        <v>11229</v>
      </c>
      <c r="B160" s="30" t="s">
        <v>31</v>
      </c>
      <c r="C160" s="30">
        <v>12022511</v>
      </c>
      <c r="D160" s="30" t="s">
        <v>32</v>
      </c>
      <c r="E160" s="30">
        <v>20</v>
      </c>
      <c r="F160" s="30" t="s">
        <v>139</v>
      </c>
      <c r="G160" s="30">
        <v>4010.4</v>
      </c>
      <c r="H160" s="30">
        <v>27.08</v>
      </c>
      <c r="I160" s="30"/>
      <c r="J160" s="69" t="s">
        <v>12</v>
      </c>
      <c r="K160" s="30"/>
      <c r="L160" s="30" t="str">
        <f t="shared" si="2"/>
        <v>12022511.4010.400</v>
      </c>
      <c r="M160" s="30"/>
      <c r="N160" s="30"/>
      <c r="O160" s="30"/>
    </row>
    <row r="161" spans="1:15" x14ac:dyDescent="0.2">
      <c r="A161" s="30">
        <v>18962</v>
      </c>
      <c r="B161" s="30" t="s">
        <v>148</v>
      </c>
      <c r="C161" s="30">
        <v>12023011</v>
      </c>
      <c r="D161" s="30" t="s">
        <v>93</v>
      </c>
      <c r="E161" s="30">
        <v>20</v>
      </c>
      <c r="F161" s="30" t="s">
        <v>139</v>
      </c>
      <c r="G161" s="30">
        <v>4010.4</v>
      </c>
      <c r="H161" s="30">
        <v>230.77</v>
      </c>
      <c r="I161" s="30"/>
      <c r="J161" s="69" t="s">
        <v>12</v>
      </c>
      <c r="K161" s="30"/>
      <c r="L161" s="30" t="str">
        <f t="shared" si="2"/>
        <v>12023011.4010.400</v>
      </c>
      <c r="M161" s="30"/>
      <c r="N161" s="30"/>
      <c r="O161" s="30"/>
    </row>
    <row r="162" spans="1:15" x14ac:dyDescent="0.2">
      <c r="A162" s="30">
        <v>19006</v>
      </c>
      <c r="B162" s="30" t="s">
        <v>95</v>
      </c>
      <c r="C162" s="30">
        <v>12023011</v>
      </c>
      <c r="D162" s="30" t="s">
        <v>93</v>
      </c>
      <c r="E162" s="30">
        <v>20</v>
      </c>
      <c r="F162" s="30" t="s">
        <v>139</v>
      </c>
      <c r="G162" s="30">
        <v>4010.4</v>
      </c>
      <c r="H162" s="30">
        <v>294.07</v>
      </c>
      <c r="I162" s="30"/>
      <c r="J162" s="69" t="s">
        <v>12</v>
      </c>
      <c r="K162" s="30"/>
      <c r="L162" s="30" t="str">
        <f t="shared" si="2"/>
        <v>12023011.4010.400</v>
      </c>
      <c r="M162" s="30"/>
      <c r="N162" s="30"/>
      <c r="O162" s="30"/>
    </row>
    <row r="163" spans="1:15" x14ac:dyDescent="0.2">
      <c r="A163" s="30">
        <v>18974</v>
      </c>
      <c r="B163" s="30" t="s">
        <v>94</v>
      </c>
      <c r="C163" s="30">
        <v>12023011</v>
      </c>
      <c r="D163" s="30" t="s">
        <v>93</v>
      </c>
      <c r="E163" s="30">
        <v>20</v>
      </c>
      <c r="F163" s="30" t="s">
        <v>139</v>
      </c>
      <c r="G163" s="30">
        <v>4010.4</v>
      </c>
      <c r="H163" s="30">
        <v>36.46</v>
      </c>
      <c r="I163" s="30"/>
      <c r="J163" s="69" t="s">
        <v>12</v>
      </c>
      <c r="K163" s="30"/>
      <c r="L163" s="30" t="str">
        <f t="shared" si="2"/>
        <v>12023011.4010.400</v>
      </c>
      <c r="M163" s="30"/>
      <c r="N163" s="30"/>
      <c r="O163" s="30"/>
    </row>
    <row r="164" spans="1:15" x14ac:dyDescent="0.2">
      <c r="A164" s="30">
        <v>19007</v>
      </c>
      <c r="B164" s="30" t="s">
        <v>189</v>
      </c>
      <c r="C164" s="30">
        <v>12023011</v>
      </c>
      <c r="D164" s="30" t="s">
        <v>93</v>
      </c>
      <c r="E164" s="30">
        <v>20</v>
      </c>
      <c r="F164" s="30" t="s">
        <v>139</v>
      </c>
      <c r="G164" s="30">
        <v>4010.4</v>
      </c>
      <c r="H164" s="30">
        <v>29.41</v>
      </c>
      <c r="I164" s="30"/>
      <c r="J164" s="69" t="s">
        <v>12</v>
      </c>
      <c r="K164" s="30"/>
      <c r="L164" s="30" t="str">
        <f t="shared" si="2"/>
        <v>12023011.4010.400</v>
      </c>
      <c r="M164" s="30"/>
      <c r="N164" s="30"/>
      <c r="O164" s="30"/>
    </row>
    <row r="165" spans="1:15" x14ac:dyDescent="0.2">
      <c r="A165" s="30">
        <v>19034</v>
      </c>
      <c r="B165" s="30" t="s">
        <v>439</v>
      </c>
      <c r="C165" s="30">
        <v>12028099</v>
      </c>
      <c r="D165" s="30" t="s">
        <v>150</v>
      </c>
      <c r="E165" s="30">
        <v>20</v>
      </c>
      <c r="F165" s="30" t="s">
        <v>139</v>
      </c>
      <c r="G165" s="30">
        <v>4010.4</v>
      </c>
      <c r="H165" s="30">
        <v>576.91999999999996</v>
      </c>
      <c r="I165" s="30"/>
      <c r="J165" s="69" t="s">
        <v>12</v>
      </c>
      <c r="K165" s="30"/>
      <c r="L165" s="30" t="str">
        <f t="shared" si="2"/>
        <v>12028099.4010.400</v>
      </c>
      <c r="M165" s="30"/>
      <c r="N165" s="30"/>
      <c r="O165" s="30"/>
    </row>
    <row r="166" spans="1:15" x14ac:dyDescent="0.2">
      <c r="A166" s="30">
        <v>44705</v>
      </c>
      <c r="B166" s="30" t="s">
        <v>149</v>
      </c>
      <c r="C166" s="30">
        <v>12028099</v>
      </c>
      <c r="D166" s="30" t="s">
        <v>150</v>
      </c>
      <c r="E166" s="30">
        <v>20</v>
      </c>
      <c r="F166" s="30" t="s">
        <v>139</v>
      </c>
      <c r="G166" s="30">
        <v>4010.4</v>
      </c>
      <c r="H166" s="30">
        <v>846.15</v>
      </c>
      <c r="I166" s="30"/>
      <c r="J166" s="69" t="s">
        <v>12</v>
      </c>
      <c r="K166" s="30"/>
      <c r="L166" s="30" t="str">
        <f t="shared" si="2"/>
        <v>12028099.4010.400</v>
      </c>
      <c r="M166" s="30"/>
      <c r="N166" s="30"/>
      <c r="O166" s="30"/>
    </row>
    <row r="167" spans="1:15" x14ac:dyDescent="0.2">
      <c r="A167" s="30">
        <v>18887</v>
      </c>
      <c r="B167" s="30" t="s">
        <v>105</v>
      </c>
      <c r="C167" s="30">
        <v>12030611</v>
      </c>
      <c r="D167" s="30" t="s">
        <v>36</v>
      </c>
      <c r="E167" s="30">
        <v>20</v>
      </c>
      <c r="F167" s="30" t="s">
        <v>139</v>
      </c>
      <c r="G167" s="30">
        <v>4010.4</v>
      </c>
      <c r="H167" s="30">
        <v>96.6</v>
      </c>
      <c r="I167" s="30"/>
      <c r="J167" s="69" t="s">
        <v>12</v>
      </c>
      <c r="K167" s="30"/>
      <c r="L167" s="30" t="str">
        <f t="shared" si="2"/>
        <v>12030611.4010.400</v>
      </c>
      <c r="M167" s="30"/>
      <c r="N167" s="30"/>
      <c r="O167" s="30"/>
    </row>
    <row r="168" spans="1:15" x14ac:dyDescent="0.2">
      <c r="A168" s="30">
        <v>18949</v>
      </c>
      <c r="B168" s="30" t="s">
        <v>35</v>
      </c>
      <c r="C168" s="30">
        <v>12030611</v>
      </c>
      <c r="D168" s="30" t="s">
        <v>36</v>
      </c>
      <c r="E168" s="30">
        <v>20</v>
      </c>
      <c r="F168" s="30" t="s">
        <v>139</v>
      </c>
      <c r="G168" s="30">
        <v>4010.4</v>
      </c>
      <c r="H168" s="30">
        <v>128.80000000000001</v>
      </c>
      <c r="I168" s="30"/>
      <c r="J168" s="69" t="s">
        <v>12</v>
      </c>
      <c r="K168" s="30"/>
      <c r="L168" s="30" t="str">
        <f t="shared" si="2"/>
        <v>12030611.4010.400</v>
      </c>
      <c r="M168" s="30"/>
      <c r="N168" s="30"/>
      <c r="O168" s="30"/>
    </row>
    <row r="169" spans="1:15" x14ac:dyDescent="0.2">
      <c r="A169" s="30">
        <v>18827</v>
      </c>
      <c r="B169" s="30" t="s">
        <v>104</v>
      </c>
      <c r="C169" s="30">
        <v>12030611</v>
      </c>
      <c r="D169" s="30" t="s">
        <v>36</v>
      </c>
      <c r="E169" s="30">
        <v>20</v>
      </c>
      <c r="F169" s="30" t="s">
        <v>139</v>
      </c>
      <c r="G169" s="30">
        <v>4010.4</v>
      </c>
      <c r="H169" s="30">
        <v>32.200000000000003</v>
      </c>
      <c r="I169" s="30"/>
      <c r="J169" s="69" t="s">
        <v>12</v>
      </c>
      <c r="K169" s="30"/>
      <c r="L169" s="30" t="str">
        <f t="shared" si="2"/>
        <v>12030611.4010.400</v>
      </c>
      <c r="M169" s="30"/>
      <c r="N169" s="30"/>
      <c r="O169" s="30"/>
    </row>
    <row r="170" spans="1:15" x14ac:dyDescent="0.2">
      <c r="A170" s="30">
        <v>18901</v>
      </c>
      <c r="B170" s="30" t="s">
        <v>37</v>
      </c>
      <c r="C170" s="30">
        <v>12030611</v>
      </c>
      <c r="D170" s="30" t="s">
        <v>36</v>
      </c>
      <c r="E170" s="30">
        <v>20</v>
      </c>
      <c r="F170" s="30" t="s">
        <v>139</v>
      </c>
      <c r="G170" s="30">
        <v>4010.4</v>
      </c>
      <c r="H170" s="30">
        <v>352.71</v>
      </c>
      <c r="I170" s="30"/>
      <c r="J170" s="69" t="s">
        <v>12</v>
      </c>
      <c r="K170" s="30"/>
      <c r="L170" s="30" t="str">
        <f t="shared" si="2"/>
        <v>12030611.4010.400</v>
      </c>
      <c r="M170" s="30"/>
      <c r="N170" s="30"/>
      <c r="O170" s="30"/>
    </row>
    <row r="171" spans="1:15" x14ac:dyDescent="0.2">
      <c r="A171" s="30">
        <v>18918</v>
      </c>
      <c r="B171" s="30" t="s">
        <v>38</v>
      </c>
      <c r="C171" s="30">
        <v>12030611</v>
      </c>
      <c r="D171" s="30" t="s">
        <v>36</v>
      </c>
      <c r="E171" s="30">
        <v>20</v>
      </c>
      <c r="F171" s="30" t="s">
        <v>139</v>
      </c>
      <c r="G171" s="30">
        <v>4010.4</v>
      </c>
      <c r="H171" s="30">
        <v>315.75</v>
      </c>
      <c r="I171" s="30"/>
      <c r="J171" s="69" t="s">
        <v>12</v>
      </c>
      <c r="K171" s="30"/>
      <c r="L171" s="30" t="str">
        <f t="shared" si="2"/>
        <v>12030611.4010.400</v>
      </c>
      <c r="M171" s="30"/>
      <c r="N171" s="30"/>
      <c r="O171" s="30"/>
    </row>
    <row r="172" spans="1:15" x14ac:dyDescent="0.2">
      <c r="A172" s="30">
        <v>18979</v>
      </c>
      <c r="B172" s="30" t="s">
        <v>39</v>
      </c>
      <c r="C172" s="30">
        <v>12030611</v>
      </c>
      <c r="D172" s="30" t="s">
        <v>36</v>
      </c>
      <c r="E172" s="30">
        <v>20</v>
      </c>
      <c r="F172" s="30" t="s">
        <v>139</v>
      </c>
      <c r="G172" s="30">
        <v>4010.4</v>
      </c>
      <c r="H172" s="30">
        <v>241.94</v>
      </c>
      <c r="I172" s="30"/>
      <c r="J172" s="69" t="s">
        <v>12</v>
      </c>
      <c r="K172" s="30"/>
      <c r="L172" s="30" t="str">
        <f t="shared" si="2"/>
        <v>12030611.4010.400</v>
      </c>
      <c r="M172" s="30"/>
      <c r="N172" s="30"/>
      <c r="O172" s="30"/>
    </row>
    <row r="173" spans="1:15" x14ac:dyDescent="0.2">
      <c r="A173" s="30">
        <v>18989</v>
      </c>
      <c r="B173" s="30" t="s">
        <v>107</v>
      </c>
      <c r="C173" s="30">
        <v>12030800</v>
      </c>
      <c r="D173" s="30" t="s">
        <v>59</v>
      </c>
      <c r="E173" s="30">
        <v>20</v>
      </c>
      <c r="F173" s="30" t="s">
        <v>139</v>
      </c>
      <c r="G173" s="30">
        <v>4010.4</v>
      </c>
      <c r="H173" s="30">
        <v>48.3</v>
      </c>
      <c r="I173" s="30"/>
      <c r="J173" s="69" t="s">
        <v>12</v>
      </c>
      <c r="K173" s="30"/>
      <c r="L173" s="30" t="str">
        <f t="shared" si="2"/>
        <v>12030800.4010.400</v>
      </c>
      <c r="M173" s="30"/>
      <c r="N173" s="30"/>
      <c r="O173" s="30"/>
    </row>
    <row r="174" spans="1:15" x14ac:dyDescent="0.2">
      <c r="A174" s="30">
        <v>18736</v>
      </c>
      <c r="B174" s="30" t="s">
        <v>70</v>
      </c>
      <c r="C174" s="30">
        <v>12032511</v>
      </c>
      <c r="D174" s="30" t="s">
        <v>43</v>
      </c>
      <c r="E174" s="30">
        <v>20</v>
      </c>
      <c r="F174" s="30" t="s">
        <v>139</v>
      </c>
      <c r="G174" s="30">
        <v>4010.4</v>
      </c>
      <c r="H174" s="30">
        <v>72.45</v>
      </c>
      <c r="I174" s="30"/>
      <c r="J174" s="69" t="s">
        <v>12</v>
      </c>
      <c r="K174" s="30"/>
      <c r="L174" s="30" t="str">
        <f t="shared" si="2"/>
        <v>12032511.4010.400</v>
      </c>
      <c r="M174" s="30"/>
      <c r="N174" s="30"/>
      <c r="O174" s="30"/>
    </row>
    <row r="175" spans="1:15" x14ac:dyDescent="0.2">
      <c r="A175" s="30">
        <v>18932</v>
      </c>
      <c r="B175" s="30" t="s">
        <v>44</v>
      </c>
      <c r="C175" s="30">
        <v>12033011</v>
      </c>
      <c r="D175" s="30" t="s">
        <v>45</v>
      </c>
      <c r="E175" s="30">
        <v>20</v>
      </c>
      <c r="F175" s="30" t="s">
        <v>139</v>
      </c>
      <c r="G175" s="30">
        <v>4010.4</v>
      </c>
      <c r="H175" s="30">
        <v>248.44</v>
      </c>
      <c r="I175" s="30"/>
      <c r="J175" s="69" t="s">
        <v>12</v>
      </c>
      <c r="K175" s="30"/>
      <c r="L175" s="30" t="str">
        <f t="shared" si="2"/>
        <v>12033011.4010.400</v>
      </c>
      <c r="M175" s="30"/>
      <c r="N175" s="30"/>
      <c r="O175" s="30"/>
    </row>
    <row r="176" spans="1:15" x14ac:dyDescent="0.2">
      <c r="A176" s="30">
        <v>19028</v>
      </c>
      <c r="B176" s="30" t="s">
        <v>367</v>
      </c>
      <c r="C176" s="30">
        <v>12033011</v>
      </c>
      <c r="D176" s="30" t="s">
        <v>45</v>
      </c>
      <c r="E176" s="30">
        <v>20</v>
      </c>
      <c r="F176" s="30" t="s">
        <v>139</v>
      </c>
      <c r="G176" s="30">
        <v>4010.4</v>
      </c>
      <c r="H176" s="80">
        <v>96.6</v>
      </c>
      <c r="I176" s="80"/>
      <c r="J176" s="69" t="s">
        <v>12</v>
      </c>
      <c r="K176" s="30"/>
      <c r="L176" s="30" t="str">
        <f t="shared" si="2"/>
        <v>12033011.4010.400</v>
      </c>
      <c r="M176" s="30"/>
      <c r="N176" s="30"/>
      <c r="O176" s="30"/>
    </row>
    <row r="177" spans="1:15" x14ac:dyDescent="0.2">
      <c r="A177" s="30">
        <v>18829</v>
      </c>
      <c r="B177" s="30" t="s">
        <v>115</v>
      </c>
      <c r="C177" s="30">
        <v>12033011</v>
      </c>
      <c r="D177" s="30" t="s">
        <v>45</v>
      </c>
      <c r="E177" s="30">
        <v>20</v>
      </c>
      <c r="F177" s="30" t="s">
        <v>139</v>
      </c>
      <c r="G177" s="30">
        <v>4010.4</v>
      </c>
      <c r="H177" s="30">
        <v>96.6</v>
      </c>
      <c r="I177" s="30"/>
      <c r="J177" s="69" t="s">
        <v>12</v>
      </c>
      <c r="K177" s="30"/>
      <c r="L177" s="30" t="str">
        <f t="shared" si="2"/>
        <v>12033011.4010.400</v>
      </c>
      <c r="M177" s="30"/>
      <c r="N177" s="30"/>
      <c r="O177" s="30"/>
    </row>
    <row r="178" spans="1:15" x14ac:dyDescent="0.2">
      <c r="A178" s="30">
        <v>19015</v>
      </c>
      <c r="B178" s="30" t="s">
        <v>116</v>
      </c>
      <c r="C178" s="30">
        <v>12033011</v>
      </c>
      <c r="D178" s="30" t="s">
        <v>45</v>
      </c>
      <c r="E178" s="30">
        <v>20</v>
      </c>
      <c r="F178" s="30" t="s">
        <v>139</v>
      </c>
      <c r="G178" s="30">
        <v>4010.4</v>
      </c>
      <c r="H178" s="30">
        <v>48.3</v>
      </c>
      <c r="I178" s="30"/>
      <c r="J178" s="69" t="s">
        <v>12</v>
      </c>
      <c r="K178" s="30"/>
      <c r="L178" s="30" t="str">
        <f t="shared" si="2"/>
        <v>12033011.4010.400</v>
      </c>
      <c r="M178" s="30"/>
      <c r="N178" s="30"/>
      <c r="O178" s="30"/>
    </row>
    <row r="179" spans="1:15" x14ac:dyDescent="0.2">
      <c r="A179" s="30">
        <v>19030</v>
      </c>
      <c r="B179" s="30" t="s">
        <v>364</v>
      </c>
      <c r="C179" s="30">
        <v>12033011</v>
      </c>
      <c r="D179" s="30" t="s">
        <v>45</v>
      </c>
      <c r="E179" s="30">
        <v>20</v>
      </c>
      <c r="F179" s="30" t="s">
        <v>139</v>
      </c>
      <c r="G179" s="30">
        <v>4010.4</v>
      </c>
      <c r="H179" s="30">
        <v>407.8</v>
      </c>
      <c r="I179" s="30"/>
      <c r="J179" s="69" t="s">
        <v>12</v>
      </c>
      <c r="K179" s="30"/>
      <c r="L179" s="30" t="str">
        <f t="shared" si="2"/>
        <v>12033011.4010.400</v>
      </c>
      <c r="M179" s="30"/>
      <c r="N179" s="30"/>
      <c r="O179" s="30"/>
    </row>
    <row r="180" spans="1:15" x14ac:dyDescent="0.2">
      <c r="A180" s="30">
        <v>19029</v>
      </c>
      <c r="B180" s="30" t="s">
        <v>366</v>
      </c>
      <c r="C180" s="30">
        <v>12033011</v>
      </c>
      <c r="D180" s="30" t="s">
        <v>45</v>
      </c>
      <c r="E180" s="30">
        <v>20</v>
      </c>
      <c r="F180" s="30" t="s">
        <v>139</v>
      </c>
      <c r="G180" s="30">
        <v>4010.4</v>
      </c>
      <c r="H180" s="30">
        <v>64.400000000000006</v>
      </c>
      <c r="I180" s="30"/>
      <c r="J180" s="69" t="s">
        <v>12</v>
      </c>
      <c r="K180" s="30"/>
      <c r="L180" s="30" t="str">
        <f t="shared" si="2"/>
        <v>12033011.4010.400</v>
      </c>
      <c r="M180" s="30"/>
      <c r="N180" s="30"/>
      <c r="O180" s="30"/>
    </row>
    <row r="181" spans="1:15" x14ac:dyDescent="0.2">
      <c r="A181" s="30">
        <v>19011</v>
      </c>
      <c r="B181" s="30" t="s">
        <v>111</v>
      </c>
      <c r="C181" s="30">
        <v>12033011</v>
      </c>
      <c r="D181" s="30" t="s">
        <v>45</v>
      </c>
      <c r="E181" s="30">
        <v>20</v>
      </c>
      <c r="F181" s="30" t="s">
        <v>139</v>
      </c>
      <c r="G181" s="30">
        <v>4010.4</v>
      </c>
      <c r="H181" s="30">
        <v>80.5</v>
      </c>
      <c r="I181" s="30"/>
      <c r="J181" s="69" t="s">
        <v>12</v>
      </c>
      <c r="K181" s="30"/>
      <c r="L181" s="30" t="str">
        <f t="shared" si="2"/>
        <v>12033011.4010.400</v>
      </c>
      <c r="M181" s="30"/>
      <c r="N181" s="30"/>
      <c r="O181" s="30"/>
    </row>
    <row r="182" spans="1:15" x14ac:dyDescent="0.2">
      <c r="A182" s="30">
        <v>19012</v>
      </c>
      <c r="B182" s="30" t="s">
        <v>110</v>
      </c>
      <c r="C182" s="30">
        <v>12033011</v>
      </c>
      <c r="D182" s="30" t="s">
        <v>45</v>
      </c>
      <c r="E182" s="30">
        <v>20</v>
      </c>
      <c r="F182" s="30" t="s">
        <v>139</v>
      </c>
      <c r="G182" s="30">
        <v>4010.4</v>
      </c>
      <c r="H182" s="30">
        <v>80.5</v>
      </c>
      <c r="I182" s="30"/>
      <c r="J182" s="69" t="s">
        <v>12</v>
      </c>
      <c r="K182" s="30"/>
      <c r="L182" s="30" t="str">
        <f t="shared" si="2"/>
        <v>12033011.4010.400</v>
      </c>
      <c r="M182" s="30"/>
      <c r="N182" s="30"/>
      <c r="O182" s="30"/>
    </row>
    <row r="183" spans="1:15" x14ac:dyDescent="0.2">
      <c r="A183" s="30">
        <v>19017</v>
      </c>
      <c r="B183" s="30" t="s">
        <v>65</v>
      </c>
      <c r="C183" s="30">
        <v>12033011</v>
      </c>
      <c r="D183" s="30" t="s">
        <v>45</v>
      </c>
      <c r="E183" s="30">
        <v>20</v>
      </c>
      <c r="F183" s="30" t="s">
        <v>139</v>
      </c>
      <c r="G183" s="30">
        <v>4010.4</v>
      </c>
      <c r="H183" s="30">
        <v>48.3</v>
      </c>
      <c r="I183" s="30"/>
      <c r="J183" s="69" t="s">
        <v>12</v>
      </c>
      <c r="K183" s="30"/>
      <c r="L183" s="30" t="str">
        <f t="shared" si="2"/>
        <v>12033011.4010.400</v>
      </c>
      <c r="M183" s="30"/>
      <c r="N183" s="30"/>
      <c r="O183" s="30"/>
    </row>
    <row r="184" spans="1:15" x14ac:dyDescent="0.2">
      <c r="A184" s="30">
        <v>18983</v>
      </c>
      <c r="B184" s="30" t="s">
        <v>112</v>
      </c>
      <c r="C184" s="30">
        <v>12033011</v>
      </c>
      <c r="D184" s="30" t="s">
        <v>45</v>
      </c>
      <c r="E184" s="30">
        <v>20</v>
      </c>
      <c r="F184" s="30" t="s">
        <v>139</v>
      </c>
      <c r="G184" s="30">
        <v>4010.4</v>
      </c>
      <c r="H184" s="30">
        <v>96.6</v>
      </c>
      <c r="I184" s="30"/>
      <c r="J184" s="69" t="s">
        <v>12</v>
      </c>
      <c r="K184" s="30"/>
      <c r="L184" s="30" t="str">
        <f t="shared" si="2"/>
        <v>12033011.4010.400</v>
      </c>
      <c r="M184" s="30"/>
      <c r="N184" s="30"/>
      <c r="O184" s="30"/>
    </row>
    <row r="185" spans="1:15" x14ac:dyDescent="0.2">
      <c r="A185" s="30">
        <v>19009</v>
      </c>
      <c r="B185" s="30" t="s">
        <v>117</v>
      </c>
      <c r="C185" s="30">
        <v>12033011</v>
      </c>
      <c r="D185" s="30" t="s">
        <v>45</v>
      </c>
      <c r="E185" s="30">
        <v>20</v>
      </c>
      <c r="F185" s="30" t="s">
        <v>139</v>
      </c>
      <c r="G185" s="30">
        <v>4010.4</v>
      </c>
      <c r="H185" s="30">
        <v>64.400000000000006</v>
      </c>
      <c r="I185" s="30"/>
      <c r="J185" s="69" t="s">
        <v>12</v>
      </c>
      <c r="K185" s="30"/>
      <c r="L185" s="30" t="str">
        <f t="shared" si="2"/>
        <v>12033011.4010.400</v>
      </c>
      <c r="M185" s="30"/>
      <c r="N185" s="30"/>
      <c r="O185" s="30"/>
    </row>
    <row r="186" spans="1:15" x14ac:dyDescent="0.2">
      <c r="A186" s="30">
        <v>19019</v>
      </c>
      <c r="B186" s="30" t="s">
        <v>108</v>
      </c>
      <c r="C186" s="30">
        <v>12033011</v>
      </c>
      <c r="D186" s="30" t="s">
        <v>45</v>
      </c>
      <c r="E186" s="30">
        <v>20</v>
      </c>
      <c r="F186" s="30" t="s">
        <v>139</v>
      </c>
      <c r="G186" s="30">
        <v>4010.4</v>
      </c>
      <c r="H186" s="30">
        <v>48.3</v>
      </c>
      <c r="I186" s="30"/>
      <c r="J186" s="69" t="s">
        <v>12</v>
      </c>
      <c r="K186" s="30"/>
      <c r="L186" s="30" t="str">
        <f t="shared" si="2"/>
        <v>12033011.4010.400</v>
      </c>
      <c r="M186" s="30"/>
      <c r="N186" s="30"/>
      <c r="O186" s="30"/>
    </row>
    <row r="187" spans="1:15" x14ac:dyDescent="0.2">
      <c r="A187" s="30">
        <v>18998</v>
      </c>
      <c r="B187" s="30" t="s">
        <v>47</v>
      </c>
      <c r="C187" s="30">
        <v>12038099</v>
      </c>
      <c r="D187" s="30" t="s">
        <v>48</v>
      </c>
      <c r="E187" s="30">
        <v>20</v>
      </c>
      <c r="F187" s="30" t="s">
        <v>139</v>
      </c>
      <c r="G187" s="30">
        <v>4010.4</v>
      </c>
      <c r="H187" s="30">
        <v>692.31</v>
      </c>
      <c r="I187" s="30"/>
      <c r="J187" s="69" t="s">
        <v>12</v>
      </c>
      <c r="K187" s="30"/>
      <c r="L187" s="30" t="str">
        <f t="shared" si="2"/>
        <v>12038099.4010.400</v>
      </c>
      <c r="M187" s="30"/>
      <c r="N187" s="30"/>
      <c r="O187" s="30"/>
    </row>
    <row r="188" spans="1:15" x14ac:dyDescent="0.2">
      <c r="A188" s="30">
        <v>18649</v>
      </c>
      <c r="B188" s="30" t="s">
        <v>152</v>
      </c>
      <c r="C188" s="30">
        <v>12040500</v>
      </c>
      <c r="D188" s="30" t="s">
        <v>67</v>
      </c>
      <c r="E188" s="30">
        <v>20</v>
      </c>
      <c r="F188" s="30" t="s">
        <v>139</v>
      </c>
      <c r="G188" s="30">
        <v>4010.4</v>
      </c>
      <c r="H188" s="30">
        <v>36.46</v>
      </c>
      <c r="I188" s="30"/>
      <c r="J188" s="69" t="s">
        <v>12</v>
      </c>
      <c r="K188" s="30"/>
      <c r="L188" s="30" t="str">
        <f t="shared" si="2"/>
        <v>12040500.4010.400</v>
      </c>
      <c r="M188" s="30"/>
      <c r="N188" s="30"/>
      <c r="O188" s="30"/>
    </row>
    <row r="189" spans="1:15" x14ac:dyDescent="0.2">
      <c r="A189" s="30">
        <v>18904</v>
      </c>
      <c r="B189" s="30" t="s">
        <v>119</v>
      </c>
      <c r="C189" s="30">
        <v>12040800</v>
      </c>
      <c r="D189" s="30" t="s">
        <v>120</v>
      </c>
      <c r="E189" s="30">
        <v>20</v>
      </c>
      <c r="F189" s="30" t="s">
        <v>139</v>
      </c>
      <c r="G189" s="30">
        <v>4010.4</v>
      </c>
      <c r="H189" s="30">
        <v>16.100000000000001</v>
      </c>
      <c r="I189" s="30"/>
      <c r="J189" s="69" t="s">
        <v>12</v>
      </c>
      <c r="K189" s="30"/>
      <c r="L189" s="30" t="str">
        <f t="shared" si="2"/>
        <v>12040800.4010.400</v>
      </c>
      <c r="M189" s="30"/>
      <c r="N189" s="30"/>
      <c r="O189" s="30"/>
    </row>
    <row r="190" spans="1:15" x14ac:dyDescent="0.2">
      <c r="A190" s="30">
        <v>18703</v>
      </c>
      <c r="B190" s="30" t="s">
        <v>126</v>
      </c>
      <c r="C190" s="30">
        <v>12043011</v>
      </c>
      <c r="D190" s="30" t="s">
        <v>52</v>
      </c>
      <c r="E190" s="30">
        <v>20</v>
      </c>
      <c r="F190" s="30" t="s">
        <v>139</v>
      </c>
      <c r="G190" s="30">
        <v>4010.4</v>
      </c>
      <c r="H190" s="30">
        <v>16.100000000000001</v>
      </c>
      <c r="I190" s="30"/>
      <c r="J190" s="69" t="s">
        <v>12</v>
      </c>
      <c r="K190" s="30"/>
      <c r="L190" s="30" t="str">
        <f t="shared" si="2"/>
        <v>12043011.4010.400</v>
      </c>
      <c r="M190" s="30"/>
      <c r="N190" s="30"/>
      <c r="O190" s="30"/>
    </row>
    <row r="191" spans="1:15" x14ac:dyDescent="0.2">
      <c r="A191" s="30">
        <v>18858</v>
      </c>
      <c r="B191" s="30" t="s">
        <v>122</v>
      </c>
      <c r="C191" s="30">
        <v>12043011</v>
      </c>
      <c r="D191" s="30" t="s">
        <v>52</v>
      </c>
      <c r="E191" s="30">
        <v>20</v>
      </c>
      <c r="F191" s="30" t="s">
        <v>139</v>
      </c>
      <c r="G191" s="30">
        <v>4010.4</v>
      </c>
      <c r="H191" s="30">
        <v>36.46</v>
      </c>
      <c r="I191" s="30"/>
      <c r="J191" s="69" t="s">
        <v>12</v>
      </c>
      <c r="K191" s="30"/>
      <c r="L191" s="30" t="str">
        <f t="shared" si="2"/>
        <v>12043011.4010.400</v>
      </c>
      <c r="M191" s="30"/>
      <c r="N191" s="30"/>
      <c r="O191" s="30"/>
    </row>
    <row r="192" spans="1:15" x14ac:dyDescent="0.2">
      <c r="A192" s="30">
        <v>19023</v>
      </c>
      <c r="B192" s="30" t="s">
        <v>69</v>
      </c>
      <c r="C192" s="30">
        <v>12043011</v>
      </c>
      <c r="D192" s="30" t="s">
        <v>52</v>
      </c>
      <c r="E192" s="30">
        <v>20</v>
      </c>
      <c r="F192" s="30" t="s">
        <v>139</v>
      </c>
      <c r="G192" s="30">
        <v>4010.4</v>
      </c>
      <c r="H192" s="30">
        <v>168.19</v>
      </c>
      <c r="I192" s="30"/>
      <c r="J192" s="69" t="s">
        <v>12</v>
      </c>
      <c r="K192" s="30"/>
      <c r="L192" s="30" t="str">
        <f t="shared" si="2"/>
        <v>12043011.4010.400</v>
      </c>
      <c r="M192" s="30"/>
      <c r="N192" s="30"/>
      <c r="O192" s="30"/>
    </row>
    <row r="193" spans="1:15" x14ac:dyDescent="0.2">
      <c r="A193" s="30">
        <v>18986</v>
      </c>
      <c r="B193" s="30" t="s">
        <v>153</v>
      </c>
      <c r="C193" s="30">
        <v>12043011</v>
      </c>
      <c r="D193" s="30" t="s">
        <v>52</v>
      </c>
      <c r="E193" s="30">
        <v>20</v>
      </c>
      <c r="F193" s="30" t="s">
        <v>139</v>
      </c>
      <c r="G193" s="30">
        <v>4010.4</v>
      </c>
      <c r="H193" s="30">
        <v>243.73</v>
      </c>
      <c r="I193" s="30"/>
      <c r="J193" s="69" t="s">
        <v>12</v>
      </c>
      <c r="K193" s="30"/>
      <c r="L193" s="30" t="str">
        <f t="shared" si="2"/>
        <v>12043011.4010.400</v>
      </c>
      <c r="M193" s="30"/>
      <c r="N193" s="30"/>
      <c r="O193" s="30"/>
    </row>
    <row r="194" spans="1:15" x14ac:dyDescent="0.2">
      <c r="A194" s="30">
        <v>18713</v>
      </c>
      <c r="B194" s="30" t="s">
        <v>154</v>
      </c>
      <c r="C194" s="30">
        <v>12043011</v>
      </c>
      <c r="D194" s="30" t="s">
        <v>52</v>
      </c>
      <c r="E194" s="30">
        <v>20</v>
      </c>
      <c r="F194" s="30" t="s">
        <v>139</v>
      </c>
      <c r="G194" s="30">
        <v>4010.4</v>
      </c>
      <c r="H194" s="30">
        <v>267.22000000000003</v>
      </c>
      <c r="I194" s="30"/>
      <c r="J194" s="69" t="s">
        <v>12</v>
      </c>
      <c r="K194" s="30"/>
      <c r="L194" s="30" t="str">
        <f t="shared" ref="L194:L257" si="3">C194&amp;"."&amp;G194&amp;J194</f>
        <v>12043011.4010.400</v>
      </c>
      <c r="M194" s="30"/>
      <c r="N194" s="30"/>
      <c r="O194" s="30"/>
    </row>
    <row r="195" spans="1:15" x14ac:dyDescent="0.2">
      <c r="A195" s="30">
        <v>19039</v>
      </c>
      <c r="B195" s="30" t="s">
        <v>443</v>
      </c>
      <c r="C195" s="30">
        <v>12043011</v>
      </c>
      <c r="D195" s="30" t="s">
        <v>52</v>
      </c>
      <c r="E195" s="30">
        <v>20</v>
      </c>
      <c r="F195" s="30" t="s">
        <v>139</v>
      </c>
      <c r="G195" s="30">
        <v>4010.4</v>
      </c>
      <c r="H195" s="30">
        <v>162.49</v>
      </c>
      <c r="I195" s="30"/>
      <c r="J195" s="69" t="s">
        <v>12</v>
      </c>
      <c r="K195" s="30"/>
      <c r="L195" s="30" t="str">
        <f t="shared" si="3"/>
        <v>12043011.4010.400</v>
      </c>
      <c r="M195" s="30"/>
      <c r="N195" s="30"/>
      <c r="O195" s="30"/>
    </row>
    <row r="196" spans="1:15" x14ac:dyDescent="0.2">
      <c r="A196" s="30">
        <v>18942</v>
      </c>
      <c r="B196" s="30" t="s">
        <v>51</v>
      </c>
      <c r="C196" s="30">
        <v>12043011</v>
      </c>
      <c r="D196" s="30" t="s">
        <v>52</v>
      </c>
      <c r="E196" s="30">
        <v>20</v>
      </c>
      <c r="F196" s="30" t="s">
        <v>139</v>
      </c>
      <c r="G196" s="30">
        <v>4010.4</v>
      </c>
      <c r="H196" s="30">
        <v>117.63</v>
      </c>
      <c r="I196" s="30"/>
      <c r="J196" s="69" t="s">
        <v>12</v>
      </c>
      <c r="K196" s="30"/>
      <c r="L196" s="30" t="str">
        <f t="shared" si="3"/>
        <v>12043011.4010.400</v>
      </c>
      <c r="M196" s="30"/>
      <c r="N196" s="30"/>
      <c r="O196" s="30"/>
    </row>
    <row r="197" spans="1:15" x14ac:dyDescent="0.2">
      <c r="A197" s="30">
        <v>18917</v>
      </c>
      <c r="B197" s="30" t="s">
        <v>68</v>
      </c>
      <c r="C197" s="30">
        <v>12043011</v>
      </c>
      <c r="D197" s="30" t="s">
        <v>52</v>
      </c>
      <c r="E197" s="30">
        <v>20</v>
      </c>
      <c r="F197" s="30" t="s">
        <v>139</v>
      </c>
      <c r="G197" s="30">
        <v>4010.4</v>
      </c>
      <c r="H197" s="30">
        <v>96.01</v>
      </c>
      <c r="I197" s="30"/>
      <c r="J197" s="69" t="s">
        <v>12</v>
      </c>
      <c r="K197" s="30"/>
      <c r="L197" s="30" t="str">
        <f t="shared" si="3"/>
        <v>12043011.4010.400</v>
      </c>
      <c r="M197" s="30"/>
      <c r="N197" s="30"/>
      <c r="O197" s="30"/>
    </row>
    <row r="198" spans="1:15" x14ac:dyDescent="0.2">
      <c r="A198" s="30">
        <v>18850</v>
      </c>
      <c r="B198" s="30" t="s">
        <v>123</v>
      </c>
      <c r="C198" s="30">
        <v>12043011</v>
      </c>
      <c r="D198" s="30" t="s">
        <v>52</v>
      </c>
      <c r="E198" s="30">
        <v>20</v>
      </c>
      <c r="F198" s="30" t="s">
        <v>139</v>
      </c>
      <c r="G198" s="30">
        <v>4010.4</v>
      </c>
      <c r="H198" s="30">
        <v>36.46</v>
      </c>
      <c r="I198" s="30"/>
      <c r="J198" s="69" t="s">
        <v>12</v>
      </c>
      <c r="K198" s="30"/>
      <c r="L198" s="30" t="str">
        <f t="shared" si="3"/>
        <v>12043011.4010.400</v>
      </c>
      <c r="M198" s="30"/>
      <c r="N198" s="30"/>
      <c r="O198" s="30"/>
    </row>
    <row r="199" spans="1:15" x14ac:dyDescent="0.2">
      <c r="A199" s="30">
        <v>19031</v>
      </c>
      <c r="B199" s="30" t="s">
        <v>387</v>
      </c>
      <c r="C199" s="30">
        <v>12048099</v>
      </c>
      <c r="D199" s="30" t="s">
        <v>156</v>
      </c>
      <c r="E199" s="30">
        <v>20</v>
      </c>
      <c r="F199" s="30" t="s">
        <v>139</v>
      </c>
      <c r="G199" s="30">
        <v>4010.4</v>
      </c>
      <c r="H199" s="30">
        <v>692.31</v>
      </c>
      <c r="I199" s="30"/>
      <c r="J199" s="69" t="s">
        <v>12</v>
      </c>
      <c r="K199" s="30"/>
      <c r="L199" s="30" t="str">
        <f t="shared" si="3"/>
        <v>12048099.4010.400</v>
      </c>
      <c r="M199" s="30"/>
      <c r="N199" s="30"/>
      <c r="O199" s="30"/>
    </row>
    <row r="200" spans="1:15" x14ac:dyDescent="0.2">
      <c r="A200" s="30">
        <v>18442</v>
      </c>
      <c r="B200" s="30" t="s">
        <v>157</v>
      </c>
      <c r="C200" s="30">
        <v>12060400</v>
      </c>
      <c r="D200" s="30" t="s">
        <v>158</v>
      </c>
      <c r="E200" s="30">
        <v>20</v>
      </c>
      <c r="F200" s="30" t="s">
        <v>139</v>
      </c>
      <c r="G200" s="30">
        <v>4010.4</v>
      </c>
      <c r="H200" s="30">
        <v>36.46</v>
      </c>
      <c r="I200" s="30"/>
      <c r="J200" s="69" t="s">
        <v>12</v>
      </c>
      <c r="K200" s="30"/>
      <c r="L200" s="30" t="str">
        <f t="shared" si="3"/>
        <v>12060400.4010.400</v>
      </c>
      <c r="M200" s="30"/>
      <c r="N200" s="30"/>
      <c r="O200" s="30"/>
    </row>
    <row r="201" spans="1:15" x14ac:dyDescent="0.2">
      <c r="A201" s="30">
        <v>18823</v>
      </c>
      <c r="B201" s="30" t="s">
        <v>53</v>
      </c>
      <c r="C201" s="30">
        <v>12060611</v>
      </c>
      <c r="D201" s="30" t="s">
        <v>54</v>
      </c>
      <c r="E201" s="30">
        <v>20</v>
      </c>
      <c r="F201" s="30" t="s">
        <v>139</v>
      </c>
      <c r="G201" s="30">
        <v>4010.4</v>
      </c>
      <c r="H201" s="30">
        <v>36.46</v>
      </c>
      <c r="I201" s="30"/>
      <c r="J201" s="69" t="s">
        <v>12</v>
      </c>
      <c r="K201" s="30"/>
      <c r="L201" s="30" t="str">
        <f t="shared" si="3"/>
        <v>12060611.4010.400</v>
      </c>
      <c r="M201" s="30"/>
      <c r="N201" s="30"/>
      <c r="O201" s="30"/>
    </row>
    <row r="202" spans="1:15" x14ac:dyDescent="0.2">
      <c r="A202" s="30">
        <v>261</v>
      </c>
      <c r="B202" s="30" t="s">
        <v>159</v>
      </c>
      <c r="C202" s="30">
        <v>12060611</v>
      </c>
      <c r="D202" s="30" t="s">
        <v>54</v>
      </c>
      <c r="E202" s="30">
        <v>20</v>
      </c>
      <c r="F202" s="30" t="s">
        <v>139</v>
      </c>
      <c r="G202" s="30">
        <v>4010.4</v>
      </c>
      <c r="H202" s="30">
        <v>36.46</v>
      </c>
      <c r="I202" s="30"/>
      <c r="J202" s="69" t="s">
        <v>12</v>
      </c>
      <c r="K202" s="30"/>
      <c r="L202" s="30" t="str">
        <f t="shared" si="3"/>
        <v>12060611.4010.400</v>
      </c>
      <c r="M202" s="30"/>
      <c r="N202" s="30"/>
      <c r="O202" s="30"/>
    </row>
    <row r="203" spans="1:15" x14ac:dyDescent="0.2">
      <c r="A203" s="30">
        <v>18792</v>
      </c>
      <c r="B203" s="30" t="s">
        <v>56</v>
      </c>
      <c r="C203" s="30">
        <v>12062511</v>
      </c>
      <c r="D203" s="30" t="s">
        <v>57</v>
      </c>
      <c r="E203" s="30">
        <v>20</v>
      </c>
      <c r="F203" s="30" t="s">
        <v>139</v>
      </c>
      <c r="G203" s="30">
        <v>4010.4</v>
      </c>
      <c r="H203" s="80">
        <v>32.200000000000003</v>
      </c>
      <c r="I203" s="80"/>
      <c r="J203" s="69" t="s">
        <v>12</v>
      </c>
      <c r="K203" s="30"/>
      <c r="L203" s="30" t="str">
        <f t="shared" si="3"/>
        <v>12062511.4010.400</v>
      </c>
      <c r="M203" s="30"/>
      <c r="N203" s="30"/>
      <c r="O203" s="30"/>
    </row>
    <row r="204" spans="1:15" x14ac:dyDescent="0.2">
      <c r="A204" s="30">
        <v>18876</v>
      </c>
      <c r="B204" s="30" t="s">
        <v>160</v>
      </c>
      <c r="C204" s="30">
        <v>12068099</v>
      </c>
      <c r="D204" s="30" t="s">
        <v>161</v>
      </c>
      <c r="E204" s="30">
        <v>20</v>
      </c>
      <c r="F204" s="30" t="s">
        <v>139</v>
      </c>
      <c r="G204" s="30">
        <v>4010.4</v>
      </c>
      <c r="H204" s="30">
        <v>692.31</v>
      </c>
      <c r="I204" s="30"/>
      <c r="J204" s="69" t="s">
        <v>12</v>
      </c>
      <c r="K204" s="30"/>
      <c r="L204" s="30" t="str">
        <f t="shared" si="3"/>
        <v>12068099.4010.400</v>
      </c>
      <c r="M204" s="30"/>
      <c r="N204" s="30"/>
      <c r="O204" s="30"/>
    </row>
    <row r="205" spans="1:15" x14ac:dyDescent="0.2">
      <c r="A205" s="30">
        <v>18726</v>
      </c>
      <c r="B205" s="30" t="s">
        <v>162</v>
      </c>
      <c r="C205" s="30">
        <v>12010500</v>
      </c>
      <c r="D205" s="30" t="s">
        <v>60</v>
      </c>
      <c r="E205" s="30">
        <v>40</v>
      </c>
      <c r="F205" s="30" t="s">
        <v>163</v>
      </c>
      <c r="G205" s="30">
        <v>4080.1</v>
      </c>
      <c r="H205" s="30">
        <v>165</v>
      </c>
      <c r="I205" s="30"/>
      <c r="J205" s="69" t="s">
        <v>12</v>
      </c>
      <c r="K205" s="30"/>
      <c r="L205" s="30" t="str">
        <f t="shared" si="3"/>
        <v>12010500.4080.100</v>
      </c>
      <c r="M205" s="30"/>
      <c r="N205" s="30"/>
      <c r="O205" s="30"/>
    </row>
    <row r="206" spans="1:15" x14ac:dyDescent="0.2">
      <c r="A206" s="30">
        <v>18946</v>
      </c>
      <c r="B206" s="30" t="s">
        <v>13</v>
      </c>
      <c r="C206" s="30">
        <v>12013250</v>
      </c>
      <c r="D206" s="30" t="s">
        <v>10</v>
      </c>
      <c r="E206" s="30">
        <v>40</v>
      </c>
      <c r="F206" s="30" t="s">
        <v>163</v>
      </c>
      <c r="G206" s="30">
        <v>4080.1</v>
      </c>
      <c r="H206" s="30">
        <v>300</v>
      </c>
      <c r="I206" s="30"/>
      <c r="J206" s="69" t="s">
        <v>12</v>
      </c>
      <c r="K206" s="30"/>
      <c r="L206" s="30" t="str">
        <f t="shared" si="3"/>
        <v>12013250.4080.100</v>
      </c>
      <c r="M206" s="30"/>
      <c r="N206" s="30"/>
      <c r="O206" s="30"/>
    </row>
    <row r="207" spans="1:15" x14ac:dyDescent="0.2">
      <c r="A207" s="30">
        <v>220</v>
      </c>
      <c r="B207" s="30" t="s">
        <v>14</v>
      </c>
      <c r="C207" s="30">
        <v>12013300</v>
      </c>
      <c r="D207" s="30" t="s">
        <v>15</v>
      </c>
      <c r="E207" s="30">
        <v>40</v>
      </c>
      <c r="F207" s="30" t="s">
        <v>163</v>
      </c>
      <c r="G207" s="30">
        <v>4080.1</v>
      </c>
      <c r="H207" s="30">
        <v>75</v>
      </c>
      <c r="I207" s="30"/>
      <c r="J207" s="69" t="s">
        <v>12</v>
      </c>
      <c r="K207" s="30"/>
      <c r="L207" s="30" t="str">
        <f t="shared" si="3"/>
        <v>12013300.4080.100</v>
      </c>
      <c r="M207" s="30"/>
      <c r="N207" s="30"/>
      <c r="O207" s="30"/>
    </row>
    <row r="208" spans="1:15" x14ac:dyDescent="0.2">
      <c r="A208" s="30">
        <v>18968</v>
      </c>
      <c r="B208" s="30" t="s">
        <v>164</v>
      </c>
      <c r="C208" s="30">
        <v>12019199</v>
      </c>
      <c r="D208" s="30" t="s">
        <v>147</v>
      </c>
      <c r="E208" s="30">
        <v>40</v>
      </c>
      <c r="F208" s="30" t="s">
        <v>163</v>
      </c>
      <c r="G208" s="30">
        <v>4080.1</v>
      </c>
      <c r="H208" s="30">
        <v>400</v>
      </c>
      <c r="I208" s="30"/>
      <c r="J208" s="69" t="s">
        <v>12</v>
      </c>
      <c r="K208" s="30"/>
      <c r="L208" s="30" t="str">
        <f t="shared" si="3"/>
        <v>12019199.4080.100</v>
      </c>
      <c r="M208" s="30"/>
      <c r="N208" s="30"/>
      <c r="O208" s="30"/>
    </row>
    <row r="209" spans="1:15" x14ac:dyDescent="0.2">
      <c r="A209" s="30">
        <v>18550</v>
      </c>
      <c r="B209" s="30" t="s">
        <v>165</v>
      </c>
      <c r="C209" s="30">
        <v>12019199</v>
      </c>
      <c r="D209" s="30" t="s">
        <v>147</v>
      </c>
      <c r="E209" s="30">
        <v>40</v>
      </c>
      <c r="F209" s="30" t="s">
        <v>163</v>
      </c>
      <c r="G209" s="30">
        <v>4080.1</v>
      </c>
      <c r="H209" s="30">
        <v>780</v>
      </c>
      <c r="I209" s="30"/>
      <c r="J209" s="69" t="s">
        <v>12</v>
      </c>
      <c r="K209" s="30"/>
      <c r="L209" s="30" t="str">
        <f t="shared" si="3"/>
        <v>12019199.4080.100</v>
      </c>
      <c r="M209" s="30"/>
      <c r="N209" s="30"/>
      <c r="O209" s="30"/>
    </row>
    <row r="210" spans="1:15" x14ac:dyDescent="0.2">
      <c r="A210" s="30">
        <v>18957</v>
      </c>
      <c r="B210" s="30" t="s">
        <v>74</v>
      </c>
      <c r="C210" s="30">
        <v>12020611</v>
      </c>
      <c r="D210" s="30" t="s">
        <v>23</v>
      </c>
      <c r="E210" s="30">
        <v>40</v>
      </c>
      <c r="F210" s="30" t="s">
        <v>163</v>
      </c>
      <c r="G210" s="30">
        <v>4080.1</v>
      </c>
      <c r="H210" s="30">
        <v>860</v>
      </c>
      <c r="I210" s="30"/>
      <c r="J210" s="69" t="s">
        <v>12</v>
      </c>
      <c r="K210" s="30"/>
      <c r="L210" s="30" t="str">
        <f t="shared" si="3"/>
        <v>12020611.4080.100</v>
      </c>
      <c r="M210" s="30"/>
      <c r="N210" s="30"/>
      <c r="O210" s="30"/>
    </row>
    <row r="211" spans="1:15" x14ac:dyDescent="0.2">
      <c r="A211" s="30">
        <v>261</v>
      </c>
      <c r="B211" s="30" t="s">
        <v>159</v>
      </c>
      <c r="C211" s="30">
        <v>12060611</v>
      </c>
      <c r="D211" s="30" t="s">
        <v>54</v>
      </c>
      <c r="E211" s="30">
        <v>40</v>
      </c>
      <c r="F211" s="30" t="s">
        <v>163</v>
      </c>
      <c r="G211" s="30">
        <v>4080.1</v>
      </c>
      <c r="H211" s="30">
        <v>150</v>
      </c>
      <c r="I211" s="30"/>
      <c r="J211" s="69" t="s">
        <v>12</v>
      </c>
      <c r="K211" s="30"/>
      <c r="L211" s="30" t="str">
        <f t="shared" si="3"/>
        <v>12060611.4080.100</v>
      </c>
      <c r="M211" s="30"/>
      <c r="N211" s="30"/>
      <c r="O211" s="30"/>
    </row>
    <row r="212" spans="1:15" x14ac:dyDescent="0.2">
      <c r="A212" s="30">
        <v>18647</v>
      </c>
      <c r="B212" s="30" t="s">
        <v>167</v>
      </c>
      <c r="C212" s="30">
        <v>12010500</v>
      </c>
      <c r="D212" s="30" t="s">
        <v>60</v>
      </c>
      <c r="E212" s="30">
        <v>50</v>
      </c>
      <c r="F212" s="30" t="s">
        <v>166</v>
      </c>
      <c r="G212" s="30">
        <v>4080.1</v>
      </c>
      <c r="H212" s="30">
        <v>437.55</v>
      </c>
      <c r="I212" s="30"/>
      <c r="J212" s="69" t="s">
        <v>12</v>
      </c>
      <c r="K212" s="30"/>
      <c r="L212" s="30" t="str">
        <f t="shared" si="3"/>
        <v>12010500.4080.100</v>
      </c>
      <c r="M212" s="30"/>
      <c r="N212" s="30"/>
      <c r="O212" s="30"/>
    </row>
    <row r="213" spans="1:15" x14ac:dyDescent="0.2">
      <c r="A213" s="30">
        <v>18871</v>
      </c>
      <c r="B213" s="30" t="s">
        <v>168</v>
      </c>
      <c r="C213" s="30">
        <v>12010500</v>
      </c>
      <c r="D213" s="30" t="s">
        <v>60</v>
      </c>
      <c r="E213" s="30">
        <v>50</v>
      </c>
      <c r="F213" s="30" t="s">
        <v>166</v>
      </c>
      <c r="G213" s="30">
        <v>4080.1</v>
      </c>
      <c r="H213" s="30">
        <v>444.23</v>
      </c>
      <c r="I213" s="30"/>
      <c r="J213" s="69" t="s">
        <v>12</v>
      </c>
      <c r="K213" s="30"/>
      <c r="L213" s="30" t="str">
        <f t="shared" si="3"/>
        <v>12010500.4080.100</v>
      </c>
      <c r="M213" s="30"/>
      <c r="N213" s="30"/>
      <c r="O213" s="30"/>
    </row>
    <row r="214" spans="1:15" x14ac:dyDescent="0.2">
      <c r="A214" s="30">
        <v>18517</v>
      </c>
      <c r="B214" s="30" t="s">
        <v>140</v>
      </c>
      <c r="C214" s="30">
        <v>12010500</v>
      </c>
      <c r="D214" s="30" t="s">
        <v>60</v>
      </c>
      <c r="E214" s="30">
        <v>50</v>
      </c>
      <c r="F214" s="30" t="s">
        <v>166</v>
      </c>
      <c r="G214" s="30">
        <v>4080.1</v>
      </c>
      <c r="H214" s="30">
        <v>565.39</v>
      </c>
      <c r="I214" s="30"/>
      <c r="J214" s="69" t="s">
        <v>12</v>
      </c>
      <c r="K214" s="30"/>
      <c r="L214" s="30" t="str">
        <f t="shared" si="3"/>
        <v>12010500.4080.100</v>
      </c>
      <c r="M214" s="30"/>
      <c r="N214" s="30"/>
      <c r="O214" s="30"/>
    </row>
    <row r="215" spans="1:15" x14ac:dyDescent="0.2">
      <c r="A215" s="30">
        <v>18726</v>
      </c>
      <c r="B215" s="30" t="s">
        <v>162</v>
      </c>
      <c r="C215" s="30">
        <v>12010500</v>
      </c>
      <c r="D215" s="30" t="s">
        <v>60</v>
      </c>
      <c r="E215" s="30">
        <v>50</v>
      </c>
      <c r="F215" s="30" t="s">
        <v>166</v>
      </c>
      <c r="G215" s="30">
        <v>4080.1</v>
      </c>
      <c r="H215" s="30">
        <v>343.27</v>
      </c>
      <c r="I215" s="30"/>
      <c r="J215" s="69" t="s">
        <v>12</v>
      </c>
      <c r="K215" s="30"/>
      <c r="L215" s="30" t="str">
        <f t="shared" si="3"/>
        <v>12010500.4080.100</v>
      </c>
      <c r="M215" s="30"/>
      <c r="N215" s="30"/>
      <c r="O215" s="30"/>
    </row>
    <row r="216" spans="1:15" x14ac:dyDescent="0.2">
      <c r="A216" s="30">
        <v>152</v>
      </c>
      <c r="B216" s="30" t="s">
        <v>169</v>
      </c>
      <c r="C216" s="30">
        <v>12010700</v>
      </c>
      <c r="D216" s="30" t="s">
        <v>170</v>
      </c>
      <c r="E216" s="30">
        <v>50</v>
      </c>
      <c r="F216" s="30" t="s">
        <v>166</v>
      </c>
      <c r="G216" s="30">
        <v>4080.1</v>
      </c>
      <c r="H216" s="30">
        <v>403.85</v>
      </c>
      <c r="I216" s="30"/>
      <c r="J216" s="69" t="s">
        <v>12</v>
      </c>
      <c r="K216" s="30"/>
      <c r="L216" s="30" t="str">
        <f t="shared" si="3"/>
        <v>12010700.4080.100</v>
      </c>
      <c r="M216" s="30"/>
      <c r="N216" s="30"/>
      <c r="O216" s="30"/>
    </row>
    <row r="217" spans="1:15" x14ac:dyDescent="0.2">
      <c r="A217" s="30">
        <v>18736</v>
      </c>
      <c r="B217" s="30" t="s">
        <v>70</v>
      </c>
      <c r="C217" s="30">
        <v>12013012</v>
      </c>
      <c r="D217" s="30" t="s">
        <v>71</v>
      </c>
      <c r="E217" s="30">
        <v>50</v>
      </c>
      <c r="F217" s="30" t="s">
        <v>166</v>
      </c>
      <c r="G217" s="30">
        <v>4080.1</v>
      </c>
      <c r="H217" s="30">
        <v>61.46</v>
      </c>
      <c r="I217" s="30"/>
      <c r="J217" s="69" t="s">
        <v>12</v>
      </c>
      <c r="K217" s="30"/>
      <c r="L217" s="30" t="str">
        <f t="shared" si="3"/>
        <v>12013012.4080.100</v>
      </c>
      <c r="M217" s="30"/>
      <c r="N217" s="30"/>
      <c r="O217" s="30"/>
    </row>
    <row r="218" spans="1:15" x14ac:dyDescent="0.2">
      <c r="A218" s="30">
        <v>19014</v>
      </c>
      <c r="B218" s="30" t="s">
        <v>171</v>
      </c>
      <c r="C218" s="30">
        <v>12013012</v>
      </c>
      <c r="D218" s="30" t="s">
        <v>71</v>
      </c>
      <c r="E218" s="30">
        <v>50</v>
      </c>
      <c r="F218" s="30" t="s">
        <v>166</v>
      </c>
      <c r="G218" s="30">
        <v>4080.1</v>
      </c>
      <c r="H218" s="30">
        <v>262.5</v>
      </c>
      <c r="I218" s="30"/>
      <c r="J218" s="69" t="s">
        <v>12</v>
      </c>
      <c r="K218" s="30"/>
      <c r="L218" s="30" t="str">
        <f t="shared" si="3"/>
        <v>12013012.4080.100</v>
      </c>
      <c r="M218" s="30"/>
      <c r="N218" s="30"/>
      <c r="O218" s="30"/>
    </row>
    <row r="219" spans="1:15" x14ac:dyDescent="0.2">
      <c r="A219" s="30">
        <v>18988</v>
      </c>
      <c r="B219" s="30" t="s">
        <v>175</v>
      </c>
      <c r="C219" s="30">
        <v>12013250</v>
      </c>
      <c r="D219" s="30" t="s">
        <v>10</v>
      </c>
      <c r="E219" s="30">
        <v>50</v>
      </c>
      <c r="F219" s="30" t="s">
        <v>166</v>
      </c>
      <c r="G219" s="30">
        <v>4080.1</v>
      </c>
      <c r="H219" s="30">
        <v>282.69</v>
      </c>
      <c r="I219" s="30"/>
      <c r="J219" s="69" t="s">
        <v>12</v>
      </c>
      <c r="K219" s="30"/>
      <c r="L219" s="30" t="str">
        <f t="shared" si="3"/>
        <v>12013250.4080.100</v>
      </c>
      <c r="M219" s="30"/>
      <c r="N219" s="30"/>
      <c r="O219" s="30"/>
    </row>
    <row r="220" spans="1:15" x14ac:dyDescent="0.2">
      <c r="A220" s="30">
        <v>18995</v>
      </c>
      <c r="B220" s="30" t="s">
        <v>174</v>
      </c>
      <c r="C220" s="30">
        <v>12013250</v>
      </c>
      <c r="D220" s="30" t="s">
        <v>10</v>
      </c>
      <c r="E220" s="30">
        <v>50</v>
      </c>
      <c r="F220" s="30" t="s">
        <v>166</v>
      </c>
      <c r="G220" s="30">
        <v>4080.1</v>
      </c>
      <c r="H220" s="30">
        <v>242.31</v>
      </c>
      <c r="I220" s="30"/>
      <c r="J220" s="69" t="s">
        <v>12</v>
      </c>
      <c r="K220" s="30"/>
      <c r="L220" s="30" t="str">
        <f t="shared" si="3"/>
        <v>12013250.4080.100</v>
      </c>
      <c r="M220" s="30"/>
      <c r="N220" s="30"/>
      <c r="O220" s="30"/>
    </row>
    <row r="221" spans="1:15" x14ac:dyDescent="0.2">
      <c r="A221" s="30">
        <v>18946</v>
      </c>
      <c r="B221" s="30" t="s">
        <v>13</v>
      </c>
      <c r="C221" s="30">
        <v>12013250</v>
      </c>
      <c r="D221" s="30" t="s">
        <v>10</v>
      </c>
      <c r="E221" s="30">
        <v>50</v>
      </c>
      <c r="F221" s="30" t="s">
        <v>166</v>
      </c>
      <c r="G221" s="30">
        <v>4080.1</v>
      </c>
      <c r="H221" s="30">
        <v>253.51</v>
      </c>
      <c r="I221" s="30"/>
      <c r="J221" s="69" t="s">
        <v>12</v>
      </c>
      <c r="K221" s="30"/>
      <c r="L221" s="30" t="str">
        <f t="shared" si="3"/>
        <v>12013250.4080.100</v>
      </c>
      <c r="M221" s="30"/>
      <c r="N221" s="30"/>
      <c r="O221" s="30"/>
    </row>
    <row r="222" spans="1:15" x14ac:dyDescent="0.2">
      <c r="A222" s="30">
        <v>18997</v>
      </c>
      <c r="B222" s="30" t="s">
        <v>141</v>
      </c>
      <c r="C222" s="30">
        <v>12013250</v>
      </c>
      <c r="D222" s="30" t="s">
        <v>10</v>
      </c>
      <c r="E222" s="30">
        <v>50</v>
      </c>
      <c r="F222" s="30" t="s">
        <v>166</v>
      </c>
      <c r="G222" s="30">
        <v>4080.1</v>
      </c>
      <c r="H222" s="30">
        <v>88.85</v>
      </c>
      <c r="I222" s="30"/>
      <c r="J222" s="69" t="s">
        <v>12</v>
      </c>
      <c r="K222" s="30"/>
      <c r="L222" s="30" t="str">
        <f t="shared" si="3"/>
        <v>12013250.4080.100</v>
      </c>
      <c r="M222" s="30"/>
      <c r="N222" s="30"/>
      <c r="O222" s="30"/>
    </row>
    <row r="223" spans="1:15" x14ac:dyDescent="0.2">
      <c r="A223" s="30">
        <v>18987</v>
      </c>
      <c r="B223" s="30" t="s">
        <v>173</v>
      </c>
      <c r="C223" s="30">
        <v>12013250</v>
      </c>
      <c r="D223" s="30" t="s">
        <v>10</v>
      </c>
      <c r="E223" s="30">
        <v>50</v>
      </c>
      <c r="F223" s="30" t="s">
        <v>166</v>
      </c>
      <c r="G223" s="30">
        <v>4080.1</v>
      </c>
      <c r="H223" s="30">
        <v>323.08</v>
      </c>
      <c r="I223" s="30"/>
      <c r="J223" s="69" t="s">
        <v>12</v>
      </c>
      <c r="K223" s="30"/>
      <c r="L223" s="30" t="str">
        <f t="shared" si="3"/>
        <v>12013250.4080.100</v>
      </c>
      <c r="M223" s="30"/>
      <c r="N223" s="30"/>
      <c r="O223" s="30"/>
    </row>
    <row r="224" spans="1:15" x14ac:dyDescent="0.2">
      <c r="A224" s="30">
        <v>18721</v>
      </c>
      <c r="B224" s="30" t="s">
        <v>172</v>
      </c>
      <c r="C224" s="30">
        <v>12013250</v>
      </c>
      <c r="D224" s="30" t="s">
        <v>10</v>
      </c>
      <c r="E224" s="30">
        <v>50</v>
      </c>
      <c r="F224" s="30" t="s">
        <v>166</v>
      </c>
      <c r="G224" s="30">
        <v>4080.1</v>
      </c>
      <c r="H224" s="30">
        <v>294.81</v>
      </c>
      <c r="I224" s="30"/>
      <c r="J224" s="69" t="s">
        <v>12</v>
      </c>
      <c r="K224" s="30"/>
      <c r="L224" s="30" t="str">
        <f t="shared" si="3"/>
        <v>12013250.4080.100</v>
      </c>
      <c r="M224" s="30"/>
      <c r="N224" s="30"/>
      <c r="O224" s="30"/>
    </row>
    <row r="225" spans="1:15" x14ac:dyDescent="0.2">
      <c r="A225" s="30">
        <v>18920</v>
      </c>
      <c r="B225" s="30" t="s">
        <v>9</v>
      </c>
      <c r="C225" s="30">
        <v>12013250</v>
      </c>
      <c r="D225" s="30" t="s">
        <v>10</v>
      </c>
      <c r="E225" s="30">
        <v>50</v>
      </c>
      <c r="F225" s="30" t="s">
        <v>166</v>
      </c>
      <c r="G225" s="30">
        <v>4080.1</v>
      </c>
      <c r="H225" s="30">
        <v>500.77</v>
      </c>
      <c r="I225" s="30"/>
      <c r="J225" s="69" t="s">
        <v>12</v>
      </c>
      <c r="K225" s="30"/>
      <c r="L225" s="30" t="str">
        <f t="shared" si="3"/>
        <v>12013250.4080.100</v>
      </c>
      <c r="M225" s="30"/>
      <c r="N225" s="30"/>
      <c r="O225" s="30"/>
    </row>
    <row r="226" spans="1:15" x14ac:dyDescent="0.2">
      <c r="A226" s="30">
        <v>220</v>
      </c>
      <c r="B226" s="30" t="s">
        <v>14</v>
      </c>
      <c r="C226" s="30">
        <v>12013300</v>
      </c>
      <c r="D226" s="30" t="s">
        <v>15</v>
      </c>
      <c r="E226" s="30">
        <v>50</v>
      </c>
      <c r="F226" s="30" t="s">
        <v>166</v>
      </c>
      <c r="G226" s="30">
        <v>4080.1</v>
      </c>
      <c r="H226" s="30">
        <v>337.9</v>
      </c>
      <c r="I226" s="30"/>
      <c r="J226" s="69" t="s">
        <v>12</v>
      </c>
      <c r="K226" s="30"/>
      <c r="L226" s="30" t="str">
        <f t="shared" si="3"/>
        <v>12013300.4080.100</v>
      </c>
      <c r="M226" s="30"/>
      <c r="N226" s="30"/>
      <c r="O226" s="30"/>
    </row>
    <row r="227" spans="1:15" x14ac:dyDescent="0.2">
      <c r="A227" s="30">
        <v>18716</v>
      </c>
      <c r="B227" s="30" t="s">
        <v>16</v>
      </c>
      <c r="C227" s="30">
        <v>12018099</v>
      </c>
      <c r="D227" s="30" t="s">
        <v>17</v>
      </c>
      <c r="E227" s="30">
        <v>50</v>
      </c>
      <c r="F227" s="30" t="s">
        <v>166</v>
      </c>
      <c r="G227" s="30">
        <v>4080.1</v>
      </c>
      <c r="H227" s="30">
        <v>565.39</v>
      </c>
      <c r="I227" s="30"/>
      <c r="J227" s="69" t="s">
        <v>12</v>
      </c>
      <c r="K227" s="30"/>
      <c r="L227" s="30" t="str">
        <f t="shared" si="3"/>
        <v>12018099.4080.100</v>
      </c>
      <c r="M227" s="30"/>
      <c r="N227" s="30"/>
      <c r="O227" s="30"/>
    </row>
    <row r="228" spans="1:15" x14ac:dyDescent="0.2">
      <c r="A228" s="30">
        <v>18948</v>
      </c>
      <c r="B228" s="30" t="s">
        <v>142</v>
      </c>
      <c r="C228" s="30">
        <v>12018099</v>
      </c>
      <c r="D228" s="30" t="s">
        <v>17</v>
      </c>
      <c r="E228" s="30">
        <v>50</v>
      </c>
      <c r="F228" s="30" t="s">
        <v>166</v>
      </c>
      <c r="G228" s="30">
        <v>4080.1</v>
      </c>
      <c r="H228" s="30">
        <v>274.62</v>
      </c>
      <c r="I228" s="30"/>
      <c r="J228" s="69" t="s">
        <v>12</v>
      </c>
      <c r="K228" s="30"/>
      <c r="L228" s="30" t="str">
        <f t="shared" si="3"/>
        <v>12018099.4080.100</v>
      </c>
      <c r="M228" s="30"/>
      <c r="N228" s="30"/>
      <c r="O228" s="30"/>
    </row>
    <row r="229" spans="1:15" x14ac:dyDescent="0.2">
      <c r="A229" s="30">
        <v>18862</v>
      </c>
      <c r="B229" s="30" t="s">
        <v>145</v>
      </c>
      <c r="C229" s="30">
        <v>12018599</v>
      </c>
      <c r="D229" s="30" t="s">
        <v>144</v>
      </c>
      <c r="E229" s="30">
        <v>50</v>
      </c>
      <c r="F229" s="30" t="s">
        <v>166</v>
      </c>
      <c r="G229" s="30">
        <v>4080.1</v>
      </c>
      <c r="H229" s="30">
        <v>274.62</v>
      </c>
      <c r="I229" s="30"/>
      <c r="J229" s="69" t="s">
        <v>12</v>
      </c>
      <c r="K229" s="30"/>
      <c r="L229" s="30" t="str">
        <f t="shared" si="3"/>
        <v>12018599.4080.100</v>
      </c>
      <c r="M229" s="30"/>
      <c r="N229" s="30"/>
      <c r="O229" s="30"/>
    </row>
    <row r="230" spans="1:15" x14ac:dyDescent="0.2">
      <c r="A230" s="30">
        <v>18969</v>
      </c>
      <c r="B230" s="30" t="s">
        <v>143</v>
      </c>
      <c r="C230" s="30">
        <v>12018599</v>
      </c>
      <c r="D230" s="30" t="s">
        <v>144</v>
      </c>
      <c r="E230" s="30">
        <v>50</v>
      </c>
      <c r="F230" s="30" t="s">
        <v>166</v>
      </c>
      <c r="G230" s="30">
        <v>4080.1</v>
      </c>
      <c r="H230" s="30">
        <v>565.38</v>
      </c>
      <c r="I230" s="30"/>
      <c r="J230" s="69" t="s">
        <v>12</v>
      </c>
      <c r="K230" s="30"/>
      <c r="L230" s="30" t="str">
        <f t="shared" si="3"/>
        <v>12018599.4080.100</v>
      </c>
      <c r="M230" s="30"/>
      <c r="N230" s="30"/>
      <c r="O230" s="30"/>
    </row>
    <row r="231" spans="1:15" x14ac:dyDescent="0.2">
      <c r="A231" s="30">
        <v>18886</v>
      </c>
      <c r="B231" s="30" t="s">
        <v>18</v>
      </c>
      <c r="C231" s="30">
        <v>12019099</v>
      </c>
      <c r="D231" s="30" t="s">
        <v>19</v>
      </c>
      <c r="E231" s="30">
        <v>50</v>
      </c>
      <c r="F231" s="30" t="s">
        <v>166</v>
      </c>
      <c r="G231" s="30">
        <v>4080.1</v>
      </c>
      <c r="H231" s="30">
        <v>857.42</v>
      </c>
      <c r="I231" s="30"/>
      <c r="J231" s="69" t="s">
        <v>12</v>
      </c>
      <c r="K231" s="30"/>
      <c r="L231" s="30" t="str">
        <f t="shared" si="3"/>
        <v>12019099.4080.100</v>
      </c>
      <c r="M231" s="30"/>
      <c r="N231" s="30"/>
      <c r="O231" s="30"/>
    </row>
    <row r="232" spans="1:15" x14ac:dyDescent="0.2">
      <c r="A232" s="30">
        <v>18968</v>
      </c>
      <c r="B232" s="30" t="s">
        <v>164</v>
      </c>
      <c r="C232" s="30">
        <v>12019199</v>
      </c>
      <c r="D232" s="30" t="s">
        <v>147</v>
      </c>
      <c r="E232" s="30">
        <v>50</v>
      </c>
      <c r="F232" s="30" t="s">
        <v>166</v>
      </c>
      <c r="G232" s="30">
        <v>4080.1</v>
      </c>
      <c r="H232" s="30">
        <v>282.69</v>
      </c>
      <c r="I232" s="30"/>
      <c r="J232" s="69" t="s">
        <v>12</v>
      </c>
      <c r="K232" s="30"/>
      <c r="L232" s="30" t="str">
        <f t="shared" si="3"/>
        <v>12019199.4080.100</v>
      </c>
      <c r="M232" s="30"/>
      <c r="N232" s="30"/>
      <c r="O232" s="30"/>
    </row>
    <row r="233" spans="1:15" x14ac:dyDescent="0.2">
      <c r="A233" s="30">
        <v>19022</v>
      </c>
      <c r="B233" s="30" t="s">
        <v>113</v>
      </c>
      <c r="C233" s="30">
        <v>12019199</v>
      </c>
      <c r="D233" s="30" t="s">
        <v>147</v>
      </c>
      <c r="E233" s="30">
        <v>50</v>
      </c>
      <c r="F233" s="30" t="s">
        <v>166</v>
      </c>
      <c r="G233" s="30">
        <v>4080.1</v>
      </c>
      <c r="H233" s="30">
        <v>234.23</v>
      </c>
      <c r="I233" s="30"/>
      <c r="J233" s="69" t="s">
        <v>12</v>
      </c>
      <c r="K233" s="30"/>
      <c r="L233" s="30" t="str">
        <f t="shared" si="3"/>
        <v>12019199.4080.100</v>
      </c>
      <c r="M233" s="30"/>
      <c r="N233" s="30"/>
      <c r="O233" s="30"/>
    </row>
    <row r="234" spans="1:15" x14ac:dyDescent="0.2">
      <c r="A234" s="30">
        <v>18853</v>
      </c>
      <c r="B234" s="30" t="s">
        <v>146</v>
      </c>
      <c r="C234" s="30">
        <v>12019199</v>
      </c>
      <c r="D234" s="30" t="s">
        <v>147</v>
      </c>
      <c r="E234" s="30">
        <v>50</v>
      </c>
      <c r="F234" s="30" t="s">
        <v>166</v>
      </c>
      <c r="G234" s="30">
        <v>4080.1</v>
      </c>
      <c r="H234" s="30">
        <v>637.4</v>
      </c>
      <c r="I234" s="30"/>
      <c r="J234" s="69" t="s">
        <v>12</v>
      </c>
      <c r="K234" s="30"/>
      <c r="L234" s="30" t="str">
        <f t="shared" si="3"/>
        <v>12019199.4080.100</v>
      </c>
      <c r="M234" s="30"/>
      <c r="N234" s="30"/>
      <c r="O234" s="30"/>
    </row>
    <row r="235" spans="1:15" x14ac:dyDescent="0.2">
      <c r="A235" s="30">
        <v>18741</v>
      </c>
      <c r="B235" s="30" t="s">
        <v>179</v>
      </c>
      <c r="C235" s="30">
        <v>12019199</v>
      </c>
      <c r="D235" s="30" t="s">
        <v>147</v>
      </c>
      <c r="E235" s="30">
        <v>50</v>
      </c>
      <c r="F235" s="30" t="s">
        <v>166</v>
      </c>
      <c r="G235" s="30">
        <v>4080.1</v>
      </c>
      <c r="H235" s="30">
        <v>343.27</v>
      </c>
      <c r="I235" s="30"/>
      <c r="J235" s="69" t="s">
        <v>12</v>
      </c>
      <c r="K235" s="30"/>
      <c r="L235" s="30" t="str">
        <f t="shared" si="3"/>
        <v>12019199.4080.100</v>
      </c>
      <c r="M235" s="30"/>
      <c r="N235" s="30"/>
      <c r="O235" s="30"/>
    </row>
    <row r="236" spans="1:15" x14ac:dyDescent="0.2">
      <c r="A236" s="30">
        <v>19003</v>
      </c>
      <c r="B236" s="30" t="s">
        <v>388</v>
      </c>
      <c r="C236" s="30">
        <v>12019199</v>
      </c>
      <c r="D236" s="30" t="s">
        <v>147</v>
      </c>
      <c r="E236" s="30">
        <v>50</v>
      </c>
      <c r="F236" s="30" t="s">
        <v>166</v>
      </c>
      <c r="G236" s="30">
        <v>4080.1</v>
      </c>
      <c r="H236" s="30">
        <v>327.12</v>
      </c>
      <c r="I236" s="30"/>
      <c r="J236" s="69" t="s">
        <v>12</v>
      </c>
      <c r="K236" s="30"/>
      <c r="L236" s="30" t="str">
        <f t="shared" si="3"/>
        <v>12019199.4080.100</v>
      </c>
      <c r="M236" s="30"/>
      <c r="N236" s="30"/>
      <c r="O236" s="30"/>
    </row>
    <row r="237" spans="1:15" x14ac:dyDescent="0.2">
      <c r="A237" s="30">
        <v>18550</v>
      </c>
      <c r="B237" s="30" t="s">
        <v>165</v>
      </c>
      <c r="C237" s="30">
        <v>12019199</v>
      </c>
      <c r="D237" s="30" t="s">
        <v>147</v>
      </c>
      <c r="E237" s="30">
        <v>50</v>
      </c>
      <c r="F237" s="30" t="s">
        <v>166</v>
      </c>
      <c r="G237" s="30">
        <v>4080.1</v>
      </c>
      <c r="H237" s="30">
        <v>272.56</v>
      </c>
      <c r="I237" s="30"/>
      <c r="J237" s="69" t="s">
        <v>12</v>
      </c>
      <c r="K237" s="30"/>
      <c r="L237" s="30" t="str">
        <f t="shared" si="3"/>
        <v>12019199.4080.100</v>
      </c>
      <c r="M237" s="30"/>
      <c r="N237" s="30"/>
      <c r="O237" s="30"/>
    </row>
    <row r="238" spans="1:15" x14ac:dyDescent="0.2">
      <c r="A238" s="30">
        <v>19025</v>
      </c>
      <c r="B238" s="30" t="s">
        <v>180</v>
      </c>
      <c r="C238" s="30">
        <v>12019199</v>
      </c>
      <c r="D238" s="30" t="s">
        <v>147</v>
      </c>
      <c r="E238" s="30">
        <v>50</v>
      </c>
      <c r="F238" s="30" t="s">
        <v>166</v>
      </c>
      <c r="G238" s="30">
        <v>4080.1</v>
      </c>
      <c r="H238" s="30">
        <v>262.5</v>
      </c>
      <c r="I238" s="30"/>
      <c r="J238" s="69" t="s">
        <v>12</v>
      </c>
      <c r="K238" s="30"/>
      <c r="L238" s="30" t="str">
        <f t="shared" si="3"/>
        <v>12019199.4080.100</v>
      </c>
      <c r="M238" s="30"/>
      <c r="N238" s="30"/>
      <c r="O238" s="30"/>
    </row>
    <row r="239" spans="1:15" x14ac:dyDescent="0.2">
      <c r="A239" s="30">
        <v>18836</v>
      </c>
      <c r="B239" s="30" t="s">
        <v>182</v>
      </c>
      <c r="C239" s="30">
        <v>12020400</v>
      </c>
      <c r="D239" s="30" t="s">
        <v>21</v>
      </c>
      <c r="E239" s="30">
        <v>50</v>
      </c>
      <c r="F239" s="30" t="s">
        <v>166</v>
      </c>
      <c r="G239" s="30">
        <v>4080.1</v>
      </c>
      <c r="H239" s="30">
        <v>269.19</v>
      </c>
      <c r="I239" s="30"/>
      <c r="J239" s="69" t="s">
        <v>12</v>
      </c>
      <c r="K239" s="30"/>
      <c r="L239" s="30" t="str">
        <f t="shared" si="3"/>
        <v>12020400.4080.100</v>
      </c>
      <c r="M239" s="30"/>
      <c r="N239" s="30"/>
      <c r="O239" s="30"/>
    </row>
    <row r="240" spans="1:15" x14ac:dyDescent="0.2">
      <c r="A240" s="30">
        <v>18619</v>
      </c>
      <c r="B240" s="30" t="s">
        <v>20</v>
      </c>
      <c r="C240" s="30">
        <v>12020400</v>
      </c>
      <c r="D240" s="30" t="s">
        <v>21</v>
      </c>
      <c r="E240" s="30">
        <v>50</v>
      </c>
      <c r="F240" s="30" t="s">
        <v>166</v>
      </c>
      <c r="G240" s="30">
        <v>4080.1</v>
      </c>
      <c r="H240" s="30">
        <v>266.14</v>
      </c>
      <c r="I240" s="30"/>
      <c r="J240" s="69" t="s">
        <v>12</v>
      </c>
      <c r="K240" s="30"/>
      <c r="L240" s="30" t="str">
        <f t="shared" si="3"/>
        <v>12020400.4080.100</v>
      </c>
      <c r="M240" s="30"/>
      <c r="N240" s="30"/>
      <c r="O240" s="30"/>
    </row>
    <row r="241" spans="1:15" x14ac:dyDescent="0.2">
      <c r="A241" s="30">
        <v>19040</v>
      </c>
      <c r="B241" s="30" t="s">
        <v>453</v>
      </c>
      <c r="C241" s="30">
        <v>12020500</v>
      </c>
      <c r="D241" s="30" t="s">
        <v>454</v>
      </c>
      <c r="E241" s="30">
        <v>50</v>
      </c>
      <c r="F241" s="30" t="s">
        <v>166</v>
      </c>
      <c r="G241" s="30">
        <v>4080.1</v>
      </c>
      <c r="H241" s="30">
        <v>131.78</v>
      </c>
      <c r="I241" s="30"/>
      <c r="J241" s="69" t="s">
        <v>12</v>
      </c>
      <c r="K241" s="30"/>
      <c r="L241" s="30" t="str">
        <f t="shared" si="3"/>
        <v>12020500.4080.100</v>
      </c>
      <c r="M241" s="30"/>
      <c r="N241" s="30"/>
      <c r="O241" s="30"/>
    </row>
    <row r="242" spans="1:15" x14ac:dyDescent="0.2">
      <c r="A242" s="30">
        <v>18893</v>
      </c>
      <c r="B242" s="30" t="s">
        <v>444</v>
      </c>
      <c r="C242" s="30">
        <v>12020500</v>
      </c>
      <c r="D242" s="30" t="s">
        <v>454</v>
      </c>
      <c r="E242" s="30">
        <v>50</v>
      </c>
      <c r="F242" s="30" t="s">
        <v>166</v>
      </c>
      <c r="G242" s="30">
        <v>4080.1</v>
      </c>
      <c r="H242" s="30">
        <v>394.78</v>
      </c>
      <c r="I242" s="30"/>
      <c r="J242" s="69" t="s">
        <v>12</v>
      </c>
      <c r="K242" s="30"/>
      <c r="L242" s="30" t="str">
        <f t="shared" si="3"/>
        <v>12020500.4080.100</v>
      </c>
      <c r="M242" s="30"/>
      <c r="N242" s="30"/>
      <c r="O242" s="30"/>
    </row>
    <row r="243" spans="1:15" x14ac:dyDescent="0.2">
      <c r="A243" s="30">
        <v>18903</v>
      </c>
      <c r="B243" s="30" t="s">
        <v>73</v>
      </c>
      <c r="C243" s="30">
        <v>12020611</v>
      </c>
      <c r="D243" s="30" t="s">
        <v>23</v>
      </c>
      <c r="E243" s="30">
        <v>50</v>
      </c>
      <c r="F243" s="30" t="s">
        <v>166</v>
      </c>
      <c r="G243" s="30">
        <v>4080.1</v>
      </c>
      <c r="H243" s="30">
        <v>261.17</v>
      </c>
      <c r="I243" s="30"/>
      <c r="J243" s="69" t="s">
        <v>12</v>
      </c>
      <c r="K243" s="30"/>
      <c r="L243" s="30" t="str">
        <f t="shared" si="3"/>
        <v>12020611.4080.100</v>
      </c>
      <c r="M243" s="30"/>
      <c r="N243" s="30"/>
      <c r="O243" s="30"/>
    </row>
    <row r="244" spans="1:15" x14ac:dyDescent="0.2">
      <c r="A244" s="30">
        <v>18893</v>
      </c>
      <c r="B244" s="30" t="s">
        <v>444</v>
      </c>
      <c r="C244" s="30">
        <v>12020611</v>
      </c>
      <c r="D244" s="30" t="s">
        <v>23</v>
      </c>
      <c r="E244" s="30">
        <v>50</v>
      </c>
      <c r="F244" s="30" t="s">
        <v>166</v>
      </c>
      <c r="G244" s="30">
        <v>4080.1</v>
      </c>
      <c r="H244" s="30">
        <v>197.36</v>
      </c>
      <c r="I244" s="30"/>
      <c r="J244" s="69" t="s">
        <v>12</v>
      </c>
      <c r="K244" s="30"/>
      <c r="L244" s="30" t="str">
        <f t="shared" si="3"/>
        <v>12020611.4080.100</v>
      </c>
      <c r="M244" s="30"/>
      <c r="N244" s="30"/>
      <c r="O244" s="30"/>
    </row>
    <row r="245" spans="1:15" x14ac:dyDescent="0.2">
      <c r="A245" s="30">
        <v>18589</v>
      </c>
      <c r="B245" s="30" t="s">
        <v>75</v>
      </c>
      <c r="C245" s="30">
        <v>12020611</v>
      </c>
      <c r="D245" s="30" t="s">
        <v>23</v>
      </c>
      <c r="E245" s="30">
        <v>50</v>
      </c>
      <c r="F245" s="30" t="s">
        <v>166</v>
      </c>
      <c r="G245" s="30">
        <v>4080.1</v>
      </c>
      <c r="H245" s="30">
        <v>259.29000000000002</v>
      </c>
      <c r="I245" s="30"/>
      <c r="J245" s="69" t="s">
        <v>12</v>
      </c>
      <c r="K245" s="30"/>
      <c r="L245" s="30" t="str">
        <f t="shared" si="3"/>
        <v>12020611.4080.100</v>
      </c>
      <c r="M245" s="30"/>
      <c r="N245" s="30"/>
      <c r="O245" s="30"/>
    </row>
    <row r="246" spans="1:15" x14ac:dyDescent="0.2">
      <c r="A246" s="30">
        <v>18831</v>
      </c>
      <c r="B246" s="30" t="s">
        <v>22</v>
      </c>
      <c r="C246" s="30">
        <v>12020611</v>
      </c>
      <c r="D246" s="30" t="s">
        <v>23</v>
      </c>
      <c r="E246" s="30">
        <v>50</v>
      </c>
      <c r="F246" s="30" t="s">
        <v>166</v>
      </c>
      <c r="G246" s="30">
        <v>4080.1</v>
      </c>
      <c r="H246" s="30">
        <v>178.72</v>
      </c>
      <c r="I246" s="30"/>
      <c r="J246" s="69" t="s">
        <v>12</v>
      </c>
      <c r="K246" s="30"/>
      <c r="L246" s="30" t="str">
        <f t="shared" si="3"/>
        <v>12020611.4080.100</v>
      </c>
      <c r="M246" s="30"/>
      <c r="N246" s="30"/>
      <c r="O246" s="30"/>
    </row>
    <row r="247" spans="1:15" x14ac:dyDescent="0.2">
      <c r="A247" s="30">
        <v>18891</v>
      </c>
      <c r="B247" s="30" t="s">
        <v>77</v>
      </c>
      <c r="C247" s="30">
        <v>12020611</v>
      </c>
      <c r="D247" s="30" t="s">
        <v>23</v>
      </c>
      <c r="E247" s="30">
        <v>50</v>
      </c>
      <c r="F247" s="30" t="s">
        <v>166</v>
      </c>
      <c r="G247" s="30">
        <v>4080.1</v>
      </c>
      <c r="H247" s="30">
        <v>193.59</v>
      </c>
      <c r="I247" s="30"/>
      <c r="J247" s="69" t="s">
        <v>12</v>
      </c>
      <c r="K247" s="30"/>
      <c r="L247" s="30" t="str">
        <f t="shared" si="3"/>
        <v>12020611.4080.100</v>
      </c>
      <c r="M247" s="30"/>
      <c r="N247" s="30"/>
      <c r="O247" s="30"/>
    </row>
    <row r="248" spans="1:15" x14ac:dyDescent="0.2">
      <c r="A248" s="30">
        <v>18866</v>
      </c>
      <c r="B248" s="30" t="s">
        <v>76</v>
      </c>
      <c r="C248" s="30">
        <v>12020611</v>
      </c>
      <c r="D248" s="30" t="s">
        <v>23</v>
      </c>
      <c r="E248" s="30">
        <v>50</v>
      </c>
      <c r="F248" s="30" t="s">
        <v>166</v>
      </c>
      <c r="G248" s="30">
        <v>4080.1</v>
      </c>
      <c r="H248" s="30">
        <v>263.82</v>
      </c>
      <c r="I248" s="30"/>
      <c r="J248" s="69" t="s">
        <v>12</v>
      </c>
      <c r="K248" s="30"/>
      <c r="L248" s="30" t="str">
        <f t="shared" si="3"/>
        <v>12020611.4080.100</v>
      </c>
      <c r="M248" s="30"/>
      <c r="N248" s="30"/>
      <c r="O248" s="30"/>
    </row>
    <row r="249" spans="1:15" x14ac:dyDescent="0.2">
      <c r="A249" s="30">
        <v>18957</v>
      </c>
      <c r="B249" s="30" t="s">
        <v>74</v>
      </c>
      <c r="C249" s="30">
        <v>12020611</v>
      </c>
      <c r="D249" s="30" t="s">
        <v>23</v>
      </c>
      <c r="E249" s="30">
        <v>50</v>
      </c>
      <c r="F249" s="30" t="s">
        <v>166</v>
      </c>
      <c r="G249" s="30">
        <v>4080.1</v>
      </c>
      <c r="H249" s="30">
        <v>272.01</v>
      </c>
      <c r="I249" s="30"/>
      <c r="J249" s="69" t="s">
        <v>12</v>
      </c>
      <c r="K249" s="30"/>
      <c r="L249" s="30" t="str">
        <f t="shared" si="3"/>
        <v>12020611.4080.100</v>
      </c>
      <c r="M249" s="30"/>
      <c r="N249" s="30"/>
      <c r="O249" s="30"/>
    </row>
    <row r="250" spans="1:15" x14ac:dyDescent="0.2">
      <c r="A250" s="30">
        <v>18631</v>
      </c>
      <c r="B250" s="30" t="s">
        <v>80</v>
      </c>
      <c r="C250" s="30">
        <v>12020711</v>
      </c>
      <c r="D250" s="30" t="s">
        <v>25</v>
      </c>
      <c r="E250" s="30">
        <v>50</v>
      </c>
      <c r="F250" s="30" t="s">
        <v>166</v>
      </c>
      <c r="G250" s="30">
        <v>4080.1</v>
      </c>
      <c r="H250" s="30">
        <v>149.85</v>
      </c>
      <c r="I250" s="30"/>
      <c r="J250" s="69" t="s">
        <v>12</v>
      </c>
      <c r="K250" s="30"/>
      <c r="L250" s="30" t="str">
        <f t="shared" si="3"/>
        <v>12020711.4080.100</v>
      </c>
      <c r="M250" s="30"/>
      <c r="N250" s="30"/>
      <c r="O250" s="30"/>
    </row>
    <row r="251" spans="1:15" x14ac:dyDescent="0.2">
      <c r="A251" s="30">
        <v>18</v>
      </c>
      <c r="B251" s="30" t="s">
        <v>24</v>
      </c>
      <c r="C251" s="30">
        <v>12020711</v>
      </c>
      <c r="D251" s="30" t="s">
        <v>25</v>
      </c>
      <c r="E251" s="30">
        <v>50</v>
      </c>
      <c r="F251" s="30" t="s">
        <v>166</v>
      </c>
      <c r="G251" s="30">
        <v>4080.1</v>
      </c>
      <c r="H251" s="30">
        <v>113.93</v>
      </c>
      <c r="I251" s="30"/>
      <c r="J251" s="69" t="s">
        <v>12</v>
      </c>
      <c r="K251" s="30"/>
      <c r="L251" s="30" t="str">
        <f t="shared" si="3"/>
        <v>12020711.4080.100</v>
      </c>
      <c r="M251" s="30"/>
      <c r="N251" s="30"/>
      <c r="O251" s="30"/>
    </row>
    <row r="252" spans="1:15" x14ac:dyDescent="0.2">
      <c r="A252" s="30">
        <v>18879</v>
      </c>
      <c r="B252" s="30" t="s">
        <v>79</v>
      </c>
      <c r="C252" s="30">
        <v>12020711</v>
      </c>
      <c r="D252" s="30" t="s">
        <v>25</v>
      </c>
      <c r="E252" s="30">
        <v>50</v>
      </c>
      <c r="F252" s="30" t="s">
        <v>166</v>
      </c>
      <c r="G252" s="30">
        <v>4080.1</v>
      </c>
      <c r="H252" s="30">
        <v>235.93</v>
      </c>
      <c r="I252" s="30"/>
      <c r="J252" s="69" t="s">
        <v>12</v>
      </c>
      <c r="K252" s="30"/>
      <c r="L252" s="30" t="str">
        <f t="shared" si="3"/>
        <v>12020711.4080.100</v>
      </c>
      <c r="M252" s="30"/>
      <c r="N252" s="30"/>
      <c r="O252" s="30"/>
    </row>
    <row r="253" spans="1:15" x14ac:dyDescent="0.2">
      <c r="A253" s="30">
        <v>18954</v>
      </c>
      <c r="B253" s="30" t="s">
        <v>183</v>
      </c>
      <c r="C253" s="30">
        <v>12020711</v>
      </c>
      <c r="D253" s="30" t="s">
        <v>25</v>
      </c>
      <c r="E253" s="30">
        <v>50</v>
      </c>
      <c r="F253" s="30" t="s">
        <v>166</v>
      </c>
      <c r="G253" s="30">
        <v>4080.1</v>
      </c>
      <c r="H253" s="30">
        <v>323.08</v>
      </c>
      <c r="I253" s="30"/>
      <c r="J253" s="69" t="s">
        <v>12</v>
      </c>
      <c r="K253" s="30"/>
      <c r="L253" s="30" t="str">
        <f t="shared" si="3"/>
        <v>12020711.4080.100</v>
      </c>
      <c r="M253" s="30"/>
      <c r="N253" s="30"/>
      <c r="O253" s="30"/>
    </row>
    <row r="254" spans="1:15" x14ac:dyDescent="0.2">
      <c r="A254" s="30">
        <v>19013</v>
      </c>
      <c r="B254" s="30" t="s">
        <v>81</v>
      </c>
      <c r="C254" s="30">
        <v>12020800</v>
      </c>
      <c r="D254" s="30" t="s">
        <v>27</v>
      </c>
      <c r="E254" s="30">
        <v>50</v>
      </c>
      <c r="F254" s="30" t="s">
        <v>166</v>
      </c>
      <c r="G254" s="30">
        <v>4080.1</v>
      </c>
      <c r="H254" s="30">
        <v>304.33999999999997</v>
      </c>
      <c r="I254" s="30"/>
      <c r="J254" s="69" t="s">
        <v>12</v>
      </c>
      <c r="K254" s="30"/>
      <c r="L254" s="30" t="str">
        <f t="shared" si="3"/>
        <v>12020800.4080.100</v>
      </c>
      <c r="M254" s="30"/>
      <c r="N254" s="30"/>
      <c r="O254" s="30"/>
    </row>
    <row r="255" spans="1:15" x14ac:dyDescent="0.2">
      <c r="A255" s="30">
        <v>18630</v>
      </c>
      <c r="B255" s="30" t="s">
        <v>204</v>
      </c>
      <c r="C255" s="30">
        <v>12020800</v>
      </c>
      <c r="D255" s="30" t="s">
        <v>27</v>
      </c>
      <c r="E255" s="30">
        <v>50</v>
      </c>
      <c r="F255" s="30" t="s">
        <v>166</v>
      </c>
      <c r="G255" s="30">
        <v>4080.1</v>
      </c>
      <c r="H255" s="30">
        <v>207.81</v>
      </c>
      <c r="I255" s="30"/>
      <c r="J255" s="69" t="s">
        <v>12</v>
      </c>
      <c r="K255" s="30"/>
      <c r="L255" s="30" t="str">
        <f t="shared" si="3"/>
        <v>12020800.4080.100</v>
      </c>
      <c r="M255" s="30"/>
      <c r="N255" s="30"/>
      <c r="O255" s="30"/>
    </row>
    <row r="256" spans="1:15" x14ac:dyDescent="0.2">
      <c r="A256" s="30">
        <v>18781</v>
      </c>
      <c r="B256" s="30" t="s">
        <v>82</v>
      </c>
      <c r="C256" s="30">
        <v>12021021</v>
      </c>
      <c r="D256" s="30" t="s">
        <v>29</v>
      </c>
      <c r="E256" s="30">
        <v>50</v>
      </c>
      <c r="F256" s="30" t="s">
        <v>166</v>
      </c>
      <c r="G256" s="30">
        <v>4080.1</v>
      </c>
      <c r="H256" s="30">
        <v>544.01</v>
      </c>
      <c r="I256" s="30"/>
      <c r="J256" s="69" t="s">
        <v>12</v>
      </c>
      <c r="K256" s="30"/>
      <c r="L256" s="30" t="str">
        <f t="shared" si="3"/>
        <v>12021021.4080.100</v>
      </c>
      <c r="M256" s="30"/>
      <c r="N256" s="30"/>
      <c r="O256" s="30"/>
    </row>
    <row r="257" spans="1:15" x14ac:dyDescent="0.2">
      <c r="A257" s="30">
        <v>18559</v>
      </c>
      <c r="B257" s="30" t="s">
        <v>87</v>
      </c>
      <c r="C257" s="30">
        <v>12021021</v>
      </c>
      <c r="D257" s="30" t="s">
        <v>29</v>
      </c>
      <c r="E257" s="30">
        <v>50</v>
      </c>
      <c r="F257" s="30" t="s">
        <v>166</v>
      </c>
      <c r="G257" s="30">
        <v>4080.1</v>
      </c>
      <c r="H257" s="30">
        <v>848.08</v>
      </c>
      <c r="I257" s="30"/>
      <c r="J257" s="69" t="s">
        <v>12</v>
      </c>
      <c r="K257" s="30"/>
      <c r="L257" s="30" t="str">
        <f t="shared" si="3"/>
        <v>12021021.4080.100</v>
      </c>
      <c r="M257" s="30"/>
      <c r="N257" s="30"/>
      <c r="O257" s="30"/>
    </row>
    <row r="258" spans="1:15" x14ac:dyDescent="0.2">
      <c r="A258" s="30">
        <v>18687</v>
      </c>
      <c r="B258" s="30" t="s">
        <v>83</v>
      </c>
      <c r="C258" s="30">
        <v>12021021</v>
      </c>
      <c r="D258" s="30" t="s">
        <v>29</v>
      </c>
      <c r="E258" s="30">
        <v>50</v>
      </c>
      <c r="F258" s="30" t="s">
        <v>166</v>
      </c>
      <c r="G258" s="30">
        <v>4080.1</v>
      </c>
      <c r="H258" s="30">
        <v>480.87</v>
      </c>
      <c r="I258" s="30"/>
      <c r="J258" s="69" t="s">
        <v>12</v>
      </c>
      <c r="K258" s="30"/>
      <c r="L258" s="30" t="str">
        <f t="shared" ref="L258:L321" si="4">C258&amp;"."&amp;G258&amp;J258</f>
        <v>12021021.4080.100</v>
      </c>
      <c r="M258" s="30"/>
      <c r="N258" s="30"/>
      <c r="O258" s="30"/>
    </row>
    <row r="259" spans="1:15" x14ac:dyDescent="0.2">
      <c r="A259" s="30">
        <v>18733</v>
      </c>
      <c r="B259" s="30" t="s">
        <v>86</v>
      </c>
      <c r="C259" s="30">
        <v>12021021</v>
      </c>
      <c r="D259" s="30" t="s">
        <v>29</v>
      </c>
      <c r="E259" s="30">
        <v>50</v>
      </c>
      <c r="F259" s="30" t="s">
        <v>166</v>
      </c>
      <c r="G259" s="30">
        <v>4080.1</v>
      </c>
      <c r="H259" s="30">
        <v>235.71</v>
      </c>
      <c r="I259" s="30"/>
      <c r="J259" s="69" t="s">
        <v>12</v>
      </c>
      <c r="K259" s="30"/>
      <c r="L259" s="30" t="str">
        <f t="shared" si="4"/>
        <v>12021021.4080.100</v>
      </c>
      <c r="M259" s="30"/>
      <c r="N259" s="30"/>
      <c r="O259" s="30"/>
    </row>
    <row r="260" spans="1:15" x14ac:dyDescent="0.2">
      <c r="A260" s="30">
        <v>18960</v>
      </c>
      <c r="B260" s="30" t="s">
        <v>84</v>
      </c>
      <c r="C260" s="30">
        <v>12021021</v>
      </c>
      <c r="D260" s="30" t="s">
        <v>29</v>
      </c>
      <c r="E260" s="30">
        <v>50</v>
      </c>
      <c r="F260" s="30" t="s">
        <v>166</v>
      </c>
      <c r="G260" s="30">
        <v>4080.1</v>
      </c>
      <c r="H260" s="30">
        <v>99.27</v>
      </c>
      <c r="I260" s="30"/>
      <c r="J260" s="69" t="s">
        <v>12</v>
      </c>
      <c r="K260" s="30"/>
      <c r="L260" s="30" t="str">
        <f t="shared" si="4"/>
        <v>12021021.4080.100</v>
      </c>
      <c r="M260" s="30"/>
      <c r="N260" s="30"/>
      <c r="O260" s="30"/>
    </row>
    <row r="261" spans="1:15" x14ac:dyDescent="0.2">
      <c r="A261" s="30">
        <v>18659</v>
      </c>
      <c r="B261" s="30" t="s">
        <v>88</v>
      </c>
      <c r="C261" s="30">
        <v>12021021</v>
      </c>
      <c r="D261" s="30" t="s">
        <v>29</v>
      </c>
      <c r="E261" s="30">
        <v>50</v>
      </c>
      <c r="F261" s="30" t="s">
        <v>166</v>
      </c>
      <c r="G261" s="30">
        <v>4080.1</v>
      </c>
      <c r="H261" s="30">
        <v>250.17</v>
      </c>
      <c r="I261" s="30"/>
      <c r="J261" s="69" t="s">
        <v>12</v>
      </c>
      <c r="K261" s="30"/>
      <c r="L261" s="30" t="str">
        <f t="shared" si="4"/>
        <v>12021021.4080.100</v>
      </c>
      <c r="M261" s="30"/>
      <c r="N261" s="30"/>
      <c r="O261" s="30"/>
    </row>
    <row r="262" spans="1:15" x14ac:dyDescent="0.2">
      <c r="A262" s="30">
        <v>18911</v>
      </c>
      <c r="B262" s="30" t="s">
        <v>28</v>
      </c>
      <c r="C262" s="30">
        <v>12021021</v>
      </c>
      <c r="D262" s="30" t="s">
        <v>29</v>
      </c>
      <c r="E262" s="30">
        <v>50</v>
      </c>
      <c r="F262" s="30" t="s">
        <v>166</v>
      </c>
      <c r="G262" s="30">
        <v>4080.1</v>
      </c>
      <c r="H262" s="30">
        <v>266.64999999999998</v>
      </c>
      <c r="I262" s="30"/>
      <c r="J262" s="69" t="s">
        <v>12</v>
      </c>
      <c r="K262" s="30"/>
      <c r="L262" s="30" t="str">
        <f t="shared" si="4"/>
        <v>12021021.4080.100</v>
      </c>
      <c r="M262" s="30"/>
      <c r="N262" s="30"/>
      <c r="O262" s="30"/>
    </row>
    <row r="263" spans="1:15" x14ac:dyDescent="0.2">
      <c r="A263" s="30">
        <v>18892</v>
      </c>
      <c r="B263" s="30" t="s">
        <v>184</v>
      </c>
      <c r="C263" s="30">
        <v>12021021</v>
      </c>
      <c r="D263" s="30" t="s">
        <v>29</v>
      </c>
      <c r="E263" s="30">
        <v>50</v>
      </c>
      <c r="F263" s="30" t="s">
        <v>166</v>
      </c>
      <c r="G263" s="30">
        <v>4080.1</v>
      </c>
      <c r="H263" s="30">
        <v>204.44</v>
      </c>
      <c r="I263" s="30"/>
      <c r="J263" s="69" t="s">
        <v>12</v>
      </c>
      <c r="K263" s="30"/>
      <c r="L263" s="30" t="str">
        <f t="shared" si="4"/>
        <v>12021021.4080.100</v>
      </c>
      <c r="M263" s="30"/>
      <c r="N263" s="30"/>
      <c r="O263" s="30"/>
    </row>
    <row r="264" spans="1:15" x14ac:dyDescent="0.2">
      <c r="A264" s="30">
        <v>19033</v>
      </c>
      <c r="B264" s="30" t="s">
        <v>389</v>
      </c>
      <c r="C264" s="30">
        <v>12021021</v>
      </c>
      <c r="D264" s="30" t="s">
        <v>29</v>
      </c>
      <c r="E264" s="30">
        <v>50</v>
      </c>
      <c r="F264" s="30" t="s">
        <v>166</v>
      </c>
      <c r="G264" s="30">
        <v>4080.1</v>
      </c>
      <c r="H264" s="30">
        <v>191.08</v>
      </c>
      <c r="I264" s="30"/>
      <c r="J264" s="69" t="s">
        <v>12</v>
      </c>
      <c r="K264" s="30"/>
      <c r="L264" s="30" t="str">
        <f t="shared" si="4"/>
        <v>12021021.4080.100</v>
      </c>
      <c r="M264" s="30"/>
      <c r="N264" s="30"/>
      <c r="O264" s="30"/>
    </row>
    <row r="265" spans="1:15" x14ac:dyDescent="0.2">
      <c r="A265" s="30">
        <v>18894</v>
      </c>
      <c r="B265" s="30" t="s">
        <v>89</v>
      </c>
      <c r="C265" s="30">
        <v>12021021</v>
      </c>
      <c r="D265" s="30" t="s">
        <v>29</v>
      </c>
      <c r="E265" s="30">
        <v>50</v>
      </c>
      <c r="F265" s="30" t="s">
        <v>166</v>
      </c>
      <c r="G265" s="30">
        <v>4080.1</v>
      </c>
      <c r="H265" s="30">
        <v>141.55000000000001</v>
      </c>
      <c r="I265" s="30"/>
      <c r="J265" s="69" t="s">
        <v>12</v>
      </c>
      <c r="K265" s="30"/>
      <c r="L265" s="30" t="str">
        <f t="shared" si="4"/>
        <v>12021021.4080.100</v>
      </c>
      <c r="M265" s="30"/>
      <c r="N265" s="30"/>
      <c r="O265" s="30"/>
    </row>
    <row r="266" spans="1:15" x14ac:dyDescent="0.2">
      <c r="A266" s="30">
        <v>18967</v>
      </c>
      <c r="B266" s="30" t="s">
        <v>85</v>
      </c>
      <c r="C266" s="30">
        <v>12021021</v>
      </c>
      <c r="D266" s="30" t="s">
        <v>29</v>
      </c>
      <c r="E266" s="30">
        <v>50</v>
      </c>
      <c r="F266" s="30" t="s">
        <v>166</v>
      </c>
      <c r="G266" s="30">
        <v>4080.1</v>
      </c>
      <c r="H266" s="30">
        <v>272.01</v>
      </c>
      <c r="I266" s="30"/>
      <c r="J266" s="69" t="s">
        <v>12</v>
      </c>
      <c r="K266" s="30"/>
      <c r="L266" s="30" t="str">
        <f t="shared" si="4"/>
        <v>12021021.4080.100</v>
      </c>
      <c r="M266" s="30"/>
      <c r="N266" s="30"/>
      <c r="O266" s="30"/>
    </row>
    <row r="267" spans="1:15" x14ac:dyDescent="0.2">
      <c r="A267" s="30">
        <v>141</v>
      </c>
      <c r="B267" s="30" t="s">
        <v>185</v>
      </c>
      <c r="C267" s="30">
        <v>12022511</v>
      </c>
      <c r="D267" s="30" t="s">
        <v>32</v>
      </c>
      <c r="E267" s="30">
        <v>50</v>
      </c>
      <c r="F267" s="30" t="s">
        <v>166</v>
      </c>
      <c r="G267" s="30">
        <v>4080.1</v>
      </c>
      <c r="H267" s="30">
        <v>114.82</v>
      </c>
      <c r="I267" s="30"/>
      <c r="J267" s="69" t="s">
        <v>12</v>
      </c>
      <c r="K267" s="30"/>
      <c r="L267" s="30" t="str">
        <f t="shared" si="4"/>
        <v>12022511.4080.100</v>
      </c>
      <c r="M267" s="30"/>
      <c r="N267" s="30"/>
      <c r="O267" s="30"/>
    </row>
    <row r="268" spans="1:15" x14ac:dyDescent="0.2">
      <c r="A268" s="30">
        <v>18961</v>
      </c>
      <c r="B268" s="30" t="s">
        <v>90</v>
      </c>
      <c r="C268" s="30">
        <v>12022511</v>
      </c>
      <c r="D268" s="30" t="s">
        <v>32</v>
      </c>
      <c r="E268" s="30">
        <v>50</v>
      </c>
      <c r="F268" s="30" t="s">
        <v>166</v>
      </c>
      <c r="G268" s="30">
        <v>4080.1</v>
      </c>
      <c r="H268" s="30">
        <v>235.87</v>
      </c>
      <c r="I268" s="30"/>
      <c r="J268" s="69" t="s">
        <v>12</v>
      </c>
      <c r="K268" s="30"/>
      <c r="L268" s="30" t="str">
        <f t="shared" si="4"/>
        <v>12022511.4080.100</v>
      </c>
      <c r="M268" s="30"/>
      <c r="N268" s="30"/>
      <c r="O268" s="30"/>
    </row>
    <row r="269" spans="1:15" x14ac:dyDescent="0.2">
      <c r="A269" s="30">
        <v>11229</v>
      </c>
      <c r="B269" s="30" t="s">
        <v>31</v>
      </c>
      <c r="C269" s="30">
        <v>12022511</v>
      </c>
      <c r="D269" s="30" t="s">
        <v>32</v>
      </c>
      <c r="E269" s="30">
        <v>50</v>
      </c>
      <c r="F269" s="30" t="s">
        <v>166</v>
      </c>
      <c r="G269" s="30">
        <v>4080.1</v>
      </c>
      <c r="H269" s="30">
        <v>60.28</v>
      </c>
      <c r="I269" s="30"/>
      <c r="J269" s="69" t="s">
        <v>12</v>
      </c>
      <c r="K269" s="30"/>
      <c r="L269" s="30" t="str">
        <f t="shared" si="4"/>
        <v>12022511.4080.100</v>
      </c>
      <c r="M269" s="30"/>
      <c r="N269" s="30"/>
      <c r="O269" s="30"/>
    </row>
    <row r="270" spans="1:15" x14ac:dyDescent="0.2">
      <c r="A270" s="30">
        <v>145</v>
      </c>
      <c r="B270" s="30" t="s">
        <v>91</v>
      </c>
      <c r="C270" s="30">
        <v>12022511</v>
      </c>
      <c r="D270" s="30" t="s">
        <v>32</v>
      </c>
      <c r="E270" s="30">
        <v>50</v>
      </c>
      <c r="F270" s="30" t="s">
        <v>166</v>
      </c>
      <c r="G270" s="30">
        <v>4080.1</v>
      </c>
      <c r="H270" s="30">
        <v>252.83</v>
      </c>
      <c r="I270" s="30"/>
      <c r="J270" s="69" t="s">
        <v>12</v>
      </c>
      <c r="K270" s="30"/>
      <c r="L270" s="30" t="str">
        <f t="shared" si="4"/>
        <v>12022511.4080.100</v>
      </c>
      <c r="M270" s="30"/>
      <c r="N270" s="30"/>
      <c r="O270" s="30"/>
    </row>
    <row r="271" spans="1:15" x14ac:dyDescent="0.2">
      <c r="A271" s="30">
        <v>19035</v>
      </c>
      <c r="B271" s="30" t="s">
        <v>440</v>
      </c>
      <c r="C271" s="30">
        <v>12023011</v>
      </c>
      <c r="D271" s="30" t="s">
        <v>93</v>
      </c>
      <c r="E271" s="30">
        <v>50</v>
      </c>
      <c r="F271" s="30" t="s">
        <v>166</v>
      </c>
      <c r="G271" s="30">
        <v>4080.1</v>
      </c>
      <c r="H271" s="30">
        <v>209.44</v>
      </c>
      <c r="I271" s="30"/>
      <c r="J271" s="69" t="s">
        <v>12</v>
      </c>
      <c r="K271" s="30"/>
      <c r="L271" s="30" t="str">
        <f t="shared" si="4"/>
        <v>12023011.4080.100</v>
      </c>
      <c r="M271" s="30"/>
      <c r="N271" s="30"/>
      <c r="O271" s="30"/>
    </row>
    <row r="272" spans="1:15" x14ac:dyDescent="0.2">
      <c r="A272" s="30">
        <v>18974</v>
      </c>
      <c r="B272" s="30" t="s">
        <v>94</v>
      </c>
      <c r="C272" s="30">
        <v>12023011</v>
      </c>
      <c r="D272" s="30" t="s">
        <v>93</v>
      </c>
      <c r="E272" s="30">
        <v>50</v>
      </c>
      <c r="F272" s="30" t="s">
        <v>166</v>
      </c>
      <c r="G272" s="30">
        <v>4080.1</v>
      </c>
      <c r="H272" s="30">
        <v>306.43</v>
      </c>
      <c r="I272" s="30"/>
      <c r="J272" s="69" t="s">
        <v>12</v>
      </c>
      <c r="K272" s="30"/>
      <c r="L272" s="30" t="str">
        <f t="shared" si="4"/>
        <v>12023011.4080.100</v>
      </c>
      <c r="M272" s="30"/>
      <c r="N272" s="30"/>
      <c r="O272" s="30"/>
    </row>
    <row r="273" spans="1:15" x14ac:dyDescent="0.2">
      <c r="A273" s="30">
        <v>19007</v>
      </c>
      <c r="B273" s="30" t="s">
        <v>189</v>
      </c>
      <c r="C273" s="30">
        <v>12023011</v>
      </c>
      <c r="D273" s="30" t="s">
        <v>93</v>
      </c>
      <c r="E273" s="30">
        <v>50</v>
      </c>
      <c r="F273" s="30" t="s">
        <v>166</v>
      </c>
      <c r="G273" s="30">
        <v>4080.1</v>
      </c>
      <c r="H273" s="30">
        <v>231.71</v>
      </c>
      <c r="I273" s="30"/>
      <c r="J273" s="69" t="s">
        <v>12</v>
      </c>
      <c r="K273" s="30"/>
      <c r="L273" s="30" t="str">
        <f t="shared" si="4"/>
        <v>12023011.4080.100</v>
      </c>
      <c r="M273" s="30"/>
      <c r="N273" s="30"/>
      <c r="O273" s="30"/>
    </row>
    <row r="274" spans="1:15" x14ac:dyDescent="0.2">
      <c r="A274" s="30">
        <v>18999</v>
      </c>
      <c r="B274" s="30" t="s">
        <v>92</v>
      </c>
      <c r="C274" s="30">
        <v>12023011</v>
      </c>
      <c r="D274" s="30" t="s">
        <v>93</v>
      </c>
      <c r="E274" s="30">
        <v>50</v>
      </c>
      <c r="F274" s="30" t="s">
        <v>166</v>
      </c>
      <c r="G274" s="30">
        <v>4080.1</v>
      </c>
      <c r="H274" s="30">
        <v>235.48</v>
      </c>
      <c r="I274" s="30"/>
      <c r="J274" s="69" t="s">
        <v>12</v>
      </c>
      <c r="K274" s="30"/>
      <c r="L274" s="30" t="str">
        <f t="shared" si="4"/>
        <v>12023011.4080.100</v>
      </c>
      <c r="M274" s="30"/>
      <c r="N274" s="30"/>
      <c r="O274" s="30"/>
    </row>
    <row r="275" spans="1:15" x14ac:dyDescent="0.2">
      <c r="A275" s="30">
        <v>19032</v>
      </c>
      <c r="B275" s="30" t="s">
        <v>386</v>
      </c>
      <c r="C275" s="30">
        <v>12023011</v>
      </c>
      <c r="D275" s="30" t="s">
        <v>93</v>
      </c>
      <c r="E275" s="30">
        <v>50</v>
      </c>
      <c r="F275" s="30" t="s">
        <v>166</v>
      </c>
      <c r="G275" s="30">
        <v>4080.1</v>
      </c>
      <c r="H275" s="30">
        <v>124.69</v>
      </c>
      <c r="I275" s="30"/>
      <c r="J275" s="69" t="s">
        <v>12</v>
      </c>
      <c r="K275" s="30"/>
      <c r="L275" s="30" t="str">
        <f t="shared" si="4"/>
        <v>12023011.4080.100</v>
      </c>
      <c r="M275" s="30"/>
      <c r="N275" s="30"/>
      <c r="O275" s="30"/>
    </row>
    <row r="276" spans="1:15" x14ac:dyDescent="0.2">
      <c r="A276" s="30">
        <v>19006</v>
      </c>
      <c r="B276" s="30" t="s">
        <v>95</v>
      </c>
      <c r="C276" s="30">
        <v>12023011</v>
      </c>
      <c r="D276" s="30" t="s">
        <v>93</v>
      </c>
      <c r="E276" s="30">
        <v>50</v>
      </c>
      <c r="F276" s="30" t="s">
        <v>166</v>
      </c>
      <c r="G276" s="30">
        <v>4080.1</v>
      </c>
      <c r="H276" s="30">
        <v>238.97</v>
      </c>
      <c r="I276" s="30"/>
      <c r="J276" s="69" t="s">
        <v>12</v>
      </c>
      <c r="K276" s="30"/>
      <c r="L276" s="30" t="str">
        <f t="shared" si="4"/>
        <v>12023011.4080.100</v>
      </c>
      <c r="M276" s="30"/>
      <c r="N276" s="30"/>
      <c r="O276" s="30"/>
    </row>
    <row r="277" spans="1:15" x14ac:dyDescent="0.2">
      <c r="A277" s="30">
        <v>18962</v>
      </c>
      <c r="B277" s="30" t="s">
        <v>148</v>
      </c>
      <c r="C277" s="30">
        <v>12023011</v>
      </c>
      <c r="D277" s="30" t="s">
        <v>93</v>
      </c>
      <c r="E277" s="30">
        <v>50</v>
      </c>
      <c r="F277" s="30" t="s">
        <v>166</v>
      </c>
      <c r="G277" s="30">
        <v>4080.1</v>
      </c>
      <c r="H277" s="30">
        <v>525</v>
      </c>
      <c r="I277" s="30"/>
      <c r="J277" s="69" t="s">
        <v>12</v>
      </c>
      <c r="K277" s="30"/>
      <c r="L277" s="30" t="str">
        <f t="shared" si="4"/>
        <v>12023011.4080.100</v>
      </c>
      <c r="M277" s="30"/>
      <c r="N277" s="30"/>
      <c r="O277" s="30"/>
    </row>
    <row r="278" spans="1:15" x14ac:dyDescent="0.2">
      <c r="A278" s="30">
        <v>19016</v>
      </c>
      <c r="B278" s="30" t="s">
        <v>96</v>
      </c>
      <c r="C278" s="30">
        <v>12023011</v>
      </c>
      <c r="D278" s="30" t="s">
        <v>93</v>
      </c>
      <c r="E278" s="30">
        <v>50</v>
      </c>
      <c r="F278" s="30" t="s">
        <v>166</v>
      </c>
      <c r="G278" s="30">
        <v>4080.1</v>
      </c>
      <c r="H278" s="30">
        <v>166.25</v>
      </c>
      <c r="I278" s="30"/>
      <c r="J278" s="69" t="s">
        <v>12</v>
      </c>
      <c r="K278" s="30"/>
      <c r="L278" s="30" t="str">
        <f t="shared" si="4"/>
        <v>12023011.4080.100</v>
      </c>
      <c r="M278" s="30"/>
      <c r="N278" s="30"/>
      <c r="O278" s="30"/>
    </row>
    <row r="279" spans="1:15" x14ac:dyDescent="0.2">
      <c r="A279" s="30">
        <v>18973</v>
      </c>
      <c r="B279" s="30" t="s">
        <v>188</v>
      </c>
      <c r="C279" s="30">
        <v>12023011</v>
      </c>
      <c r="D279" s="30" t="s">
        <v>93</v>
      </c>
      <c r="E279" s="30">
        <v>50</v>
      </c>
      <c r="F279" s="30" t="s">
        <v>166</v>
      </c>
      <c r="G279" s="30">
        <v>4080.1</v>
      </c>
      <c r="H279" s="30">
        <v>174.47</v>
      </c>
      <c r="I279" s="30"/>
      <c r="J279" s="69" t="s">
        <v>12</v>
      </c>
      <c r="K279" s="30"/>
      <c r="L279" s="30" t="str">
        <f t="shared" si="4"/>
        <v>12023011.4080.100</v>
      </c>
      <c r="M279" s="30"/>
      <c r="N279" s="30"/>
      <c r="O279" s="30"/>
    </row>
    <row r="280" spans="1:15" x14ac:dyDescent="0.2">
      <c r="A280" s="30">
        <v>19026</v>
      </c>
      <c r="B280" s="30" t="s">
        <v>187</v>
      </c>
      <c r="C280" s="30">
        <v>12023011</v>
      </c>
      <c r="D280" s="30" t="s">
        <v>93</v>
      </c>
      <c r="E280" s="30">
        <v>50</v>
      </c>
      <c r="F280" s="30" t="s">
        <v>166</v>
      </c>
      <c r="G280" s="30">
        <v>4080.1</v>
      </c>
      <c r="H280" s="30">
        <v>124.69</v>
      </c>
      <c r="I280" s="30"/>
      <c r="J280" s="69" t="s">
        <v>12</v>
      </c>
      <c r="K280" s="30"/>
      <c r="L280" s="30" t="str">
        <f t="shared" si="4"/>
        <v>12023011.4080.100</v>
      </c>
      <c r="M280" s="30"/>
      <c r="N280" s="30"/>
      <c r="O280" s="30"/>
    </row>
    <row r="281" spans="1:15" x14ac:dyDescent="0.2">
      <c r="A281" s="30">
        <v>18980</v>
      </c>
      <c r="B281" s="30" t="s">
        <v>97</v>
      </c>
      <c r="C281" s="30">
        <v>12023021</v>
      </c>
      <c r="D281" s="30" t="s">
        <v>98</v>
      </c>
      <c r="E281" s="30">
        <v>50</v>
      </c>
      <c r="F281" s="30" t="s">
        <v>166</v>
      </c>
      <c r="G281" s="30">
        <v>4080.1</v>
      </c>
      <c r="H281" s="30">
        <v>207.81</v>
      </c>
      <c r="I281" s="30"/>
      <c r="J281" s="69" t="s">
        <v>12</v>
      </c>
      <c r="K281" s="30"/>
      <c r="L281" s="30" t="str">
        <f t="shared" si="4"/>
        <v>12023021.4080.100</v>
      </c>
      <c r="M281" s="30"/>
      <c r="N281" s="30"/>
      <c r="O281" s="30"/>
    </row>
    <row r="282" spans="1:15" x14ac:dyDescent="0.2">
      <c r="A282" s="30">
        <v>19021</v>
      </c>
      <c r="B282" s="30" t="s">
        <v>99</v>
      </c>
      <c r="C282" s="30">
        <v>12023021</v>
      </c>
      <c r="D282" s="30" t="s">
        <v>98</v>
      </c>
      <c r="E282" s="30">
        <v>50</v>
      </c>
      <c r="F282" s="30" t="s">
        <v>166</v>
      </c>
      <c r="G282" s="30">
        <v>4080.1</v>
      </c>
      <c r="H282" s="30">
        <v>207.81</v>
      </c>
      <c r="I282" s="30"/>
      <c r="J282" s="69" t="s">
        <v>12</v>
      </c>
      <c r="K282" s="30"/>
      <c r="L282" s="30" t="str">
        <f t="shared" si="4"/>
        <v>12023021.4080.100</v>
      </c>
      <c r="M282" s="30"/>
      <c r="N282" s="30"/>
      <c r="O282" s="30"/>
    </row>
    <row r="283" spans="1:15" x14ac:dyDescent="0.2">
      <c r="A283" s="30">
        <v>19027</v>
      </c>
      <c r="B283" s="30" t="s">
        <v>365</v>
      </c>
      <c r="C283" s="30">
        <v>12023021</v>
      </c>
      <c r="D283" s="30" t="s">
        <v>98</v>
      </c>
      <c r="E283" s="30">
        <v>50</v>
      </c>
      <c r="F283" s="30" t="s">
        <v>166</v>
      </c>
      <c r="G283" s="30">
        <v>4080.1</v>
      </c>
      <c r="H283" s="30">
        <v>181.51</v>
      </c>
      <c r="I283" s="30"/>
      <c r="J283" s="69" t="s">
        <v>12</v>
      </c>
      <c r="K283" s="30"/>
      <c r="L283" s="30" t="str">
        <f t="shared" si="4"/>
        <v>12023021.4080.100</v>
      </c>
      <c r="M283" s="30"/>
      <c r="N283" s="30"/>
      <c r="O283" s="30"/>
    </row>
    <row r="284" spans="1:15" x14ac:dyDescent="0.2">
      <c r="A284" s="30">
        <v>19038</v>
      </c>
      <c r="B284" s="30" t="s">
        <v>449</v>
      </c>
      <c r="C284" s="30">
        <v>12023021</v>
      </c>
      <c r="D284" s="30" t="s">
        <v>98</v>
      </c>
      <c r="E284" s="30">
        <v>50</v>
      </c>
      <c r="F284" s="30" t="s">
        <v>166</v>
      </c>
      <c r="G284" s="30">
        <v>4080.1</v>
      </c>
      <c r="H284" s="30">
        <v>343.27</v>
      </c>
      <c r="I284" s="30"/>
      <c r="J284" s="69" t="s">
        <v>12</v>
      </c>
      <c r="K284" s="30"/>
      <c r="L284" s="30" t="str">
        <f t="shared" si="4"/>
        <v>12023021.4080.100</v>
      </c>
      <c r="M284" s="30"/>
      <c r="N284" s="30"/>
      <c r="O284" s="30"/>
    </row>
    <row r="285" spans="1:15" x14ac:dyDescent="0.2">
      <c r="A285" s="30">
        <v>18581</v>
      </c>
      <c r="B285" s="30" t="s">
        <v>190</v>
      </c>
      <c r="C285" s="30">
        <v>12024021</v>
      </c>
      <c r="D285" s="30" t="s">
        <v>191</v>
      </c>
      <c r="E285" s="30">
        <v>50</v>
      </c>
      <c r="F285" s="30" t="s">
        <v>166</v>
      </c>
      <c r="G285" s="30">
        <v>4080.1</v>
      </c>
      <c r="H285" s="30">
        <v>332.07</v>
      </c>
      <c r="I285" s="30"/>
      <c r="J285" s="69" t="s">
        <v>12</v>
      </c>
      <c r="K285" s="30"/>
      <c r="L285" s="30" t="str">
        <f t="shared" si="4"/>
        <v>12024021.4080.100</v>
      </c>
      <c r="M285" s="30"/>
      <c r="N285" s="30"/>
      <c r="O285" s="30"/>
    </row>
    <row r="286" spans="1:15" x14ac:dyDescent="0.2">
      <c r="A286" s="30">
        <v>44705</v>
      </c>
      <c r="B286" s="30" t="s">
        <v>149</v>
      </c>
      <c r="C286" s="30">
        <v>12028099</v>
      </c>
      <c r="D286" s="30" t="s">
        <v>150</v>
      </c>
      <c r="E286" s="30">
        <v>50</v>
      </c>
      <c r="F286" s="30" t="s">
        <v>166</v>
      </c>
      <c r="G286" s="30">
        <v>4080.1</v>
      </c>
      <c r="H286" s="30">
        <v>565.38</v>
      </c>
      <c r="I286" s="30"/>
      <c r="J286" s="69" t="s">
        <v>12</v>
      </c>
      <c r="K286" s="30"/>
      <c r="L286" s="30" t="str">
        <f t="shared" si="4"/>
        <v>12028099.4080.100</v>
      </c>
      <c r="M286" s="30"/>
      <c r="N286" s="30"/>
      <c r="O286" s="30"/>
    </row>
    <row r="287" spans="1:15" x14ac:dyDescent="0.2">
      <c r="A287" s="30">
        <v>19034</v>
      </c>
      <c r="B287" s="30" t="s">
        <v>439</v>
      </c>
      <c r="C287" s="30">
        <v>12028099</v>
      </c>
      <c r="D287" s="30" t="s">
        <v>150</v>
      </c>
      <c r="E287" s="30">
        <v>50</v>
      </c>
      <c r="F287" s="30" t="s">
        <v>166</v>
      </c>
      <c r="G287" s="30">
        <v>4080.1</v>
      </c>
      <c r="H287" s="30">
        <v>262.5</v>
      </c>
      <c r="I287" s="30"/>
      <c r="J287" s="69" t="s">
        <v>12</v>
      </c>
      <c r="K287" s="30"/>
      <c r="L287" s="30" t="str">
        <f t="shared" si="4"/>
        <v>12028099.4080.100</v>
      </c>
      <c r="M287" s="30"/>
      <c r="N287" s="30"/>
      <c r="O287" s="30"/>
    </row>
    <row r="288" spans="1:15" x14ac:dyDescent="0.2">
      <c r="A288" s="30">
        <v>18805</v>
      </c>
      <c r="B288" s="30" t="s">
        <v>192</v>
      </c>
      <c r="C288" s="30">
        <v>12030400</v>
      </c>
      <c r="D288" s="30" t="s">
        <v>62</v>
      </c>
      <c r="E288" s="30">
        <v>50</v>
      </c>
      <c r="F288" s="30" t="s">
        <v>166</v>
      </c>
      <c r="G288" s="30">
        <v>4080.1</v>
      </c>
      <c r="H288" s="30">
        <v>242.31</v>
      </c>
      <c r="I288" s="30"/>
      <c r="J288" s="69" t="s">
        <v>12</v>
      </c>
      <c r="K288" s="30"/>
      <c r="L288" s="30" t="str">
        <f t="shared" si="4"/>
        <v>12030400.4080.100</v>
      </c>
      <c r="M288" s="30"/>
      <c r="N288" s="30"/>
      <c r="O288" s="30"/>
    </row>
    <row r="289" spans="1:15" x14ac:dyDescent="0.2">
      <c r="A289" s="30">
        <v>18982</v>
      </c>
      <c r="B289" s="30" t="s">
        <v>100</v>
      </c>
      <c r="C289" s="30">
        <v>12030400</v>
      </c>
      <c r="D289" s="30" t="s">
        <v>62</v>
      </c>
      <c r="E289" s="30">
        <v>50</v>
      </c>
      <c r="F289" s="30" t="s">
        <v>166</v>
      </c>
      <c r="G289" s="30">
        <v>4080.1</v>
      </c>
      <c r="H289" s="30">
        <v>242.31</v>
      </c>
      <c r="I289" s="30"/>
      <c r="J289" s="69" t="s">
        <v>12</v>
      </c>
      <c r="K289" s="30"/>
      <c r="L289" s="30" t="str">
        <f t="shared" si="4"/>
        <v>12030400.4080.100</v>
      </c>
      <c r="M289" s="30"/>
      <c r="N289" s="30"/>
      <c r="O289" s="30"/>
    </row>
    <row r="290" spans="1:15" x14ac:dyDescent="0.2">
      <c r="A290" s="30">
        <v>302</v>
      </c>
      <c r="B290" s="30" t="s">
        <v>33</v>
      </c>
      <c r="C290" s="30">
        <v>12030500</v>
      </c>
      <c r="D290" s="30" t="s">
        <v>34</v>
      </c>
      <c r="E290" s="30">
        <v>50</v>
      </c>
      <c r="F290" s="30" t="s">
        <v>166</v>
      </c>
      <c r="G290" s="30">
        <v>4080.1</v>
      </c>
      <c r="H290" s="30">
        <v>192.07</v>
      </c>
      <c r="I290" s="30"/>
      <c r="J290" s="69" t="s">
        <v>12</v>
      </c>
      <c r="K290" s="30"/>
      <c r="L290" s="30" t="str">
        <f t="shared" si="4"/>
        <v>12030500.4080.100</v>
      </c>
      <c r="M290" s="30"/>
      <c r="N290" s="30"/>
      <c r="O290" s="30"/>
    </row>
    <row r="291" spans="1:15" x14ac:dyDescent="0.2">
      <c r="A291" s="30">
        <v>266</v>
      </c>
      <c r="B291" s="30" t="s">
        <v>194</v>
      </c>
      <c r="C291" s="30">
        <v>12030500</v>
      </c>
      <c r="D291" s="30" t="s">
        <v>34</v>
      </c>
      <c r="E291" s="30">
        <v>50</v>
      </c>
      <c r="F291" s="30" t="s">
        <v>166</v>
      </c>
      <c r="G291" s="30">
        <v>4080.1</v>
      </c>
      <c r="H291" s="30">
        <v>259.95999999999998</v>
      </c>
      <c r="I291" s="30"/>
      <c r="J291" s="69" t="s">
        <v>12</v>
      </c>
      <c r="K291" s="30"/>
      <c r="L291" s="30" t="str">
        <f t="shared" si="4"/>
        <v>12030500.4080.100</v>
      </c>
      <c r="M291" s="30"/>
      <c r="N291" s="30"/>
      <c r="O291" s="30"/>
    </row>
    <row r="292" spans="1:15" x14ac:dyDescent="0.2">
      <c r="A292" s="30">
        <v>18841</v>
      </c>
      <c r="B292" s="30" t="s">
        <v>193</v>
      </c>
      <c r="C292" s="30">
        <v>12030500</v>
      </c>
      <c r="D292" s="30" t="s">
        <v>34</v>
      </c>
      <c r="E292" s="30">
        <v>50</v>
      </c>
      <c r="F292" s="30" t="s">
        <v>166</v>
      </c>
      <c r="G292" s="30">
        <v>4080.1</v>
      </c>
      <c r="H292" s="30">
        <v>226.15</v>
      </c>
      <c r="I292" s="30"/>
      <c r="J292" s="69" t="s">
        <v>12</v>
      </c>
      <c r="K292" s="30"/>
      <c r="L292" s="30" t="str">
        <f t="shared" si="4"/>
        <v>12030500.4080.100</v>
      </c>
      <c r="M292" s="30"/>
      <c r="N292" s="30"/>
      <c r="O292" s="30"/>
    </row>
    <row r="293" spans="1:15" x14ac:dyDescent="0.2">
      <c r="A293" s="30">
        <v>18979</v>
      </c>
      <c r="B293" s="30" t="s">
        <v>39</v>
      </c>
      <c r="C293" s="30">
        <v>12030611</v>
      </c>
      <c r="D293" s="30" t="s">
        <v>36</v>
      </c>
      <c r="E293" s="30">
        <v>50</v>
      </c>
      <c r="F293" s="30" t="s">
        <v>166</v>
      </c>
      <c r="G293" s="30">
        <v>4080.1</v>
      </c>
      <c r="H293" s="30">
        <v>210.88</v>
      </c>
      <c r="I293" s="30"/>
      <c r="J293" s="69" t="s">
        <v>12</v>
      </c>
      <c r="K293" s="30"/>
      <c r="L293" s="30" t="str">
        <f t="shared" si="4"/>
        <v>12030611.4080.100</v>
      </c>
      <c r="M293" s="30"/>
      <c r="N293" s="30"/>
      <c r="O293" s="30"/>
    </row>
    <row r="294" spans="1:15" x14ac:dyDescent="0.2">
      <c r="A294" s="30">
        <v>18887</v>
      </c>
      <c r="B294" s="30" t="s">
        <v>105</v>
      </c>
      <c r="C294" s="30">
        <v>12030611</v>
      </c>
      <c r="D294" s="30" t="s">
        <v>36</v>
      </c>
      <c r="E294" s="30">
        <v>50</v>
      </c>
      <c r="F294" s="30" t="s">
        <v>166</v>
      </c>
      <c r="G294" s="30">
        <v>4080.1</v>
      </c>
      <c r="H294" s="30">
        <v>201.52</v>
      </c>
      <c r="I294" s="30"/>
      <c r="J294" s="69" t="s">
        <v>12</v>
      </c>
      <c r="L294" s="30" t="str">
        <f t="shared" si="4"/>
        <v>12030611.4080.100</v>
      </c>
      <c r="M294" s="30"/>
      <c r="N294" s="30"/>
      <c r="O294" s="30"/>
    </row>
    <row r="295" spans="1:15" x14ac:dyDescent="0.2">
      <c r="A295" s="30">
        <v>18949</v>
      </c>
      <c r="B295" s="30" t="s">
        <v>35</v>
      </c>
      <c r="C295" s="30">
        <v>12030611</v>
      </c>
      <c r="D295" s="30" t="s">
        <v>36</v>
      </c>
      <c r="E295" s="30">
        <v>50</v>
      </c>
      <c r="F295" s="30" t="s">
        <v>166</v>
      </c>
      <c r="G295" s="30">
        <v>4080.1</v>
      </c>
      <c r="H295" s="30">
        <v>204.9</v>
      </c>
      <c r="I295" s="30"/>
      <c r="J295" s="69" t="s">
        <v>12</v>
      </c>
      <c r="L295" s="30" t="str">
        <f t="shared" si="4"/>
        <v>12030611.4080.100</v>
      </c>
      <c r="M295" s="30"/>
      <c r="N295" s="30"/>
      <c r="O295" s="30"/>
    </row>
    <row r="296" spans="1:15" x14ac:dyDescent="0.2">
      <c r="A296" s="30">
        <v>18827</v>
      </c>
      <c r="B296" s="30" t="s">
        <v>104</v>
      </c>
      <c r="C296" s="30">
        <v>12030611</v>
      </c>
      <c r="D296" s="30" t="s">
        <v>36</v>
      </c>
      <c r="E296" s="30">
        <v>50</v>
      </c>
      <c r="F296" s="30" t="s">
        <v>166</v>
      </c>
      <c r="G296" s="30">
        <v>4080.1</v>
      </c>
      <c r="H296" s="30">
        <v>250.83</v>
      </c>
      <c r="I296" s="30"/>
      <c r="J296" s="69" t="s">
        <v>12</v>
      </c>
      <c r="L296" s="30" t="str">
        <f t="shared" si="4"/>
        <v>12030611.4080.100</v>
      </c>
      <c r="M296" s="30"/>
      <c r="N296" s="30"/>
      <c r="O296" s="30"/>
    </row>
    <row r="297" spans="1:15" x14ac:dyDescent="0.2">
      <c r="A297" s="30">
        <v>134</v>
      </c>
      <c r="B297" s="30" t="s">
        <v>102</v>
      </c>
      <c r="C297" s="30">
        <v>12030611</v>
      </c>
      <c r="D297" s="30" t="s">
        <v>36</v>
      </c>
      <c r="E297" s="30">
        <v>50</v>
      </c>
      <c r="F297" s="30" t="s">
        <v>166</v>
      </c>
      <c r="G297" s="30">
        <v>4080.1</v>
      </c>
      <c r="H297" s="30">
        <v>100.72</v>
      </c>
      <c r="I297" s="30"/>
      <c r="J297" s="69" t="s">
        <v>12</v>
      </c>
      <c r="L297" s="30" t="str">
        <f t="shared" si="4"/>
        <v>12030611.4080.100</v>
      </c>
      <c r="M297" s="30"/>
      <c r="N297" s="30"/>
      <c r="O297" s="30"/>
    </row>
    <row r="298" spans="1:15" x14ac:dyDescent="0.2">
      <c r="A298" s="30">
        <v>18626</v>
      </c>
      <c r="B298" s="30" t="s">
        <v>195</v>
      </c>
      <c r="C298" s="30">
        <v>12030611</v>
      </c>
      <c r="D298" s="30" t="s">
        <v>36</v>
      </c>
      <c r="E298" s="30">
        <v>50</v>
      </c>
      <c r="F298" s="30" t="s">
        <v>166</v>
      </c>
      <c r="G298" s="30">
        <v>4080.1</v>
      </c>
      <c r="H298" s="30">
        <v>363.46</v>
      </c>
      <c r="I298" s="30"/>
      <c r="J298" s="69" t="s">
        <v>12</v>
      </c>
      <c r="L298" s="30" t="str">
        <f t="shared" si="4"/>
        <v>12030611.4080.100</v>
      </c>
      <c r="M298" s="30"/>
      <c r="N298" s="30"/>
      <c r="O298" s="30"/>
    </row>
    <row r="299" spans="1:15" x14ac:dyDescent="0.2">
      <c r="A299" s="30">
        <v>18901</v>
      </c>
      <c r="B299" s="30" t="s">
        <v>37</v>
      </c>
      <c r="C299" s="30">
        <v>12030611</v>
      </c>
      <c r="D299" s="30" t="s">
        <v>36</v>
      </c>
      <c r="E299" s="30">
        <v>50</v>
      </c>
      <c r="F299" s="30" t="s">
        <v>166</v>
      </c>
      <c r="G299" s="30">
        <v>4080.1</v>
      </c>
      <c r="H299" s="30">
        <v>249.55</v>
      </c>
      <c r="I299" s="30"/>
      <c r="J299" s="69" t="s">
        <v>12</v>
      </c>
      <c r="L299" s="30" t="str">
        <f t="shared" si="4"/>
        <v>12030611.4080.100</v>
      </c>
      <c r="M299" s="30"/>
      <c r="N299" s="30"/>
      <c r="O299" s="30"/>
    </row>
    <row r="300" spans="1:15" x14ac:dyDescent="0.2">
      <c r="A300" s="30">
        <v>18797</v>
      </c>
      <c r="B300" s="30" t="s">
        <v>101</v>
      </c>
      <c r="C300" s="30">
        <v>12030611</v>
      </c>
      <c r="D300" s="30" t="s">
        <v>36</v>
      </c>
      <c r="E300" s="30">
        <v>50</v>
      </c>
      <c r="F300" s="30" t="s">
        <v>166</v>
      </c>
      <c r="G300" s="30">
        <v>4080.1</v>
      </c>
      <c r="H300" s="30">
        <v>228.59</v>
      </c>
      <c r="I300" s="30"/>
      <c r="J300" s="69" t="s">
        <v>12</v>
      </c>
      <c r="L300" s="30" t="str">
        <f t="shared" si="4"/>
        <v>12030611.4080.100</v>
      </c>
      <c r="M300" s="30"/>
      <c r="N300" s="30"/>
      <c r="O300" s="30"/>
    </row>
    <row r="301" spans="1:15" x14ac:dyDescent="0.2">
      <c r="A301" s="30">
        <v>18929</v>
      </c>
      <c r="B301" s="30" t="s">
        <v>106</v>
      </c>
      <c r="C301" s="30">
        <v>12030611</v>
      </c>
      <c r="D301" s="30" t="s">
        <v>36</v>
      </c>
      <c r="E301" s="30">
        <v>50</v>
      </c>
      <c r="F301" s="30" t="s">
        <v>166</v>
      </c>
      <c r="G301" s="30">
        <v>4080.1</v>
      </c>
      <c r="H301" s="30">
        <v>100.89</v>
      </c>
      <c r="I301" s="30"/>
      <c r="J301" s="69" t="s">
        <v>12</v>
      </c>
      <c r="L301" s="30" t="str">
        <f t="shared" si="4"/>
        <v>12030611.4080.100</v>
      </c>
      <c r="M301" s="30"/>
      <c r="N301" s="30"/>
      <c r="O301" s="30"/>
    </row>
    <row r="302" spans="1:15" x14ac:dyDescent="0.2">
      <c r="A302" s="30">
        <v>18822</v>
      </c>
      <c r="B302" s="30" t="s">
        <v>103</v>
      </c>
      <c r="C302" s="30">
        <v>12030611</v>
      </c>
      <c r="D302" s="30" t="s">
        <v>36</v>
      </c>
      <c r="E302" s="30">
        <v>50</v>
      </c>
      <c r="F302" s="30" t="s">
        <v>166</v>
      </c>
      <c r="G302" s="30">
        <v>4080.1</v>
      </c>
      <c r="H302" s="30">
        <v>227.63</v>
      </c>
      <c r="I302" s="30"/>
      <c r="J302" s="69" t="s">
        <v>12</v>
      </c>
      <c r="L302" s="30" t="str">
        <f t="shared" si="4"/>
        <v>12030611.4080.100</v>
      </c>
      <c r="M302" s="30"/>
      <c r="N302" s="30"/>
      <c r="O302" s="30"/>
    </row>
    <row r="303" spans="1:15" x14ac:dyDescent="0.2">
      <c r="A303" s="30">
        <v>18918</v>
      </c>
      <c r="B303" s="30" t="s">
        <v>38</v>
      </c>
      <c r="C303" s="30">
        <v>12030611</v>
      </c>
      <c r="D303" s="30" t="s">
        <v>36</v>
      </c>
      <c r="E303" s="30">
        <v>50</v>
      </c>
      <c r="F303" s="30" t="s">
        <v>166</v>
      </c>
      <c r="G303" s="30">
        <v>4080.1</v>
      </c>
      <c r="H303" s="30">
        <v>261.98</v>
      </c>
      <c r="I303" s="30"/>
      <c r="J303" s="69" t="s">
        <v>12</v>
      </c>
      <c r="L303" s="30" t="str">
        <f t="shared" si="4"/>
        <v>12030611.4080.100</v>
      </c>
      <c r="M303" s="30"/>
      <c r="N303" s="30"/>
      <c r="O303" s="30"/>
    </row>
    <row r="304" spans="1:15" x14ac:dyDescent="0.2">
      <c r="A304" s="30">
        <v>18989</v>
      </c>
      <c r="B304" s="30" t="s">
        <v>107</v>
      </c>
      <c r="C304" s="30">
        <v>12030800</v>
      </c>
      <c r="D304" s="30" t="s">
        <v>59</v>
      </c>
      <c r="E304" s="30">
        <v>50</v>
      </c>
      <c r="F304" s="30" t="s">
        <v>166</v>
      </c>
      <c r="G304" s="30">
        <v>4080.1</v>
      </c>
      <c r="H304" s="30">
        <v>205.97</v>
      </c>
      <c r="I304" s="30"/>
      <c r="J304" s="69" t="s">
        <v>12</v>
      </c>
      <c r="L304" s="30" t="str">
        <f t="shared" si="4"/>
        <v>12030800.4080.100</v>
      </c>
      <c r="M304" s="30"/>
      <c r="N304" s="30"/>
      <c r="O304" s="30"/>
    </row>
    <row r="305" spans="1:15" x14ac:dyDescent="0.2">
      <c r="A305" s="30">
        <v>18736</v>
      </c>
      <c r="B305" s="30" t="s">
        <v>70</v>
      </c>
      <c r="C305" s="30">
        <v>12032511</v>
      </c>
      <c r="D305" s="30" t="s">
        <v>43</v>
      </c>
      <c r="E305" s="30">
        <v>50</v>
      </c>
      <c r="F305" s="30" t="s">
        <v>166</v>
      </c>
      <c r="G305" s="30">
        <v>4080.1</v>
      </c>
      <c r="H305" s="30">
        <v>184.34</v>
      </c>
      <c r="I305" s="30"/>
      <c r="J305" s="69" t="s">
        <v>12</v>
      </c>
      <c r="L305" s="30" t="str">
        <f t="shared" si="4"/>
        <v>12032511.4080.100</v>
      </c>
      <c r="M305" s="30"/>
      <c r="N305" s="30"/>
      <c r="O305" s="30"/>
    </row>
    <row r="306" spans="1:15" x14ac:dyDescent="0.2">
      <c r="A306" s="30">
        <v>18829</v>
      </c>
      <c r="B306" s="30" t="s">
        <v>115</v>
      </c>
      <c r="C306" s="30">
        <v>12033011</v>
      </c>
      <c r="D306" s="30" t="s">
        <v>45</v>
      </c>
      <c r="E306" s="30">
        <v>50</v>
      </c>
      <c r="F306" s="30" t="s">
        <v>166</v>
      </c>
      <c r="G306" s="30">
        <v>4080.1</v>
      </c>
      <c r="H306" s="30">
        <v>245.62</v>
      </c>
      <c r="I306" s="30"/>
      <c r="J306" s="69" t="s">
        <v>12</v>
      </c>
      <c r="L306" s="30" t="str">
        <f t="shared" si="4"/>
        <v>12033011.4080.100</v>
      </c>
      <c r="M306" s="30"/>
      <c r="N306" s="30"/>
      <c r="O306" s="30"/>
    </row>
    <row r="307" spans="1:15" x14ac:dyDescent="0.2">
      <c r="A307" s="30">
        <v>19028</v>
      </c>
      <c r="B307" s="30" t="s">
        <v>367</v>
      </c>
      <c r="C307" s="30">
        <v>12033011</v>
      </c>
      <c r="D307" s="30" t="s">
        <v>45</v>
      </c>
      <c r="E307" s="30">
        <v>50</v>
      </c>
      <c r="F307" s="30" t="s">
        <v>166</v>
      </c>
      <c r="G307" s="30">
        <v>4080.1</v>
      </c>
      <c r="H307" s="30">
        <v>199.88</v>
      </c>
      <c r="I307" s="30"/>
      <c r="J307" s="69" t="s">
        <v>12</v>
      </c>
      <c r="L307" s="30" t="str">
        <f t="shared" si="4"/>
        <v>12033011.4080.100</v>
      </c>
      <c r="M307" s="30"/>
      <c r="N307" s="30"/>
      <c r="O307" s="30"/>
    </row>
    <row r="308" spans="1:15" x14ac:dyDescent="0.2">
      <c r="A308" s="30">
        <v>19030</v>
      </c>
      <c r="B308" s="30" t="s">
        <v>364</v>
      </c>
      <c r="C308" s="30">
        <v>12033011</v>
      </c>
      <c r="D308" s="30" t="s">
        <v>45</v>
      </c>
      <c r="E308" s="30">
        <v>50</v>
      </c>
      <c r="F308" s="30" t="s">
        <v>166</v>
      </c>
      <c r="G308" s="30">
        <v>4080.1</v>
      </c>
      <c r="H308" s="30">
        <v>216.13</v>
      </c>
      <c r="I308" s="30"/>
      <c r="J308" s="69" t="s">
        <v>12</v>
      </c>
      <c r="L308" s="30" t="str">
        <f t="shared" si="4"/>
        <v>12033011.4080.100</v>
      </c>
      <c r="M308" s="30"/>
      <c r="N308" s="30"/>
      <c r="O308" s="30"/>
    </row>
    <row r="309" spans="1:15" x14ac:dyDescent="0.2">
      <c r="A309" s="30">
        <v>19029</v>
      </c>
      <c r="B309" s="30" t="s">
        <v>366</v>
      </c>
      <c r="C309" s="30">
        <v>12033011</v>
      </c>
      <c r="D309" s="30" t="s">
        <v>45</v>
      </c>
      <c r="E309" s="30">
        <v>50</v>
      </c>
      <c r="F309" s="30" t="s">
        <v>166</v>
      </c>
      <c r="G309" s="30">
        <v>4080.1</v>
      </c>
      <c r="H309" s="30">
        <v>217.28</v>
      </c>
      <c r="I309" s="30"/>
      <c r="J309" s="69" t="s">
        <v>12</v>
      </c>
      <c r="L309" s="30" t="str">
        <f t="shared" si="4"/>
        <v>12033011.4080.100</v>
      </c>
      <c r="M309" s="30"/>
      <c r="N309" s="30"/>
      <c r="O309" s="30"/>
    </row>
    <row r="310" spans="1:15" x14ac:dyDescent="0.2">
      <c r="A310" s="30">
        <v>19008</v>
      </c>
      <c r="B310" s="30" t="s">
        <v>118</v>
      </c>
      <c r="C310" s="30">
        <v>12033011</v>
      </c>
      <c r="D310" s="30" t="s">
        <v>45</v>
      </c>
      <c r="E310" s="30">
        <v>50</v>
      </c>
      <c r="F310" s="30" t="s">
        <v>166</v>
      </c>
      <c r="G310" s="30">
        <v>4080.1</v>
      </c>
      <c r="H310" s="30">
        <v>125.34</v>
      </c>
      <c r="I310" s="30"/>
      <c r="J310" s="69" t="s">
        <v>12</v>
      </c>
      <c r="L310" s="30" t="str">
        <f t="shared" si="4"/>
        <v>12033011.4080.100</v>
      </c>
      <c r="M310" s="30"/>
      <c r="N310" s="30"/>
      <c r="O310" s="30"/>
    </row>
    <row r="311" spans="1:15" x14ac:dyDescent="0.2">
      <c r="A311" s="30">
        <v>19011</v>
      </c>
      <c r="B311" s="30" t="s">
        <v>111</v>
      </c>
      <c r="C311" s="30">
        <v>12033011</v>
      </c>
      <c r="D311" s="30" t="s">
        <v>45</v>
      </c>
      <c r="E311" s="30">
        <v>50</v>
      </c>
      <c r="F311" s="30" t="s">
        <v>166</v>
      </c>
      <c r="G311" s="30">
        <v>4080.1</v>
      </c>
      <c r="H311" s="30">
        <v>199.83</v>
      </c>
      <c r="I311" s="30"/>
      <c r="J311" s="69" t="s">
        <v>12</v>
      </c>
      <c r="L311" s="30" t="str">
        <f t="shared" si="4"/>
        <v>12033011.4080.100</v>
      </c>
      <c r="M311" s="30"/>
      <c r="N311" s="30"/>
      <c r="O311" s="30"/>
    </row>
    <row r="312" spans="1:15" x14ac:dyDescent="0.2">
      <c r="A312" s="30">
        <v>19017</v>
      </c>
      <c r="B312" s="30" t="s">
        <v>65</v>
      </c>
      <c r="C312" s="30">
        <v>12033011</v>
      </c>
      <c r="D312" s="30" t="s">
        <v>45</v>
      </c>
      <c r="E312" s="30">
        <v>50</v>
      </c>
      <c r="F312" s="30" t="s">
        <v>166</v>
      </c>
      <c r="G312" s="30">
        <v>4080.1</v>
      </c>
      <c r="H312" s="30">
        <v>202.23</v>
      </c>
      <c r="I312" s="30"/>
      <c r="J312" s="69" t="s">
        <v>12</v>
      </c>
      <c r="L312" s="30" t="str">
        <f t="shared" si="4"/>
        <v>12033011.4080.100</v>
      </c>
      <c r="M312" s="30"/>
      <c r="N312" s="30"/>
      <c r="O312" s="30"/>
    </row>
    <row r="313" spans="1:15" x14ac:dyDescent="0.2">
      <c r="A313" s="30">
        <v>19012</v>
      </c>
      <c r="B313" s="30" t="s">
        <v>110</v>
      </c>
      <c r="C313" s="30">
        <v>12033011</v>
      </c>
      <c r="D313" s="30" t="s">
        <v>45</v>
      </c>
      <c r="E313" s="30">
        <v>50</v>
      </c>
      <c r="F313" s="30" t="s">
        <v>166</v>
      </c>
      <c r="G313" s="30">
        <v>4080.1</v>
      </c>
      <c r="H313" s="30">
        <v>210.67</v>
      </c>
      <c r="I313" s="30"/>
      <c r="J313" s="69" t="s">
        <v>12</v>
      </c>
      <c r="L313" s="30" t="str">
        <f t="shared" si="4"/>
        <v>12033011.4080.100</v>
      </c>
      <c r="M313" s="30"/>
      <c r="N313" s="30"/>
      <c r="O313" s="30"/>
    </row>
    <row r="314" spans="1:15" x14ac:dyDescent="0.2">
      <c r="A314" s="30">
        <v>18607</v>
      </c>
      <c r="B314" s="30" t="s">
        <v>109</v>
      </c>
      <c r="C314" s="30">
        <v>12033011</v>
      </c>
      <c r="D314" s="30" t="s">
        <v>45</v>
      </c>
      <c r="E314" s="30">
        <v>50</v>
      </c>
      <c r="F314" s="30" t="s">
        <v>166</v>
      </c>
      <c r="G314" s="30">
        <v>4080.1</v>
      </c>
      <c r="H314" s="30">
        <v>235.66</v>
      </c>
      <c r="I314" s="30"/>
      <c r="J314" s="69" t="s">
        <v>12</v>
      </c>
      <c r="L314" s="30" t="str">
        <f t="shared" si="4"/>
        <v>12033011.4080.100</v>
      </c>
      <c r="M314" s="30"/>
      <c r="N314" s="30"/>
      <c r="O314" s="30"/>
    </row>
    <row r="315" spans="1:15" x14ac:dyDescent="0.2">
      <c r="A315" s="30">
        <v>18932</v>
      </c>
      <c r="B315" s="30" t="s">
        <v>44</v>
      </c>
      <c r="C315" s="30">
        <v>12033011</v>
      </c>
      <c r="D315" s="30" t="s">
        <v>45</v>
      </c>
      <c r="E315" s="30">
        <v>50</v>
      </c>
      <c r="F315" s="30" t="s">
        <v>166</v>
      </c>
      <c r="G315" s="30">
        <v>4080.1</v>
      </c>
      <c r="H315" s="30">
        <v>262</v>
      </c>
      <c r="I315" s="30"/>
      <c r="J315" s="69" t="s">
        <v>12</v>
      </c>
      <c r="L315" s="30" t="str">
        <f t="shared" si="4"/>
        <v>12033011.4080.100</v>
      </c>
      <c r="M315" s="30"/>
      <c r="N315" s="30"/>
      <c r="O315" s="30"/>
    </row>
    <row r="316" spans="1:15" x14ac:dyDescent="0.2">
      <c r="A316" s="30">
        <v>18923</v>
      </c>
      <c r="B316" s="30" t="s">
        <v>46</v>
      </c>
      <c r="C316" s="30">
        <v>12033011</v>
      </c>
      <c r="D316" s="30" t="s">
        <v>45</v>
      </c>
      <c r="E316" s="30">
        <v>50</v>
      </c>
      <c r="F316" s="30" t="s">
        <v>166</v>
      </c>
      <c r="G316" s="30">
        <v>4080.1</v>
      </c>
      <c r="H316" s="30">
        <v>179.33</v>
      </c>
      <c r="I316" s="30"/>
      <c r="J316" s="69" t="s">
        <v>12</v>
      </c>
      <c r="L316" s="30" t="str">
        <f t="shared" si="4"/>
        <v>12033011.4080.100</v>
      </c>
      <c r="M316" s="30"/>
      <c r="N316" s="30"/>
      <c r="O316" s="30"/>
    </row>
    <row r="317" spans="1:15" x14ac:dyDescent="0.2">
      <c r="A317">
        <v>18679</v>
      </c>
      <c r="B317" t="s">
        <v>114</v>
      </c>
      <c r="C317">
        <v>12033011</v>
      </c>
      <c r="D317" t="s">
        <v>45</v>
      </c>
      <c r="E317">
        <v>50</v>
      </c>
      <c r="F317" t="s">
        <v>166</v>
      </c>
      <c r="G317" s="47">
        <v>4080.1</v>
      </c>
      <c r="H317">
        <v>185.03</v>
      </c>
      <c r="J317" s="69" t="s">
        <v>12</v>
      </c>
      <c r="L317" s="15" t="str">
        <f t="shared" si="4"/>
        <v>12033011.4080.100</v>
      </c>
    </row>
    <row r="318" spans="1:15" x14ac:dyDescent="0.2">
      <c r="A318">
        <v>18983</v>
      </c>
      <c r="B318" t="s">
        <v>112</v>
      </c>
      <c r="C318">
        <v>12033011</v>
      </c>
      <c r="D318" t="s">
        <v>45</v>
      </c>
      <c r="E318">
        <v>50</v>
      </c>
      <c r="F318" t="s">
        <v>166</v>
      </c>
      <c r="G318" s="47">
        <v>4080.1</v>
      </c>
      <c r="H318">
        <v>220.66</v>
      </c>
      <c r="J318" s="69" t="s">
        <v>12</v>
      </c>
      <c r="L318" s="15" t="str">
        <f t="shared" si="4"/>
        <v>12033011.4080.100</v>
      </c>
    </row>
    <row r="319" spans="1:15" x14ac:dyDescent="0.2">
      <c r="A319">
        <v>19019</v>
      </c>
      <c r="B319" t="s">
        <v>108</v>
      </c>
      <c r="C319">
        <v>12033011</v>
      </c>
      <c r="D319" t="s">
        <v>45</v>
      </c>
      <c r="E319">
        <v>50</v>
      </c>
      <c r="F319" t="s">
        <v>166</v>
      </c>
      <c r="G319" s="47">
        <v>4080.1</v>
      </c>
      <c r="H319">
        <v>215.59</v>
      </c>
      <c r="J319" s="69" t="s">
        <v>12</v>
      </c>
      <c r="L319" s="15" t="str">
        <f t="shared" si="4"/>
        <v>12033011.4080.100</v>
      </c>
    </row>
    <row r="320" spans="1:15" x14ac:dyDescent="0.2">
      <c r="A320">
        <v>19009</v>
      </c>
      <c r="B320" t="s">
        <v>117</v>
      </c>
      <c r="C320">
        <v>12033011</v>
      </c>
      <c r="D320" t="s">
        <v>45</v>
      </c>
      <c r="E320">
        <v>50</v>
      </c>
      <c r="F320" t="s">
        <v>166</v>
      </c>
      <c r="G320" s="47">
        <v>4080.1</v>
      </c>
      <c r="H320">
        <v>216.39</v>
      </c>
      <c r="J320" s="69" t="s">
        <v>12</v>
      </c>
      <c r="L320" s="15" t="str">
        <f t="shared" si="4"/>
        <v>12033011.4080.100</v>
      </c>
    </row>
    <row r="321" spans="1:12" x14ac:dyDescent="0.2">
      <c r="A321">
        <v>19015</v>
      </c>
      <c r="B321" t="s">
        <v>116</v>
      </c>
      <c r="C321">
        <v>12033011</v>
      </c>
      <c r="D321" t="s">
        <v>45</v>
      </c>
      <c r="E321">
        <v>50</v>
      </c>
      <c r="F321" t="s">
        <v>166</v>
      </c>
      <c r="G321" s="47">
        <v>4080.1</v>
      </c>
      <c r="H321">
        <v>214.83</v>
      </c>
      <c r="J321" s="69" t="s">
        <v>12</v>
      </c>
      <c r="L321" s="15" t="str">
        <f t="shared" si="4"/>
        <v>12033011.4080.100</v>
      </c>
    </row>
    <row r="322" spans="1:12" x14ac:dyDescent="0.2">
      <c r="A322">
        <v>18998</v>
      </c>
      <c r="B322" t="s">
        <v>47</v>
      </c>
      <c r="C322">
        <v>12038099</v>
      </c>
      <c r="D322" t="s">
        <v>48</v>
      </c>
      <c r="E322">
        <v>50</v>
      </c>
      <c r="F322" t="s">
        <v>166</v>
      </c>
      <c r="G322" s="47">
        <v>4080.1</v>
      </c>
      <c r="H322">
        <v>302.89</v>
      </c>
      <c r="J322" s="69" t="s">
        <v>12</v>
      </c>
      <c r="L322" s="15" t="str">
        <f t="shared" ref="L322:L385" si="5">C322&amp;"."&amp;G322&amp;J322</f>
        <v>12038099.4080.100</v>
      </c>
    </row>
    <row r="323" spans="1:12" x14ac:dyDescent="0.2">
      <c r="A323">
        <v>115</v>
      </c>
      <c r="B323" t="s">
        <v>196</v>
      </c>
      <c r="C323">
        <v>12040400</v>
      </c>
      <c r="D323" t="s">
        <v>197</v>
      </c>
      <c r="E323">
        <v>50</v>
      </c>
      <c r="F323" t="s">
        <v>166</v>
      </c>
      <c r="G323" s="47">
        <v>4080.1</v>
      </c>
      <c r="H323">
        <v>310.76</v>
      </c>
      <c r="J323" s="69" t="s">
        <v>12</v>
      </c>
      <c r="L323" s="15" t="str">
        <f t="shared" si="5"/>
        <v>12040400.4080.100</v>
      </c>
    </row>
    <row r="324" spans="1:12" x14ac:dyDescent="0.2">
      <c r="A324">
        <v>18649</v>
      </c>
      <c r="B324" t="s">
        <v>152</v>
      </c>
      <c r="C324">
        <v>12040500</v>
      </c>
      <c r="D324" t="s">
        <v>67</v>
      </c>
      <c r="E324">
        <v>50</v>
      </c>
      <c r="F324" t="s">
        <v>166</v>
      </c>
      <c r="G324" s="47">
        <v>4080.1</v>
      </c>
      <c r="H324">
        <v>323.08</v>
      </c>
      <c r="J324" s="69" t="s">
        <v>12</v>
      </c>
      <c r="L324" s="15" t="str">
        <f t="shared" si="5"/>
        <v>12040500.4080.100</v>
      </c>
    </row>
    <row r="325" spans="1:12" x14ac:dyDescent="0.2">
      <c r="A325">
        <v>19020</v>
      </c>
      <c r="B325" t="s">
        <v>66</v>
      </c>
      <c r="C325">
        <v>12040500</v>
      </c>
      <c r="D325" t="s">
        <v>67</v>
      </c>
      <c r="E325">
        <v>50</v>
      </c>
      <c r="F325" t="s">
        <v>166</v>
      </c>
      <c r="G325" s="47">
        <v>4080.1</v>
      </c>
      <c r="H325">
        <v>214.44</v>
      </c>
      <c r="J325" s="69" t="s">
        <v>12</v>
      </c>
      <c r="L325" s="15" t="str">
        <f t="shared" si="5"/>
        <v>12040500.4080.100</v>
      </c>
    </row>
    <row r="326" spans="1:12" x14ac:dyDescent="0.2">
      <c r="A326">
        <v>18839</v>
      </c>
      <c r="B326" t="s">
        <v>198</v>
      </c>
      <c r="C326">
        <v>12040800</v>
      </c>
      <c r="D326" t="s">
        <v>120</v>
      </c>
      <c r="E326">
        <v>50</v>
      </c>
      <c r="F326" t="s">
        <v>166</v>
      </c>
      <c r="G326" s="47">
        <v>4080.1</v>
      </c>
      <c r="H326">
        <v>127.59</v>
      </c>
      <c r="J326" s="69" t="s">
        <v>12</v>
      </c>
      <c r="L326" s="15" t="str">
        <f t="shared" si="5"/>
        <v>12040800.4080.100</v>
      </c>
    </row>
    <row r="327" spans="1:12" x14ac:dyDescent="0.2">
      <c r="A327">
        <v>18904</v>
      </c>
      <c r="B327" t="s">
        <v>119</v>
      </c>
      <c r="C327">
        <v>12040800</v>
      </c>
      <c r="D327" t="s">
        <v>120</v>
      </c>
      <c r="E327">
        <v>50</v>
      </c>
      <c r="F327" t="s">
        <v>166</v>
      </c>
      <c r="G327" s="47">
        <v>4080.1</v>
      </c>
      <c r="H327">
        <v>312.76</v>
      </c>
      <c r="J327" s="69" t="s">
        <v>12</v>
      </c>
      <c r="L327" s="15" t="str">
        <f t="shared" si="5"/>
        <v>12040800.4080.100</v>
      </c>
    </row>
    <row r="328" spans="1:12" x14ac:dyDescent="0.2">
      <c r="A328">
        <v>18650</v>
      </c>
      <c r="B328" t="s">
        <v>49</v>
      </c>
      <c r="C328">
        <v>12042511</v>
      </c>
      <c r="D328" t="s">
        <v>50</v>
      </c>
      <c r="E328">
        <v>50</v>
      </c>
      <c r="F328" t="s">
        <v>166</v>
      </c>
      <c r="G328" s="47">
        <v>4080.1</v>
      </c>
      <c r="H328">
        <v>196.36</v>
      </c>
      <c r="J328" s="69" t="s">
        <v>12</v>
      </c>
      <c r="L328" s="15" t="str">
        <f t="shared" si="5"/>
        <v>12042511.4080.100</v>
      </c>
    </row>
    <row r="329" spans="1:12" x14ac:dyDescent="0.2">
      <c r="A329">
        <v>19039</v>
      </c>
      <c r="B329" t="s">
        <v>443</v>
      </c>
      <c r="C329">
        <v>12043011</v>
      </c>
      <c r="D329" t="s">
        <v>52</v>
      </c>
      <c r="E329">
        <v>50</v>
      </c>
      <c r="F329" t="s">
        <v>166</v>
      </c>
      <c r="G329" s="47">
        <v>4080.1</v>
      </c>
      <c r="H329">
        <v>206.87</v>
      </c>
      <c r="J329" s="69" t="s">
        <v>12</v>
      </c>
      <c r="L329" s="15" t="str">
        <f t="shared" si="5"/>
        <v>12043011.4080.100</v>
      </c>
    </row>
    <row r="330" spans="1:12" x14ac:dyDescent="0.2">
      <c r="A330">
        <v>18713</v>
      </c>
      <c r="B330" t="s">
        <v>154</v>
      </c>
      <c r="C330">
        <v>12043011</v>
      </c>
      <c r="D330" t="s">
        <v>52</v>
      </c>
      <c r="E330">
        <v>50</v>
      </c>
      <c r="F330" t="s">
        <v>166</v>
      </c>
      <c r="G330" s="47">
        <v>4080.1</v>
      </c>
      <c r="H330">
        <v>331.2</v>
      </c>
      <c r="J330" s="69" t="s">
        <v>12</v>
      </c>
      <c r="L330" s="15" t="str">
        <f t="shared" si="5"/>
        <v>12043011.4080.100</v>
      </c>
    </row>
    <row r="331" spans="1:12" x14ac:dyDescent="0.2">
      <c r="A331">
        <v>18924</v>
      </c>
      <c r="B331" t="s">
        <v>121</v>
      </c>
      <c r="C331">
        <v>12043011</v>
      </c>
      <c r="D331" t="s">
        <v>52</v>
      </c>
      <c r="E331">
        <v>50</v>
      </c>
      <c r="F331" t="s">
        <v>166</v>
      </c>
      <c r="G331" s="47">
        <v>4080.1</v>
      </c>
      <c r="H331">
        <v>125.74</v>
      </c>
      <c r="J331" s="69" t="s">
        <v>12</v>
      </c>
      <c r="L331" s="15" t="str">
        <f t="shared" si="5"/>
        <v>12043011.4080.100</v>
      </c>
    </row>
    <row r="332" spans="1:12" x14ac:dyDescent="0.2">
      <c r="A332">
        <v>18646</v>
      </c>
      <c r="B332" t="s">
        <v>124</v>
      </c>
      <c r="C332">
        <v>12043011</v>
      </c>
      <c r="D332" t="s">
        <v>52</v>
      </c>
      <c r="E332">
        <v>50</v>
      </c>
      <c r="F332" t="s">
        <v>166</v>
      </c>
      <c r="G332" s="47">
        <v>4080.1</v>
      </c>
      <c r="H332">
        <v>246.68</v>
      </c>
      <c r="J332" s="69" t="s">
        <v>12</v>
      </c>
      <c r="L332" s="15" t="str">
        <f t="shared" si="5"/>
        <v>12043011.4080.100</v>
      </c>
    </row>
    <row r="333" spans="1:12" x14ac:dyDescent="0.2">
      <c r="A333">
        <v>18917</v>
      </c>
      <c r="B333" t="s">
        <v>68</v>
      </c>
      <c r="C333">
        <v>12043011</v>
      </c>
      <c r="D333" t="s">
        <v>52</v>
      </c>
      <c r="E333">
        <v>50</v>
      </c>
      <c r="F333" t="s">
        <v>166</v>
      </c>
      <c r="G333" s="47">
        <v>4080.1</v>
      </c>
      <c r="H333">
        <v>50.89</v>
      </c>
      <c r="J333" s="69" t="s">
        <v>12</v>
      </c>
      <c r="L333" s="15" t="str">
        <f t="shared" si="5"/>
        <v>12043011.4080.100</v>
      </c>
    </row>
    <row r="334" spans="1:12" x14ac:dyDescent="0.2">
      <c r="A334">
        <v>18942</v>
      </c>
      <c r="B334" t="s">
        <v>51</v>
      </c>
      <c r="C334">
        <v>12043011</v>
      </c>
      <c r="D334" t="s">
        <v>52</v>
      </c>
      <c r="E334">
        <v>50</v>
      </c>
      <c r="F334" t="s">
        <v>166</v>
      </c>
      <c r="G334" s="47">
        <v>4080.1</v>
      </c>
      <c r="H334">
        <v>256.45999999999998</v>
      </c>
      <c r="J334" s="69" t="s">
        <v>12</v>
      </c>
      <c r="L334" s="15" t="str">
        <f t="shared" si="5"/>
        <v>12043011.4080.100</v>
      </c>
    </row>
    <row r="335" spans="1:12" x14ac:dyDescent="0.2">
      <c r="A335">
        <v>18990</v>
      </c>
      <c r="B335" t="s">
        <v>125</v>
      </c>
      <c r="C335">
        <v>12043011</v>
      </c>
      <c r="D335" t="s">
        <v>52</v>
      </c>
      <c r="E335">
        <v>50</v>
      </c>
      <c r="F335" t="s">
        <v>166</v>
      </c>
      <c r="G335" s="47">
        <v>4080.1</v>
      </c>
      <c r="H335">
        <v>189.94</v>
      </c>
      <c r="J335" s="69" t="s">
        <v>12</v>
      </c>
      <c r="L335" s="15" t="str">
        <f t="shared" si="5"/>
        <v>12043011.4080.100</v>
      </c>
    </row>
    <row r="336" spans="1:12" x14ac:dyDescent="0.2">
      <c r="A336">
        <v>19023</v>
      </c>
      <c r="B336" t="s">
        <v>69</v>
      </c>
      <c r="C336">
        <v>12043011</v>
      </c>
      <c r="D336" t="s">
        <v>52</v>
      </c>
      <c r="E336">
        <v>50</v>
      </c>
      <c r="F336" t="s">
        <v>166</v>
      </c>
      <c r="G336" s="47">
        <v>4080.1</v>
      </c>
      <c r="H336">
        <v>89.14</v>
      </c>
      <c r="J336" s="69" t="s">
        <v>12</v>
      </c>
      <c r="L336" s="15" t="str">
        <f t="shared" si="5"/>
        <v>12043011.4080.100</v>
      </c>
    </row>
    <row r="337" spans="1:12" x14ac:dyDescent="0.2">
      <c r="A337">
        <v>18703</v>
      </c>
      <c r="B337" t="s">
        <v>126</v>
      </c>
      <c r="C337">
        <v>12043011</v>
      </c>
      <c r="D337" t="s">
        <v>52</v>
      </c>
      <c r="E337">
        <v>50</v>
      </c>
      <c r="F337" t="s">
        <v>166</v>
      </c>
      <c r="G337" s="47">
        <v>4080.1</v>
      </c>
      <c r="H337">
        <v>255.02</v>
      </c>
      <c r="J337" s="69" t="s">
        <v>12</v>
      </c>
      <c r="L337" s="15" t="str">
        <f t="shared" si="5"/>
        <v>12043011.4080.100</v>
      </c>
    </row>
    <row r="338" spans="1:12" x14ac:dyDescent="0.2">
      <c r="A338">
        <v>18850</v>
      </c>
      <c r="B338" t="s">
        <v>123</v>
      </c>
      <c r="C338">
        <v>12043011</v>
      </c>
      <c r="D338" t="s">
        <v>52</v>
      </c>
      <c r="E338">
        <v>50</v>
      </c>
      <c r="F338" t="s">
        <v>166</v>
      </c>
      <c r="G338" s="47">
        <v>4080.1</v>
      </c>
      <c r="H338">
        <v>556.45000000000005</v>
      </c>
      <c r="J338" s="69" t="s">
        <v>12</v>
      </c>
      <c r="L338" s="15" t="str">
        <f t="shared" si="5"/>
        <v>12043011.4080.100</v>
      </c>
    </row>
    <row r="339" spans="1:12" x14ac:dyDescent="0.2">
      <c r="A339">
        <v>18986</v>
      </c>
      <c r="B339" t="s">
        <v>153</v>
      </c>
      <c r="C339">
        <v>12043011</v>
      </c>
      <c r="D339" t="s">
        <v>52</v>
      </c>
      <c r="E339">
        <v>50</v>
      </c>
      <c r="F339" t="s">
        <v>166</v>
      </c>
      <c r="G339" s="47">
        <v>4080.1</v>
      </c>
      <c r="H339">
        <v>210.58</v>
      </c>
      <c r="J339" s="69" t="s">
        <v>12</v>
      </c>
      <c r="L339" s="15" t="str">
        <f t="shared" si="5"/>
        <v>12043011.4080.100</v>
      </c>
    </row>
    <row r="340" spans="1:12" x14ac:dyDescent="0.2">
      <c r="A340">
        <v>18970</v>
      </c>
      <c r="B340" t="s">
        <v>200</v>
      </c>
      <c r="C340">
        <v>12043123</v>
      </c>
      <c r="D340" t="s">
        <v>201</v>
      </c>
      <c r="E340">
        <v>50</v>
      </c>
      <c r="F340" t="s">
        <v>166</v>
      </c>
      <c r="G340" s="47">
        <v>4080.1</v>
      </c>
      <c r="H340">
        <v>184.61</v>
      </c>
      <c r="J340" s="69" t="s">
        <v>12</v>
      </c>
      <c r="L340" s="15" t="str">
        <f t="shared" si="5"/>
        <v>12043123.4080.100</v>
      </c>
    </row>
    <row r="341" spans="1:12" x14ac:dyDescent="0.2">
      <c r="A341">
        <v>18976</v>
      </c>
      <c r="B341" t="s">
        <v>202</v>
      </c>
      <c r="C341">
        <v>12048099</v>
      </c>
      <c r="D341" t="s">
        <v>156</v>
      </c>
      <c r="E341">
        <v>50</v>
      </c>
      <c r="F341" t="s">
        <v>166</v>
      </c>
      <c r="G341" s="47">
        <v>4080.1</v>
      </c>
      <c r="H341">
        <v>230.19</v>
      </c>
      <c r="J341" s="69" t="s">
        <v>12</v>
      </c>
      <c r="L341" s="15" t="str">
        <f t="shared" si="5"/>
        <v>12048099.4080.100</v>
      </c>
    </row>
    <row r="342" spans="1:12" x14ac:dyDescent="0.2">
      <c r="A342">
        <v>19031</v>
      </c>
      <c r="B342" t="s">
        <v>387</v>
      </c>
      <c r="C342">
        <v>12048099</v>
      </c>
      <c r="D342" t="s">
        <v>156</v>
      </c>
      <c r="E342">
        <v>50</v>
      </c>
      <c r="F342" t="s">
        <v>166</v>
      </c>
      <c r="G342" s="47">
        <v>4080.1</v>
      </c>
      <c r="H342">
        <v>343.27</v>
      </c>
      <c r="J342" s="69" t="s">
        <v>12</v>
      </c>
      <c r="L342" s="15" t="str">
        <f t="shared" si="5"/>
        <v>12048099.4080.100</v>
      </c>
    </row>
    <row r="343" spans="1:12" x14ac:dyDescent="0.2">
      <c r="A343">
        <v>18442</v>
      </c>
      <c r="B343" t="s">
        <v>157</v>
      </c>
      <c r="C343">
        <v>12060400</v>
      </c>
      <c r="D343" t="s">
        <v>158</v>
      </c>
      <c r="E343">
        <v>50</v>
      </c>
      <c r="F343" t="s">
        <v>166</v>
      </c>
      <c r="G343" s="47">
        <v>4080.1</v>
      </c>
      <c r="H343">
        <v>266.54000000000002</v>
      </c>
      <c r="J343" s="69" t="s">
        <v>12</v>
      </c>
      <c r="L343" s="15" t="str">
        <f t="shared" si="5"/>
        <v>12060400.4080.100</v>
      </c>
    </row>
    <row r="344" spans="1:12" x14ac:dyDescent="0.2">
      <c r="A344">
        <v>18996</v>
      </c>
      <c r="B344" t="s">
        <v>127</v>
      </c>
      <c r="C344">
        <v>12060611</v>
      </c>
      <c r="D344" t="s">
        <v>54</v>
      </c>
      <c r="E344">
        <v>50</v>
      </c>
      <c r="F344" t="s">
        <v>166</v>
      </c>
      <c r="G344" s="47">
        <v>4080.1</v>
      </c>
      <c r="H344">
        <v>158.53</v>
      </c>
      <c r="J344" s="69" t="s">
        <v>12</v>
      </c>
      <c r="L344" s="15" t="str">
        <f t="shared" si="5"/>
        <v>12060611.4080.100</v>
      </c>
    </row>
    <row r="345" spans="1:12" x14ac:dyDescent="0.2">
      <c r="A345">
        <v>18634</v>
      </c>
      <c r="B345" t="s">
        <v>129</v>
      </c>
      <c r="C345">
        <v>12060611</v>
      </c>
      <c r="D345" t="s">
        <v>54</v>
      </c>
      <c r="E345">
        <v>50</v>
      </c>
      <c r="F345" t="s">
        <v>166</v>
      </c>
      <c r="G345" s="47">
        <v>4080.1</v>
      </c>
      <c r="H345">
        <v>125.14</v>
      </c>
      <c r="J345" s="69" t="s">
        <v>12</v>
      </c>
      <c r="L345" s="15" t="str">
        <f t="shared" si="5"/>
        <v>12060611.4080.100</v>
      </c>
    </row>
    <row r="346" spans="1:12" x14ac:dyDescent="0.2">
      <c r="A346">
        <v>18898</v>
      </c>
      <c r="B346" t="s">
        <v>130</v>
      </c>
      <c r="C346">
        <v>12060611</v>
      </c>
      <c r="D346" t="s">
        <v>54</v>
      </c>
      <c r="E346">
        <v>50</v>
      </c>
      <c r="F346" t="s">
        <v>166</v>
      </c>
      <c r="G346" s="47">
        <v>4080.1</v>
      </c>
      <c r="H346">
        <v>188.12</v>
      </c>
      <c r="J346" s="69" t="s">
        <v>12</v>
      </c>
      <c r="L346" s="15" t="str">
        <f t="shared" si="5"/>
        <v>12060611.4080.100</v>
      </c>
    </row>
    <row r="347" spans="1:12" x14ac:dyDescent="0.2">
      <c r="A347">
        <v>18927</v>
      </c>
      <c r="B347" t="s">
        <v>55</v>
      </c>
      <c r="C347">
        <v>12060611</v>
      </c>
      <c r="D347" t="s">
        <v>54</v>
      </c>
      <c r="E347">
        <v>50</v>
      </c>
      <c r="F347" t="s">
        <v>166</v>
      </c>
      <c r="G347" s="47">
        <v>4080.1</v>
      </c>
      <c r="H347">
        <v>146.56</v>
      </c>
      <c r="J347" s="69" t="s">
        <v>12</v>
      </c>
      <c r="L347" s="15" t="str">
        <f t="shared" si="5"/>
        <v>12060611.4080.100</v>
      </c>
    </row>
    <row r="348" spans="1:12" x14ac:dyDescent="0.2">
      <c r="A348">
        <v>261</v>
      </c>
      <c r="B348" t="s">
        <v>159</v>
      </c>
      <c r="C348">
        <v>12060611</v>
      </c>
      <c r="D348" t="s">
        <v>54</v>
      </c>
      <c r="E348">
        <v>50</v>
      </c>
      <c r="F348" t="s">
        <v>166</v>
      </c>
      <c r="G348" s="47">
        <v>4080.1</v>
      </c>
      <c r="H348">
        <v>323.08</v>
      </c>
      <c r="J348" s="69" t="s">
        <v>12</v>
      </c>
      <c r="L348" s="15" t="str">
        <f t="shared" si="5"/>
        <v>12060611.4080.100</v>
      </c>
    </row>
    <row r="349" spans="1:12" x14ac:dyDescent="0.2">
      <c r="A349">
        <v>18895</v>
      </c>
      <c r="B349" t="s">
        <v>128</v>
      </c>
      <c r="C349">
        <v>12060611</v>
      </c>
      <c r="D349" t="s">
        <v>54</v>
      </c>
      <c r="E349">
        <v>50</v>
      </c>
      <c r="F349" t="s">
        <v>166</v>
      </c>
      <c r="G349" s="47">
        <v>4080.1</v>
      </c>
      <c r="H349">
        <v>162.81</v>
      </c>
      <c r="J349" s="69" t="s">
        <v>12</v>
      </c>
      <c r="L349" s="15" t="str">
        <f t="shared" si="5"/>
        <v>12060611.4080.100</v>
      </c>
    </row>
    <row r="350" spans="1:12" x14ac:dyDescent="0.2">
      <c r="A350">
        <v>18823</v>
      </c>
      <c r="B350" t="s">
        <v>53</v>
      </c>
      <c r="C350">
        <v>12060611</v>
      </c>
      <c r="D350" t="s">
        <v>54</v>
      </c>
      <c r="E350">
        <v>50</v>
      </c>
      <c r="F350" t="s">
        <v>166</v>
      </c>
      <c r="G350" s="47">
        <v>4080.1</v>
      </c>
      <c r="H350">
        <v>253.46</v>
      </c>
      <c r="J350" s="69" t="s">
        <v>12</v>
      </c>
      <c r="L350" s="15" t="str">
        <f t="shared" si="5"/>
        <v>12060611.4080.100</v>
      </c>
    </row>
    <row r="351" spans="1:12" x14ac:dyDescent="0.2">
      <c r="A351">
        <v>18791</v>
      </c>
      <c r="B351" t="s">
        <v>132</v>
      </c>
      <c r="C351">
        <v>12060711</v>
      </c>
      <c r="D351" t="s">
        <v>133</v>
      </c>
      <c r="E351">
        <v>50</v>
      </c>
      <c r="F351" t="s">
        <v>166</v>
      </c>
      <c r="G351" s="47">
        <v>4080.1</v>
      </c>
      <c r="H351">
        <v>254.67</v>
      </c>
      <c r="J351" s="69" t="s">
        <v>12</v>
      </c>
      <c r="L351" s="15" t="str">
        <f t="shared" si="5"/>
        <v>12060711.4080.100</v>
      </c>
    </row>
    <row r="352" spans="1:12" x14ac:dyDescent="0.2">
      <c r="A352">
        <v>18561</v>
      </c>
      <c r="B352" t="s">
        <v>134</v>
      </c>
      <c r="C352">
        <v>12060800</v>
      </c>
      <c r="D352" t="s">
        <v>135</v>
      </c>
      <c r="E352">
        <v>50</v>
      </c>
      <c r="F352" t="s">
        <v>166</v>
      </c>
      <c r="G352" s="47">
        <v>4080.1</v>
      </c>
      <c r="H352">
        <v>266.64999999999998</v>
      </c>
      <c r="J352" s="69" t="s">
        <v>12</v>
      </c>
      <c r="L352" s="15" t="str">
        <f t="shared" si="5"/>
        <v>12060800.4080.100</v>
      </c>
    </row>
    <row r="353" spans="1:12" x14ac:dyDescent="0.2">
      <c r="A353">
        <v>18953</v>
      </c>
      <c r="B353" t="s">
        <v>136</v>
      </c>
      <c r="C353">
        <v>12060800</v>
      </c>
      <c r="D353" t="s">
        <v>135</v>
      </c>
      <c r="E353">
        <v>50</v>
      </c>
      <c r="F353" t="s">
        <v>166</v>
      </c>
      <c r="G353" s="47">
        <v>4080.1</v>
      </c>
      <c r="H353">
        <v>191.2</v>
      </c>
      <c r="J353" s="69" t="s">
        <v>12</v>
      </c>
      <c r="L353" s="15" t="str">
        <f t="shared" si="5"/>
        <v>12060800.4080.100</v>
      </c>
    </row>
    <row r="354" spans="1:12" x14ac:dyDescent="0.2">
      <c r="A354">
        <v>156</v>
      </c>
      <c r="B354" t="s">
        <v>137</v>
      </c>
      <c r="C354">
        <v>12062511</v>
      </c>
      <c r="D354" t="s">
        <v>57</v>
      </c>
      <c r="E354">
        <v>50</v>
      </c>
      <c r="F354" t="s">
        <v>166</v>
      </c>
      <c r="G354" s="47">
        <v>4080.1</v>
      </c>
      <c r="H354">
        <v>58.5</v>
      </c>
      <c r="J354" s="69" t="s">
        <v>12</v>
      </c>
      <c r="L354" s="15" t="str">
        <f t="shared" si="5"/>
        <v>12062511.4080.100</v>
      </c>
    </row>
    <row r="355" spans="1:12" x14ac:dyDescent="0.2">
      <c r="A355">
        <v>18506</v>
      </c>
      <c r="B355" t="s">
        <v>438</v>
      </c>
      <c r="C355">
        <v>12062511</v>
      </c>
      <c r="D355" t="s">
        <v>57</v>
      </c>
      <c r="E355">
        <v>50</v>
      </c>
      <c r="F355" t="s">
        <v>166</v>
      </c>
      <c r="G355" s="47">
        <v>4080.1</v>
      </c>
      <c r="H355">
        <v>74.430000000000007</v>
      </c>
      <c r="J355" s="69" t="s">
        <v>12</v>
      </c>
      <c r="L355" s="15" t="str">
        <f t="shared" si="5"/>
        <v>12062511.4080.100</v>
      </c>
    </row>
    <row r="356" spans="1:12" x14ac:dyDescent="0.2">
      <c r="A356">
        <v>18792</v>
      </c>
      <c r="B356" t="s">
        <v>56</v>
      </c>
      <c r="C356">
        <v>12062511</v>
      </c>
      <c r="D356" t="s">
        <v>57</v>
      </c>
      <c r="E356">
        <v>50</v>
      </c>
      <c r="F356" t="s">
        <v>166</v>
      </c>
      <c r="G356" s="47">
        <v>4080.1</v>
      </c>
      <c r="H356">
        <v>209</v>
      </c>
      <c r="J356" s="69" t="s">
        <v>12</v>
      </c>
      <c r="L356" s="15" t="str">
        <f t="shared" si="5"/>
        <v>12062511.4080.100</v>
      </c>
    </row>
    <row r="357" spans="1:12" x14ac:dyDescent="0.2">
      <c r="A357">
        <v>19037</v>
      </c>
      <c r="B357" t="s">
        <v>441</v>
      </c>
      <c r="C357">
        <v>12063011</v>
      </c>
      <c r="D357" t="s">
        <v>442</v>
      </c>
      <c r="E357">
        <v>50</v>
      </c>
      <c r="F357" t="s">
        <v>166</v>
      </c>
      <c r="G357" s="47">
        <v>4080.1</v>
      </c>
      <c r="H357">
        <v>66.48</v>
      </c>
      <c r="J357" s="69" t="s">
        <v>12</v>
      </c>
      <c r="L357" s="15" t="str">
        <f t="shared" si="5"/>
        <v>12063011.4080.100</v>
      </c>
    </row>
    <row r="358" spans="1:12" x14ac:dyDescent="0.2">
      <c r="A358">
        <v>18876</v>
      </c>
      <c r="B358" t="s">
        <v>160</v>
      </c>
      <c r="C358">
        <v>12068099</v>
      </c>
      <c r="D358" t="s">
        <v>161</v>
      </c>
      <c r="E358">
        <v>50</v>
      </c>
      <c r="F358" t="s">
        <v>166</v>
      </c>
      <c r="G358" s="47">
        <v>4080.1</v>
      </c>
      <c r="H358">
        <v>302.89</v>
      </c>
      <c r="J358" s="69" t="s">
        <v>12</v>
      </c>
      <c r="L358" s="15" t="str">
        <f t="shared" si="5"/>
        <v>12068099.4080.100</v>
      </c>
    </row>
    <row r="359" spans="1:12" x14ac:dyDescent="0.2">
      <c r="A359">
        <v>18871</v>
      </c>
      <c r="B359" t="s">
        <v>168</v>
      </c>
      <c r="C359">
        <v>12010500</v>
      </c>
      <c r="D359" t="s">
        <v>60</v>
      </c>
      <c r="E359">
        <v>100</v>
      </c>
      <c r="F359" t="s">
        <v>203</v>
      </c>
      <c r="G359" s="47">
        <v>4010.1</v>
      </c>
      <c r="H359">
        <v>4230.78</v>
      </c>
      <c r="J359" s="69" t="s">
        <v>12</v>
      </c>
      <c r="L359" s="15" t="str">
        <f t="shared" si="5"/>
        <v>12010500.4010.100</v>
      </c>
    </row>
    <row r="360" spans="1:12" x14ac:dyDescent="0.2">
      <c r="A360">
        <v>18517</v>
      </c>
      <c r="B360" t="s">
        <v>140</v>
      </c>
      <c r="C360">
        <v>12010500</v>
      </c>
      <c r="D360" t="s">
        <v>60</v>
      </c>
      <c r="E360">
        <v>100</v>
      </c>
      <c r="F360" t="s">
        <v>203</v>
      </c>
      <c r="G360" s="47">
        <v>4010.1</v>
      </c>
      <c r="H360">
        <v>5384.62</v>
      </c>
      <c r="J360" s="69" t="s">
        <v>12</v>
      </c>
      <c r="L360" s="15" t="str">
        <f t="shared" si="5"/>
        <v>12010500.4010.100</v>
      </c>
    </row>
    <row r="361" spans="1:12" x14ac:dyDescent="0.2">
      <c r="A361">
        <v>18726</v>
      </c>
      <c r="B361" t="s">
        <v>162</v>
      </c>
      <c r="C361">
        <v>12010500</v>
      </c>
      <c r="D361" t="s">
        <v>60</v>
      </c>
      <c r="E361">
        <v>100</v>
      </c>
      <c r="F361" t="s">
        <v>203</v>
      </c>
      <c r="G361" s="47">
        <v>4010.1</v>
      </c>
      <c r="H361">
        <v>2450.38</v>
      </c>
      <c r="J361" s="69" t="s">
        <v>12</v>
      </c>
      <c r="L361" s="15" t="str">
        <f t="shared" si="5"/>
        <v>12010500.4010.100</v>
      </c>
    </row>
    <row r="362" spans="1:12" x14ac:dyDescent="0.2">
      <c r="A362">
        <v>18647</v>
      </c>
      <c r="B362" t="s">
        <v>167</v>
      </c>
      <c r="C362">
        <v>12010500</v>
      </c>
      <c r="D362" t="s">
        <v>60</v>
      </c>
      <c r="E362">
        <v>100</v>
      </c>
      <c r="F362" t="s">
        <v>203</v>
      </c>
      <c r="G362" s="47">
        <v>4010.1</v>
      </c>
      <c r="H362">
        <v>4167.12</v>
      </c>
      <c r="J362" s="69" t="s">
        <v>12</v>
      </c>
      <c r="L362" s="15" t="str">
        <f t="shared" si="5"/>
        <v>12010500.4010.100</v>
      </c>
    </row>
    <row r="363" spans="1:12" x14ac:dyDescent="0.2">
      <c r="A363">
        <v>152</v>
      </c>
      <c r="B363" t="s">
        <v>169</v>
      </c>
      <c r="C363">
        <v>12010700</v>
      </c>
      <c r="D363" t="s">
        <v>170</v>
      </c>
      <c r="E363">
        <v>100</v>
      </c>
      <c r="F363" t="s">
        <v>203</v>
      </c>
      <c r="G363" s="47">
        <v>4010.1</v>
      </c>
      <c r="H363">
        <v>3076.93</v>
      </c>
      <c r="J363" s="69" t="s">
        <v>12</v>
      </c>
      <c r="L363" s="15" t="str">
        <f t="shared" si="5"/>
        <v>12010700.4010.100</v>
      </c>
    </row>
    <row r="364" spans="1:12" x14ac:dyDescent="0.2">
      <c r="A364">
        <v>19014</v>
      </c>
      <c r="B364" t="s">
        <v>171</v>
      </c>
      <c r="C364">
        <v>12013012</v>
      </c>
      <c r="D364" t="s">
        <v>71</v>
      </c>
      <c r="E364">
        <v>100</v>
      </c>
      <c r="F364" t="s">
        <v>203</v>
      </c>
      <c r="G364" s="47">
        <v>4010.1</v>
      </c>
      <c r="H364">
        <v>2500</v>
      </c>
      <c r="J364" s="69" t="s">
        <v>12</v>
      </c>
      <c r="L364" s="15" t="str">
        <f t="shared" si="5"/>
        <v>12013012.4010.100</v>
      </c>
    </row>
    <row r="365" spans="1:12" x14ac:dyDescent="0.2">
      <c r="A365">
        <v>18736</v>
      </c>
      <c r="B365" t="s">
        <v>70</v>
      </c>
      <c r="C365">
        <v>12013012</v>
      </c>
      <c r="D365" t="s">
        <v>71</v>
      </c>
      <c r="E365">
        <v>100</v>
      </c>
      <c r="F365" t="s">
        <v>203</v>
      </c>
      <c r="G365" s="47">
        <v>4010.1</v>
      </c>
      <c r="H365">
        <v>500.22</v>
      </c>
      <c r="J365" s="69" t="s">
        <v>12</v>
      </c>
      <c r="L365" s="15" t="str">
        <f t="shared" si="5"/>
        <v>12013012.4010.100</v>
      </c>
    </row>
    <row r="366" spans="1:12" x14ac:dyDescent="0.2">
      <c r="A366">
        <v>18987</v>
      </c>
      <c r="B366" t="s">
        <v>173</v>
      </c>
      <c r="C366">
        <v>12013250</v>
      </c>
      <c r="D366" t="s">
        <v>10</v>
      </c>
      <c r="E366">
        <v>100</v>
      </c>
      <c r="F366" t="s">
        <v>203</v>
      </c>
      <c r="G366" s="47">
        <v>4010.1</v>
      </c>
      <c r="H366">
        <v>3076.93</v>
      </c>
      <c r="J366" s="69" t="s">
        <v>12</v>
      </c>
      <c r="L366" s="15" t="str">
        <f t="shared" si="5"/>
        <v>12013250.4010.100</v>
      </c>
    </row>
    <row r="367" spans="1:12" x14ac:dyDescent="0.2">
      <c r="A367">
        <v>18988</v>
      </c>
      <c r="B367" t="s">
        <v>175</v>
      </c>
      <c r="C367">
        <v>12013250</v>
      </c>
      <c r="D367" t="s">
        <v>10</v>
      </c>
      <c r="E367">
        <v>100</v>
      </c>
      <c r="F367" t="s">
        <v>203</v>
      </c>
      <c r="G367" s="47">
        <v>4010.1</v>
      </c>
      <c r="H367">
        <v>2423.08</v>
      </c>
      <c r="J367" s="69" t="s">
        <v>12</v>
      </c>
      <c r="L367" s="15" t="str">
        <f t="shared" si="5"/>
        <v>12013250.4010.100</v>
      </c>
    </row>
    <row r="368" spans="1:12" x14ac:dyDescent="0.2">
      <c r="A368">
        <v>18995</v>
      </c>
      <c r="B368" t="s">
        <v>174</v>
      </c>
      <c r="C368">
        <v>12013250</v>
      </c>
      <c r="D368" t="s">
        <v>10</v>
      </c>
      <c r="E368">
        <v>100</v>
      </c>
      <c r="F368" t="s">
        <v>203</v>
      </c>
      <c r="G368" s="47">
        <v>4010.1</v>
      </c>
      <c r="H368">
        <v>2307.69</v>
      </c>
      <c r="J368" s="69" t="s">
        <v>12</v>
      </c>
      <c r="L368" s="15" t="str">
        <f t="shared" si="5"/>
        <v>12013250.4010.100</v>
      </c>
    </row>
    <row r="369" spans="1:12" x14ac:dyDescent="0.2">
      <c r="A369">
        <v>18920</v>
      </c>
      <c r="B369" t="s">
        <v>9</v>
      </c>
      <c r="C369">
        <v>12013250</v>
      </c>
      <c r="D369" t="s">
        <v>10</v>
      </c>
      <c r="E369">
        <v>100</v>
      </c>
      <c r="F369" t="s">
        <v>203</v>
      </c>
      <c r="G369" s="47">
        <v>4010.1</v>
      </c>
      <c r="H369">
        <v>4769.2299999999996</v>
      </c>
      <c r="J369" s="69" t="s">
        <v>12</v>
      </c>
      <c r="L369" s="15" t="str">
        <f t="shared" si="5"/>
        <v>12013250.4010.100</v>
      </c>
    </row>
    <row r="370" spans="1:12" x14ac:dyDescent="0.2">
      <c r="A370">
        <v>18997</v>
      </c>
      <c r="B370" t="s">
        <v>141</v>
      </c>
      <c r="C370">
        <v>12013250</v>
      </c>
      <c r="D370" t="s">
        <v>10</v>
      </c>
      <c r="E370">
        <v>100</v>
      </c>
      <c r="F370" t="s">
        <v>203</v>
      </c>
      <c r="G370" s="47">
        <v>4010.1</v>
      </c>
      <c r="H370">
        <v>846.15</v>
      </c>
      <c r="J370" s="69" t="s">
        <v>12</v>
      </c>
      <c r="L370" s="15" t="str">
        <f t="shared" si="5"/>
        <v>12013250.4010.100</v>
      </c>
    </row>
    <row r="371" spans="1:12" x14ac:dyDescent="0.2">
      <c r="A371">
        <v>18721</v>
      </c>
      <c r="B371" t="s">
        <v>172</v>
      </c>
      <c r="C371">
        <v>12013250</v>
      </c>
      <c r="D371" t="s">
        <v>10</v>
      </c>
      <c r="E371">
        <v>100</v>
      </c>
      <c r="F371" t="s">
        <v>203</v>
      </c>
      <c r="G371" s="47">
        <v>4010.1</v>
      </c>
      <c r="H371">
        <v>2807.7</v>
      </c>
      <c r="J371" s="69" t="s">
        <v>12</v>
      </c>
      <c r="L371" s="15" t="str">
        <f t="shared" si="5"/>
        <v>12013250.4010.100</v>
      </c>
    </row>
    <row r="372" spans="1:12" x14ac:dyDescent="0.2">
      <c r="A372">
        <v>18946</v>
      </c>
      <c r="B372" t="s">
        <v>13</v>
      </c>
      <c r="C372">
        <v>12013250</v>
      </c>
      <c r="D372" t="s">
        <v>10</v>
      </c>
      <c r="E372">
        <v>100</v>
      </c>
      <c r="F372" t="s">
        <v>203</v>
      </c>
      <c r="G372" s="47">
        <v>4010.1</v>
      </c>
      <c r="H372">
        <v>2114.42</v>
      </c>
      <c r="J372" s="69" t="s">
        <v>12</v>
      </c>
      <c r="L372" s="15" t="str">
        <f t="shared" si="5"/>
        <v>12013250.4010.100</v>
      </c>
    </row>
    <row r="373" spans="1:12" x14ac:dyDescent="0.2">
      <c r="A373">
        <v>220</v>
      </c>
      <c r="B373" t="s">
        <v>14</v>
      </c>
      <c r="C373">
        <v>12013300</v>
      </c>
      <c r="D373" t="s">
        <v>15</v>
      </c>
      <c r="E373">
        <v>100</v>
      </c>
      <c r="F373" t="s">
        <v>203</v>
      </c>
      <c r="G373" s="47">
        <v>4010.1</v>
      </c>
      <c r="H373">
        <v>2177.67</v>
      </c>
      <c r="J373" s="69" t="s">
        <v>12</v>
      </c>
      <c r="L373" s="15" t="str">
        <f t="shared" si="5"/>
        <v>12013300.4010.100</v>
      </c>
    </row>
    <row r="374" spans="1:12" x14ac:dyDescent="0.2">
      <c r="A374">
        <v>18948</v>
      </c>
      <c r="B374" t="s">
        <v>142</v>
      </c>
      <c r="C374">
        <v>12018099</v>
      </c>
      <c r="D374" t="s">
        <v>17</v>
      </c>
      <c r="E374">
        <v>100</v>
      </c>
      <c r="F374" t="s">
        <v>203</v>
      </c>
      <c r="G374" s="47">
        <v>4010.1</v>
      </c>
      <c r="H374">
        <v>1569.23</v>
      </c>
      <c r="J374" s="69" t="s">
        <v>12</v>
      </c>
      <c r="L374" s="15" t="str">
        <f t="shared" si="5"/>
        <v>12018099.4010.100</v>
      </c>
    </row>
    <row r="375" spans="1:12" x14ac:dyDescent="0.2">
      <c r="A375">
        <v>18716</v>
      </c>
      <c r="B375" t="s">
        <v>16</v>
      </c>
      <c r="C375">
        <v>12018099</v>
      </c>
      <c r="D375" t="s">
        <v>17</v>
      </c>
      <c r="E375">
        <v>100</v>
      </c>
      <c r="F375" t="s">
        <v>203</v>
      </c>
      <c r="G375" s="47">
        <v>4010.1</v>
      </c>
      <c r="H375">
        <v>5384.62</v>
      </c>
      <c r="J375" s="69" t="s">
        <v>12</v>
      </c>
      <c r="L375" s="15" t="str">
        <f t="shared" si="5"/>
        <v>12018099.4010.100</v>
      </c>
    </row>
    <row r="376" spans="1:12" x14ac:dyDescent="0.2">
      <c r="A376">
        <v>18969</v>
      </c>
      <c r="B376" t="s">
        <v>143</v>
      </c>
      <c r="C376">
        <v>12018599</v>
      </c>
      <c r="D376" t="s">
        <v>144</v>
      </c>
      <c r="E376">
        <v>100</v>
      </c>
      <c r="F376" t="s">
        <v>203</v>
      </c>
      <c r="G376" s="47">
        <v>4010.1</v>
      </c>
      <c r="H376">
        <v>5384.61</v>
      </c>
      <c r="J376" s="69" t="s">
        <v>12</v>
      </c>
      <c r="L376" s="15" t="str">
        <f t="shared" si="5"/>
        <v>12018599.4010.100</v>
      </c>
    </row>
    <row r="377" spans="1:12" x14ac:dyDescent="0.2">
      <c r="A377">
        <v>18862</v>
      </c>
      <c r="B377" t="s">
        <v>145</v>
      </c>
      <c r="C377">
        <v>12018599</v>
      </c>
      <c r="D377" t="s">
        <v>144</v>
      </c>
      <c r="E377">
        <v>100</v>
      </c>
      <c r="F377" t="s">
        <v>203</v>
      </c>
      <c r="G377" s="47">
        <v>4010.1</v>
      </c>
      <c r="H377">
        <v>2615.39</v>
      </c>
      <c r="J377" s="69" t="s">
        <v>12</v>
      </c>
      <c r="L377" s="15" t="str">
        <f t="shared" si="5"/>
        <v>12018599.4010.100</v>
      </c>
    </row>
    <row r="378" spans="1:12" x14ac:dyDescent="0.2">
      <c r="A378">
        <v>18886</v>
      </c>
      <c r="B378" t="s">
        <v>18</v>
      </c>
      <c r="C378">
        <v>12019099</v>
      </c>
      <c r="D378" t="s">
        <v>19</v>
      </c>
      <c r="E378">
        <v>100</v>
      </c>
      <c r="F378" t="s">
        <v>203</v>
      </c>
      <c r="G378" s="47">
        <v>4010.1</v>
      </c>
      <c r="H378">
        <v>8165.89</v>
      </c>
      <c r="J378" s="69" t="s">
        <v>12</v>
      </c>
      <c r="L378" s="15" t="str">
        <f t="shared" si="5"/>
        <v>12019099.4010.100</v>
      </c>
    </row>
    <row r="379" spans="1:12" x14ac:dyDescent="0.2">
      <c r="A379">
        <v>18550</v>
      </c>
      <c r="B379" t="s">
        <v>165</v>
      </c>
      <c r="C379">
        <v>12019199</v>
      </c>
      <c r="D379" t="s">
        <v>147</v>
      </c>
      <c r="E379">
        <v>100</v>
      </c>
      <c r="F379" t="s">
        <v>203</v>
      </c>
      <c r="G379" s="47">
        <v>4010.1</v>
      </c>
      <c r="H379">
        <v>1436.71</v>
      </c>
      <c r="J379" s="69" t="s">
        <v>12</v>
      </c>
      <c r="L379" s="15" t="str">
        <f t="shared" si="5"/>
        <v>12019199.4010.100</v>
      </c>
    </row>
    <row r="380" spans="1:12" x14ac:dyDescent="0.2">
      <c r="A380">
        <v>18968</v>
      </c>
      <c r="B380" t="s">
        <v>164</v>
      </c>
      <c r="C380">
        <v>12019199</v>
      </c>
      <c r="D380" t="s">
        <v>147</v>
      </c>
      <c r="E380">
        <v>100</v>
      </c>
      <c r="F380" t="s">
        <v>203</v>
      </c>
      <c r="G380" s="47">
        <v>4010.1</v>
      </c>
      <c r="H380">
        <v>2292.31</v>
      </c>
      <c r="J380" s="69" t="s">
        <v>12</v>
      </c>
      <c r="L380" s="15" t="str">
        <f t="shared" si="5"/>
        <v>12019199.4010.100</v>
      </c>
    </row>
    <row r="381" spans="1:12" x14ac:dyDescent="0.2">
      <c r="A381">
        <v>18853</v>
      </c>
      <c r="B381" t="s">
        <v>146</v>
      </c>
      <c r="C381">
        <v>12019199</v>
      </c>
      <c r="D381" t="s">
        <v>147</v>
      </c>
      <c r="E381">
        <v>100</v>
      </c>
      <c r="F381" t="s">
        <v>203</v>
      </c>
      <c r="G381" s="47">
        <v>4010.1</v>
      </c>
      <c r="H381">
        <v>5463.43</v>
      </c>
      <c r="J381" s="69" t="s">
        <v>12</v>
      </c>
      <c r="L381" s="15" t="str">
        <f t="shared" si="5"/>
        <v>12019199.4010.100</v>
      </c>
    </row>
    <row r="382" spans="1:12" x14ac:dyDescent="0.2">
      <c r="A382">
        <v>19025</v>
      </c>
      <c r="B382" t="s">
        <v>180</v>
      </c>
      <c r="C382">
        <v>12019199</v>
      </c>
      <c r="D382" t="s">
        <v>147</v>
      </c>
      <c r="E382">
        <v>100</v>
      </c>
      <c r="F382" t="s">
        <v>203</v>
      </c>
      <c r="G382" s="47">
        <v>4010.1</v>
      </c>
      <c r="H382">
        <v>2500</v>
      </c>
      <c r="J382" s="69" t="s">
        <v>12</v>
      </c>
      <c r="L382" s="15" t="str">
        <f t="shared" si="5"/>
        <v>12019199.4010.100</v>
      </c>
    </row>
    <row r="383" spans="1:12" x14ac:dyDescent="0.2">
      <c r="A383">
        <v>19022</v>
      </c>
      <c r="B383" t="s">
        <v>113</v>
      </c>
      <c r="C383">
        <v>12019199</v>
      </c>
      <c r="D383" t="s">
        <v>147</v>
      </c>
      <c r="E383">
        <v>100</v>
      </c>
      <c r="F383" t="s">
        <v>203</v>
      </c>
      <c r="G383" s="47">
        <v>4010.1</v>
      </c>
      <c r="H383">
        <v>892.32</v>
      </c>
      <c r="J383" s="69" t="s">
        <v>12</v>
      </c>
      <c r="L383" s="15" t="str">
        <f t="shared" si="5"/>
        <v>12019199.4010.100</v>
      </c>
    </row>
    <row r="384" spans="1:12" x14ac:dyDescent="0.2">
      <c r="A384">
        <v>19003</v>
      </c>
      <c r="B384" t="s">
        <v>388</v>
      </c>
      <c r="C384">
        <v>12019199</v>
      </c>
      <c r="D384" t="s">
        <v>147</v>
      </c>
      <c r="E384">
        <v>100</v>
      </c>
      <c r="F384" t="s">
        <v>203</v>
      </c>
      <c r="G384" s="47">
        <v>4010.1</v>
      </c>
      <c r="H384">
        <v>2803.85</v>
      </c>
      <c r="J384" s="69" t="s">
        <v>12</v>
      </c>
      <c r="L384" s="15" t="str">
        <f t="shared" si="5"/>
        <v>12019199.4010.100</v>
      </c>
    </row>
    <row r="385" spans="1:12" x14ac:dyDescent="0.2">
      <c r="A385">
        <v>18741</v>
      </c>
      <c r="B385" t="s">
        <v>179</v>
      </c>
      <c r="C385">
        <v>12019199</v>
      </c>
      <c r="D385" t="s">
        <v>147</v>
      </c>
      <c r="E385">
        <v>100</v>
      </c>
      <c r="F385" t="s">
        <v>203</v>
      </c>
      <c r="G385" s="47">
        <v>4010.1</v>
      </c>
      <c r="H385">
        <v>2615.38</v>
      </c>
      <c r="J385" s="69" t="s">
        <v>12</v>
      </c>
      <c r="L385" s="15" t="str">
        <f t="shared" si="5"/>
        <v>12019199.4010.100</v>
      </c>
    </row>
    <row r="386" spans="1:12" x14ac:dyDescent="0.2">
      <c r="A386">
        <v>18619</v>
      </c>
      <c r="B386" t="s">
        <v>20</v>
      </c>
      <c r="C386">
        <v>12020400</v>
      </c>
      <c r="D386" t="s">
        <v>21</v>
      </c>
      <c r="E386">
        <v>100</v>
      </c>
      <c r="F386" t="s">
        <v>203</v>
      </c>
      <c r="G386" s="47">
        <v>4010.1</v>
      </c>
      <c r="H386">
        <v>2534.62</v>
      </c>
      <c r="J386" s="69" t="s">
        <v>12</v>
      </c>
      <c r="L386" s="15" t="str">
        <f t="shared" ref="L386:L449" si="6">C386&amp;"."&amp;G386&amp;J386</f>
        <v>12020400.4010.100</v>
      </c>
    </row>
    <row r="387" spans="1:12" x14ac:dyDescent="0.2">
      <c r="A387">
        <v>18836</v>
      </c>
      <c r="B387" t="s">
        <v>182</v>
      </c>
      <c r="C387">
        <v>12020400</v>
      </c>
      <c r="D387" t="s">
        <v>21</v>
      </c>
      <c r="E387">
        <v>100</v>
      </c>
      <c r="F387" t="s">
        <v>203</v>
      </c>
      <c r="G387" s="47">
        <v>4010.1</v>
      </c>
      <c r="H387">
        <v>2563.6999999999998</v>
      </c>
      <c r="J387" s="69" t="s">
        <v>12</v>
      </c>
      <c r="L387" s="15" t="str">
        <f t="shared" si="6"/>
        <v>12020400.4010.100</v>
      </c>
    </row>
    <row r="388" spans="1:12" x14ac:dyDescent="0.2">
      <c r="A388">
        <v>19040</v>
      </c>
      <c r="B388" t="s">
        <v>453</v>
      </c>
      <c r="C388">
        <v>12020500</v>
      </c>
      <c r="D388" t="s">
        <v>454</v>
      </c>
      <c r="E388">
        <v>100</v>
      </c>
      <c r="F388" t="s">
        <v>203</v>
      </c>
      <c r="G388" s="47">
        <v>4010.1</v>
      </c>
      <c r="H388">
        <v>1255.06</v>
      </c>
      <c r="J388" s="69" t="s">
        <v>12</v>
      </c>
      <c r="L388" s="15" t="str">
        <f t="shared" si="6"/>
        <v>12020500.4010.100</v>
      </c>
    </row>
    <row r="389" spans="1:12" x14ac:dyDescent="0.2">
      <c r="A389">
        <v>18893</v>
      </c>
      <c r="B389" t="s">
        <v>444</v>
      </c>
      <c r="C389">
        <v>12020500</v>
      </c>
      <c r="D389" t="s">
        <v>454</v>
      </c>
      <c r="E389">
        <v>100</v>
      </c>
      <c r="F389" t="s">
        <v>203</v>
      </c>
      <c r="G389" s="47">
        <v>4010.1</v>
      </c>
      <c r="H389">
        <v>930.89</v>
      </c>
      <c r="J389" s="69" t="s">
        <v>12</v>
      </c>
      <c r="L389" s="15" t="str">
        <f t="shared" si="6"/>
        <v>12020500.4010.100</v>
      </c>
    </row>
    <row r="390" spans="1:12" x14ac:dyDescent="0.2">
      <c r="A390">
        <v>18831</v>
      </c>
      <c r="B390" t="s">
        <v>22</v>
      </c>
      <c r="C390">
        <v>12020611</v>
      </c>
      <c r="D390" t="s">
        <v>23</v>
      </c>
      <c r="E390">
        <v>100</v>
      </c>
      <c r="F390" t="s">
        <v>203</v>
      </c>
      <c r="G390" s="47">
        <v>4010.1</v>
      </c>
      <c r="H390">
        <v>1568.36</v>
      </c>
      <c r="J390" s="69" t="s">
        <v>12</v>
      </c>
      <c r="L390" s="15" t="str">
        <f t="shared" si="6"/>
        <v>12020611.4010.100</v>
      </c>
    </row>
    <row r="391" spans="1:12" x14ac:dyDescent="0.2">
      <c r="A391">
        <v>18891</v>
      </c>
      <c r="B391" t="s">
        <v>77</v>
      </c>
      <c r="C391">
        <v>12020611</v>
      </c>
      <c r="D391" t="s">
        <v>23</v>
      </c>
      <c r="E391">
        <v>100</v>
      </c>
      <c r="F391" t="s">
        <v>203</v>
      </c>
      <c r="G391" s="47">
        <v>4010.1</v>
      </c>
      <c r="H391">
        <v>1826.26</v>
      </c>
      <c r="J391" s="69" t="s">
        <v>12</v>
      </c>
      <c r="L391" s="15" t="str">
        <f t="shared" si="6"/>
        <v>12020611.4010.100</v>
      </c>
    </row>
    <row r="392" spans="1:12" x14ac:dyDescent="0.2">
      <c r="A392">
        <v>18957</v>
      </c>
      <c r="B392" t="s">
        <v>74</v>
      </c>
      <c r="C392">
        <v>12020611</v>
      </c>
      <c r="D392" t="s">
        <v>23</v>
      </c>
      <c r="E392">
        <v>100</v>
      </c>
      <c r="F392" t="s">
        <v>203</v>
      </c>
      <c r="G392" s="47">
        <v>4010.1</v>
      </c>
      <c r="H392">
        <v>1706.09</v>
      </c>
      <c r="J392" s="69" t="s">
        <v>12</v>
      </c>
      <c r="L392" s="15" t="str">
        <f t="shared" si="6"/>
        <v>12020611.4010.100</v>
      </c>
    </row>
    <row r="393" spans="1:12" x14ac:dyDescent="0.2">
      <c r="A393">
        <v>18903</v>
      </c>
      <c r="B393" t="s">
        <v>73</v>
      </c>
      <c r="C393">
        <v>12020611</v>
      </c>
      <c r="D393" t="s">
        <v>23</v>
      </c>
      <c r="E393">
        <v>100</v>
      </c>
      <c r="F393" t="s">
        <v>203</v>
      </c>
      <c r="G393" s="47">
        <v>4010.1</v>
      </c>
      <c r="H393">
        <v>2221.5100000000002</v>
      </c>
      <c r="J393" s="69" t="s">
        <v>12</v>
      </c>
      <c r="L393" s="15" t="str">
        <f t="shared" si="6"/>
        <v>12020611.4010.100</v>
      </c>
    </row>
    <row r="394" spans="1:12" x14ac:dyDescent="0.2">
      <c r="A394">
        <v>18893</v>
      </c>
      <c r="B394" t="s">
        <v>444</v>
      </c>
      <c r="C394">
        <v>12020611</v>
      </c>
      <c r="D394" t="s">
        <v>23</v>
      </c>
      <c r="E394">
        <v>100</v>
      </c>
      <c r="F394" t="s">
        <v>203</v>
      </c>
      <c r="G394" s="47">
        <v>4010.1</v>
      </c>
      <c r="H394">
        <v>465.37</v>
      </c>
      <c r="J394" s="69" t="s">
        <v>12</v>
      </c>
      <c r="L394" s="15" t="str">
        <f t="shared" si="6"/>
        <v>12020611.4010.100</v>
      </c>
    </row>
    <row r="395" spans="1:12" x14ac:dyDescent="0.2">
      <c r="A395">
        <v>18589</v>
      </c>
      <c r="B395" t="s">
        <v>75</v>
      </c>
      <c r="C395">
        <v>12020611</v>
      </c>
      <c r="D395" t="s">
        <v>23</v>
      </c>
      <c r="E395">
        <v>100</v>
      </c>
      <c r="F395" t="s">
        <v>203</v>
      </c>
      <c r="G395" s="47">
        <v>4010.1</v>
      </c>
      <c r="H395">
        <v>2001.37</v>
      </c>
      <c r="J395" s="69" t="s">
        <v>12</v>
      </c>
      <c r="L395" s="15" t="str">
        <f t="shared" si="6"/>
        <v>12020611.4010.100</v>
      </c>
    </row>
    <row r="396" spans="1:12" x14ac:dyDescent="0.2">
      <c r="A396">
        <v>18866</v>
      </c>
      <c r="B396" t="s">
        <v>76</v>
      </c>
      <c r="C396">
        <v>12020611</v>
      </c>
      <c r="D396" t="s">
        <v>23</v>
      </c>
      <c r="E396">
        <v>100</v>
      </c>
      <c r="F396" t="s">
        <v>203</v>
      </c>
      <c r="G396" s="47">
        <v>4010.1</v>
      </c>
      <c r="H396">
        <v>2488.86</v>
      </c>
      <c r="J396" s="69" t="s">
        <v>12</v>
      </c>
      <c r="L396" s="15" t="str">
        <f t="shared" si="6"/>
        <v>12020611.4010.100</v>
      </c>
    </row>
    <row r="397" spans="1:12" x14ac:dyDescent="0.2">
      <c r="A397">
        <v>18954</v>
      </c>
      <c r="B397" t="s">
        <v>183</v>
      </c>
      <c r="C397">
        <v>12020711</v>
      </c>
      <c r="D397" t="s">
        <v>25</v>
      </c>
      <c r="E397">
        <v>100</v>
      </c>
      <c r="F397" t="s">
        <v>203</v>
      </c>
      <c r="G397" s="47">
        <v>4010.1</v>
      </c>
      <c r="H397">
        <v>3076.92</v>
      </c>
      <c r="J397" s="69" t="s">
        <v>12</v>
      </c>
      <c r="L397" s="15" t="str">
        <f t="shared" si="6"/>
        <v>12020711.4010.100</v>
      </c>
    </row>
    <row r="398" spans="1:12" x14ac:dyDescent="0.2">
      <c r="A398">
        <v>18879</v>
      </c>
      <c r="B398" t="s">
        <v>79</v>
      </c>
      <c r="C398">
        <v>12020711</v>
      </c>
      <c r="D398" t="s">
        <v>25</v>
      </c>
      <c r="E398">
        <v>100</v>
      </c>
      <c r="F398" t="s">
        <v>203</v>
      </c>
      <c r="G398" s="47">
        <v>4010.1</v>
      </c>
      <c r="H398">
        <v>2054.5500000000002</v>
      </c>
      <c r="J398" s="69" t="s">
        <v>12</v>
      </c>
      <c r="L398" s="15" t="str">
        <f t="shared" si="6"/>
        <v>12020711.4010.100</v>
      </c>
    </row>
    <row r="399" spans="1:12" x14ac:dyDescent="0.2">
      <c r="A399">
        <v>18631</v>
      </c>
      <c r="B399" t="s">
        <v>80</v>
      </c>
      <c r="C399">
        <v>12020711</v>
      </c>
      <c r="D399" t="s">
        <v>25</v>
      </c>
      <c r="E399">
        <v>100</v>
      </c>
      <c r="F399" t="s">
        <v>203</v>
      </c>
      <c r="G399" s="47">
        <v>4010.1</v>
      </c>
      <c r="H399">
        <v>1413.69</v>
      </c>
      <c r="J399" s="69" t="s">
        <v>12</v>
      </c>
      <c r="L399" s="15" t="str">
        <f t="shared" si="6"/>
        <v>12020711.4010.100</v>
      </c>
    </row>
    <row r="400" spans="1:12" x14ac:dyDescent="0.2">
      <c r="A400">
        <v>18</v>
      </c>
      <c r="B400" t="s">
        <v>24</v>
      </c>
      <c r="C400">
        <v>12020711</v>
      </c>
      <c r="D400" t="s">
        <v>25</v>
      </c>
      <c r="E400">
        <v>100</v>
      </c>
      <c r="F400" t="s">
        <v>203</v>
      </c>
      <c r="G400" s="47">
        <v>4010.1</v>
      </c>
      <c r="H400">
        <v>1074.81</v>
      </c>
      <c r="J400" s="69" t="s">
        <v>12</v>
      </c>
      <c r="L400" s="15" t="str">
        <f t="shared" si="6"/>
        <v>12020711.4010.100</v>
      </c>
    </row>
    <row r="401" spans="1:12" x14ac:dyDescent="0.2">
      <c r="A401">
        <v>19013</v>
      </c>
      <c r="B401" t="s">
        <v>81</v>
      </c>
      <c r="C401">
        <v>12020800</v>
      </c>
      <c r="D401" t="s">
        <v>27</v>
      </c>
      <c r="E401">
        <v>100</v>
      </c>
      <c r="F401" t="s">
        <v>203</v>
      </c>
      <c r="G401" s="47">
        <v>4010.1</v>
      </c>
      <c r="H401">
        <v>2515.5500000000002</v>
      </c>
      <c r="J401" s="69" t="s">
        <v>12</v>
      </c>
      <c r="L401" s="15" t="str">
        <f t="shared" si="6"/>
        <v>12020800.4010.100</v>
      </c>
    </row>
    <row r="402" spans="1:12" x14ac:dyDescent="0.2">
      <c r="A402">
        <v>18630</v>
      </c>
      <c r="B402" t="s">
        <v>204</v>
      </c>
      <c r="C402">
        <v>12020800</v>
      </c>
      <c r="D402" t="s">
        <v>27</v>
      </c>
      <c r="E402">
        <v>100</v>
      </c>
      <c r="F402" t="s">
        <v>203</v>
      </c>
      <c r="G402" s="47">
        <v>4010.1</v>
      </c>
      <c r="H402">
        <v>1764.41</v>
      </c>
      <c r="J402" s="69" t="s">
        <v>12</v>
      </c>
      <c r="L402" s="15" t="str">
        <f t="shared" si="6"/>
        <v>12020800.4010.100</v>
      </c>
    </row>
    <row r="403" spans="1:12" x14ac:dyDescent="0.2">
      <c r="A403">
        <v>18559</v>
      </c>
      <c r="B403" t="s">
        <v>87</v>
      </c>
      <c r="C403">
        <v>12021021</v>
      </c>
      <c r="D403" t="s">
        <v>29</v>
      </c>
      <c r="E403">
        <v>100</v>
      </c>
      <c r="F403" t="s">
        <v>203</v>
      </c>
      <c r="G403" s="47">
        <v>4010.1</v>
      </c>
      <c r="H403">
        <v>3634.62</v>
      </c>
      <c r="J403" s="69" t="s">
        <v>12</v>
      </c>
      <c r="L403" s="15" t="str">
        <f t="shared" si="6"/>
        <v>12021021.4010.100</v>
      </c>
    </row>
    <row r="404" spans="1:12" x14ac:dyDescent="0.2">
      <c r="A404">
        <v>18960</v>
      </c>
      <c r="B404" t="s">
        <v>84</v>
      </c>
      <c r="C404">
        <v>12021021</v>
      </c>
      <c r="D404" t="s">
        <v>29</v>
      </c>
      <c r="E404">
        <v>100</v>
      </c>
      <c r="F404" t="s">
        <v>203</v>
      </c>
      <c r="G404" s="47">
        <v>4010.1</v>
      </c>
      <c r="H404">
        <v>880.92</v>
      </c>
      <c r="J404" s="69" t="s">
        <v>12</v>
      </c>
      <c r="L404" s="15" t="str">
        <f t="shared" si="6"/>
        <v>12021021.4010.100</v>
      </c>
    </row>
    <row r="405" spans="1:12" x14ac:dyDescent="0.2">
      <c r="A405">
        <v>18894</v>
      </c>
      <c r="B405" t="s">
        <v>89</v>
      </c>
      <c r="C405">
        <v>12021021</v>
      </c>
      <c r="D405" t="s">
        <v>29</v>
      </c>
      <c r="E405">
        <v>100</v>
      </c>
      <c r="F405" t="s">
        <v>203</v>
      </c>
      <c r="G405" s="47">
        <v>4010.1</v>
      </c>
      <c r="H405">
        <v>1335.3</v>
      </c>
      <c r="J405" s="69" t="s">
        <v>12</v>
      </c>
      <c r="L405" s="15" t="str">
        <f t="shared" si="6"/>
        <v>12021021.4010.100</v>
      </c>
    </row>
    <row r="406" spans="1:12" x14ac:dyDescent="0.2">
      <c r="A406">
        <v>18967</v>
      </c>
      <c r="B406" t="s">
        <v>85</v>
      </c>
      <c r="C406">
        <v>12021021</v>
      </c>
      <c r="D406" t="s">
        <v>29</v>
      </c>
      <c r="E406">
        <v>100</v>
      </c>
      <c r="F406" t="s">
        <v>203</v>
      </c>
      <c r="G406" s="47">
        <v>4010.1</v>
      </c>
      <c r="H406">
        <v>2566.09</v>
      </c>
      <c r="J406" s="69" t="s">
        <v>12</v>
      </c>
      <c r="L406" s="15" t="str">
        <f t="shared" si="6"/>
        <v>12021021.4010.100</v>
      </c>
    </row>
    <row r="407" spans="1:12" x14ac:dyDescent="0.2">
      <c r="A407">
        <v>18911</v>
      </c>
      <c r="B407" t="s">
        <v>28</v>
      </c>
      <c r="C407">
        <v>12021021</v>
      </c>
      <c r="D407" t="s">
        <v>29</v>
      </c>
      <c r="E407">
        <v>100</v>
      </c>
      <c r="F407" t="s">
        <v>203</v>
      </c>
      <c r="G407" s="47">
        <v>4010.1</v>
      </c>
      <c r="H407">
        <v>2515.5500000000002</v>
      </c>
      <c r="J407" s="69" t="s">
        <v>12</v>
      </c>
      <c r="L407" s="15" t="str">
        <f t="shared" si="6"/>
        <v>12021021.4010.100</v>
      </c>
    </row>
    <row r="408" spans="1:12" x14ac:dyDescent="0.2">
      <c r="A408">
        <v>18733</v>
      </c>
      <c r="B408" t="s">
        <v>86</v>
      </c>
      <c r="C408">
        <v>12021021</v>
      </c>
      <c r="D408" t="s">
        <v>29</v>
      </c>
      <c r="E408">
        <v>100</v>
      </c>
      <c r="F408" t="s">
        <v>203</v>
      </c>
      <c r="G408" s="47">
        <v>4010.1</v>
      </c>
      <c r="H408">
        <v>2223.7399999999998</v>
      </c>
      <c r="J408" s="69" t="s">
        <v>12</v>
      </c>
      <c r="L408" s="15" t="str">
        <f t="shared" si="6"/>
        <v>12021021.4010.100</v>
      </c>
    </row>
    <row r="409" spans="1:12" x14ac:dyDescent="0.2">
      <c r="A409">
        <v>18781</v>
      </c>
      <c r="B409" t="s">
        <v>82</v>
      </c>
      <c r="C409">
        <v>12021021</v>
      </c>
      <c r="D409" t="s">
        <v>29</v>
      </c>
      <c r="E409">
        <v>100</v>
      </c>
      <c r="F409" t="s">
        <v>203</v>
      </c>
      <c r="G409" s="47">
        <v>4010.1</v>
      </c>
      <c r="H409">
        <v>2309.48</v>
      </c>
      <c r="J409" s="69" t="s">
        <v>12</v>
      </c>
      <c r="L409" s="15" t="str">
        <f t="shared" si="6"/>
        <v>12021021.4010.100</v>
      </c>
    </row>
    <row r="410" spans="1:12" x14ac:dyDescent="0.2">
      <c r="A410">
        <v>18687</v>
      </c>
      <c r="B410" t="s">
        <v>83</v>
      </c>
      <c r="C410">
        <v>12021021</v>
      </c>
      <c r="D410" t="s">
        <v>29</v>
      </c>
      <c r="E410">
        <v>100</v>
      </c>
      <c r="F410" t="s">
        <v>203</v>
      </c>
      <c r="G410" s="47">
        <v>4010.1</v>
      </c>
      <c r="H410">
        <v>2268.2600000000002</v>
      </c>
      <c r="J410" s="69" t="s">
        <v>12</v>
      </c>
      <c r="L410" s="15" t="str">
        <f t="shared" si="6"/>
        <v>12021021.4010.100</v>
      </c>
    </row>
    <row r="411" spans="1:12" x14ac:dyDescent="0.2">
      <c r="A411">
        <v>18659</v>
      </c>
      <c r="B411" t="s">
        <v>88</v>
      </c>
      <c r="C411">
        <v>12021021</v>
      </c>
      <c r="D411" t="s">
        <v>29</v>
      </c>
      <c r="E411">
        <v>100</v>
      </c>
      <c r="F411" t="s">
        <v>203</v>
      </c>
      <c r="G411" s="47">
        <v>4010.1</v>
      </c>
      <c r="H411">
        <v>2123.8200000000002</v>
      </c>
      <c r="J411" s="69" t="s">
        <v>12</v>
      </c>
      <c r="L411" s="15" t="str">
        <f t="shared" si="6"/>
        <v>12021021.4010.100</v>
      </c>
    </row>
    <row r="412" spans="1:12" x14ac:dyDescent="0.2">
      <c r="A412">
        <v>18892</v>
      </c>
      <c r="B412" t="s">
        <v>184</v>
      </c>
      <c r="C412">
        <v>12021021</v>
      </c>
      <c r="D412" t="s">
        <v>29</v>
      </c>
      <c r="E412">
        <v>100</v>
      </c>
      <c r="F412" t="s">
        <v>203</v>
      </c>
      <c r="G412" s="47">
        <v>4010.1</v>
      </c>
      <c r="H412">
        <v>1928.7</v>
      </c>
      <c r="J412" s="69" t="s">
        <v>12</v>
      </c>
      <c r="L412" s="15" t="str">
        <f t="shared" si="6"/>
        <v>12021021.4010.100</v>
      </c>
    </row>
    <row r="413" spans="1:12" x14ac:dyDescent="0.2">
      <c r="A413">
        <v>19033</v>
      </c>
      <c r="B413" t="s">
        <v>389</v>
      </c>
      <c r="C413">
        <v>12021021</v>
      </c>
      <c r="D413" t="s">
        <v>29</v>
      </c>
      <c r="E413">
        <v>100</v>
      </c>
      <c r="F413" t="s">
        <v>203</v>
      </c>
      <c r="G413" s="47">
        <v>4010.1</v>
      </c>
      <c r="H413">
        <v>1622.08</v>
      </c>
      <c r="J413" s="69" t="s">
        <v>12</v>
      </c>
      <c r="L413" s="15" t="str">
        <f t="shared" si="6"/>
        <v>12021021.4010.100</v>
      </c>
    </row>
    <row r="414" spans="1:12" x14ac:dyDescent="0.2">
      <c r="A414">
        <v>18961</v>
      </c>
      <c r="B414" t="s">
        <v>90</v>
      </c>
      <c r="C414">
        <v>12022511</v>
      </c>
      <c r="D414" t="s">
        <v>32</v>
      </c>
      <c r="E414">
        <v>100</v>
      </c>
      <c r="F414" t="s">
        <v>203</v>
      </c>
      <c r="G414" s="47">
        <v>4010.1</v>
      </c>
      <c r="H414">
        <v>1764.41</v>
      </c>
      <c r="J414" s="69" t="s">
        <v>12</v>
      </c>
      <c r="L414" s="15" t="str">
        <f t="shared" si="6"/>
        <v>12022511.4010.100</v>
      </c>
    </row>
    <row r="415" spans="1:12" x14ac:dyDescent="0.2">
      <c r="A415">
        <v>145</v>
      </c>
      <c r="B415" t="s">
        <v>91</v>
      </c>
      <c r="C415">
        <v>12022511</v>
      </c>
      <c r="D415" t="s">
        <v>32</v>
      </c>
      <c r="E415">
        <v>100</v>
      </c>
      <c r="F415" t="s">
        <v>203</v>
      </c>
      <c r="G415" s="47">
        <v>4010.1</v>
      </c>
      <c r="H415">
        <v>2074.06</v>
      </c>
      <c r="J415" s="69" t="s">
        <v>12</v>
      </c>
      <c r="L415" s="15" t="str">
        <f t="shared" si="6"/>
        <v>12022511.4010.100</v>
      </c>
    </row>
    <row r="416" spans="1:12" x14ac:dyDescent="0.2">
      <c r="A416">
        <v>141</v>
      </c>
      <c r="B416" t="s">
        <v>185</v>
      </c>
      <c r="C416">
        <v>12022511</v>
      </c>
      <c r="D416" t="s">
        <v>32</v>
      </c>
      <c r="E416">
        <v>100</v>
      </c>
      <c r="F416" t="s">
        <v>203</v>
      </c>
      <c r="G416" s="47">
        <v>4010.1</v>
      </c>
      <c r="H416">
        <v>722.16</v>
      </c>
      <c r="J416" s="69" t="s">
        <v>12</v>
      </c>
      <c r="L416" s="15" t="str">
        <f t="shared" si="6"/>
        <v>12022511.4010.100</v>
      </c>
    </row>
    <row r="417" spans="1:12" x14ac:dyDescent="0.2">
      <c r="A417">
        <v>11229</v>
      </c>
      <c r="B417" t="s">
        <v>31</v>
      </c>
      <c r="C417">
        <v>12022511</v>
      </c>
      <c r="D417" t="s">
        <v>32</v>
      </c>
      <c r="E417">
        <v>100</v>
      </c>
      <c r="F417" t="s">
        <v>203</v>
      </c>
      <c r="G417" s="47">
        <v>4010.1</v>
      </c>
      <c r="H417">
        <v>242.3</v>
      </c>
      <c r="J417" s="69" t="s">
        <v>12</v>
      </c>
      <c r="L417" s="15" t="str">
        <f t="shared" si="6"/>
        <v>12022511.4010.100</v>
      </c>
    </row>
    <row r="418" spans="1:12" x14ac:dyDescent="0.2">
      <c r="A418">
        <v>19035</v>
      </c>
      <c r="B418" t="s">
        <v>440</v>
      </c>
      <c r="C418">
        <v>12023011</v>
      </c>
      <c r="D418" t="s">
        <v>93</v>
      </c>
      <c r="E418">
        <v>100</v>
      </c>
      <c r="F418" t="s">
        <v>203</v>
      </c>
      <c r="G418" s="47">
        <v>4010.1</v>
      </c>
      <c r="H418">
        <v>1975.81</v>
      </c>
      <c r="J418" s="69" t="s">
        <v>12</v>
      </c>
      <c r="L418" s="15" t="str">
        <f t="shared" si="6"/>
        <v>12023011.4010.100</v>
      </c>
    </row>
    <row r="419" spans="1:12" x14ac:dyDescent="0.2">
      <c r="A419">
        <v>19026</v>
      </c>
      <c r="B419" t="s">
        <v>187</v>
      </c>
      <c r="C419">
        <v>12023011</v>
      </c>
      <c r="D419" t="s">
        <v>93</v>
      </c>
      <c r="E419">
        <v>100</v>
      </c>
      <c r="F419" t="s">
        <v>203</v>
      </c>
      <c r="G419" s="47">
        <v>4010.1</v>
      </c>
      <c r="H419">
        <v>1176.27</v>
      </c>
      <c r="J419" s="69" t="s">
        <v>12</v>
      </c>
      <c r="L419" s="15" t="str">
        <f t="shared" si="6"/>
        <v>12023011.4010.100</v>
      </c>
    </row>
    <row r="420" spans="1:12" x14ac:dyDescent="0.2">
      <c r="A420">
        <v>19006</v>
      </c>
      <c r="B420" t="s">
        <v>95</v>
      </c>
      <c r="C420">
        <v>12023011</v>
      </c>
      <c r="D420" t="s">
        <v>93</v>
      </c>
      <c r="E420">
        <v>100</v>
      </c>
      <c r="F420" t="s">
        <v>203</v>
      </c>
      <c r="G420" s="47">
        <v>4010.1</v>
      </c>
      <c r="H420">
        <v>1960.45</v>
      </c>
      <c r="J420" s="69" t="s">
        <v>12</v>
      </c>
      <c r="L420" s="15" t="str">
        <f t="shared" si="6"/>
        <v>12023011.4010.100</v>
      </c>
    </row>
    <row r="421" spans="1:12" x14ac:dyDescent="0.2">
      <c r="A421">
        <v>18973</v>
      </c>
      <c r="B421" t="s">
        <v>188</v>
      </c>
      <c r="C421">
        <v>12023011</v>
      </c>
      <c r="D421" t="s">
        <v>93</v>
      </c>
      <c r="E421">
        <v>100</v>
      </c>
      <c r="F421" t="s">
        <v>203</v>
      </c>
      <c r="G421" s="47">
        <v>4010.1</v>
      </c>
      <c r="H421">
        <v>1645.88</v>
      </c>
      <c r="J421" s="69" t="s">
        <v>12</v>
      </c>
      <c r="L421" s="15" t="str">
        <f t="shared" si="6"/>
        <v>12023011.4010.100</v>
      </c>
    </row>
    <row r="422" spans="1:12" x14ac:dyDescent="0.2">
      <c r="A422">
        <v>18974</v>
      </c>
      <c r="B422" t="s">
        <v>94</v>
      </c>
      <c r="C422">
        <v>12023011</v>
      </c>
      <c r="D422" t="s">
        <v>93</v>
      </c>
      <c r="E422">
        <v>100</v>
      </c>
      <c r="F422" t="s">
        <v>203</v>
      </c>
      <c r="G422" s="47">
        <v>4010.1</v>
      </c>
      <c r="H422">
        <v>2890.85</v>
      </c>
      <c r="J422" s="69" t="s">
        <v>12</v>
      </c>
      <c r="L422" s="15" t="str">
        <f t="shared" si="6"/>
        <v>12023011.4010.100</v>
      </c>
    </row>
    <row r="423" spans="1:12" x14ac:dyDescent="0.2">
      <c r="A423">
        <v>19007</v>
      </c>
      <c r="B423" t="s">
        <v>189</v>
      </c>
      <c r="C423">
        <v>12023011</v>
      </c>
      <c r="D423" t="s">
        <v>93</v>
      </c>
      <c r="E423">
        <v>100</v>
      </c>
      <c r="F423" t="s">
        <v>203</v>
      </c>
      <c r="G423" s="47">
        <v>4010.1</v>
      </c>
      <c r="H423">
        <v>2104.91</v>
      </c>
      <c r="J423" s="69" t="s">
        <v>12</v>
      </c>
      <c r="L423" s="15" t="str">
        <f t="shared" si="6"/>
        <v>12023011.4010.100</v>
      </c>
    </row>
    <row r="424" spans="1:12" x14ac:dyDescent="0.2">
      <c r="A424">
        <v>18999</v>
      </c>
      <c r="B424" t="s">
        <v>92</v>
      </c>
      <c r="C424">
        <v>12023011</v>
      </c>
      <c r="D424" t="s">
        <v>93</v>
      </c>
      <c r="E424">
        <v>100</v>
      </c>
      <c r="F424" t="s">
        <v>203</v>
      </c>
      <c r="G424" s="47">
        <v>4010.1</v>
      </c>
      <c r="H424">
        <v>2221.5100000000002</v>
      </c>
      <c r="J424" s="69" t="s">
        <v>12</v>
      </c>
      <c r="L424" s="15" t="str">
        <f t="shared" si="6"/>
        <v>12023011.4010.100</v>
      </c>
    </row>
    <row r="425" spans="1:12" x14ac:dyDescent="0.2">
      <c r="A425">
        <v>18962</v>
      </c>
      <c r="B425" t="s">
        <v>148</v>
      </c>
      <c r="C425">
        <v>12023011</v>
      </c>
      <c r="D425" t="s">
        <v>93</v>
      </c>
      <c r="E425">
        <v>100</v>
      </c>
      <c r="F425" t="s">
        <v>203</v>
      </c>
      <c r="G425" s="47">
        <v>4010.1</v>
      </c>
      <c r="H425">
        <v>5000</v>
      </c>
      <c r="J425" s="69" t="s">
        <v>12</v>
      </c>
      <c r="L425" s="15" t="str">
        <f t="shared" si="6"/>
        <v>12023011.4010.100</v>
      </c>
    </row>
    <row r="426" spans="1:12" x14ac:dyDescent="0.2">
      <c r="A426">
        <v>19032</v>
      </c>
      <c r="B426" t="s">
        <v>386</v>
      </c>
      <c r="C426">
        <v>12023011</v>
      </c>
      <c r="D426" t="s">
        <v>93</v>
      </c>
      <c r="E426">
        <v>100</v>
      </c>
      <c r="F426" t="s">
        <v>203</v>
      </c>
      <c r="G426" s="47">
        <v>4010.1</v>
      </c>
      <c r="H426">
        <v>980.23</v>
      </c>
      <c r="J426" s="69" t="s">
        <v>12</v>
      </c>
      <c r="L426" s="15" t="str">
        <f t="shared" si="6"/>
        <v>12023011.4010.100</v>
      </c>
    </row>
    <row r="427" spans="1:12" x14ac:dyDescent="0.2">
      <c r="A427">
        <v>19016</v>
      </c>
      <c r="B427" t="s">
        <v>96</v>
      </c>
      <c r="C427">
        <v>12023011</v>
      </c>
      <c r="D427" t="s">
        <v>93</v>
      </c>
      <c r="E427">
        <v>100</v>
      </c>
      <c r="F427" t="s">
        <v>203</v>
      </c>
      <c r="G427" s="47">
        <v>4010.1</v>
      </c>
      <c r="H427">
        <v>1568.37</v>
      </c>
      <c r="J427" s="69" t="s">
        <v>12</v>
      </c>
      <c r="L427" s="15" t="str">
        <f t="shared" si="6"/>
        <v>12023011.4010.100</v>
      </c>
    </row>
    <row r="428" spans="1:12" x14ac:dyDescent="0.2">
      <c r="A428">
        <v>19027</v>
      </c>
      <c r="B428" t="s">
        <v>365</v>
      </c>
      <c r="C428">
        <v>12023021</v>
      </c>
      <c r="D428" t="s">
        <v>98</v>
      </c>
      <c r="E428">
        <v>100</v>
      </c>
      <c r="F428" t="s">
        <v>203</v>
      </c>
      <c r="G428" s="47">
        <v>4010.1</v>
      </c>
      <c r="H428">
        <v>1712.38</v>
      </c>
      <c r="J428" s="69" t="s">
        <v>12</v>
      </c>
      <c r="L428" s="15" t="str">
        <f t="shared" si="6"/>
        <v>12023021.4010.100</v>
      </c>
    </row>
    <row r="429" spans="1:12" x14ac:dyDescent="0.2">
      <c r="A429">
        <v>19021</v>
      </c>
      <c r="B429" t="s">
        <v>99</v>
      </c>
      <c r="C429">
        <v>12023021</v>
      </c>
      <c r="D429" t="s">
        <v>98</v>
      </c>
      <c r="E429">
        <v>100</v>
      </c>
      <c r="F429" t="s">
        <v>203</v>
      </c>
      <c r="G429" s="47">
        <v>4010.1</v>
      </c>
      <c r="H429">
        <v>1960.45</v>
      </c>
      <c r="J429" s="69" t="s">
        <v>12</v>
      </c>
      <c r="L429" s="15" t="str">
        <f t="shared" si="6"/>
        <v>12023021.4010.100</v>
      </c>
    </row>
    <row r="430" spans="1:12" x14ac:dyDescent="0.2">
      <c r="A430">
        <v>18980</v>
      </c>
      <c r="B430" t="s">
        <v>97</v>
      </c>
      <c r="C430">
        <v>12023021</v>
      </c>
      <c r="D430" t="s">
        <v>98</v>
      </c>
      <c r="E430">
        <v>100</v>
      </c>
      <c r="F430" t="s">
        <v>203</v>
      </c>
      <c r="G430" s="47">
        <v>4010.1</v>
      </c>
      <c r="H430">
        <v>1960.45</v>
      </c>
      <c r="J430" s="69" t="s">
        <v>12</v>
      </c>
      <c r="L430" s="15" t="str">
        <f t="shared" si="6"/>
        <v>12023021.4010.100</v>
      </c>
    </row>
    <row r="431" spans="1:12" x14ac:dyDescent="0.2">
      <c r="A431">
        <v>19038</v>
      </c>
      <c r="B431" t="s">
        <v>449</v>
      </c>
      <c r="C431">
        <v>12023021</v>
      </c>
      <c r="D431" t="s">
        <v>98</v>
      </c>
      <c r="E431">
        <v>100</v>
      </c>
      <c r="F431" t="s">
        <v>203</v>
      </c>
      <c r="G431" s="47">
        <v>4010.1</v>
      </c>
      <c r="H431">
        <v>2942.31</v>
      </c>
      <c r="J431" s="69" t="s">
        <v>12</v>
      </c>
      <c r="L431" s="15" t="str">
        <f t="shared" si="6"/>
        <v>12023021.4010.100</v>
      </c>
    </row>
    <row r="432" spans="1:12" x14ac:dyDescent="0.2">
      <c r="A432">
        <v>18581</v>
      </c>
      <c r="B432" t="s">
        <v>190</v>
      </c>
      <c r="C432">
        <v>12024021</v>
      </c>
      <c r="D432" t="s">
        <v>191</v>
      </c>
      <c r="E432">
        <v>100</v>
      </c>
      <c r="F432" t="s">
        <v>203</v>
      </c>
      <c r="G432" s="47">
        <v>4010.1</v>
      </c>
      <c r="H432">
        <v>1897.56</v>
      </c>
      <c r="J432" s="69" t="s">
        <v>12</v>
      </c>
      <c r="L432" s="15" t="str">
        <f t="shared" si="6"/>
        <v>12024021.4010.100</v>
      </c>
    </row>
    <row r="433" spans="1:12" x14ac:dyDescent="0.2">
      <c r="A433">
        <v>44705</v>
      </c>
      <c r="B433" t="s">
        <v>149</v>
      </c>
      <c r="C433">
        <v>12028099</v>
      </c>
      <c r="D433" t="s">
        <v>150</v>
      </c>
      <c r="E433">
        <v>100</v>
      </c>
      <c r="F433" t="s">
        <v>203</v>
      </c>
      <c r="G433" s="47">
        <v>4010.1</v>
      </c>
      <c r="H433">
        <v>4562.75</v>
      </c>
      <c r="J433" s="69" t="s">
        <v>12</v>
      </c>
      <c r="L433" s="15" t="str">
        <f t="shared" si="6"/>
        <v>12028099.4010.100</v>
      </c>
    </row>
    <row r="434" spans="1:12" x14ac:dyDescent="0.2">
      <c r="A434">
        <v>19034</v>
      </c>
      <c r="B434" t="s">
        <v>439</v>
      </c>
      <c r="C434">
        <v>12028099</v>
      </c>
      <c r="D434" t="s">
        <v>150</v>
      </c>
      <c r="E434">
        <v>100</v>
      </c>
      <c r="F434" t="s">
        <v>203</v>
      </c>
      <c r="G434" s="47">
        <v>4010.1</v>
      </c>
      <c r="H434">
        <v>2500</v>
      </c>
      <c r="J434" s="69" t="s">
        <v>12</v>
      </c>
      <c r="L434" s="15" t="str">
        <f t="shared" si="6"/>
        <v>12028099.4010.100</v>
      </c>
    </row>
    <row r="435" spans="1:12" x14ac:dyDescent="0.2">
      <c r="A435">
        <v>18805</v>
      </c>
      <c r="B435" t="s">
        <v>192</v>
      </c>
      <c r="C435">
        <v>12030400</v>
      </c>
      <c r="D435" t="s">
        <v>62</v>
      </c>
      <c r="E435">
        <v>100</v>
      </c>
      <c r="F435" t="s">
        <v>203</v>
      </c>
      <c r="G435" s="47">
        <v>4010.1</v>
      </c>
      <c r="H435">
        <v>1846.16</v>
      </c>
      <c r="J435" s="69" t="s">
        <v>12</v>
      </c>
      <c r="L435" s="15" t="str">
        <f t="shared" si="6"/>
        <v>12030400.4010.100</v>
      </c>
    </row>
    <row r="436" spans="1:12" x14ac:dyDescent="0.2">
      <c r="A436">
        <v>18982</v>
      </c>
      <c r="B436" t="s">
        <v>100</v>
      </c>
      <c r="C436">
        <v>12030400</v>
      </c>
      <c r="D436" t="s">
        <v>62</v>
      </c>
      <c r="E436">
        <v>100</v>
      </c>
      <c r="F436" t="s">
        <v>203</v>
      </c>
      <c r="G436" s="47">
        <v>4010.1</v>
      </c>
      <c r="H436">
        <v>2307.6799999999998</v>
      </c>
      <c r="J436" s="69" t="s">
        <v>12</v>
      </c>
      <c r="L436" s="15" t="str">
        <f t="shared" si="6"/>
        <v>12030400.4010.100</v>
      </c>
    </row>
    <row r="437" spans="1:12" x14ac:dyDescent="0.2">
      <c r="A437">
        <v>18841</v>
      </c>
      <c r="B437" t="s">
        <v>193</v>
      </c>
      <c r="C437">
        <v>12030500</v>
      </c>
      <c r="D437" t="s">
        <v>34</v>
      </c>
      <c r="E437">
        <v>100</v>
      </c>
      <c r="F437" t="s">
        <v>203</v>
      </c>
      <c r="G437" s="47">
        <v>4010.1</v>
      </c>
      <c r="H437">
        <v>2153.84</v>
      </c>
      <c r="J437" s="69" t="s">
        <v>12</v>
      </c>
      <c r="L437" s="15" t="str">
        <f t="shared" si="6"/>
        <v>12030500.4010.100</v>
      </c>
    </row>
    <row r="438" spans="1:12" x14ac:dyDescent="0.2">
      <c r="A438">
        <v>266</v>
      </c>
      <c r="B438" t="s">
        <v>194</v>
      </c>
      <c r="C438">
        <v>12030500</v>
      </c>
      <c r="D438" t="s">
        <v>34</v>
      </c>
      <c r="E438">
        <v>100</v>
      </c>
      <c r="F438" t="s">
        <v>203</v>
      </c>
      <c r="G438" s="47">
        <v>4010.1</v>
      </c>
      <c r="H438">
        <v>1980.64</v>
      </c>
      <c r="J438" s="69" t="s">
        <v>12</v>
      </c>
      <c r="L438" s="15" t="str">
        <f t="shared" si="6"/>
        <v>12030500.4010.100</v>
      </c>
    </row>
    <row r="439" spans="1:12" x14ac:dyDescent="0.2">
      <c r="A439">
        <v>302</v>
      </c>
      <c r="B439" t="s">
        <v>33</v>
      </c>
      <c r="C439">
        <v>12030500</v>
      </c>
      <c r="D439" t="s">
        <v>34</v>
      </c>
      <c r="E439">
        <v>100</v>
      </c>
      <c r="F439" t="s">
        <v>203</v>
      </c>
      <c r="G439" s="47">
        <v>4010.1</v>
      </c>
      <c r="H439">
        <v>685.96</v>
      </c>
      <c r="J439" s="69" t="s">
        <v>12</v>
      </c>
      <c r="L439" s="15" t="str">
        <f t="shared" si="6"/>
        <v>12030500.4010.100</v>
      </c>
    </row>
    <row r="440" spans="1:12" x14ac:dyDescent="0.2">
      <c r="A440">
        <v>18822</v>
      </c>
      <c r="B440" t="s">
        <v>103</v>
      </c>
      <c r="C440">
        <v>12030611</v>
      </c>
      <c r="D440" t="s">
        <v>36</v>
      </c>
      <c r="E440">
        <v>100</v>
      </c>
      <c r="F440" t="s">
        <v>203</v>
      </c>
      <c r="G440" s="47">
        <v>4010.1</v>
      </c>
      <c r="H440">
        <v>1951.42</v>
      </c>
      <c r="J440" s="69" t="s">
        <v>12</v>
      </c>
      <c r="L440" s="15" t="str">
        <f t="shared" si="6"/>
        <v>12030611.4010.100</v>
      </c>
    </row>
    <row r="441" spans="1:12" x14ac:dyDescent="0.2">
      <c r="A441">
        <v>18929</v>
      </c>
      <c r="B441" t="s">
        <v>106</v>
      </c>
      <c r="C441">
        <v>12030611</v>
      </c>
      <c r="D441" t="s">
        <v>36</v>
      </c>
      <c r="E441">
        <v>100</v>
      </c>
      <c r="F441" t="s">
        <v>203</v>
      </c>
      <c r="G441" s="47">
        <v>4010.1</v>
      </c>
      <c r="H441">
        <v>951.85</v>
      </c>
      <c r="J441" s="69" t="s">
        <v>12</v>
      </c>
      <c r="L441" s="15" t="str">
        <f t="shared" si="6"/>
        <v>12030611.4010.100</v>
      </c>
    </row>
    <row r="442" spans="1:12" x14ac:dyDescent="0.2">
      <c r="A442">
        <v>18887</v>
      </c>
      <c r="B442" t="s">
        <v>105</v>
      </c>
      <c r="C442">
        <v>12030611</v>
      </c>
      <c r="D442" t="s">
        <v>36</v>
      </c>
      <c r="E442">
        <v>100</v>
      </c>
      <c r="F442" t="s">
        <v>203</v>
      </c>
      <c r="G442" s="47">
        <v>4010.1</v>
      </c>
      <c r="H442">
        <v>1805.4</v>
      </c>
      <c r="J442" s="69" t="s">
        <v>12</v>
      </c>
      <c r="L442" s="15" t="str">
        <f t="shared" si="6"/>
        <v>12030611.4010.100</v>
      </c>
    </row>
    <row r="443" spans="1:12" x14ac:dyDescent="0.2">
      <c r="A443">
        <v>18626</v>
      </c>
      <c r="B443" t="s">
        <v>195</v>
      </c>
      <c r="C443">
        <v>12030611</v>
      </c>
      <c r="D443" t="s">
        <v>36</v>
      </c>
      <c r="E443">
        <v>100</v>
      </c>
      <c r="F443" t="s">
        <v>203</v>
      </c>
      <c r="G443" s="47">
        <v>4010.1</v>
      </c>
      <c r="H443">
        <v>3461.54</v>
      </c>
      <c r="J443" s="69" t="s">
        <v>12</v>
      </c>
      <c r="L443" s="15" t="str">
        <f t="shared" si="6"/>
        <v>12030611.4010.100</v>
      </c>
    </row>
    <row r="444" spans="1:12" x14ac:dyDescent="0.2">
      <c r="A444">
        <v>18797</v>
      </c>
      <c r="B444" t="s">
        <v>101</v>
      </c>
      <c r="C444">
        <v>12030611</v>
      </c>
      <c r="D444" t="s">
        <v>36</v>
      </c>
      <c r="E444">
        <v>100</v>
      </c>
      <c r="F444" t="s">
        <v>203</v>
      </c>
      <c r="G444" s="47">
        <v>4010.1</v>
      </c>
      <c r="H444">
        <v>2156.5100000000002</v>
      </c>
      <c r="J444" s="69" t="s">
        <v>12</v>
      </c>
      <c r="L444" s="15" t="str">
        <f t="shared" si="6"/>
        <v>12030611.4010.100</v>
      </c>
    </row>
    <row r="445" spans="1:12" x14ac:dyDescent="0.2">
      <c r="A445">
        <v>18901</v>
      </c>
      <c r="B445" t="s">
        <v>37</v>
      </c>
      <c r="C445">
        <v>12030611</v>
      </c>
      <c r="D445" t="s">
        <v>36</v>
      </c>
      <c r="E445">
        <v>100</v>
      </c>
      <c r="F445" t="s">
        <v>203</v>
      </c>
      <c r="G445" s="47">
        <v>4010.1</v>
      </c>
      <c r="H445">
        <v>2002.16</v>
      </c>
      <c r="J445" s="69" t="s">
        <v>12</v>
      </c>
      <c r="L445" s="15" t="str">
        <f t="shared" si="6"/>
        <v>12030611.4010.100</v>
      </c>
    </row>
    <row r="446" spans="1:12" x14ac:dyDescent="0.2">
      <c r="A446">
        <v>18949</v>
      </c>
      <c r="B446" t="s">
        <v>35</v>
      </c>
      <c r="C446">
        <v>12030611</v>
      </c>
      <c r="D446" t="s">
        <v>36</v>
      </c>
      <c r="E446">
        <v>100</v>
      </c>
      <c r="F446" t="s">
        <v>203</v>
      </c>
      <c r="G446" s="47">
        <v>4010.1</v>
      </c>
      <c r="H446">
        <v>1805.4</v>
      </c>
      <c r="J446" s="69" t="s">
        <v>12</v>
      </c>
      <c r="L446" s="15" t="str">
        <f t="shared" si="6"/>
        <v>12030611.4010.100</v>
      </c>
    </row>
    <row r="447" spans="1:12" x14ac:dyDescent="0.2">
      <c r="A447">
        <v>134</v>
      </c>
      <c r="B447" t="s">
        <v>102</v>
      </c>
      <c r="C447">
        <v>12030611</v>
      </c>
      <c r="D447" t="s">
        <v>36</v>
      </c>
      <c r="E447">
        <v>100</v>
      </c>
      <c r="F447" t="s">
        <v>203</v>
      </c>
      <c r="G447" s="47">
        <v>4010.1</v>
      </c>
      <c r="H447">
        <v>950.21</v>
      </c>
      <c r="J447" s="69" t="s">
        <v>12</v>
      </c>
      <c r="L447" s="15" t="str">
        <f t="shared" si="6"/>
        <v>12030611.4010.100</v>
      </c>
    </row>
    <row r="448" spans="1:12" x14ac:dyDescent="0.2">
      <c r="A448">
        <v>18918</v>
      </c>
      <c r="B448" t="s">
        <v>38</v>
      </c>
      <c r="C448">
        <v>12030611</v>
      </c>
      <c r="D448" t="s">
        <v>36</v>
      </c>
      <c r="E448">
        <v>100</v>
      </c>
      <c r="F448" t="s">
        <v>203</v>
      </c>
      <c r="G448" s="47">
        <v>4010.1</v>
      </c>
      <c r="H448">
        <v>2156.5100000000002</v>
      </c>
      <c r="J448" s="69" t="s">
        <v>12</v>
      </c>
      <c r="L448" s="15" t="str">
        <f t="shared" si="6"/>
        <v>12030611.4010.100</v>
      </c>
    </row>
    <row r="449" spans="1:12" x14ac:dyDescent="0.2">
      <c r="A449">
        <v>18979</v>
      </c>
      <c r="B449" t="s">
        <v>39</v>
      </c>
      <c r="C449">
        <v>12030611</v>
      </c>
      <c r="D449" t="s">
        <v>36</v>
      </c>
      <c r="E449">
        <v>100</v>
      </c>
      <c r="F449" t="s">
        <v>203</v>
      </c>
      <c r="G449" s="47">
        <v>4010.1</v>
      </c>
      <c r="H449">
        <v>1573.04</v>
      </c>
      <c r="J449" s="69" t="s">
        <v>12</v>
      </c>
      <c r="L449" s="15" t="str">
        <f t="shared" si="6"/>
        <v>12030611.4010.100</v>
      </c>
    </row>
    <row r="450" spans="1:12" x14ac:dyDescent="0.2">
      <c r="A450">
        <v>18827</v>
      </c>
      <c r="B450" t="s">
        <v>104</v>
      </c>
      <c r="C450">
        <v>12030611</v>
      </c>
      <c r="D450" t="s">
        <v>36</v>
      </c>
      <c r="E450">
        <v>100</v>
      </c>
      <c r="F450" t="s">
        <v>203</v>
      </c>
      <c r="G450" s="47">
        <v>4010.1</v>
      </c>
      <c r="H450">
        <v>2334.4899999999998</v>
      </c>
      <c r="J450" s="69" t="s">
        <v>12</v>
      </c>
      <c r="L450" s="15" t="str">
        <f t="shared" ref="L450:L502" si="7">C450&amp;"."&amp;G450&amp;J450</f>
        <v>12030611.4010.100</v>
      </c>
    </row>
    <row r="451" spans="1:12" x14ac:dyDescent="0.2">
      <c r="A451">
        <v>18989</v>
      </c>
      <c r="B451" t="s">
        <v>107</v>
      </c>
      <c r="C451">
        <v>12030800</v>
      </c>
      <c r="D451" t="s">
        <v>59</v>
      </c>
      <c r="E451">
        <v>100</v>
      </c>
      <c r="F451" t="s">
        <v>203</v>
      </c>
      <c r="G451" s="47">
        <v>4010.1</v>
      </c>
      <c r="H451">
        <v>1895.27</v>
      </c>
      <c r="J451" s="69" t="s">
        <v>12</v>
      </c>
      <c r="L451" s="15" t="str">
        <f t="shared" si="7"/>
        <v>12030800.4010.100</v>
      </c>
    </row>
    <row r="452" spans="1:12" x14ac:dyDescent="0.2">
      <c r="A452">
        <v>18736</v>
      </c>
      <c r="B452" t="s">
        <v>70</v>
      </c>
      <c r="C452">
        <v>12032511</v>
      </c>
      <c r="D452" t="s">
        <v>43</v>
      </c>
      <c r="E452">
        <v>100</v>
      </c>
      <c r="F452" t="s">
        <v>203</v>
      </c>
      <c r="G452" s="47">
        <v>4010.1</v>
      </c>
      <c r="H452">
        <v>1500.65</v>
      </c>
      <c r="J452" s="69" t="s">
        <v>12</v>
      </c>
      <c r="L452" s="15" t="str">
        <f t="shared" si="7"/>
        <v>12032511.4010.100</v>
      </c>
    </row>
    <row r="453" spans="1:12" x14ac:dyDescent="0.2">
      <c r="A453">
        <v>19008</v>
      </c>
      <c r="B453" t="s">
        <v>118</v>
      </c>
      <c r="C453">
        <v>12033011</v>
      </c>
      <c r="D453" t="s">
        <v>45</v>
      </c>
      <c r="E453">
        <v>100</v>
      </c>
      <c r="F453" t="s">
        <v>203</v>
      </c>
      <c r="G453" s="47">
        <v>4010.1</v>
      </c>
      <c r="H453">
        <v>1182.47</v>
      </c>
      <c r="J453" s="69" t="s">
        <v>12</v>
      </c>
      <c r="L453" s="15" t="str">
        <f t="shared" si="7"/>
        <v>12033011.4010.100</v>
      </c>
    </row>
    <row r="454" spans="1:12" x14ac:dyDescent="0.2">
      <c r="A454">
        <v>19017</v>
      </c>
      <c r="B454" t="s">
        <v>65</v>
      </c>
      <c r="C454">
        <v>12033011</v>
      </c>
      <c r="D454" t="s">
        <v>45</v>
      </c>
      <c r="E454">
        <v>100</v>
      </c>
      <c r="F454" t="s">
        <v>203</v>
      </c>
      <c r="G454" s="47">
        <v>4010.1</v>
      </c>
      <c r="H454">
        <v>1860.02</v>
      </c>
      <c r="J454" s="69" t="s">
        <v>12</v>
      </c>
      <c r="L454" s="15" t="str">
        <f t="shared" si="7"/>
        <v>12033011.4010.100</v>
      </c>
    </row>
    <row r="455" spans="1:12" x14ac:dyDescent="0.2">
      <c r="A455">
        <v>19011</v>
      </c>
      <c r="B455" t="s">
        <v>111</v>
      </c>
      <c r="C455">
        <v>12033011</v>
      </c>
      <c r="D455" t="s">
        <v>45</v>
      </c>
      <c r="E455">
        <v>100</v>
      </c>
      <c r="F455" t="s">
        <v>203</v>
      </c>
      <c r="G455" s="47">
        <v>4010.1</v>
      </c>
      <c r="H455">
        <v>1805.4</v>
      </c>
      <c r="J455" s="69" t="s">
        <v>12</v>
      </c>
      <c r="L455" s="15" t="str">
        <f t="shared" si="7"/>
        <v>12033011.4010.100</v>
      </c>
    </row>
    <row r="456" spans="1:12" x14ac:dyDescent="0.2">
      <c r="A456">
        <v>19015</v>
      </c>
      <c r="B456" t="s">
        <v>116</v>
      </c>
      <c r="C456">
        <v>12033011</v>
      </c>
      <c r="D456" t="s">
        <v>45</v>
      </c>
      <c r="E456">
        <v>100</v>
      </c>
      <c r="F456" t="s">
        <v>203</v>
      </c>
      <c r="G456" s="47">
        <v>4010.1</v>
      </c>
      <c r="H456">
        <v>1883.79</v>
      </c>
      <c r="J456" s="69" t="s">
        <v>12</v>
      </c>
      <c r="L456" s="15" t="str">
        <f t="shared" si="7"/>
        <v>12033011.4010.100</v>
      </c>
    </row>
    <row r="457" spans="1:12" x14ac:dyDescent="0.2">
      <c r="A457">
        <v>18607</v>
      </c>
      <c r="B457" t="s">
        <v>109</v>
      </c>
      <c r="C457">
        <v>12033011</v>
      </c>
      <c r="D457" t="s">
        <v>45</v>
      </c>
      <c r="E457">
        <v>100</v>
      </c>
      <c r="F457" t="s">
        <v>203</v>
      </c>
      <c r="G457" s="47">
        <v>4010.1</v>
      </c>
      <c r="H457">
        <v>2223.2399999999998</v>
      </c>
      <c r="J457" s="69" t="s">
        <v>12</v>
      </c>
      <c r="L457" s="15" t="str">
        <f t="shared" si="7"/>
        <v>12033011.4010.100</v>
      </c>
    </row>
    <row r="458" spans="1:12" x14ac:dyDescent="0.2">
      <c r="A458">
        <v>19012</v>
      </c>
      <c r="B458" t="s">
        <v>110</v>
      </c>
      <c r="C458">
        <v>12033011</v>
      </c>
      <c r="D458" t="s">
        <v>45</v>
      </c>
      <c r="E458">
        <v>100</v>
      </c>
      <c r="F458" t="s">
        <v>203</v>
      </c>
      <c r="G458" s="47">
        <v>4010.1</v>
      </c>
      <c r="H458">
        <v>1907.66</v>
      </c>
      <c r="J458" s="69" t="s">
        <v>12</v>
      </c>
      <c r="L458" s="15" t="str">
        <f t="shared" si="7"/>
        <v>12033011.4010.100</v>
      </c>
    </row>
    <row r="459" spans="1:12" x14ac:dyDescent="0.2">
      <c r="A459">
        <v>19009</v>
      </c>
      <c r="B459" t="s">
        <v>117</v>
      </c>
      <c r="C459">
        <v>12033011</v>
      </c>
      <c r="D459" t="s">
        <v>45</v>
      </c>
      <c r="E459">
        <v>100</v>
      </c>
      <c r="F459" t="s">
        <v>203</v>
      </c>
      <c r="G459" s="47">
        <v>4010.1</v>
      </c>
      <c r="H459">
        <v>1977.63</v>
      </c>
      <c r="J459" s="69" t="s">
        <v>12</v>
      </c>
      <c r="L459" s="15" t="str">
        <f t="shared" si="7"/>
        <v>12033011.4010.100</v>
      </c>
    </row>
    <row r="460" spans="1:12" x14ac:dyDescent="0.2">
      <c r="A460">
        <v>19019</v>
      </c>
      <c r="B460" t="s">
        <v>108</v>
      </c>
      <c r="C460">
        <v>12033011</v>
      </c>
      <c r="D460" t="s">
        <v>45</v>
      </c>
      <c r="E460">
        <v>100</v>
      </c>
      <c r="F460" t="s">
        <v>203</v>
      </c>
      <c r="G460" s="47">
        <v>4010.1</v>
      </c>
      <c r="H460">
        <v>1890.92</v>
      </c>
      <c r="J460" s="69" t="s">
        <v>12</v>
      </c>
      <c r="L460" s="15" t="str">
        <f t="shared" si="7"/>
        <v>12033011.4010.100</v>
      </c>
    </row>
    <row r="461" spans="1:12" x14ac:dyDescent="0.2">
      <c r="A461">
        <v>18829</v>
      </c>
      <c r="B461" t="s">
        <v>115</v>
      </c>
      <c r="C461">
        <v>12033011</v>
      </c>
      <c r="D461" t="s">
        <v>45</v>
      </c>
      <c r="E461">
        <v>100</v>
      </c>
      <c r="F461" t="s">
        <v>203</v>
      </c>
      <c r="G461" s="47">
        <v>4010.1</v>
      </c>
      <c r="H461">
        <v>2221.52</v>
      </c>
      <c r="J461" s="69" t="s">
        <v>12</v>
      </c>
      <c r="L461" s="15" t="str">
        <f t="shared" si="7"/>
        <v>12033011.4010.100</v>
      </c>
    </row>
    <row r="462" spans="1:12" x14ac:dyDescent="0.2">
      <c r="A462">
        <v>18983</v>
      </c>
      <c r="B462" t="s">
        <v>112</v>
      </c>
      <c r="C462">
        <v>12033011</v>
      </c>
      <c r="D462" t="s">
        <v>45</v>
      </c>
      <c r="E462">
        <v>100</v>
      </c>
      <c r="F462" t="s">
        <v>203</v>
      </c>
      <c r="G462" s="47">
        <v>4010.1</v>
      </c>
      <c r="H462">
        <v>1985.94</v>
      </c>
      <c r="J462" s="69" t="s">
        <v>12</v>
      </c>
      <c r="L462" s="15" t="str">
        <f t="shared" si="7"/>
        <v>12033011.4010.100</v>
      </c>
    </row>
    <row r="463" spans="1:12" x14ac:dyDescent="0.2">
      <c r="A463">
        <v>18932</v>
      </c>
      <c r="B463" t="s">
        <v>44</v>
      </c>
      <c r="C463">
        <v>12033011</v>
      </c>
      <c r="D463" t="s">
        <v>45</v>
      </c>
      <c r="E463">
        <v>100</v>
      </c>
      <c r="F463" t="s">
        <v>203</v>
      </c>
      <c r="G463" s="47">
        <v>4010.1</v>
      </c>
      <c r="H463">
        <v>1334.24</v>
      </c>
      <c r="J463" s="69" t="s">
        <v>12</v>
      </c>
      <c r="L463" s="15" t="str">
        <f t="shared" si="7"/>
        <v>12033011.4010.100</v>
      </c>
    </row>
    <row r="464" spans="1:12" x14ac:dyDescent="0.2">
      <c r="A464">
        <v>19028</v>
      </c>
      <c r="B464" t="s">
        <v>367</v>
      </c>
      <c r="C464">
        <v>12033011</v>
      </c>
      <c r="D464" t="s">
        <v>45</v>
      </c>
      <c r="E464">
        <v>100</v>
      </c>
      <c r="F464" t="s">
        <v>203</v>
      </c>
      <c r="G464" s="47">
        <v>4010.1</v>
      </c>
      <c r="H464">
        <v>1789.96</v>
      </c>
      <c r="J464" s="69" t="s">
        <v>12</v>
      </c>
      <c r="L464" s="15" t="str">
        <f t="shared" si="7"/>
        <v>12033011.4010.100</v>
      </c>
    </row>
    <row r="465" spans="1:12" x14ac:dyDescent="0.2">
      <c r="A465">
        <v>19029</v>
      </c>
      <c r="B465" t="s">
        <v>366</v>
      </c>
      <c r="C465">
        <v>12033011</v>
      </c>
      <c r="D465" t="s">
        <v>45</v>
      </c>
      <c r="E465">
        <v>100</v>
      </c>
      <c r="F465" t="s">
        <v>203</v>
      </c>
      <c r="G465" s="47">
        <v>4010.1</v>
      </c>
      <c r="H465">
        <v>1985.94</v>
      </c>
      <c r="J465" s="69" t="s">
        <v>12</v>
      </c>
      <c r="L465" s="15" t="str">
        <f t="shared" si="7"/>
        <v>12033011.4010.100</v>
      </c>
    </row>
    <row r="466" spans="1:12" x14ac:dyDescent="0.2">
      <c r="A466">
        <v>18923</v>
      </c>
      <c r="B466" t="s">
        <v>46</v>
      </c>
      <c r="C466">
        <v>12033011</v>
      </c>
      <c r="D466" t="s">
        <v>45</v>
      </c>
      <c r="E466">
        <v>100</v>
      </c>
      <c r="F466" t="s">
        <v>203</v>
      </c>
      <c r="G466" s="47">
        <v>4010.1</v>
      </c>
      <c r="H466">
        <v>1342.29</v>
      </c>
      <c r="J466" s="69" t="s">
        <v>12</v>
      </c>
      <c r="L466" s="15" t="str">
        <f t="shared" si="7"/>
        <v>12033011.4010.100</v>
      </c>
    </row>
    <row r="467" spans="1:12" x14ac:dyDescent="0.2">
      <c r="A467">
        <v>18679</v>
      </c>
      <c r="B467" t="s">
        <v>114</v>
      </c>
      <c r="C467">
        <v>12033011</v>
      </c>
      <c r="D467" t="s">
        <v>45</v>
      </c>
      <c r="E467">
        <v>100</v>
      </c>
      <c r="F467" t="s">
        <v>203</v>
      </c>
      <c r="G467" s="47">
        <v>4010.1</v>
      </c>
      <c r="H467">
        <v>1745.52</v>
      </c>
      <c r="J467" s="69" t="s">
        <v>12</v>
      </c>
      <c r="L467" s="15" t="str">
        <f t="shared" si="7"/>
        <v>12033011.4010.100</v>
      </c>
    </row>
    <row r="468" spans="1:12" x14ac:dyDescent="0.2">
      <c r="A468">
        <v>18998</v>
      </c>
      <c r="B468" t="s">
        <v>47</v>
      </c>
      <c r="C468">
        <v>12038099</v>
      </c>
      <c r="D468" t="s">
        <v>48</v>
      </c>
      <c r="E468">
        <v>100</v>
      </c>
      <c r="F468" t="s">
        <v>203</v>
      </c>
      <c r="G468" s="47">
        <v>4010.1</v>
      </c>
      <c r="H468">
        <v>1730.77</v>
      </c>
      <c r="J468" s="69" t="s">
        <v>12</v>
      </c>
      <c r="L468" s="15" t="str">
        <f t="shared" si="7"/>
        <v>12038099.4010.100</v>
      </c>
    </row>
    <row r="469" spans="1:12" x14ac:dyDescent="0.2">
      <c r="A469">
        <v>115</v>
      </c>
      <c r="B469" t="s">
        <v>196</v>
      </c>
      <c r="C469">
        <v>12040400</v>
      </c>
      <c r="D469" t="s">
        <v>197</v>
      </c>
      <c r="E469">
        <v>100</v>
      </c>
      <c r="F469" t="s">
        <v>203</v>
      </c>
      <c r="G469" s="47">
        <v>4010.1</v>
      </c>
      <c r="H469">
        <v>2959.62</v>
      </c>
      <c r="J469" s="69" t="s">
        <v>12</v>
      </c>
      <c r="L469" s="15" t="str">
        <f t="shared" si="7"/>
        <v>12040400.4010.100</v>
      </c>
    </row>
    <row r="470" spans="1:12" x14ac:dyDescent="0.2">
      <c r="A470">
        <v>19020</v>
      </c>
      <c r="B470" t="s">
        <v>66</v>
      </c>
      <c r="C470">
        <v>12040500</v>
      </c>
      <c r="D470" t="s">
        <v>67</v>
      </c>
      <c r="E470">
        <v>100</v>
      </c>
      <c r="F470" t="s">
        <v>203</v>
      </c>
      <c r="G470" s="47">
        <v>4010.1</v>
      </c>
      <c r="H470">
        <v>2042.31</v>
      </c>
      <c r="J470" s="69" t="s">
        <v>12</v>
      </c>
      <c r="L470" s="15" t="str">
        <f t="shared" si="7"/>
        <v>12040500.4010.100</v>
      </c>
    </row>
    <row r="471" spans="1:12" x14ac:dyDescent="0.2">
      <c r="A471">
        <v>18649</v>
      </c>
      <c r="B471" t="s">
        <v>152</v>
      </c>
      <c r="C471">
        <v>12040500</v>
      </c>
      <c r="D471" t="s">
        <v>67</v>
      </c>
      <c r="E471">
        <v>100</v>
      </c>
      <c r="F471" t="s">
        <v>203</v>
      </c>
      <c r="G471" s="47">
        <v>4010.1</v>
      </c>
      <c r="H471">
        <v>3076.92</v>
      </c>
      <c r="J471" s="69" t="s">
        <v>12</v>
      </c>
      <c r="L471" s="15" t="str">
        <f t="shared" si="7"/>
        <v>12040500.4010.100</v>
      </c>
    </row>
    <row r="472" spans="1:12" x14ac:dyDescent="0.2">
      <c r="A472">
        <v>18904</v>
      </c>
      <c r="B472" t="s">
        <v>119</v>
      </c>
      <c r="C472">
        <v>12040800</v>
      </c>
      <c r="D472" t="s">
        <v>120</v>
      </c>
      <c r="E472">
        <v>100</v>
      </c>
      <c r="F472" t="s">
        <v>203</v>
      </c>
      <c r="G472" s="47">
        <v>4010.1</v>
      </c>
      <c r="H472">
        <v>1954.43</v>
      </c>
      <c r="J472" s="69" t="s">
        <v>12</v>
      </c>
      <c r="L472" s="15" t="str">
        <f t="shared" si="7"/>
        <v>12040800.4010.100</v>
      </c>
    </row>
    <row r="473" spans="1:12" x14ac:dyDescent="0.2">
      <c r="A473">
        <v>18839</v>
      </c>
      <c r="B473" t="s">
        <v>198</v>
      </c>
      <c r="C473">
        <v>12040800</v>
      </c>
      <c r="D473" t="s">
        <v>120</v>
      </c>
      <c r="E473">
        <v>100</v>
      </c>
      <c r="F473" t="s">
        <v>203</v>
      </c>
      <c r="G473" s="47">
        <v>4010.1</v>
      </c>
      <c r="H473">
        <v>1203.76</v>
      </c>
      <c r="J473" s="69" t="s">
        <v>12</v>
      </c>
      <c r="L473" s="15" t="str">
        <f t="shared" si="7"/>
        <v>12040800.4010.100</v>
      </c>
    </row>
    <row r="474" spans="1:12" x14ac:dyDescent="0.2">
      <c r="A474">
        <v>18650</v>
      </c>
      <c r="B474" t="s">
        <v>49</v>
      </c>
      <c r="C474">
        <v>12042511</v>
      </c>
      <c r="D474" t="s">
        <v>50</v>
      </c>
      <c r="E474">
        <v>100</v>
      </c>
      <c r="F474" t="s">
        <v>203</v>
      </c>
      <c r="G474" s="47">
        <v>4010.1</v>
      </c>
      <c r="H474">
        <v>1387.42</v>
      </c>
      <c r="J474" s="69" t="s">
        <v>12</v>
      </c>
      <c r="L474" s="15" t="str">
        <f t="shared" si="7"/>
        <v>12042511.4010.100</v>
      </c>
    </row>
    <row r="475" spans="1:12" x14ac:dyDescent="0.2">
      <c r="A475">
        <v>18713</v>
      </c>
      <c r="B475" t="s">
        <v>154</v>
      </c>
      <c r="C475">
        <v>12043011</v>
      </c>
      <c r="D475" t="s">
        <v>52</v>
      </c>
      <c r="E475">
        <v>100</v>
      </c>
      <c r="F475" t="s">
        <v>203</v>
      </c>
      <c r="G475" s="47">
        <v>4010.1</v>
      </c>
      <c r="H475">
        <v>3154.33</v>
      </c>
      <c r="J475" s="69" t="s">
        <v>12</v>
      </c>
      <c r="L475" s="15" t="str">
        <f t="shared" si="7"/>
        <v>12043011.4010.100</v>
      </c>
    </row>
    <row r="476" spans="1:12" x14ac:dyDescent="0.2">
      <c r="A476">
        <v>18924</v>
      </c>
      <c r="B476" t="s">
        <v>121</v>
      </c>
      <c r="C476">
        <v>12043011</v>
      </c>
      <c r="D476" t="s">
        <v>52</v>
      </c>
      <c r="E476">
        <v>100</v>
      </c>
      <c r="F476" t="s">
        <v>203</v>
      </c>
      <c r="G476" s="47">
        <v>4010.1</v>
      </c>
      <c r="H476">
        <v>1186.18</v>
      </c>
      <c r="J476" s="69" t="s">
        <v>12</v>
      </c>
      <c r="L476" s="15" t="str">
        <f t="shared" si="7"/>
        <v>12043011.4010.100</v>
      </c>
    </row>
    <row r="477" spans="1:12" x14ac:dyDescent="0.2">
      <c r="A477">
        <v>18986</v>
      </c>
      <c r="B477" t="s">
        <v>153</v>
      </c>
      <c r="C477">
        <v>12043011</v>
      </c>
      <c r="D477" t="s">
        <v>52</v>
      </c>
      <c r="E477">
        <v>100</v>
      </c>
      <c r="F477" t="s">
        <v>203</v>
      </c>
      <c r="G477" s="47">
        <v>4010.1</v>
      </c>
      <c r="H477">
        <v>1742.84</v>
      </c>
      <c r="J477" s="69" t="s">
        <v>12</v>
      </c>
      <c r="L477" s="15" t="str">
        <f t="shared" si="7"/>
        <v>12043011.4010.100</v>
      </c>
    </row>
    <row r="478" spans="1:12" x14ac:dyDescent="0.2">
      <c r="A478">
        <v>18990</v>
      </c>
      <c r="B478" t="s">
        <v>125</v>
      </c>
      <c r="C478">
        <v>12043011</v>
      </c>
      <c r="D478" t="s">
        <v>52</v>
      </c>
      <c r="E478">
        <v>100</v>
      </c>
      <c r="F478" t="s">
        <v>203</v>
      </c>
      <c r="G478" s="47">
        <v>4010.1</v>
      </c>
      <c r="H478">
        <v>1250.32</v>
      </c>
      <c r="J478" s="69" t="s">
        <v>12</v>
      </c>
      <c r="L478" s="15" t="str">
        <f t="shared" si="7"/>
        <v>12043011.4010.100</v>
      </c>
    </row>
    <row r="479" spans="1:12" x14ac:dyDescent="0.2">
      <c r="A479">
        <v>18850</v>
      </c>
      <c r="B479" t="s">
        <v>123</v>
      </c>
      <c r="C479">
        <v>12043011</v>
      </c>
      <c r="D479" t="s">
        <v>52</v>
      </c>
      <c r="E479">
        <v>100</v>
      </c>
      <c r="F479" t="s">
        <v>203</v>
      </c>
      <c r="G479" s="47">
        <v>4010.1</v>
      </c>
      <c r="H479">
        <v>2220.19</v>
      </c>
      <c r="J479" s="69" t="s">
        <v>12</v>
      </c>
      <c r="L479" s="15" t="str">
        <f t="shared" si="7"/>
        <v>12043011.4010.100</v>
      </c>
    </row>
    <row r="480" spans="1:12" x14ac:dyDescent="0.2">
      <c r="A480">
        <v>19039</v>
      </c>
      <c r="B480" t="s">
        <v>443</v>
      </c>
      <c r="C480">
        <v>12043011</v>
      </c>
      <c r="D480" t="s">
        <v>52</v>
      </c>
      <c r="E480">
        <v>100</v>
      </c>
      <c r="F480" t="s">
        <v>203</v>
      </c>
      <c r="G480" s="47">
        <v>4010.1</v>
      </c>
      <c r="H480">
        <v>1789.16</v>
      </c>
      <c r="J480" s="69" t="s">
        <v>12</v>
      </c>
      <c r="L480" s="15" t="str">
        <f t="shared" si="7"/>
        <v>12043011.4010.100</v>
      </c>
    </row>
    <row r="481" spans="1:12" x14ac:dyDescent="0.2">
      <c r="A481">
        <v>18942</v>
      </c>
      <c r="B481" t="s">
        <v>51</v>
      </c>
      <c r="C481">
        <v>12043011</v>
      </c>
      <c r="D481" t="s">
        <v>52</v>
      </c>
      <c r="E481">
        <v>100</v>
      </c>
      <c r="F481" t="s">
        <v>203</v>
      </c>
      <c r="G481" s="47">
        <v>4010.1</v>
      </c>
      <c r="H481">
        <v>2301.81</v>
      </c>
      <c r="J481" s="69" t="s">
        <v>12</v>
      </c>
      <c r="L481" s="15" t="str">
        <f t="shared" si="7"/>
        <v>12043011.4010.100</v>
      </c>
    </row>
    <row r="482" spans="1:12" x14ac:dyDescent="0.2">
      <c r="A482">
        <v>18703</v>
      </c>
      <c r="B482" t="s">
        <v>126</v>
      </c>
      <c r="C482">
        <v>12043011</v>
      </c>
      <c r="D482" t="s">
        <v>52</v>
      </c>
      <c r="E482">
        <v>100</v>
      </c>
      <c r="F482" t="s">
        <v>203</v>
      </c>
      <c r="G482" s="47">
        <v>4010.1</v>
      </c>
      <c r="H482">
        <v>2389.94</v>
      </c>
      <c r="J482" s="69" t="s">
        <v>12</v>
      </c>
      <c r="L482" s="15" t="str">
        <f t="shared" si="7"/>
        <v>12043011.4010.100</v>
      </c>
    </row>
    <row r="483" spans="1:12" x14ac:dyDescent="0.2">
      <c r="A483">
        <v>18646</v>
      </c>
      <c r="B483" t="s">
        <v>124</v>
      </c>
      <c r="C483">
        <v>12043011</v>
      </c>
      <c r="D483" t="s">
        <v>52</v>
      </c>
      <c r="E483">
        <v>100</v>
      </c>
      <c r="F483" t="s">
        <v>203</v>
      </c>
      <c r="G483" s="47">
        <v>4010.1</v>
      </c>
      <c r="H483">
        <v>2327.14</v>
      </c>
      <c r="J483" s="69" t="s">
        <v>12</v>
      </c>
      <c r="L483" s="15" t="str">
        <f t="shared" si="7"/>
        <v>12043011.4010.100</v>
      </c>
    </row>
    <row r="484" spans="1:12" x14ac:dyDescent="0.2">
      <c r="A484">
        <v>18970</v>
      </c>
      <c r="B484" t="s">
        <v>200</v>
      </c>
      <c r="C484">
        <v>12043123</v>
      </c>
      <c r="D484" t="s">
        <v>201</v>
      </c>
      <c r="E484">
        <v>100</v>
      </c>
      <c r="F484" t="s">
        <v>203</v>
      </c>
      <c r="G484" s="47">
        <v>4010.1</v>
      </c>
      <c r="H484">
        <v>1741.62</v>
      </c>
      <c r="J484" s="69" t="s">
        <v>12</v>
      </c>
      <c r="L484" s="15" t="str">
        <f t="shared" si="7"/>
        <v>12043123.4010.100</v>
      </c>
    </row>
    <row r="485" spans="1:12" x14ac:dyDescent="0.2">
      <c r="A485">
        <v>19031</v>
      </c>
      <c r="B485" t="s">
        <v>387</v>
      </c>
      <c r="C485">
        <v>12048099</v>
      </c>
      <c r="D485" t="s">
        <v>156</v>
      </c>
      <c r="E485">
        <v>100</v>
      </c>
      <c r="F485" t="s">
        <v>203</v>
      </c>
      <c r="G485" s="47">
        <v>4010.1</v>
      </c>
      <c r="H485">
        <v>2942.31</v>
      </c>
      <c r="J485" s="69" t="s">
        <v>12</v>
      </c>
      <c r="L485" s="15" t="str">
        <f t="shared" si="7"/>
        <v>12048099.4010.100</v>
      </c>
    </row>
    <row r="486" spans="1:12" x14ac:dyDescent="0.2">
      <c r="A486">
        <v>18976</v>
      </c>
      <c r="B486" t="s">
        <v>202</v>
      </c>
      <c r="C486">
        <v>12048099</v>
      </c>
      <c r="D486" t="s">
        <v>156</v>
      </c>
      <c r="E486">
        <v>100</v>
      </c>
      <c r="F486" t="s">
        <v>203</v>
      </c>
      <c r="G486" s="47">
        <v>4010.1</v>
      </c>
      <c r="H486">
        <v>2192.31</v>
      </c>
      <c r="J486" s="69" t="s">
        <v>12</v>
      </c>
      <c r="L486" s="15" t="str">
        <f t="shared" si="7"/>
        <v>12048099.4010.100</v>
      </c>
    </row>
    <row r="487" spans="1:12" x14ac:dyDescent="0.2">
      <c r="A487">
        <v>18442</v>
      </c>
      <c r="B487" t="s">
        <v>157</v>
      </c>
      <c r="C487">
        <v>12060400</v>
      </c>
      <c r="D487" t="s">
        <v>158</v>
      </c>
      <c r="E487">
        <v>100</v>
      </c>
      <c r="F487" t="s">
        <v>203</v>
      </c>
      <c r="G487" s="47">
        <v>4010.1</v>
      </c>
      <c r="H487">
        <v>2538.46</v>
      </c>
      <c r="J487" s="69" t="s">
        <v>12</v>
      </c>
      <c r="L487" s="15" t="str">
        <f t="shared" si="7"/>
        <v>12060400.4010.100</v>
      </c>
    </row>
    <row r="488" spans="1:12" x14ac:dyDescent="0.2">
      <c r="A488">
        <v>18823</v>
      </c>
      <c r="B488" t="s">
        <v>53</v>
      </c>
      <c r="C488">
        <v>12060611</v>
      </c>
      <c r="D488" t="s">
        <v>54</v>
      </c>
      <c r="E488">
        <v>100</v>
      </c>
      <c r="F488" t="s">
        <v>203</v>
      </c>
      <c r="G488" s="47">
        <v>4010.1</v>
      </c>
      <c r="H488">
        <v>2391.13</v>
      </c>
      <c r="J488" s="69" t="s">
        <v>12</v>
      </c>
      <c r="L488" s="15" t="str">
        <f t="shared" si="7"/>
        <v>12060611.4010.100</v>
      </c>
    </row>
    <row r="489" spans="1:12" x14ac:dyDescent="0.2">
      <c r="A489">
        <v>18898</v>
      </c>
      <c r="B489" t="s">
        <v>130</v>
      </c>
      <c r="C489">
        <v>12060611</v>
      </c>
      <c r="D489" t="s">
        <v>54</v>
      </c>
      <c r="E489">
        <v>100</v>
      </c>
      <c r="F489" t="s">
        <v>203</v>
      </c>
      <c r="G489" s="47">
        <v>4010.1</v>
      </c>
      <c r="H489">
        <v>887.36</v>
      </c>
      <c r="J489" s="69" t="s">
        <v>12</v>
      </c>
      <c r="L489" s="15" t="str">
        <f t="shared" si="7"/>
        <v>12060611.4010.100</v>
      </c>
    </row>
    <row r="490" spans="1:12" x14ac:dyDescent="0.2">
      <c r="A490">
        <v>18634</v>
      </c>
      <c r="B490" t="s">
        <v>129</v>
      </c>
      <c r="C490">
        <v>12060611</v>
      </c>
      <c r="D490" t="s">
        <v>54</v>
      </c>
      <c r="E490">
        <v>100</v>
      </c>
      <c r="F490" t="s">
        <v>203</v>
      </c>
      <c r="G490" s="47">
        <v>4010.1</v>
      </c>
      <c r="H490">
        <v>931.85</v>
      </c>
      <c r="J490" s="69" t="s">
        <v>12</v>
      </c>
      <c r="L490" s="15" t="str">
        <f t="shared" si="7"/>
        <v>12060611.4010.100</v>
      </c>
    </row>
    <row r="491" spans="1:12" x14ac:dyDescent="0.2">
      <c r="A491">
        <v>18927</v>
      </c>
      <c r="B491" t="s">
        <v>55</v>
      </c>
      <c r="C491">
        <v>12060611</v>
      </c>
      <c r="D491" t="s">
        <v>54</v>
      </c>
      <c r="E491">
        <v>100</v>
      </c>
      <c r="F491" t="s">
        <v>203</v>
      </c>
      <c r="G491" s="47">
        <v>4010.1</v>
      </c>
      <c r="H491">
        <v>1382.63</v>
      </c>
      <c r="J491" s="69" t="s">
        <v>12</v>
      </c>
      <c r="L491" s="15" t="str">
        <f t="shared" si="7"/>
        <v>12060611.4010.100</v>
      </c>
    </row>
    <row r="492" spans="1:12" x14ac:dyDescent="0.2">
      <c r="A492">
        <v>18895</v>
      </c>
      <c r="B492" t="s">
        <v>128</v>
      </c>
      <c r="C492">
        <v>12060611</v>
      </c>
      <c r="D492" t="s">
        <v>54</v>
      </c>
      <c r="E492">
        <v>100</v>
      </c>
      <c r="F492" t="s">
        <v>203</v>
      </c>
      <c r="G492" s="47">
        <v>4010.1</v>
      </c>
      <c r="H492">
        <v>1535.93</v>
      </c>
      <c r="J492" s="69" t="s">
        <v>12</v>
      </c>
      <c r="L492" s="15" t="str">
        <f t="shared" si="7"/>
        <v>12060611.4010.100</v>
      </c>
    </row>
    <row r="493" spans="1:12" x14ac:dyDescent="0.2">
      <c r="A493">
        <v>18996</v>
      </c>
      <c r="B493" t="s">
        <v>127</v>
      </c>
      <c r="C493">
        <v>12060611</v>
      </c>
      <c r="D493" t="s">
        <v>54</v>
      </c>
      <c r="E493">
        <v>100</v>
      </c>
      <c r="F493" t="s">
        <v>203</v>
      </c>
      <c r="G493" s="47">
        <v>4010.1</v>
      </c>
      <c r="H493">
        <v>1299.44</v>
      </c>
      <c r="J493" s="69" t="s">
        <v>12</v>
      </c>
      <c r="L493" s="15" t="str">
        <f t="shared" si="7"/>
        <v>12060611.4010.100</v>
      </c>
    </row>
    <row r="494" spans="1:12" x14ac:dyDescent="0.2">
      <c r="A494">
        <v>261</v>
      </c>
      <c r="B494" t="s">
        <v>159</v>
      </c>
      <c r="C494">
        <v>12060611</v>
      </c>
      <c r="D494" t="s">
        <v>54</v>
      </c>
      <c r="E494">
        <v>100</v>
      </c>
      <c r="F494" t="s">
        <v>203</v>
      </c>
      <c r="G494" s="47">
        <v>4010.1</v>
      </c>
      <c r="H494">
        <v>2926.92</v>
      </c>
      <c r="J494" s="69" t="s">
        <v>12</v>
      </c>
      <c r="L494" s="15" t="str">
        <f t="shared" si="7"/>
        <v>12060611.4010.100</v>
      </c>
    </row>
    <row r="495" spans="1:12" x14ac:dyDescent="0.2">
      <c r="A495">
        <v>18791</v>
      </c>
      <c r="B495" t="s">
        <v>132</v>
      </c>
      <c r="C495">
        <v>12060711</v>
      </c>
      <c r="D495" t="s">
        <v>133</v>
      </c>
      <c r="E495">
        <v>100</v>
      </c>
      <c r="F495" t="s">
        <v>203</v>
      </c>
      <c r="G495" s="47">
        <v>4010.1</v>
      </c>
      <c r="H495">
        <v>480.52</v>
      </c>
      <c r="J495" s="69" t="s">
        <v>12</v>
      </c>
      <c r="L495" s="15" t="str">
        <f t="shared" si="7"/>
        <v>12060711.4010.100</v>
      </c>
    </row>
    <row r="496" spans="1:12" x14ac:dyDescent="0.2">
      <c r="A496">
        <v>18953</v>
      </c>
      <c r="B496" t="s">
        <v>136</v>
      </c>
      <c r="C496">
        <v>12060800</v>
      </c>
      <c r="D496" t="s">
        <v>135</v>
      </c>
      <c r="E496">
        <v>100</v>
      </c>
      <c r="F496" t="s">
        <v>203</v>
      </c>
      <c r="G496" s="47">
        <v>4010.1</v>
      </c>
      <c r="H496">
        <v>1081.6500000000001</v>
      </c>
      <c r="J496" s="69" t="s">
        <v>12</v>
      </c>
      <c r="L496" s="15" t="str">
        <f t="shared" si="7"/>
        <v>12060800.4010.100</v>
      </c>
    </row>
    <row r="497" spans="1:12" x14ac:dyDescent="0.2">
      <c r="A497">
        <v>18561</v>
      </c>
      <c r="B497" t="s">
        <v>134</v>
      </c>
      <c r="C497">
        <v>12060800</v>
      </c>
      <c r="D497" t="s">
        <v>135</v>
      </c>
      <c r="E497">
        <v>100</v>
      </c>
      <c r="F497" t="s">
        <v>203</v>
      </c>
      <c r="G497" s="47">
        <v>4010.1</v>
      </c>
      <c r="H497">
        <v>2515.54</v>
      </c>
      <c r="J497" s="69" t="s">
        <v>12</v>
      </c>
      <c r="L497" s="15" t="str">
        <f t="shared" si="7"/>
        <v>12060800.4010.100</v>
      </c>
    </row>
    <row r="498" spans="1:12" x14ac:dyDescent="0.2">
      <c r="A498">
        <v>18792</v>
      </c>
      <c r="B498" t="s">
        <v>56</v>
      </c>
      <c r="C498">
        <v>12062511</v>
      </c>
      <c r="D498" t="s">
        <v>57</v>
      </c>
      <c r="E498">
        <v>100</v>
      </c>
      <c r="F498" t="s">
        <v>203</v>
      </c>
      <c r="G498" s="47">
        <v>4010.1</v>
      </c>
      <c r="H498">
        <v>1939.81</v>
      </c>
      <c r="J498" s="69" t="s">
        <v>12</v>
      </c>
      <c r="L498" s="15" t="str">
        <f t="shared" si="7"/>
        <v>12062511.4010.100</v>
      </c>
    </row>
    <row r="499" spans="1:12" x14ac:dyDescent="0.2">
      <c r="A499">
        <v>18506</v>
      </c>
      <c r="B499" t="s">
        <v>438</v>
      </c>
      <c r="C499">
        <v>12062511</v>
      </c>
      <c r="D499" t="s">
        <v>57</v>
      </c>
      <c r="E499">
        <v>100</v>
      </c>
      <c r="F499" t="s">
        <v>203</v>
      </c>
      <c r="G499" s="47">
        <v>4010.1</v>
      </c>
      <c r="H499">
        <v>702.23</v>
      </c>
      <c r="J499" s="69" t="s">
        <v>12</v>
      </c>
      <c r="L499" s="15" t="str">
        <f t="shared" si="7"/>
        <v>12062511.4010.100</v>
      </c>
    </row>
    <row r="500" spans="1:12" x14ac:dyDescent="0.2">
      <c r="A500">
        <v>156</v>
      </c>
      <c r="B500" t="s">
        <v>137</v>
      </c>
      <c r="C500">
        <v>12062511</v>
      </c>
      <c r="D500" t="s">
        <v>57</v>
      </c>
      <c r="E500">
        <v>100</v>
      </c>
      <c r="F500" t="s">
        <v>203</v>
      </c>
      <c r="G500" s="47">
        <v>4010.1</v>
      </c>
      <c r="H500">
        <v>551.94000000000005</v>
      </c>
      <c r="J500" s="69" t="s">
        <v>12</v>
      </c>
      <c r="L500" s="15" t="str">
        <f t="shared" si="7"/>
        <v>12062511.4010.100</v>
      </c>
    </row>
    <row r="501" spans="1:12" x14ac:dyDescent="0.2">
      <c r="A501">
        <v>19037</v>
      </c>
      <c r="B501" t="s">
        <v>441</v>
      </c>
      <c r="C501">
        <v>12063011</v>
      </c>
      <c r="D501" t="s">
        <v>442</v>
      </c>
      <c r="E501">
        <v>100</v>
      </c>
      <c r="F501" t="s">
        <v>203</v>
      </c>
      <c r="G501" s="47">
        <v>4010.1</v>
      </c>
      <c r="H501">
        <v>627.14</v>
      </c>
      <c r="J501" s="69" t="s">
        <v>12</v>
      </c>
      <c r="L501" s="15" t="str">
        <f t="shared" si="7"/>
        <v>12063011.4010.100</v>
      </c>
    </row>
    <row r="502" spans="1:12" x14ac:dyDescent="0.2">
      <c r="A502">
        <v>18876</v>
      </c>
      <c r="B502" t="s">
        <v>160</v>
      </c>
      <c r="C502">
        <v>12068099</v>
      </c>
      <c r="D502" t="s">
        <v>161</v>
      </c>
      <c r="E502">
        <v>100</v>
      </c>
      <c r="F502" t="s">
        <v>203</v>
      </c>
      <c r="G502" s="47">
        <v>4010.1</v>
      </c>
      <c r="H502">
        <v>2884.62</v>
      </c>
      <c r="J502" s="69" t="s">
        <v>12</v>
      </c>
      <c r="L502" s="15" t="str">
        <f t="shared" si="7"/>
        <v>12068099.4010.100</v>
      </c>
    </row>
    <row r="503" spans="1:12" x14ac:dyDescent="0.2">
      <c r="A503">
        <v>18726</v>
      </c>
      <c r="B503" t="s">
        <v>162</v>
      </c>
      <c r="C503">
        <v>12010500</v>
      </c>
      <c r="D503" t="s">
        <v>60</v>
      </c>
      <c r="E503">
        <v>151</v>
      </c>
      <c r="F503" t="s">
        <v>205</v>
      </c>
      <c r="G503" s="47" t="s">
        <v>206</v>
      </c>
      <c r="I503">
        <v>653.84</v>
      </c>
      <c r="J503" s="69" t="s">
        <v>12</v>
      </c>
      <c r="L503" s="15" t="str">
        <f t="shared" ref="L503:L566" si="8">G503</f>
        <v>112.2160.100</v>
      </c>
    </row>
    <row r="504" spans="1:12" x14ac:dyDescent="0.2">
      <c r="A504">
        <v>152</v>
      </c>
      <c r="B504" t="s">
        <v>169</v>
      </c>
      <c r="C504">
        <v>12010700</v>
      </c>
      <c r="D504" t="s">
        <v>170</v>
      </c>
      <c r="E504">
        <v>151</v>
      </c>
      <c r="F504" t="s">
        <v>205</v>
      </c>
      <c r="G504" s="47" t="s">
        <v>206</v>
      </c>
      <c r="I504">
        <v>769.24</v>
      </c>
      <c r="J504" s="69" t="s">
        <v>12</v>
      </c>
      <c r="L504" s="15" t="str">
        <f t="shared" si="8"/>
        <v>112.2160.100</v>
      </c>
    </row>
    <row r="505" spans="1:12" x14ac:dyDescent="0.2">
      <c r="A505">
        <v>18736</v>
      </c>
      <c r="B505" t="s">
        <v>70</v>
      </c>
      <c r="C505">
        <v>12013012</v>
      </c>
      <c r="D505" t="s">
        <v>71</v>
      </c>
      <c r="E505">
        <v>151</v>
      </c>
      <c r="F505" t="s">
        <v>205</v>
      </c>
      <c r="G505" s="47" t="s">
        <v>206</v>
      </c>
      <c r="I505">
        <v>55.59</v>
      </c>
      <c r="J505" s="69" t="s">
        <v>12</v>
      </c>
      <c r="L505" s="15" t="str">
        <f t="shared" si="8"/>
        <v>112.2160.100</v>
      </c>
    </row>
    <row r="506" spans="1:12" x14ac:dyDescent="0.2">
      <c r="A506">
        <v>18988</v>
      </c>
      <c r="B506" t="s">
        <v>175</v>
      </c>
      <c r="C506">
        <v>12013250</v>
      </c>
      <c r="D506" t="s">
        <v>10</v>
      </c>
      <c r="E506">
        <v>151</v>
      </c>
      <c r="F506" t="s">
        <v>205</v>
      </c>
      <c r="G506" s="47" t="s">
        <v>206</v>
      </c>
      <c r="I506">
        <v>269.23</v>
      </c>
      <c r="J506" s="69" t="s">
        <v>12</v>
      </c>
      <c r="L506" s="15" t="str">
        <f t="shared" si="8"/>
        <v>112.2160.100</v>
      </c>
    </row>
    <row r="507" spans="1:12" x14ac:dyDescent="0.2">
      <c r="A507">
        <v>220</v>
      </c>
      <c r="B507" t="s">
        <v>14</v>
      </c>
      <c r="C507">
        <v>12013300</v>
      </c>
      <c r="D507" t="s">
        <v>15</v>
      </c>
      <c r="E507">
        <v>151</v>
      </c>
      <c r="F507" t="s">
        <v>205</v>
      </c>
      <c r="G507" s="47" t="s">
        <v>206</v>
      </c>
      <c r="I507">
        <v>965.43</v>
      </c>
      <c r="J507" s="69" t="s">
        <v>12</v>
      </c>
      <c r="L507" s="15" t="str">
        <f t="shared" si="8"/>
        <v>112.2160.100</v>
      </c>
    </row>
    <row r="508" spans="1:12" x14ac:dyDescent="0.2">
      <c r="A508">
        <v>18948</v>
      </c>
      <c r="B508" t="s">
        <v>142</v>
      </c>
      <c r="C508">
        <v>12018099</v>
      </c>
      <c r="D508" t="s">
        <v>17</v>
      </c>
      <c r="E508">
        <v>151</v>
      </c>
      <c r="F508" t="s">
        <v>205</v>
      </c>
      <c r="G508" s="47" t="s">
        <v>206</v>
      </c>
      <c r="I508">
        <v>1046.1600000000001</v>
      </c>
      <c r="J508" s="69" t="s">
        <v>12</v>
      </c>
      <c r="L508" s="15" t="str">
        <f t="shared" si="8"/>
        <v>112.2160.100</v>
      </c>
    </row>
    <row r="509" spans="1:12" x14ac:dyDescent="0.2">
      <c r="A509">
        <v>19022</v>
      </c>
      <c r="B509" t="s">
        <v>113</v>
      </c>
      <c r="C509">
        <v>12019199</v>
      </c>
      <c r="D509" t="s">
        <v>147</v>
      </c>
      <c r="E509">
        <v>151</v>
      </c>
      <c r="F509" t="s">
        <v>205</v>
      </c>
      <c r="G509" s="47" t="s">
        <v>206</v>
      </c>
      <c r="I509">
        <v>1338.46</v>
      </c>
      <c r="J509" s="69" t="s">
        <v>12</v>
      </c>
      <c r="L509" s="15" t="str">
        <f t="shared" si="8"/>
        <v>112.2160.100</v>
      </c>
    </row>
    <row r="510" spans="1:12" x14ac:dyDescent="0.2">
      <c r="A510">
        <v>18741</v>
      </c>
      <c r="B510" t="s">
        <v>179</v>
      </c>
      <c r="C510">
        <v>12019199</v>
      </c>
      <c r="D510" t="s">
        <v>147</v>
      </c>
      <c r="E510">
        <v>151</v>
      </c>
      <c r="F510" t="s">
        <v>205</v>
      </c>
      <c r="G510" s="47" t="s">
        <v>206</v>
      </c>
      <c r="I510">
        <v>653.84</v>
      </c>
      <c r="J510" s="69" t="s">
        <v>12</v>
      </c>
      <c r="L510" s="15" t="str">
        <f t="shared" si="8"/>
        <v>112.2160.100</v>
      </c>
    </row>
    <row r="511" spans="1:12" x14ac:dyDescent="0.2">
      <c r="A511">
        <v>18550</v>
      </c>
      <c r="B511" t="s">
        <v>165</v>
      </c>
      <c r="C511">
        <v>12019199</v>
      </c>
      <c r="D511" t="s">
        <v>147</v>
      </c>
      <c r="E511">
        <v>151</v>
      </c>
      <c r="F511" t="s">
        <v>205</v>
      </c>
      <c r="G511" s="47" t="s">
        <v>206</v>
      </c>
      <c r="I511">
        <v>379.13</v>
      </c>
      <c r="J511" s="69" t="s">
        <v>12</v>
      </c>
      <c r="L511" s="15" t="str">
        <f t="shared" si="8"/>
        <v>112.2160.100</v>
      </c>
    </row>
    <row r="512" spans="1:12" x14ac:dyDescent="0.2">
      <c r="A512">
        <v>18853</v>
      </c>
      <c r="B512" t="s">
        <v>146</v>
      </c>
      <c r="C512">
        <v>12019199</v>
      </c>
      <c r="D512" t="s">
        <v>147</v>
      </c>
      <c r="E512">
        <v>151</v>
      </c>
      <c r="F512" t="s">
        <v>205</v>
      </c>
      <c r="G512" s="47" t="s">
        <v>206</v>
      </c>
      <c r="I512">
        <v>607.04999999999995</v>
      </c>
      <c r="J512" s="69" t="s">
        <v>12</v>
      </c>
      <c r="L512" s="15" t="str">
        <f t="shared" si="8"/>
        <v>112.2160.100</v>
      </c>
    </row>
    <row r="513" spans="1:12" x14ac:dyDescent="0.2">
      <c r="A513">
        <v>19003</v>
      </c>
      <c r="B513" t="s">
        <v>388</v>
      </c>
      <c r="C513">
        <v>12019199</v>
      </c>
      <c r="D513" t="s">
        <v>147</v>
      </c>
      <c r="E513">
        <v>151</v>
      </c>
      <c r="F513" t="s">
        <v>205</v>
      </c>
      <c r="G513" s="47" t="s">
        <v>206</v>
      </c>
      <c r="I513">
        <v>311.54000000000002</v>
      </c>
      <c r="J513" s="69" t="s">
        <v>12</v>
      </c>
      <c r="L513" s="15" t="str">
        <f t="shared" si="8"/>
        <v>112.2160.100</v>
      </c>
    </row>
    <row r="514" spans="1:12" x14ac:dyDescent="0.2">
      <c r="A514">
        <v>18589</v>
      </c>
      <c r="B514" t="s">
        <v>75</v>
      </c>
      <c r="C514">
        <v>12020611</v>
      </c>
      <c r="D514" t="s">
        <v>23</v>
      </c>
      <c r="E514">
        <v>151</v>
      </c>
      <c r="F514" t="s">
        <v>205</v>
      </c>
      <c r="G514" s="47" t="s">
        <v>206</v>
      </c>
      <c r="I514">
        <v>444.74</v>
      </c>
      <c r="J514" s="69" t="s">
        <v>12</v>
      </c>
      <c r="L514" s="15" t="str">
        <f t="shared" si="8"/>
        <v>112.2160.100</v>
      </c>
    </row>
    <row r="515" spans="1:12" x14ac:dyDescent="0.2">
      <c r="A515">
        <v>18630</v>
      </c>
      <c r="B515" t="s">
        <v>204</v>
      </c>
      <c r="C515">
        <v>12020800</v>
      </c>
      <c r="D515" t="s">
        <v>27</v>
      </c>
      <c r="E515">
        <v>151</v>
      </c>
      <c r="F515" t="s">
        <v>205</v>
      </c>
      <c r="G515" s="47" t="s">
        <v>206</v>
      </c>
      <c r="I515">
        <v>196.05</v>
      </c>
      <c r="J515" s="69" t="s">
        <v>12</v>
      </c>
      <c r="L515" s="15" t="str">
        <f t="shared" si="8"/>
        <v>112.2160.100</v>
      </c>
    </row>
    <row r="516" spans="1:12" x14ac:dyDescent="0.2">
      <c r="A516">
        <v>18559</v>
      </c>
      <c r="B516" t="s">
        <v>87</v>
      </c>
      <c r="C516">
        <v>12021021</v>
      </c>
      <c r="D516" t="s">
        <v>29</v>
      </c>
      <c r="E516">
        <v>151</v>
      </c>
      <c r="F516" t="s">
        <v>205</v>
      </c>
      <c r="G516" s="47" t="s">
        <v>206</v>
      </c>
      <c r="I516">
        <v>4442.32</v>
      </c>
      <c r="J516" s="69" t="s">
        <v>12</v>
      </c>
      <c r="L516" s="15" t="str">
        <f t="shared" si="8"/>
        <v>112.2160.100</v>
      </c>
    </row>
    <row r="517" spans="1:12" x14ac:dyDescent="0.2">
      <c r="A517">
        <v>18781</v>
      </c>
      <c r="B517" t="s">
        <v>82</v>
      </c>
      <c r="C517">
        <v>12021021</v>
      </c>
      <c r="D517" t="s">
        <v>29</v>
      </c>
      <c r="E517">
        <v>151</v>
      </c>
      <c r="F517" t="s">
        <v>205</v>
      </c>
      <c r="G517" s="47" t="s">
        <v>206</v>
      </c>
      <c r="I517">
        <v>2822.7</v>
      </c>
      <c r="J517" s="69" t="s">
        <v>12</v>
      </c>
      <c r="L517" s="15" t="str">
        <f t="shared" si="8"/>
        <v>112.2160.100</v>
      </c>
    </row>
    <row r="518" spans="1:12" x14ac:dyDescent="0.2">
      <c r="A518">
        <v>18687</v>
      </c>
      <c r="B518" t="s">
        <v>83</v>
      </c>
      <c r="C518">
        <v>12021021</v>
      </c>
      <c r="D518" t="s">
        <v>29</v>
      </c>
      <c r="E518">
        <v>151</v>
      </c>
      <c r="F518" t="s">
        <v>205</v>
      </c>
      <c r="G518" s="47" t="s">
        <v>206</v>
      </c>
      <c r="I518">
        <v>2268.2600000000002</v>
      </c>
      <c r="J518" s="69" t="s">
        <v>12</v>
      </c>
      <c r="L518" s="15" t="str">
        <f t="shared" si="8"/>
        <v>112.2160.100</v>
      </c>
    </row>
    <row r="519" spans="1:12" x14ac:dyDescent="0.2">
      <c r="A519">
        <v>18659</v>
      </c>
      <c r="B519" t="s">
        <v>88</v>
      </c>
      <c r="C519">
        <v>12021021</v>
      </c>
      <c r="D519" t="s">
        <v>29</v>
      </c>
      <c r="E519">
        <v>151</v>
      </c>
      <c r="F519" t="s">
        <v>205</v>
      </c>
      <c r="G519" s="47" t="s">
        <v>206</v>
      </c>
      <c r="I519">
        <v>236.27</v>
      </c>
      <c r="J519" s="69" t="s">
        <v>12</v>
      </c>
      <c r="L519" s="15" t="str">
        <f t="shared" si="8"/>
        <v>112.2160.100</v>
      </c>
    </row>
    <row r="520" spans="1:12" x14ac:dyDescent="0.2">
      <c r="A520">
        <v>19033</v>
      </c>
      <c r="B520" t="s">
        <v>389</v>
      </c>
      <c r="C520">
        <v>12021021</v>
      </c>
      <c r="D520" t="s">
        <v>29</v>
      </c>
      <c r="E520">
        <v>151</v>
      </c>
      <c r="F520" t="s">
        <v>205</v>
      </c>
      <c r="G520" s="47" t="s">
        <v>206</v>
      </c>
      <c r="I520">
        <v>180.54</v>
      </c>
      <c r="J520" s="69" t="s">
        <v>12</v>
      </c>
      <c r="L520" s="15" t="str">
        <f t="shared" si="8"/>
        <v>112.2160.100</v>
      </c>
    </row>
    <row r="521" spans="1:12" x14ac:dyDescent="0.2">
      <c r="A521">
        <v>141</v>
      </c>
      <c r="B521" t="s">
        <v>185</v>
      </c>
      <c r="C521">
        <v>12022511</v>
      </c>
      <c r="D521" t="s">
        <v>32</v>
      </c>
      <c r="E521">
        <v>151</v>
      </c>
      <c r="F521" t="s">
        <v>205</v>
      </c>
      <c r="G521" s="47" t="s">
        <v>206</v>
      </c>
      <c r="I521">
        <v>361.08</v>
      </c>
      <c r="J521" s="69" t="s">
        <v>12</v>
      </c>
      <c r="L521" s="15" t="str">
        <f t="shared" si="8"/>
        <v>112.2160.100</v>
      </c>
    </row>
    <row r="522" spans="1:12" x14ac:dyDescent="0.2">
      <c r="A522">
        <v>18961</v>
      </c>
      <c r="B522" t="s">
        <v>90</v>
      </c>
      <c r="C522">
        <v>12022511</v>
      </c>
      <c r="D522" t="s">
        <v>32</v>
      </c>
      <c r="E522">
        <v>151</v>
      </c>
      <c r="F522" t="s">
        <v>205</v>
      </c>
      <c r="G522" s="47" t="s">
        <v>206</v>
      </c>
      <c r="I522">
        <v>196.05</v>
      </c>
      <c r="J522" s="69" t="s">
        <v>12</v>
      </c>
      <c r="L522" s="15" t="str">
        <f t="shared" si="8"/>
        <v>112.2160.100</v>
      </c>
    </row>
    <row r="523" spans="1:12" x14ac:dyDescent="0.2">
      <c r="A523">
        <v>11229</v>
      </c>
      <c r="B523" t="s">
        <v>31</v>
      </c>
      <c r="C523">
        <v>12022511</v>
      </c>
      <c r="D523" t="s">
        <v>32</v>
      </c>
      <c r="E523">
        <v>151</v>
      </c>
      <c r="F523" t="s">
        <v>205</v>
      </c>
      <c r="G523" s="47" t="s">
        <v>206</v>
      </c>
      <c r="I523">
        <v>299.32</v>
      </c>
      <c r="J523" s="69" t="s">
        <v>12</v>
      </c>
      <c r="L523" s="15" t="str">
        <f t="shared" si="8"/>
        <v>112.2160.100</v>
      </c>
    </row>
    <row r="524" spans="1:12" x14ac:dyDescent="0.2">
      <c r="A524">
        <v>19007</v>
      </c>
      <c r="B524" t="s">
        <v>189</v>
      </c>
      <c r="C524">
        <v>12023011</v>
      </c>
      <c r="D524" t="s">
        <v>93</v>
      </c>
      <c r="E524">
        <v>151</v>
      </c>
      <c r="F524" t="s">
        <v>205</v>
      </c>
      <c r="G524" s="47" t="s">
        <v>206</v>
      </c>
      <c r="I524">
        <v>51.59</v>
      </c>
      <c r="J524" s="69" t="s">
        <v>12</v>
      </c>
      <c r="L524" s="15" t="str">
        <f t="shared" si="8"/>
        <v>112.2160.100</v>
      </c>
    </row>
    <row r="525" spans="1:12" x14ac:dyDescent="0.2">
      <c r="A525">
        <v>19032</v>
      </c>
      <c r="B525" t="s">
        <v>386</v>
      </c>
      <c r="C525">
        <v>12023011</v>
      </c>
      <c r="D525" t="s">
        <v>93</v>
      </c>
      <c r="E525">
        <v>151</v>
      </c>
      <c r="F525" t="s">
        <v>205</v>
      </c>
      <c r="G525" s="47" t="s">
        <v>206</v>
      </c>
      <c r="I525">
        <v>196.05</v>
      </c>
      <c r="J525" s="69" t="s">
        <v>12</v>
      </c>
      <c r="L525" s="15" t="str">
        <f t="shared" si="8"/>
        <v>112.2160.100</v>
      </c>
    </row>
    <row r="526" spans="1:12" x14ac:dyDescent="0.2">
      <c r="A526">
        <v>19038</v>
      </c>
      <c r="B526" t="s">
        <v>449</v>
      </c>
      <c r="C526">
        <v>12023021</v>
      </c>
      <c r="D526" t="s">
        <v>98</v>
      </c>
      <c r="E526">
        <v>151</v>
      </c>
      <c r="F526" t="s">
        <v>205</v>
      </c>
      <c r="G526" s="47" t="s">
        <v>206</v>
      </c>
      <c r="I526">
        <v>326.92</v>
      </c>
      <c r="J526" s="69" t="s">
        <v>12</v>
      </c>
      <c r="L526" s="15" t="str">
        <f t="shared" si="8"/>
        <v>112.2160.100</v>
      </c>
    </row>
    <row r="527" spans="1:12" x14ac:dyDescent="0.2">
      <c r="A527">
        <v>18581</v>
      </c>
      <c r="B527" t="s">
        <v>190</v>
      </c>
      <c r="C527">
        <v>12024021</v>
      </c>
      <c r="D527" t="s">
        <v>191</v>
      </c>
      <c r="E527">
        <v>151</v>
      </c>
      <c r="F527" t="s">
        <v>205</v>
      </c>
      <c r="G527" s="47" t="s">
        <v>206</v>
      </c>
      <c r="I527">
        <v>1265.04</v>
      </c>
      <c r="J527" s="69" t="s">
        <v>12</v>
      </c>
      <c r="L527" s="15" t="str">
        <f t="shared" si="8"/>
        <v>112.2160.100</v>
      </c>
    </row>
    <row r="528" spans="1:12" x14ac:dyDescent="0.2">
      <c r="A528">
        <v>44705</v>
      </c>
      <c r="B528" t="s">
        <v>149</v>
      </c>
      <c r="C528">
        <v>12028099</v>
      </c>
      <c r="D528" t="s">
        <v>150</v>
      </c>
      <c r="E528">
        <v>151</v>
      </c>
      <c r="F528" t="s">
        <v>205</v>
      </c>
      <c r="G528" s="47" t="s">
        <v>206</v>
      </c>
      <c r="I528">
        <v>821.86</v>
      </c>
      <c r="J528" s="69" t="s">
        <v>12</v>
      </c>
      <c r="L528" s="15" t="str">
        <f t="shared" si="8"/>
        <v>112.2160.100</v>
      </c>
    </row>
    <row r="529" spans="1:12" x14ac:dyDescent="0.2">
      <c r="A529">
        <v>18805</v>
      </c>
      <c r="B529" t="s">
        <v>192</v>
      </c>
      <c r="C529">
        <v>12030400</v>
      </c>
      <c r="D529" t="s">
        <v>62</v>
      </c>
      <c r="E529">
        <v>151</v>
      </c>
      <c r="F529" t="s">
        <v>205</v>
      </c>
      <c r="G529" s="47" t="s">
        <v>206</v>
      </c>
      <c r="I529">
        <v>461.54</v>
      </c>
      <c r="J529" s="69" t="s">
        <v>12</v>
      </c>
      <c r="L529" s="15" t="str">
        <f t="shared" si="8"/>
        <v>112.2160.100</v>
      </c>
    </row>
    <row r="530" spans="1:12" x14ac:dyDescent="0.2">
      <c r="A530">
        <v>302</v>
      </c>
      <c r="B530" t="s">
        <v>33</v>
      </c>
      <c r="C530">
        <v>12030500</v>
      </c>
      <c r="D530" t="s">
        <v>34</v>
      </c>
      <c r="E530">
        <v>151</v>
      </c>
      <c r="F530" t="s">
        <v>205</v>
      </c>
      <c r="G530" s="47" t="s">
        <v>206</v>
      </c>
      <c r="I530">
        <v>1143.26</v>
      </c>
      <c r="J530" s="69" t="s">
        <v>12</v>
      </c>
      <c r="L530" s="15" t="str">
        <f t="shared" si="8"/>
        <v>112.2160.100</v>
      </c>
    </row>
    <row r="531" spans="1:12" x14ac:dyDescent="0.2">
      <c r="A531">
        <v>266</v>
      </c>
      <c r="B531" t="s">
        <v>194</v>
      </c>
      <c r="C531">
        <v>12030500</v>
      </c>
      <c r="D531" t="s">
        <v>34</v>
      </c>
      <c r="E531">
        <v>151</v>
      </c>
      <c r="F531" t="s">
        <v>205</v>
      </c>
      <c r="G531" s="47" t="s">
        <v>206</v>
      </c>
      <c r="I531">
        <v>495.16</v>
      </c>
      <c r="J531" s="69" t="s">
        <v>12</v>
      </c>
      <c r="L531" s="15" t="str">
        <f t="shared" si="8"/>
        <v>112.2160.100</v>
      </c>
    </row>
    <row r="532" spans="1:12" x14ac:dyDescent="0.2">
      <c r="A532">
        <v>18979</v>
      </c>
      <c r="B532" t="s">
        <v>39</v>
      </c>
      <c r="C532">
        <v>12030611</v>
      </c>
      <c r="D532" t="s">
        <v>36</v>
      </c>
      <c r="E532">
        <v>151</v>
      </c>
      <c r="F532" t="s">
        <v>205</v>
      </c>
      <c r="G532" s="47" t="s">
        <v>206</v>
      </c>
      <c r="I532">
        <v>174.78</v>
      </c>
      <c r="J532" s="69" t="s">
        <v>12</v>
      </c>
      <c r="L532" s="15" t="str">
        <f t="shared" si="8"/>
        <v>112.2160.100</v>
      </c>
    </row>
    <row r="533" spans="1:12" x14ac:dyDescent="0.2">
      <c r="A533">
        <v>18822</v>
      </c>
      <c r="B533" t="s">
        <v>103</v>
      </c>
      <c r="C533">
        <v>12030611</v>
      </c>
      <c r="D533" t="s">
        <v>36</v>
      </c>
      <c r="E533">
        <v>151</v>
      </c>
      <c r="F533" t="s">
        <v>205</v>
      </c>
      <c r="G533" s="47" t="s">
        <v>206</v>
      </c>
      <c r="I533">
        <v>196.05</v>
      </c>
      <c r="J533" s="69" t="s">
        <v>12</v>
      </c>
      <c r="L533" s="15" t="str">
        <f t="shared" si="8"/>
        <v>112.2160.100</v>
      </c>
    </row>
    <row r="534" spans="1:12" x14ac:dyDescent="0.2">
      <c r="A534">
        <v>18736</v>
      </c>
      <c r="B534" t="s">
        <v>70</v>
      </c>
      <c r="C534">
        <v>12032511</v>
      </c>
      <c r="D534" t="s">
        <v>43</v>
      </c>
      <c r="E534">
        <v>151</v>
      </c>
      <c r="F534" t="s">
        <v>205</v>
      </c>
      <c r="G534" s="47" t="s">
        <v>206</v>
      </c>
      <c r="I534">
        <v>166.78</v>
      </c>
      <c r="J534" s="69" t="s">
        <v>12</v>
      </c>
      <c r="L534" s="15" t="str">
        <f t="shared" si="8"/>
        <v>112.2160.100</v>
      </c>
    </row>
    <row r="535" spans="1:12" x14ac:dyDescent="0.2">
      <c r="A535">
        <v>19019</v>
      </c>
      <c r="B535" t="s">
        <v>108</v>
      </c>
      <c r="C535">
        <v>12033011</v>
      </c>
      <c r="D535" t="s">
        <v>45</v>
      </c>
      <c r="E535">
        <v>151</v>
      </c>
      <c r="F535" t="s">
        <v>205</v>
      </c>
      <c r="G535" s="47" t="s">
        <v>206</v>
      </c>
      <c r="I535">
        <v>95.02</v>
      </c>
      <c r="J535" s="69" t="s">
        <v>12</v>
      </c>
      <c r="L535" s="15" t="str">
        <f t="shared" si="8"/>
        <v>112.2160.100</v>
      </c>
    </row>
    <row r="536" spans="1:12" x14ac:dyDescent="0.2">
      <c r="A536">
        <v>19015</v>
      </c>
      <c r="B536" t="s">
        <v>116</v>
      </c>
      <c r="C536">
        <v>12033011</v>
      </c>
      <c r="D536" t="s">
        <v>45</v>
      </c>
      <c r="E536">
        <v>151</v>
      </c>
      <c r="F536" t="s">
        <v>205</v>
      </c>
      <c r="G536" s="47" t="s">
        <v>206</v>
      </c>
      <c r="I536">
        <v>95.02</v>
      </c>
      <c r="J536" s="69" t="s">
        <v>12</v>
      </c>
      <c r="L536" s="15" t="str">
        <f t="shared" si="8"/>
        <v>112.2160.100</v>
      </c>
    </row>
    <row r="537" spans="1:12" x14ac:dyDescent="0.2">
      <c r="A537">
        <v>18923</v>
      </c>
      <c r="B537" t="s">
        <v>46</v>
      </c>
      <c r="C537">
        <v>12033011</v>
      </c>
      <c r="D537" t="s">
        <v>45</v>
      </c>
      <c r="E537">
        <v>151</v>
      </c>
      <c r="F537" t="s">
        <v>205</v>
      </c>
      <c r="G537" s="47" t="s">
        <v>206</v>
      </c>
      <c r="I537">
        <v>349.56</v>
      </c>
      <c r="J537" s="69" t="s">
        <v>12</v>
      </c>
      <c r="L537" s="15" t="str">
        <f t="shared" si="8"/>
        <v>112.2160.100</v>
      </c>
    </row>
    <row r="538" spans="1:12" x14ac:dyDescent="0.2">
      <c r="A538">
        <v>18932</v>
      </c>
      <c r="B538" t="s">
        <v>44</v>
      </c>
      <c r="C538">
        <v>12033011</v>
      </c>
      <c r="D538" t="s">
        <v>45</v>
      </c>
      <c r="E538">
        <v>151</v>
      </c>
      <c r="F538" t="s">
        <v>205</v>
      </c>
      <c r="G538" s="47" t="s">
        <v>206</v>
      </c>
      <c r="I538">
        <v>889.48</v>
      </c>
      <c r="J538" s="69" t="s">
        <v>12</v>
      </c>
      <c r="L538" s="15" t="str">
        <f t="shared" si="8"/>
        <v>112.2160.100</v>
      </c>
    </row>
    <row r="539" spans="1:12" x14ac:dyDescent="0.2">
      <c r="A539">
        <v>18998</v>
      </c>
      <c r="B539" t="s">
        <v>47</v>
      </c>
      <c r="C539">
        <v>12038099</v>
      </c>
      <c r="D539" t="s">
        <v>48</v>
      </c>
      <c r="E539">
        <v>151</v>
      </c>
      <c r="F539" t="s">
        <v>205</v>
      </c>
      <c r="G539" s="47" t="s">
        <v>206</v>
      </c>
      <c r="I539">
        <v>1153.8499999999999</v>
      </c>
      <c r="J539" s="69" t="s">
        <v>12</v>
      </c>
      <c r="L539" s="15" t="str">
        <f t="shared" si="8"/>
        <v>112.2160.100</v>
      </c>
    </row>
    <row r="540" spans="1:12" x14ac:dyDescent="0.2">
      <c r="A540">
        <v>18904</v>
      </c>
      <c r="B540" t="s">
        <v>119</v>
      </c>
      <c r="C540">
        <v>12040800</v>
      </c>
      <c r="D540" t="s">
        <v>120</v>
      </c>
      <c r="E540">
        <v>151</v>
      </c>
      <c r="F540" t="s">
        <v>205</v>
      </c>
      <c r="G540" s="47" t="s">
        <v>206</v>
      </c>
      <c r="I540">
        <v>980.23</v>
      </c>
      <c r="J540" s="69" t="s">
        <v>12</v>
      </c>
      <c r="L540" s="15" t="str">
        <f t="shared" si="8"/>
        <v>112.2160.100</v>
      </c>
    </row>
    <row r="541" spans="1:12" x14ac:dyDescent="0.2">
      <c r="A541">
        <v>18650</v>
      </c>
      <c r="B541" t="s">
        <v>49</v>
      </c>
      <c r="C541">
        <v>12042511</v>
      </c>
      <c r="D541" t="s">
        <v>50</v>
      </c>
      <c r="E541">
        <v>151</v>
      </c>
      <c r="F541" t="s">
        <v>205</v>
      </c>
      <c r="G541" s="47" t="s">
        <v>206</v>
      </c>
      <c r="I541">
        <v>465.02</v>
      </c>
      <c r="J541" s="69" t="s">
        <v>12</v>
      </c>
      <c r="L541" s="15" t="str">
        <f t="shared" si="8"/>
        <v>112.2160.100</v>
      </c>
    </row>
    <row r="542" spans="1:12" x14ac:dyDescent="0.2">
      <c r="A542">
        <v>18990</v>
      </c>
      <c r="B542" t="s">
        <v>125</v>
      </c>
      <c r="C542">
        <v>12043011</v>
      </c>
      <c r="D542" t="s">
        <v>52</v>
      </c>
      <c r="E542">
        <v>151</v>
      </c>
      <c r="F542" t="s">
        <v>205</v>
      </c>
      <c r="G542" s="47" t="s">
        <v>206</v>
      </c>
      <c r="I542">
        <v>541.62</v>
      </c>
      <c r="J542" s="69" t="s">
        <v>12</v>
      </c>
      <c r="L542" s="15" t="str">
        <f t="shared" si="8"/>
        <v>112.2160.100</v>
      </c>
    </row>
    <row r="543" spans="1:12" x14ac:dyDescent="0.2">
      <c r="A543">
        <v>18850</v>
      </c>
      <c r="B543" t="s">
        <v>123</v>
      </c>
      <c r="C543">
        <v>12043011</v>
      </c>
      <c r="D543" t="s">
        <v>52</v>
      </c>
      <c r="E543">
        <v>151</v>
      </c>
      <c r="F543" t="s">
        <v>205</v>
      </c>
      <c r="G543" s="47" t="s">
        <v>206</v>
      </c>
      <c r="I543">
        <v>3029.33</v>
      </c>
      <c r="J543" s="69" t="s">
        <v>12</v>
      </c>
      <c r="L543" s="15" t="str">
        <f t="shared" si="8"/>
        <v>112.2160.100</v>
      </c>
    </row>
    <row r="544" spans="1:12" x14ac:dyDescent="0.2">
      <c r="A544">
        <v>19031</v>
      </c>
      <c r="B544" t="s">
        <v>387</v>
      </c>
      <c r="C544">
        <v>12048099</v>
      </c>
      <c r="D544" t="s">
        <v>156</v>
      </c>
      <c r="E544">
        <v>151</v>
      </c>
      <c r="F544" t="s">
        <v>205</v>
      </c>
      <c r="G544" s="47" t="s">
        <v>206</v>
      </c>
      <c r="I544">
        <v>326.92</v>
      </c>
      <c r="J544" s="69" t="s">
        <v>12</v>
      </c>
      <c r="L544" s="15" t="str">
        <f t="shared" si="8"/>
        <v>112.2160.100</v>
      </c>
    </row>
    <row r="545" spans="1:12" x14ac:dyDescent="0.2">
      <c r="A545">
        <v>18898</v>
      </c>
      <c r="B545" t="s">
        <v>130</v>
      </c>
      <c r="C545">
        <v>12060611</v>
      </c>
      <c r="D545" t="s">
        <v>54</v>
      </c>
      <c r="E545">
        <v>151</v>
      </c>
      <c r="F545" t="s">
        <v>205</v>
      </c>
      <c r="G545" s="47" t="s">
        <v>206</v>
      </c>
      <c r="I545">
        <v>887.38</v>
      </c>
      <c r="J545" s="69" t="s">
        <v>12</v>
      </c>
      <c r="L545" s="15" t="str">
        <f t="shared" si="8"/>
        <v>112.2160.100</v>
      </c>
    </row>
    <row r="546" spans="1:12" x14ac:dyDescent="0.2">
      <c r="A546">
        <v>18634</v>
      </c>
      <c r="B546" t="s">
        <v>129</v>
      </c>
      <c r="C546">
        <v>12060611</v>
      </c>
      <c r="D546" t="s">
        <v>54</v>
      </c>
      <c r="E546">
        <v>151</v>
      </c>
      <c r="F546" t="s">
        <v>205</v>
      </c>
      <c r="G546" s="47" t="s">
        <v>206</v>
      </c>
      <c r="I546">
        <v>248.7</v>
      </c>
      <c r="J546" s="69" t="s">
        <v>12</v>
      </c>
      <c r="L546" s="15" t="str">
        <f t="shared" si="8"/>
        <v>112.2160.100</v>
      </c>
    </row>
    <row r="547" spans="1:12" x14ac:dyDescent="0.2">
      <c r="A547">
        <v>18996</v>
      </c>
      <c r="B547" t="s">
        <v>127</v>
      </c>
      <c r="C547">
        <v>12060611</v>
      </c>
      <c r="D547" t="s">
        <v>54</v>
      </c>
      <c r="E547">
        <v>151</v>
      </c>
      <c r="F547" t="s">
        <v>205</v>
      </c>
      <c r="G547" s="47" t="s">
        <v>206</v>
      </c>
      <c r="I547">
        <v>196.05</v>
      </c>
      <c r="J547" s="69" t="s">
        <v>12</v>
      </c>
      <c r="L547" s="15" t="str">
        <f t="shared" si="8"/>
        <v>112.2160.100</v>
      </c>
    </row>
    <row r="548" spans="1:12" x14ac:dyDescent="0.2">
      <c r="A548">
        <v>18791</v>
      </c>
      <c r="B548" t="s">
        <v>132</v>
      </c>
      <c r="C548">
        <v>12060711</v>
      </c>
      <c r="D548" t="s">
        <v>133</v>
      </c>
      <c r="E548">
        <v>151</v>
      </c>
      <c r="F548" t="s">
        <v>205</v>
      </c>
      <c r="G548" s="47" t="s">
        <v>206</v>
      </c>
      <c r="I548">
        <v>1922.08</v>
      </c>
      <c r="J548" s="69" t="s">
        <v>12</v>
      </c>
      <c r="L548" s="15" t="str">
        <f t="shared" si="8"/>
        <v>112.2160.100</v>
      </c>
    </row>
    <row r="549" spans="1:12" x14ac:dyDescent="0.2">
      <c r="A549">
        <v>18953</v>
      </c>
      <c r="B549" t="s">
        <v>136</v>
      </c>
      <c r="C549">
        <v>12060800</v>
      </c>
      <c r="D549" t="s">
        <v>135</v>
      </c>
      <c r="E549">
        <v>151</v>
      </c>
      <c r="F549" t="s">
        <v>205</v>
      </c>
      <c r="G549" s="47" t="s">
        <v>206</v>
      </c>
      <c r="I549">
        <v>722.16</v>
      </c>
      <c r="J549" s="69" t="s">
        <v>12</v>
      </c>
      <c r="L549" s="15" t="str">
        <f t="shared" si="8"/>
        <v>112.2160.100</v>
      </c>
    </row>
    <row r="550" spans="1:12" x14ac:dyDescent="0.2">
      <c r="A550">
        <v>18647</v>
      </c>
      <c r="B550" t="s">
        <v>167</v>
      </c>
      <c r="C550">
        <v>12010500</v>
      </c>
      <c r="D550" t="s">
        <v>60</v>
      </c>
      <c r="E550">
        <v>235</v>
      </c>
      <c r="F550" t="s">
        <v>207</v>
      </c>
      <c r="G550" s="47">
        <v>112.215</v>
      </c>
      <c r="I550">
        <v>1072</v>
      </c>
      <c r="J550" s="69" t="s">
        <v>12</v>
      </c>
      <c r="L550" s="15">
        <f t="shared" si="8"/>
        <v>112.215</v>
      </c>
    </row>
    <row r="551" spans="1:12" x14ac:dyDescent="0.2">
      <c r="A551">
        <v>18726</v>
      </c>
      <c r="B551" t="s">
        <v>162</v>
      </c>
      <c r="C551">
        <v>12010500</v>
      </c>
      <c r="D551" t="s">
        <v>60</v>
      </c>
      <c r="E551">
        <v>235</v>
      </c>
      <c r="F551" t="s">
        <v>207</v>
      </c>
      <c r="G551" s="47">
        <v>112.215</v>
      </c>
      <c r="I551">
        <v>706</v>
      </c>
      <c r="J551" s="69" t="s">
        <v>12</v>
      </c>
      <c r="L551" s="15">
        <f t="shared" si="8"/>
        <v>112.215</v>
      </c>
    </row>
    <row r="552" spans="1:12" x14ac:dyDescent="0.2">
      <c r="A552">
        <v>18517</v>
      </c>
      <c r="B552" t="s">
        <v>140</v>
      </c>
      <c r="C552">
        <v>12010500</v>
      </c>
      <c r="D552" t="s">
        <v>60</v>
      </c>
      <c r="E552">
        <v>235</v>
      </c>
      <c r="F552" t="s">
        <v>207</v>
      </c>
      <c r="G552" s="47">
        <v>112.215</v>
      </c>
      <c r="I552">
        <v>1618</v>
      </c>
      <c r="J552" s="69" t="s">
        <v>12</v>
      </c>
      <c r="L552" s="15">
        <f t="shared" si="8"/>
        <v>112.215</v>
      </c>
    </row>
    <row r="553" spans="1:12" x14ac:dyDescent="0.2">
      <c r="A553">
        <v>18871</v>
      </c>
      <c r="B553" t="s">
        <v>168</v>
      </c>
      <c r="C553">
        <v>12010500</v>
      </c>
      <c r="D553" t="s">
        <v>60</v>
      </c>
      <c r="E553">
        <v>235</v>
      </c>
      <c r="F553" t="s">
        <v>207</v>
      </c>
      <c r="G553" s="47">
        <v>112.215</v>
      </c>
      <c r="I553">
        <v>1094</v>
      </c>
      <c r="J553" s="69" t="s">
        <v>12</v>
      </c>
      <c r="L553" s="15">
        <f t="shared" si="8"/>
        <v>112.215</v>
      </c>
    </row>
    <row r="554" spans="1:12" x14ac:dyDescent="0.2">
      <c r="A554">
        <v>152</v>
      </c>
      <c r="B554" t="s">
        <v>169</v>
      </c>
      <c r="C554">
        <v>12010700</v>
      </c>
      <c r="D554" t="s">
        <v>170</v>
      </c>
      <c r="E554">
        <v>235</v>
      </c>
      <c r="F554" t="s">
        <v>207</v>
      </c>
      <c r="G554" s="47">
        <v>112.215</v>
      </c>
      <c r="I554">
        <v>962</v>
      </c>
      <c r="J554" s="69" t="s">
        <v>12</v>
      </c>
      <c r="L554" s="15">
        <f t="shared" si="8"/>
        <v>112.215</v>
      </c>
    </row>
    <row r="555" spans="1:12" x14ac:dyDescent="0.2">
      <c r="A555">
        <v>18736</v>
      </c>
      <c r="B555" t="s">
        <v>70</v>
      </c>
      <c r="C555">
        <v>12013012</v>
      </c>
      <c r="D555" t="s">
        <v>71</v>
      </c>
      <c r="E555">
        <v>235</v>
      </c>
      <c r="F555" t="s">
        <v>207</v>
      </c>
      <c r="G555" s="47">
        <v>112.215</v>
      </c>
      <c r="I555">
        <v>180.5</v>
      </c>
      <c r="J555" s="69" t="s">
        <v>12</v>
      </c>
      <c r="L555" s="15">
        <f t="shared" si="8"/>
        <v>112.215</v>
      </c>
    </row>
    <row r="556" spans="1:12" x14ac:dyDescent="0.2">
      <c r="A556">
        <v>19014</v>
      </c>
      <c r="B556" t="s">
        <v>171</v>
      </c>
      <c r="C556">
        <v>12013012</v>
      </c>
      <c r="D556" t="s">
        <v>71</v>
      </c>
      <c r="E556">
        <v>235</v>
      </c>
      <c r="F556" t="s">
        <v>207</v>
      </c>
      <c r="G556" s="47">
        <v>112.215</v>
      </c>
      <c r="I556">
        <v>574</v>
      </c>
      <c r="J556" s="69" t="s">
        <v>12</v>
      </c>
      <c r="L556" s="15">
        <f t="shared" si="8"/>
        <v>112.215</v>
      </c>
    </row>
    <row r="557" spans="1:12" x14ac:dyDescent="0.2">
      <c r="A557">
        <v>18721</v>
      </c>
      <c r="B557" t="s">
        <v>172</v>
      </c>
      <c r="C557">
        <v>12013250</v>
      </c>
      <c r="D557" t="s">
        <v>10</v>
      </c>
      <c r="E557">
        <v>235</v>
      </c>
      <c r="F557" t="s">
        <v>207</v>
      </c>
      <c r="G557" s="47">
        <v>112.215</v>
      </c>
      <c r="I557">
        <v>604</v>
      </c>
      <c r="J557" s="69" t="s">
        <v>12</v>
      </c>
      <c r="L557" s="15">
        <f t="shared" si="8"/>
        <v>112.215</v>
      </c>
    </row>
    <row r="558" spans="1:12" x14ac:dyDescent="0.2">
      <c r="A558">
        <v>18946</v>
      </c>
      <c r="B558" t="s">
        <v>13</v>
      </c>
      <c r="C558">
        <v>12013250</v>
      </c>
      <c r="D558" t="s">
        <v>10</v>
      </c>
      <c r="E558">
        <v>235</v>
      </c>
      <c r="F558" t="s">
        <v>207</v>
      </c>
      <c r="G558" s="47">
        <v>112.215</v>
      </c>
      <c r="I558">
        <v>364</v>
      </c>
      <c r="J558" s="69" t="s">
        <v>12</v>
      </c>
      <c r="L558" s="15">
        <f t="shared" si="8"/>
        <v>112.215</v>
      </c>
    </row>
    <row r="559" spans="1:12" x14ac:dyDescent="0.2">
      <c r="A559">
        <v>18988</v>
      </c>
      <c r="B559" t="s">
        <v>175</v>
      </c>
      <c r="C559">
        <v>12013250</v>
      </c>
      <c r="D559" t="s">
        <v>10</v>
      </c>
      <c r="E559">
        <v>235</v>
      </c>
      <c r="F559" t="s">
        <v>207</v>
      </c>
      <c r="G559" s="47">
        <v>112.215</v>
      </c>
      <c r="I559">
        <v>564</v>
      </c>
      <c r="J559" s="69" t="s">
        <v>12</v>
      </c>
      <c r="L559" s="15">
        <f t="shared" si="8"/>
        <v>112.215</v>
      </c>
    </row>
    <row r="560" spans="1:12" x14ac:dyDescent="0.2">
      <c r="A560">
        <v>18920</v>
      </c>
      <c r="B560" t="s">
        <v>9</v>
      </c>
      <c r="C560">
        <v>12013250</v>
      </c>
      <c r="D560" t="s">
        <v>10</v>
      </c>
      <c r="E560">
        <v>235</v>
      </c>
      <c r="F560" t="s">
        <v>207</v>
      </c>
      <c r="G560" s="47">
        <v>112.215</v>
      </c>
      <c r="I560">
        <v>1556</v>
      </c>
      <c r="J560" s="69" t="s">
        <v>12</v>
      </c>
      <c r="L560" s="15">
        <f t="shared" si="8"/>
        <v>112.215</v>
      </c>
    </row>
    <row r="561" spans="1:12" x14ac:dyDescent="0.2">
      <c r="A561">
        <v>18987</v>
      </c>
      <c r="B561" t="s">
        <v>173</v>
      </c>
      <c r="C561">
        <v>12013250</v>
      </c>
      <c r="D561" t="s">
        <v>10</v>
      </c>
      <c r="E561">
        <v>235</v>
      </c>
      <c r="F561" t="s">
        <v>207</v>
      </c>
      <c r="G561" s="47">
        <v>112.215</v>
      </c>
      <c r="I561">
        <v>696</v>
      </c>
      <c r="J561" s="69" t="s">
        <v>12</v>
      </c>
      <c r="L561" s="15">
        <f t="shared" si="8"/>
        <v>112.215</v>
      </c>
    </row>
    <row r="562" spans="1:12" x14ac:dyDescent="0.2">
      <c r="A562">
        <v>18995</v>
      </c>
      <c r="B562" t="s">
        <v>174</v>
      </c>
      <c r="C562">
        <v>12013250</v>
      </c>
      <c r="D562" t="s">
        <v>10</v>
      </c>
      <c r="E562">
        <v>235</v>
      </c>
      <c r="F562" t="s">
        <v>207</v>
      </c>
      <c r="G562" s="47">
        <v>112.215</v>
      </c>
      <c r="I562">
        <v>430</v>
      </c>
      <c r="J562" s="69" t="s">
        <v>12</v>
      </c>
      <c r="L562" s="15">
        <f t="shared" si="8"/>
        <v>112.215</v>
      </c>
    </row>
    <row r="563" spans="1:12" x14ac:dyDescent="0.2">
      <c r="A563">
        <v>18997</v>
      </c>
      <c r="B563" t="s">
        <v>141</v>
      </c>
      <c r="C563">
        <v>12013250</v>
      </c>
      <c r="D563" t="s">
        <v>10</v>
      </c>
      <c r="E563">
        <v>235</v>
      </c>
      <c r="F563" t="s">
        <v>207</v>
      </c>
      <c r="G563" s="47">
        <v>112.215</v>
      </c>
      <c r="I563">
        <v>1292</v>
      </c>
      <c r="J563" s="69" t="s">
        <v>12</v>
      </c>
      <c r="L563" s="15">
        <f t="shared" si="8"/>
        <v>112.215</v>
      </c>
    </row>
    <row r="564" spans="1:12" x14ac:dyDescent="0.2">
      <c r="A564">
        <v>220</v>
      </c>
      <c r="B564" t="s">
        <v>14</v>
      </c>
      <c r="C564">
        <v>12013300</v>
      </c>
      <c r="D564" t="s">
        <v>15</v>
      </c>
      <c r="E564">
        <v>235</v>
      </c>
      <c r="F564" t="s">
        <v>207</v>
      </c>
      <c r="G564" s="47">
        <v>112.215</v>
      </c>
      <c r="I564">
        <v>770</v>
      </c>
      <c r="J564" s="69" t="s">
        <v>12</v>
      </c>
      <c r="L564" s="15">
        <f t="shared" si="8"/>
        <v>112.215</v>
      </c>
    </row>
    <row r="565" spans="1:12" x14ac:dyDescent="0.2">
      <c r="A565">
        <v>18948</v>
      </c>
      <c r="B565" t="s">
        <v>142</v>
      </c>
      <c r="C565">
        <v>12018099</v>
      </c>
      <c r="D565" t="s">
        <v>17</v>
      </c>
      <c r="E565">
        <v>235</v>
      </c>
      <c r="F565" t="s">
        <v>207</v>
      </c>
      <c r="G565" s="47">
        <v>112.215</v>
      </c>
      <c r="I565">
        <v>776</v>
      </c>
      <c r="J565" s="69" t="s">
        <v>12</v>
      </c>
      <c r="L565" s="15">
        <f t="shared" si="8"/>
        <v>112.215</v>
      </c>
    </row>
    <row r="566" spans="1:12" x14ac:dyDescent="0.2">
      <c r="A566">
        <v>18716</v>
      </c>
      <c r="B566" t="s">
        <v>16</v>
      </c>
      <c r="C566">
        <v>12018099</v>
      </c>
      <c r="D566" t="s">
        <v>17</v>
      </c>
      <c r="E566">
        <v>235</v>
      </c>
      <c r="F566" t="s">
        <v>207</v>
      </c>
      <c r="G566" s="47">
        <v>112.215</v>
      </c>
      <c r="I566">
        <v>1798</v>
      </c>
      <c r="J566" s="69" t="s">
        <v>12</v>
      </c>
      <c r="L566" s="15">
        <f t="shared" si="8"/>
        <v>112.215</v>
      </c>
    </row>
    <row r="567" spans="1:12" x14ac:dyDescent="0.2">
      <c r="A567">
        <v>18862</v>
      </c>
      <c r="B567" t="s">
        <v>145</v>
      </c>
      <c r="C567">
        <v>12018599</v>
      </c>
      <c r="D567" t="s">
        <v>144</v>
      </c>
      <c r="E567">
        <v>235</v>
      </c>
      <c r="F567" t="s">
        <v>207</v>
      </c>
      <c r="G567" s="47">
        <v>112.215</v>
      </c>
      <c r="I567">
        <v>630</v>
      </c>
      <c r="J567" s="69" t="s">
        <v>12</v>
      </c>
      <c r="L567" s="15">
        <f t="shared" ref="L567:L630" si="9">G567</f>
        <v>112.215</v>
      </c>
    </row>
    <row r="568" spans="1:12" x14ac:dyDescent="0.2">
      <c r="A568">
        <v>18969</v>
      </c>
      <c r="B568" t="s">
        <v>143</v>
      </c>
      <c r="C568">
        <v>12018599</v>
      </c>
      <c r="D568" t="s">
        <v>144</v>
      </c>
      <c r="E568">
        <v>235</v>
      </c>
      <c r="F568" t="s">
        <v>207</v>
      </c>
      <c r="G568" s="47">
        <v>112.215</v>
      </c>
      <c r="I568">
        <v>1618</v>
      </c>
      <c r="J568" s="69" t="s">
        <v>12</v>
      </c>
      <c r="L568" s="15">
        <f t="shared" si="9"/>
        <v>112.215</v>
      </c>
    </row>
    <row r="569" spans="1:12" x14ac:dyDescent="0.2">
      <c r="A569">
        <v>18886</v>
      </c>
      <c r="B569" t="s">
        <v>18</v>
      </c>
      <c r="C569">
        <v>12019099</v>
      </c>
      <c r="D569" t="s">
        <v>19</v>
      </c>
      <c r="E569">
        <v>235</v>
      </c>
      <c r="F569" t="s">
        <v>207</v>
      </c>
      <c r="G569" s="47">
        <v>112.215</v>
      </c>
      <c r="I569">
        <v>2710</v>
      </c>
      <c r="J569" s="69" t="s">
        <v>12</v>
      </c>
      <c r="L569" s="15">
        <f t="shared" si="9"/>
        <v>112.215</v>
      </c>
    </row>
    <row r="570" spans="1:12" x14ac:dyDescent="0.2">
      <c r="A570">
        <v>19022</v>
      </c>
      <c r="B570" t="s">
        <v>113</v>
      </c>
      <c r="C570">
        <v>12019199</v>
      </c>
      <c r="D570" t="s">
        <v>147</v>
      </c>
      <c r="E570">
        <v>235</v>
      </c>
      <c r="F570" t="s">
        <v>207</v>
      </c>
      <c r="G570" s="47">
        <v>112.215</v>
      </c>
      <c r="I570">
        <v>404</v>
      </c>
      <c r="J570" s="69" t="s">
        <v>12</v>
      </c>
      <c r="L570" s="15">
        <f t="shared" si="9"/>
        <v>112.215</v>
      </c>
    </row>
    <row r="571" spans="1:12" x14ac:dyDescent="0.2">
      <c r="A571">
        <v>18741</v>
      </c>
      <c r="B571" t="s">
        <v>179</v>
      </c>
      <c r="C571">
        <v>12019199</v>
      </c>
      <c r="D571" t="s">
        <v>147</v>
      </c>
      <c r="E571">
        <v>235</v>
      </c>
      <c r="F571" t="s">
        <v>207</v>
      </c>
      <c r="G571" s="47">
        <v>112.215</v>
      </c>
      <c r="I571">
        <v>762</v>
      </c>
      <c r="J571" s="69" t="s">
        <v>12</v>
      </c>
      <c r="L571" s="15">
        <f t="shared" si="9"/>
        <v>112.215</v>
      </c>
    </row>
    <row r="572" spans="1:12" x14ac:dyDescent="0.2">
      <c r="A572">
        <v>18853</v>
      </c>
      <c r="B572" t="s">
        <v>146</v>
      </c>
      <c r="C572">
        <v>12019199</v>
      </c>
      <c r="D572" t="s">
        <v>147</v>
      </c>
      <c r="E572">
        <v>235</v>
      </c>
      <c r="F572" t="s">
        <v>207</v>
      </c>
      <c r="G572" s="47">
        <v>112.215</v>
      </c>
      <c r="I572">
        <v>2064</v>
      </c>
      <c r="J572" s="69" t="s">
        <v>12</v>
      </c>
      <c r="L572" s="15">
        <f t="shared" si="9"/>
        <v>112.215</v>
      </c>
    </row>
    <row r="573" spans="1:12" x14ac:dyDescent="0.2">
      <c r="A573">
        <v>18968</v>
      </c>
      <c r="B573" t="s">
        <v>164</v>
      </c>
      <c r="C573">
        <v>12019199</v>
      </c>
      <c r="D573" t="s">
        <v>147</v>
      </c>
      <c r="E573">
        <v>235</v>
      </c>
      <c r="F573" t="s">
        <v>207</v>
      </c>
      <c r="G573" s="47">
        <v>112.215</v>
      </c>
      <c r="I573">
        <v>526</v>
      </c>
      <c r="J573" s="69" t="s">
        <v>12</v>
      </c>
      <c r="L573" s="15">
        <f t="shared" si="9"/>
        <v>112.215</v>
      </c>
    </row>
    <row r="574" spans="1:12" x14ac:dyDescent="0.2">
      <c r="A574">
        <v>19003</v>
      </c>
      <c r="B574" t="s">
        <v>388</v>
      </c>
      <c r="C574">
        <v>12019199</v>
      </c>
      <c r="D574" t="s">
        <v>147</v>
      </c>
      <c r="E574">
        <v>235</v>
      </c>
      <c r="F574" t="s">
        <v>207</v>
      </c>
      <c r="G574" s="47">
        <v>112.215</v>
      </c>
      <c r="I574">
        <v>710</v>
      </c>
      <c r="J574" s="69" t="s">
        <v>12</v>
      </c>
      <c r="L574" s="15">
        <f t="shared" si="9"/>
        <v>112.215</v>
      </c>
    </row>
    <row r="575" spans="1:12" x14ac:dyDescent="0.2">
      <c r="A575">
        <v>18550</v>
      </c>
      <c r="B575" t="s">
        <v>165</v>
      </c>
      <c r="C575">
        <v>12019199</v>
      </c>
      <c r="D575" t="s">
        <v>147</v>
      </c>
      <c r="E575">
        <v>235</v>
      </c>
      <c r="F575" t="s">
        <v>207</v>
      </c>
      <c r="G575" s="47">
        <v>112.215</v>
      </c>
      <c r="I575">
        <v>258</v>
      </c>
      <c r="J575" s="69" t="s">
        <v>12</v>
      </c>
      <c r="L575" s="15">
        <f t="shared" si="9"/>
        <v>112.215</v>
      </c>
    </row>
    <row r="576" spans="1:12" x14ac:dyDescent="0.2">
      <c r="A576">
        <v>19025</v>
      </c>
      <c r="B576" t="s">
        <v>180</v>
      </c>
      <c r="C576">
        <v>12019199</v>
      </c>
      <c r="D576" t="s">
        <v>147</v>
      </c>
      <c r="E576">
        <v>235</v>
      </c>
      <c r="F576" t="s">
        <v>207</v>
      </c>
      <c r="G576" s="47">
        <v>112.215</v>
      </c>
      <c r="I576">
        <v>498</v>
      </c>
      <c r="J576" s="69" t="s">
        <v>12</v>
      </c>
      <c r="L576" s="15">
        <f t="shared" si="9"/>
        <v>112.215</v>
      </c>
    </row>
    <row r="577" spans="1:12" x14ac:dyDescent="0.2">
      <c r="A577">
        <v>18619</v>
      </c>
      <c r="B577" t="s">
        <v>20</v>
      </c>
      <c r="C577">
        <v>12020400</v>
      </c>
      <c r="D577" t="s">
        <v>21</v>
      </c>
      <c r="E577">
        <v>235</v>
      </c>
      <c r="F577" t="s">
        <v>207</v>
      </c>
      <c r="G577" s="47">
        <v>112.215</v>
      </c>
      <c r="I577">
        <v>510</v>
      </c>
      <c r="J577" s="69" t="s">
        <v>12</v>
      </c>
      <c r="L577" s="15">
        <f t="shared" si="9"/>
        <v>112.215</v>
      </c>
    </row>
    <row r="578" spans="1:12" x14ac:dyDescent="0.2">
      <c r="A578">
        <v>18836</v>
      </c>
      <c r="B578" t="s">
        <v>182</v>
      </c>
      <c r="C578">
        <v>12020400</v>
      </c>
      <c r="D578" t="s">
        <v>21</v>
      </c>
      <c r="E578">
        <v>235</v>
      </c>
      <c r="F578" t="s">
        <v>207</v>
      </c>
      <c r="G578" s="47">
        <v>112.215</v>
      </c>
      <c r="I578">
        <v>610</v>
      </c>
      <c r="J578" s="69" t="s">
        <v>12</v>
      </c>
      <c r="L578" s="15">
        <f t="shared" si="9"/>
        <v>112.215</v>
      </c>
    </row>
    <row r="579" spans="1:12" x14ac:dyDescent="0.2">
      <c r="A579">
        <v>19040</v>
      </c>
      <c r="B579" t="s">
        <v>453</v>
      </c>
      <c r="C579">
        <v>12020500</v>
      </c>
      <c r="D579" t="s">
        <v>454</v>
      </c>
      <c r="E579">
        <v>235</v>
      </c>
      <c r="F579" t="s">
        <v>207</v>
      </c>
      <c r="G579" s="47">
        <v>112.215</v>
      </c>
      <c r="I579">
        <v>128</v>
      </c>
      <c r="J579" s="69" t="s">
        <v>12</v>
      </c>
      <c r="L579" s="15">
        <f t="shared" si="9"/>
        <v>112.215</v>
      </c>
    </row>
    <row r="580" spans="1:12" x14ac:dyDescent="0.2">
      <c r="A580">
        <v>18893</v>
      </c>
      <c r="B580" t="s">
        <v>444</v>
      </c>
      <c r="C580">
        <v>12020500</v>
      </c>
      <c r="D580" t="s">
        <v>454</v>
      </c>
      <c r="E580">
        <v>235</v>
      </c>
      <c r="F580" t="s">
        <v>207</v>
      </c>
      <c r="G580" s="47">
        <v>112.215</v>
      </c>
      <c r="I580">
        <v>1088.05</v>
      </c>
      <c r="J580" s="69" t="s">
        <v>12</v>
      </c>
      <c r="L580" s="15">
        <f t="shared" si="9"/>
        <v>112.215</v>
      </c>
    </row>
    <row r="581" spans="1:12" x14ac:dyDescent="0.2">
      <c r="A581">
        <v>18831</v>
      </c>
      <c r="B581" t="s">
        <v>22</v>
      </c>
      <c r="C581">
        <v>12020611</v>
      </c>
      <c r="D581" t="s">
        <v>23</v>
      </c>
      <c r="E581">
        <v>235</v>
      </c>
      <c r="F581" t="s">
        <v>207</v>
      </c>
      <c r="G581" s="47">
        <v>112.215</v>
      </c>
      <c r="I581">
        <v>220</v>
      </c>
      <c r="J581" s="69" t="s">
        <v>12</v>
      </c>
      <c r="L581" s="15">
        <f t="shared" si="9"/>
        <v>112.215</v>
      </c>
    </row>
    <row r="582" spans="1:12" x14ac:dyDescent="0.2">
      <c r="A582">
        <v>18891</v>
      </c>
      <c r="B582" t="s">
        <v>77</v>
      </c>
      <c r="C582">
        <v>12020611</v>
      </c>
      <c r="D582" t="s">
        <v>23</v>
      </c>
      <c r="E582">
        <v>235</v>
      </c>
      <c r="F582" t="s">
        <v>207</v>
      </c>
      <c r="G582" s="47">
        <v>112.215</v>
      </c>
      <c r="I582">
        <v>264</v>
      </c>
      <c r="J582" s="69" t="s">
        <v>12</v>
      </c>
      <c r="L582" s="15">
        <f t="shared" si="9"/>
        <v>112.215</v>
      </c>
    </row>
    <row r="583" spans="1:12" x14ac:dyDescent="0.2">
      <c r="A583">
        <v>18903</v>
      </c>
      <c r="B583" t="s">
        <v>73</v>
      </c>
      <c r="C583">
        <v>12020611</v>
      </c>
      <c r="D583" t="s">
        <v>23</v>
      </c>
      <c r="E583">
        <v>235</v>
      </c>
      <c r="F583" t="s">
        <v>207</v>
      </c>
      <c r="G583" s="47">
        <v>112.215</v>
      </c>
      <c r="I583">
        <v>568</v>
      </c>
      <c r="J583" s="69" t="s">
        <v>12</v>
      </c>
      <c r="L583" s="15">
        <f t="shared" si="9"/>
        <v>112.215</v>
      </c>
    </row>
    <row r="584" spans="1:12" x14ac:dyDescent="0.2">
      <c r="A584">
        <v>18893</v>
      </c>
      <c r="B584" t="s">
        <v>444</v>
      </c>
      <c r="C584">
        <v>12020611</v>
      </c>
      <c r="D584" t="s">
        <v>23</v>
      </c>
      <c r="E584">
        <v>235</v>
      </c>
      <c r="F584" t="s">
        <v>207</v>
      </c>
      <c r="G584" s="47">
        <v>112.215</v>
      </c>
      <c r="I584">
        <v>543.95000000000005</v>
      </c>
      <c r="J584" s="69" t="s">
        <v>12</v>
      </c>
      <c r="L584" s="15">
        <f t="shared" si="9"/>
        <v>112.215</v>
      </c>
    </row>
    <row r="585" spans="1:12" x14ac:dyDescent="0.2">
      <c r="A585">
        <v>18957</v>
      </c>
      <c r="B585" t="s">
        <v>74</v>
      </c>
      <c r="C585">
        <v>12020611</v>
      </c>
      <c r="D585" t="s">
        <v>23</v>
      </c>
      <c r="E585">
        <v>235</v>
      </c>
      <c r="F585" t="s">
        <v>207</v>
      </c>
      <c r="G585" s="47">
        <v>112.215</v>
      </c>
      <c r="I585">
        <v>256</v>
      </c>
      <c r="J585" s="69" t="s">
        <v>12</v>
      </c>
      <c r="L585" s="15">
        <f t="shared" si="9"/>
        <v>112.215</v>
      </c>
    </row>
    <row r="586" spans="1:12" x14ac:dyDescent="0.2">
      <c r="A586">
        <v>18589</v>
      </c>
      <c r="B586" t="s">
        <v>75</v>
      </c>
      <c r="C586">
        <v>12020611</v>
      </c>
      <c r="D586" t="s">
        <v>23</v>
      </c>
      <c r="E586">
        <v>235</v>
      </c>
      <c r="F586" t="s">
        <v>207</v>
      </c>
      <c r="G586" s="47">
        <v>112.215</v>
      </c>
      <c r="I586">
        <v>478</v>
      </c>
      <c r="J586" s="69" t="s">
        <v>12</v>
      </c>
      <c r="L586" s="15">
        <f t="shared" si="9"/>
        <v>112.215</v>
      </c>
    </row>
    <row r="587" spans="1:12" x14ac:dyDescent="0.2">
      <c r="A587">
        <v>18866</v>
      </c>
      <c r="B587" t="s">
        <v>76</v>
      </c>
      <c r="C587">
        <v>12020611</v>
      </c>
      <c r="D587" t="s">
        <v>23</v>
      </c>
      <c r="E587">
        <v>235</v>
      </c>
      <c r="F587" t="s">
        <v>207</v>
      </c>
      <c r="G587" s="47">
        <v>112.215</v>
      </c>
      <c r="I587">
        <v>494</v>
      </c>
      <c r="J587" s="69" t="s">
        <v>12</v>
      </c>
      <c r="L587" s="15">
        <f t="shared" si="9"/>
        <v>112.215</v>
      </c>
    </row>
    <row r="588" spans="1:12" x14ac:dyDescent="0.2">
      <c r="A588">
        <v>18879</v>
      </c>
      <c r="B588" t="s">
        <v>79</v>
      </c>
      <c r="C588">
        <v>12020711</v>
      </c>
      <c r="D588" t="s">
        <v>25</v>
      </c>
      <c r="E588">
        <v>235</v>
      </c>
      <c r="F588" t="s">
        <v>207</v>
      </c>
      <c r="G588" s="47">
        <v>112.215</v>
      </c>
      <c r="I588">
        <v>484</v>
      </c>
      <c r="J588" s="69" t="s">
        <v>12</v>
      </c>
      <c r="L588" s="15">
        <f t="shared" si="9"/>
        <v>112.215</v>
      </c>
    </row>
    <row r="589" spans="1:12" x14ac:dyDescent="0.2">
      <c r="A589">
        <v>18</v>
      </c>
      <c r="B589" t="s">
        <v>24</v>
      </c>
      <c r="C589">
        <v>12020711</v>
      </c>
      <c r="D589" t="s">
        <v>25</v>
      </c>
      <c r="E589">
        <v>235</v>
      </c>
      <c r="F589" t="s">
        <v>207</v>
      </c>
      <c r="G589" s="47">
        <v>112.215</v>
      </c>
      <c r="I589">
        <v>94</v>
      </c>
      <c r="J589" s="69" t="s">
        <v>12</v>
      </c>
      <c r="L589" s="15">
        <f t="shared" si="9"/>
        <v>112.215</v>
      </c>
    </row>
    <row r="590" spans="1:12" x14ac:dyDescent="0.2">
      <c r="A590">
        <v>18954</v>
      </c>
      <c r="B590" t="s">
        <v>183</v>
      </c>
      <c r="C590">
        <v>12020711</v>
      </c>
      <c r="D590" t="s">
        <v>25</v>
      </c>
      <c r="E590">
        <v>235</v>
      </c>
      <c r="F590" t="s">
        <v>207</v>
      </c>
      <c r="G590" s="47">
        <v>112.215</v>
      </c>
      <c r="I590">
        <v>696</v>
      </c>
      <c r="J590" s="69" t="s">
        <v>12</v>
      </c>
      <c r="L590" s="15">
        <f t="shared" si="9"/>
        <v>112.215</v>
      </c>
    </row>
    <row r="591" spans="1:12" x14ac:dyDescent="0.2">
      <c r="A591">
        <v>18631</v>
      </c>
      <c r="B591" t="s">
        <v>80</v>
      </c>
      <c r="C591">
        <v>12020711</v>
      </c>
      <c r="D591" t="s">
        <v>25</v>
      </c>
      <c r="E591">
        <v>235</v>
      </c>
      <c r="F591" t="s">
        <v>207</v>
      </c>
      <c r="G591" s="47">
        <v>112.215</v>
      </c>
      <c r="I591">
        <v>160</v>
      </c>
      <c r="J591" s="69" t="s">
        <v>12</v>
      </c>
      <c r="L591" s="15">
        <f t="shared" si="9"/>
        <v>112.215</v>
      </c>
    </row>
    <row r="592" spans="1:12" x14ac:dyDescent="0.2">
      <c r="A592">
        <v>19013</v>
      </c>
      <c r="B592" t="s">
        <v>81</v>
      </c>
      <c r="C592">
        <v>12020800</v>
      </c>
      <c r="D592" t="s">
        <v>27</v>
      </c>
      <c r="E592">
        <v>235</v>
      </c>
      <c r="F592" t="s">
        <v>207</v>
      </c>
      <c r="G592" s="47">
        <v>112.215</v>
      </c>
      <c r="I592">
        <v>896</v>
      </c>
      <c r="J592" s="69" t="s">
        <v>12</v>
      </c>
      <c r="L592" s="15">
        <f t="shared" si="9"/>
        <v>112.215</v>
      </c>
    </row>
    <row r="593" spans="1:12" x14ac:dyDescent="0.2">
      <c r="A593">
        <v>18630</v>
      </c>
      <c r="B593" t="s">
        <v>204</v>
      </c>
      <c r="C593">
        <v>12020800</v>
      </c>
      <c r="D593" t="s">
        <v>27</v>
      </c>
      <c r="E593">
        <v>235</v>
      </c>
      <c r="F593" t="s">
        <v>207</v>
      </c>
      <c r="G593" s="47">
        <v>112.215</v>
      </c>
      <c r="I593">
        <v>342</v>
      </c>
      <c r="J593" s="69" t="s">
        <v>12</v>
      </c>
      <c r="L593" s="15">
        <f t="shared" si="9"/>
        <v>112.215</v>
      </c>
    </row>
    <row r="594" spans="1:12" x14ac:dyDescent="0.2">
      <c r="A594">
        <v>18911</v>
      </c>
      <c r="B594" t="s">
        <v>28</v>
      </c>
      <c r="C594">
        <v>12021021</v>
      </c>
      <c r="D594" t="s">
        <v>29</v>
      </c>
      <c r="E594">
        <v>235</v>
      </c>
      <c r="F594" t="s">
        <v>207</v>
      </c>
      <c r="G594" s="47">
        <v>112.215</v>
      </c>
      <c r="I594">
        <v>572</v>
      </c>
      <c r="J594" s="69" t="s">
        <v>12</v>
      </c>
      <c r="L594" s="15">
        <f t="shared" si="9"/>
        <v>112.215</v>
      </c>
    </row>
    <row r="595" spans="1:12" x14ac:dyDescent="0.2">
      <c r="A595">
        <v>18559</v>
      </c>
      <c r="B595" t="s">
        <v>87</v>
      </c>
      <c r="C595">
        <v>12021021</v>
      </c>
      <c r="D595" t="s">
        <v>29</v>
      </c>
      <c r="E595">
        <v>235</v>
      </c>
      <c r="F595" t="s">
        <v>207</v>
      </c>
      <c r="G595" s="47">
        <v>112.215</v>
      </c>
      <c r="I595">
        <v>2588</v>
      </c>
      <c r="J595" s="69" t="s">
        <v>12</v>
      </c>
      <c r="L595" s="15">
        <f t="shared" si="9"/>
        <v>112.215</v>
      </c>
    </row>
    <row r="596" spans="1:12" x14ac:dyDescent="0.2">
      <c r="A596">
        <v>18892</v>
      </c>
      <c r="B596" t="s">
        <v>184</v>
      </c>
      <c r="C596">
        <v>12021021</v>
      </c>
      <c r="D596" t="s">
        <v>29</v>
      </c>
      <c r="E596">
        <v>235</v>
      </c>
      <c r="F596" t="s">
        <v>207</v>
      </c>
      <c r="G596" s="47">
        <v>112.215</v>
      </c>
      <c r="I596">
        <v>298</v>
      </c>
      <c r="J596" s="69" t="s">
        <v>12</v>
      </c>
      <c r="L596" s="15">
        <f t="shared" si="9"/>
        <v>112.215</v>
      </c>
    </row>
    <row r="597" spans="1:12" x14ac:dyDescent="0.2">
      <c r="A597">
        <v>18659</v>
      </c>
      <c r="B597" t="s">
        <v>88</v>
      </c>
      <c r="C597">
        <v>12021021</v>
      </c>
      <c r="D597" t="s">
        <v>29</v>
      </c>
      <c r="E597">
        <v>235</v>
      </c>
      <c r="F597" t="s">
        <v>207</v>
      </c>
      <c r="G597" s="47">
        <v>112.215</v>
      </c>
      <c r="I597">
        <v>524</v>
      </c>
      <c r="J597" s="69" t="s">
        <v>12</v>
      </c>
      <c r="L597" s="15">
        <f t="shared" si="9"/>
        <v>112.215</v>
      </c>
    </row>
    <row r="598" spans="1:12" x14ac:dyDescent="0.2">
      <c r="A598">
        <v>19033</v>
      </c>
      <c r="B598" t="s">
        <v>389</v>
      </c>
      <c r="C598">
        <v>12021021</v>
      </c>
      <c r="D598" t="s">
        <v>29</v>
      </c>
      <c r="E598">
        <v>235</v>
      </c>
      <c r="F598" t="s">
        <v>207</v>
      </c>
      <c r="G598" s="47">
        <v>112.215</v>
      </c>
      <c r="I598">
        <v>294</v>
      </c>
      <c r="J598" s="69" t="s">
        <v>12</v>
      </c>
      <c r="L598" s="15">
        <f t="shared" si="9"/>
        <v>112.215</v>
      </c>
    </row>
    <row r="599" spans="1:12" x14ac:dyDescent="0.2">
      <c r="A599">
        <v>18894</v>
      </c>
      <c r="B599" t="s">
        <v>89</v>
      </c>
      <c r="C599">
        <v>12021021</v>
      </c>
      <c r="D599" t="s">
        <v>29</v>
      </c>
      <c r="E599">
        <v>235</v>
      </c>
      <c r="F599" t="s">
        <v>207</v>
      </c>
      <c r="G599" s="47">
        <v>112.215</v>
      </c>
      <c r="I599">
        <v>242</v>
      </c>
      <c r="J599" s="69" t="s">
        <v>12</v>
      </c>
      <c r="L599" s="15">
        <f t="shared" si="9"/>
        <v>112.215</v>
      </c>
    </row>
    <row r="600" spans="1:12" x14ac:dyDescent="0.2">
      <c r="A600">
        <v>18967</v>
      </c>
      <c r="B600" t="s">
        <v>85</v>
      </c>
      <c r="C600">
        <v>12021021</v>
      </c>
      <c r="D600" t="s">
        <v>29</v>
      </c>
      <c r="E600">
        <v>235</v>
      </c>
      <c r="F600" t="s">
        <v>207</v>
      </c>
      <c r="G600" s="47">
        <v>112.215</v>
      </c>
      <c r="I600">
        <v>590</v>
      </c>
      <c r="J600" s="69" t="s">
        <v>12</v>
      </c>
      <c r="L600" s="15">
        <f t="shared" si="9"/>
        <v>112.215</v>
      </c>
    </row>
    <row r="601" spans="1:12" x14ac:dyDescent="0.2">
      <c r="A601">
        <v>18733</v>
      </c>
      <c r="B601" t="s">
        <v>86</v>
      </c>
      <c r="C601">
        <v>12021021</v>
      </c>
      <c r="D601" t="s">
        <v>29</v>
      </c>
      <c r="E601">
        <v>235</v>
      </c>
      <c r="F601" t="s">
        <v>207</v>
      </c>
      <c r="G601" s="47">
        <v>112.215</v>
      </c>
      <c r="I601">
        <v>438</v>
      </c>
      <c r="J601" s="69" t="s">
        <v>12</v>
      </c>
      <c r="L601" s="15">
        <f t="shared" si="9"/>
        <v>112.215</v>
      </c>
    </row>
    <row r="602" spans="1:12" x14ac:dyDescent="0.2">
      <c r="A602">
        <v>18781</v>
      </c>
      <c r="B602" t="s">
        <v>82</v>
      </c>
      <c r="C602">
        <v>12021021</v>
      </c>
      <c r="D602" t="s">
        <v>29</v>
      </c>
      <c r="E602">
        <v>235</v>
      </c>
      <c r="F602" t="s">
        <v>207</v>
      </c>
      <c r="G602" s="47">
        <v>112.215</v>
      </c>
      <c r="I602">
        <v>1458</v>
      </c>
      <c r="J602" s="69" t="s">
        <v>12</v>
      </c>
      <c r="L602" s="15">
        <f t="shared" si="9"/>
        <v>112.215</v>
      </c>
    </row>
    <row r="603" spans="1:12" x14ac:dyDescent="0.2">
      <c r="A603">
        <v>18960</v>
      </c>
      <c r="B603" t="s">
        <v>84</v>
      </c>
      <c r="C603">
        <v>12021021</v>
      </c>
      <c r="D603" t="s">
        <v>29</v>
      </c>
      <c r="E603">
        <v>235</v>
      </c>
      <c r="F603" t="s">
        <v>207</v>
      </c>
      <c r="G603" s="47">
        <v>112.215</v>
      </c>
      <c r="I603">
        <v>52</v>
      </c>
      <c r="J603" s="69" t="s">
        <v>12</v>
      </c>
      <c r="L603" s="15">
        <f t="shared" si="9"/>
        <v>112.215</v>
      </c>
    </row>
    <row r="604" spans="1:12" x14ac:dyDescent="0.2">
      <c r="A604">
        <v>18687</v>
      </c>
      <c r="B604" t="s">
        <v>83</v>
      </c>
      <c r="C604">
        <v>12021021</v>
      </c>
      <c r="D604" t="s">
        <v>29</v>
      </c>
      <c r="E604">
        <v>235</v>
      </c>
      <c r="F604" t="s">
        <v>207</v>
      </c>
      <c r="G604" s="47">
        <v>112.215</v>
      </c>
      <c r="I604">
        <v>1270</v>
      </c>
      <c r="J604" s="69" t="s">
        <v>12</v>
      </c>
      <c r="L604" s="15">
        <f t="shared" si="9"/>
        <v>112.215</v>
      </c>
    </row>
    <row r="605" spans="1:12" x14ac:dyDescent="0.2">
      <c r="A605">
        <v>11229</v>
      </c>
      <c r="B605" t="s">
        <v>31</v>
      </c>
      <c r="C605">
        <v>12022511</v>
      </c>
      <c r="D605" t="s">
        <v>32</v>
      </c>
      <c r="E605">
        <v>235</v>
      </c>
      <c r="F605" t="s">
        <v>207</v>
      </c>
      <c r="G605" s="47">
        <v>112.215</v>
      </c>
      <c r="I605">
        <v>2184</v>
      </c>
      <c r="J605" s="69" t="s">
        <v>12</v>
      </c>
      <c r="L605" s="15">
        <f t="shared" si="9"/>
        <v>112.215</v>
      </c>
    </row>
    <row r="606" spans="1:12" x14ac:dyDescent="0.2">
      <c r="A606">
        <v>141</v>
      </c>
      <c r="B606" t="s">
        <v>185</v>
      </c>
      <c r="C606">
        <v>12022511</v>
      </c>
      <c r="D606" t="s">
        <v>32</v>
      </c>
      <c r="E606">
        <v>235</v>
      </c>
      <c r="F606" t="s">
        <v>207</v>
      </c>
      <c r="G606" s="47">
        <v>112.215</v>
      </c>
      <c r="I606">
        <v>104</v>
      </c>
      <c r="J606" s="69" t="s">
        <v>12</v>
      </c>
      <c r="L606" s="15">
        <f t="shared" si="9"/>
        <v>112.215</v>
      </c>
    </row>
    <row r="607" spans="1:12" x14ac:dyDescent="0.2">
      <c r="A607">
        <v>145</v>
      </c>
      <c r="B607" t="s">
        <v>91</v>
      </c>
      <c r="C607">
        <v>12022511</v>
      </c>
      <c r="D607" t="s">
        <v>32</v>
      </c>
      <c r="E607">
        <v>235</v>
      </c>
      <c r="F607" t="s">
        <v>207</v>
      </c>
      <c r="G607" s="47">
        <v>112.215</v>
      </c>
      <c r="I607">
        <v>518</v>
      </c>
      <c r="J607" s="69" t="s">
        <v>12</v>
      </c>
      <c r="L607" s="15">
        <f t="shared" si="9"/>
        <v>112.215</v>
      </c>
    </row>
    <row r="608" spans="1:12" x14ac:dyDescent="0.2">
      <c r="A608">
        <v>18961</v>
      </c>
      <c r="B608" t="s">
        <v>90</v>
      </c>
      <c r="C608">
        <v>12022511</v>
      </c>
      <c r="D608" t="s">
        <v>32</v>
      </c>
      <c r="E608">
        <v>235</v>
      </c>
      <c r="F608" t="s">
        <v>207</v>
      </c>
      <c r="G608" s="47">
        <v>112.215</v>
      </c>
      <c r="I608">
        <v>776</v>
      </c>
      <c r="J608" s="69" t="s">
        <v>12</v>
      </c>
      <c r="L608" s="15">
        <f t="shared" si="9"/>
        <v>112.215</v>
      </c>
    </row>
    <row r="609" spans="1:12" x14ac:dyDescent="0.2">
      <c r="A609">
        <v>18973</v>
      </c>
      <c r="B609" t="s">
        <v>188</v>
      </c>
      <c r="C609">
        <v>12023011</v>
      </c>
      <c r="D609" t="s">
        <v>93</v>
      </c>
      <c r="E609">
        <v>235</v>
      </c>
      <c r="F609" t="s">
        <v>207</v>
      </c>
      <c r="G609" s="47">
        <v>112.215</v>
      </c>
      <c r="I609">
        <v>210</v>
      </c>
      <c r="J609" s="69" t="s">
        <v>12</v>
      </c>
      <c r="L609" s="15">
        <f t="shared" si="9"/>
        <v>112.215</v>
      </c>
    </row>
    <row r="610" spans="1:12" x14ac:dyDescent="0.2">
      <c r="A610">
        <v>19026</v>
      </c>
      <c r="B610" t="s">
        <v>187</v>
      </c>
      <c r="C610">
        <v>12023011</v>
      </c>
      <c r="D610" t="s">
        <v>93</v>
      </c>
      <c r="E610">
        <v>235</v>
      </c>
      <c r="F610" t="s">
        <v>207</v>
      </c>
      <c r="G610" s="47">
        <v>112.215</v>
      </c>
      <c r="I610">
        <v>300</v>
      </c>
      <c r="J610" s="69" t="s">
        <v>12</v>
      </c>
      <c r="L610" s="15">
        <f t="shared" si="9"/>
        <v>112.215</v>
      </c>
    </row>
    <row r="611" spans="1:12" x14ac:dyDescent="0.2">
      <c r="A611">
        <v>19032</v>
      </c>
      <c r="B611" t="s">
        <v>386</v>
      </c>
      <c r="C611">
        <v>12023011</v>
      </c>
      <c r="D611" t="s">
        <v>93</v>
      </c>
      <c r="E611">
        <v>235</v>
      </c>
      <c r="F611" t="s">
        <v>207</v>
      </c>
      <c r="G611" s="47">
        <v>112.215</v>
      </c>
      <c r="I611">
        <v>110</v>
      </c>
      <c r="J611" s="69" t="s">
        <v>12</v>
      </c>
      <c r="L611" s="15">
        <f t="shared" si="9"/>
        <v>112.215</v>
      </c>
    </row>
    <row r="612" spans="1:12" x14ac:dyDescent="0.2">
      <c r="A612">
        <v>19035</v>
      </c>
      <c r="B612" t="s">
        <v>440</v>
      </c>
      <c r="C612">
        <v>12023011</v>
      </c>
      <c r="D612" t="s">
        <v>93</v>
      </c>
      <c r="E612">
        <v>235</v>
      </c>
      <c r="F612" t="s">
        <v>207</v>
      </c>
      <c r="G612" s="47">
        <v>112.215</v>
      </c>
      <c r="I612">
        <v>314</v>
      </c>
      <c r="J612" s="69" t="s">
        <v>12</v>
      </c>
      <c r="L612" s="15">
        <f t="shared" si="9"/>
        <v>112.215</v>
      </c>
    </row>
    <row r="613" spans="1:12" x14ac:dyDescent="0.2">
      <c r="A613">
        <v>19007</v>
      </c>
      <c r="B613" t="s">
        <v>189</v>
      </c>
      <c r="C613">
        <v>12023011</v>
      </c>
      <c r="D613" t="s">
        <v>93</v>
      </c>
      <c r="E613">
        <v>235</v>
      </c>
      <c r="F613" t="s">
        <v>207</v>
      </c>
      <c r="G613" s="47">
        <v>112.215</v>
      </c>
      <c r="I613">
        <v>644</v>
      </c>
      <c r="J613" s="69" t="s">
        <v>12</v>
      </c>
      <c r="L613" s="15">
        <f t="shared" si="9"/>
        <v>112.215</v>
      </c>
    </row>
    <row r="614" spans="1:12" x14ac:dyDescent="0.2">
      <c r="A614">
        <v>19016</v>
      </c>
      <c r="B614" t="s">
        <v>96</v>
      </c>
      <c r="C614">
        <v>12023011</v>
      </c>
      <c r="D614" t="s">
        <v>93</v>
      </c>
      <c r="E614">
        <v>235</v>
      </c>
      <c r="F614" t="s">
        <v>207</v>
      </c>
      <c r="G614" s="47">
        <v>112.215</v>
      </c>
      <c r="I614">
        <v>610</v>
      </c>
      <c r="J614" s="69" t="s">
        <v>12</v>
      </c>
      <c r="L614" s="15">
        <f t="shared" si="9"/>
        <v>112.215</v>
      </c>
    </row>
    <row r="615" spans="1:12" x14ac:dyDescent="0.2">
      <c r="A615">
        <v>19006</v>
      </c>
      <c r="B615" t="s">
        <v>95</v>
      </c>
      <c r="C615">
        <v>12023011</v>
      </c>
      <c r="D615" t="s">
        <v>93</v>
      </c>
      <c r="E615">
        <v>235</v>
      </c>
      <c r="F615" t="s">
        <v>207</v>
      </c>
      <c r="G615" s="47">
        <v>112.215</v>
      </c>
      <c r="I615">
        <v>512</v>
      </c>
      <c r="J615" s="69" t="s">
        <v>12</v>
      </c>
      <c r="L615" s="15">
        <f t="shared" si="9"/>
        <v>112.215</v>
      </c>
    </row>
    <row r="616" spans="1:12" x14ac:dyDescent="0.2">
      <c r="A616">
        <v>18999</v>
      </c>
      <c r="B616" t="s">
        <v>92</v>
      </c>
      <c r="C616">
        <v>12023011</v>
      </c>
      <c r="D616" t="s">
        <v>93</v>
      </c>
      <c r="E616">
        <v>235</v>
      </c>
      <c r="F616" t="s">
        <v>207</v>
      </c>
      <c r="G616" s="47">
        <v>112.215</v>
      </c>
      <c r="I616">
        <v>434</v>
      </c>
      <c r="J616" s="69" t="s">
        <v>12</v>
      </c>
      <c r="L616" s="15">
        <f t="shared" si="9"/>
        <v>112.215</v>
      </c>
    </row>
    <row r="617" spans="1:12" x14ac:dyDescent="0.2">
      <c r="A617">
        <v>18974</v>
      </c>
      <c r="B617" t="s">
        <v>94</v>
      </c>
      <c r="C617">
        <v>12023011</v>
      </c>
      <c r="D617" t="s">
        <v>93</v>
      </c>
      <c r="E617">
        <v>235</v>
      </c>
      <c r="F617" t="s">
        <v>207</v>
      </c>
      <c r="G617" s="47">
        <v>112.215</v>
      </c>
      <c r="I617">
        <v>846</v>
      </c>
      <c r="J617" s="69" t="s">
        <v>12</v>
      </c>
      <c r="L617" s="15">
        <f t="shared" si="9"/>
        <v>112.215</v>
      </c>
    </row>
    <row r="618" spans="1:12" x14ac:dyDescent="0.2">
      <c r="A618">
        <v>18962</v>
      </c>
      <c r="B618" t="s">
        <v>148</v>
      </c>
      <c r="C618">
        <v>12023011</v>
      </c>
      <c r="D618" t="s">
        <v>93</v>
      </c>
      <c r="E618">
        <v>235</v>
      </c>
      <c r="F618" t="s">
        <v>207</v>
      </c>
      <c r="G618" s="47">
        <v>112.215</v>
      </c>
      <c r="I618">
        <v>1468</v>
      </c>
      <c r="J618" s="69" t="s">
        <v>12</v>
      </c>
      <c r="L618" s="15">
        <f t="shared" si="9"/>
        <v>112.215</v>
      </c>
    </row>
    <row r="619" spans="1:12" x14ac:dyDescent="0.2">
      <c r="A619">
        <v>19021</v>
      </c>
      <c r="B619" t="s">
        <v>99</v>
      </c>
      <c r="C619">
        <v>12023021</v>
      </c>
      <c r="D619" t="s">
        <v>98</v>
      </c>
      <c r="E619">
        <v>235</v>
      </c>
      <c r="F619" t="s">
        <v>207</v>
      </c>
      <c r="G619" s="47">
        <v>112.215</v>
      </c>
      <c r="I619">
        <v>320</v>
      </c>
      <c r="J619" s="69" t="s">
        <v>12</v>
      </c>
      <c r="L619" s="15">
        <f t="shared" si="9"/>
        <v>112.215</v>
      </c>
    </row>
    <row r="620" spans="1:12" x14ac:dyDescent="0.2">
      <c r="A620">
        <v>19027</v>
      </c>
      <c r="B620" t="s">
        <v>365</v>
      </c>
      <c r="C620">
        <v>12023021</v>
      </c>
      <c r="D620" t="s">
        <v>98</v>
      </c>
      <c r="E620">
        <v>235</v>
      </c>
      <c r="F620" t="s">
        <v>207</v>
      </c>
      <c r="G620" s="47">
        <v>112.215</v>
      </c>
      <c r="I620">
        <v>226</v>
      </c>
      <c r="J620" s="69" t="s">
        <v>12</v>
      </c>
      <c r="L620" s="15">
        <f t="shared" si="9"/>
        <v>112.215</v>
      </c>
    </row>
    <row r="621" spans="1:12" x14ac:dyDescent="0.2">
      <c r="A621">
        <v>18980</v>
      </c>
      <c r="B621" t="s">
        <v>97</v>
      </c>
      <c r="C621">
        <v>12023021</v>
      </c>
      <c r="D621" t="s">
        <v>98</v>
      </c>
      <c r="E621">
        <v>235</v>
      </c>
      <c r="F621" t="s">
        <v>207</v>
      </c>
      <c r="G621" s="47">
        <v>112.215</v>
      </c>
      <c r="I621">
        <v>318</v>
      </c>
      <c r="J621" s="69" t="s">
        <v>12</v>
      </c>
      <c r="L621" s="15">
        <f t="shared" si="9"/>
        <v>112.215</v>
      </c>
    </row>
    <row r="622" spans="1:12" x14ac:dyDescent="0.2">
      <c r="A622">
        <v>19038</v>
      </c>
      <c r="B622" t="s">
        <v>449</v>
      </c>
      <c r="C622">
        <v>12023021</v>
      </c>
      <c r="D622" t="s">
        <v>98</v>
      </c>
      <c r="E622">
        <v>235</v>
      </c>
      <c r="F622" t="s">
        <v>207</v>
      </c>
      <c r="G622" s="47">
        <v>112.215</v>
      </c>
      <c r="I622">
        <v>762</v>
      </c>
      <c r="J622" s="69" t="s">
        <v>12</v>
      </c>
      <c r="L622" s="15">
        <f t="shared" si="9"/>
        <v>112.215</v>
      </c>
    </row>
    <row r="623" spans="1:12" x14ac:dyDescent="0.2">
      <c r="A623">
        <v>18581</v>
      </c>
      <c r="B623" t="s">
        <v>190</v>
      </c>
      <c r="C623">
        <v>12024021</v>
      </c>
      <c r="D623" t="s">
        <v>191</v>
      </c>
      <c r="E623">
        <v>235</v>
      </c>
      <c r="F623" t="s">
        <v>207</v>
      </c>
      <c r="G623" s="47">
        <v>112.215</v>
      </c>
      <c r="I623">
        <v>726</v>
      </c>
      <c r="J623" s="69" t="s">
        <v>12</v>
      </c>
      <c r="L623" s="15">
        <f t="shared" si="9"/>
        <v>112.215</v>
      </c>
    </row>
    <row r="624" spans="1:12" x14ac:dyDescent="0.2">
      <c r="A624">
        <v>44705</v>
      </c>
      <c r="B624" t="s">
        <v>149</v>
      </c>
      <c r="C624">
        <v>12028099</v>
      </c>
      <c r="D624" t="s">
        <v>150</v>
      </c>
      <c r="E624">
        <v>235</v>
      </c>
      <c r="F624" t="s">
        <v>207</v>
      </c>
      <c r="G624" s="47">
        <v>112.215</v>
      </c>
      <c r="I624">
        <v>1858</v>
      </c>
      <c r="J624" s="69" t="s">
        <v>12</v>
      </c>
      <c r="L624" s="15">
        <f t="shared" si="9"/>
        <v>112.215</v>
      </c>
    </row>
    <row r="625" spans="1:12" x14ac:dyDescent="0.2">
      <c r="A625">
        <v>19034</v>
      </c>
      <c r="B625" t="s">
        <v>439</v>
      </c>
      <c r="C625">
        <v>12028099</v>
      </c>
      <c r="D625" t="s">
        <v>150</v>
      </c>
      <c r="E625">
        <v>235</v>
      </c>
      <c r="F625" t="s">
        <v>207</v>
      </c>
      <c r="G625" s="47">
        <v>112.215</v>
      </c>
      <c r="I625">
        <v>696</v>
      </c>
      <c r="J625" s="69" t="s">
        <v>12</v>
      </c>
      <c r="L625" s="15">
        <f t="shared" si="9"/>
        <v>112.215</v>
      </c>
    </row>
    <row r="626" spans="1:12" x14ac:dyDescent="0.2">
      <c r="A626">
        <v>18805</v>
      </c>
      <c r="B626" t="s">
        <v>192</v>
      </c>
      <c r="C626">
        <v>12030400</v>
      </c>
      <c r="D626" t="s">
        <v>62</v>
      </c>
      <c r="E626">
        <v>235</v>
      </c>
      <c r="F626" t="s">
        <v>207</v>
      </c>
      <c r="G626" s="47">
        <v>112.215</v>
      </c>
      <c r="I626">
        <v>430</v>
      </c>
      <c r="J626" s="69" t="s">
        <v>12</v>
      </c>
      <c r="L626" s="15">
        <f t="shared" si="9"/>
        <v>112.215</v>
      </c>
    </row>
    <row r="627" spans="1:12" x14ac:dyDescent="0.2">
      <c r="A627">
        <v>18982</v>
      </c>
      <c r="B627" t="s">
        <v>100</v>
      </c>
      <c r="C627">
        <v>12030400</v>
      </c>
      <c r="D627" t="s">
        <v>62</v>
      </c>
      <c r="E627">
        <v>235</v>
      </c>
      <c r="F627" t="s">
        <v>207</v>
      </c>
      <c r="G627" s="47">
        <v>112.215</v>
      </c>
      <c r="I627">
        <v>488</v>
      </c>
      <c r="J627" s="69" t="s">
        <v>12</v>
      </c>
      <c r="L627" s="15">
        <f t="shared" si="9"/>
        <v>112.215</v>
      </c>
    </row>
    <row r="628" spans="1:12" x14ac:dyDescent="0.2">
      <c r="A628">
        <v>18841</v>
      </c>
      <c r="B628" t="s">
        <v>193</v>
      </c>
      <c r="C628">
        <v>12030500</v>
      </c>
      <c r="D628" t="s">
        <v>34</v>
      </c>
      <c r="E628">
        <v>235</v>
      </c>
      <c r="F628" t="s">
        <v>207</v>
      </c>
      <c r="G628" s="47">
        <v>112.215</v>
      </c>
      <c r="I628">
        <v>420</v>
      </c>
      <c r="J628" s="69" t="s">
        <v>12</v>
      </c>
      <c r="L628" s="15">
        <f t="shared" si="9"/>
        <v>112.215</v>
      </c>
    </row>
    <row r="629" spans="1:12" x14ac:dyDescent="0.2">
      <c r="A629">
        <v>266</v>
      </c>
      <c r="B629" t="s">
        <v>194</v>
      </c>
      <c r="C629">
        <v>12030500</v>
      </c>
      <c r="D629" t="s">
        <v>34</v>
      </c>
      <c r="E629">
        <v>235</v>
      </c>
      <c r="F629" t="s">
        <v>207</v>
      </c>
      <c r="G629" s="47">
        <v>112.215</v>
      </c>
      <c r="I629">
        <v>488</v>
      </c>
      <c r="J629" s="69" t="s">
        <v>12</v>
      </c>
      <c r="L629" s="15">
        <f t="shared" si="9"/>
        <v>112.215</v>
      </c>
    </row>
    <row r="630" spans="1:12" x14ac:dyDescent="0.2">
      <c r="A630">
        <v>302</v>
      </c>
      <c r="B630" t="s">
        <v>33</v>
      </c>
      <c r="C630">
        <v>12030500</v>
      </c>
      <c r="D630" t="s">
        <v>34</v>
      </c>
      <c r="E630">
        <v>235</v>
      </c>
      <c r="F630" t="s">
        <v>207</v>
      </c>
      <c r="G630" s="47">
        <v>112.215</v>
      </c>
      <c r="I630">
        <v>264</v>
      </c>
      <c r="J630" s="69" t="s">
        <v>12</v>
      </c>
      <c r="L630" s="15">
        <f t="shared" si="9"/>
        <v>112.215</v>
      </c>
    </row>
    <row r="631" spans="1:12" x14ac:dyDescent="0.2">
      <c r="A631">
        <v>18626</v>
      </c>
      <c r="B631" t="s">
        <v>195</v>
      </c>
      <c r="C631">
        <v>12030611</v>
      </c>
      <c r="D631" t="s">
        <v>36</v>
      </c>
      <c r="E631">
        <v>235</v>
      </c>
      <c r="F631" t="s">
        <v>207</v>
      </c>
      <c r="G631" s="47">
        <v>112.215</v>
      </c>
      <c r="I631">
        <v>828</v>
      </c>
      <c r="J631" s="69" t="s">
        <v>12</v>
      </c>
      <c r="L631" s="15">
        <f t="shared" ref="L631:L694" si="10">G631</f>
        <v>112.215</v>
      </c>
    </row>
    <row r="632" spans="1:12" x14ac:dyDescent="0.2">
      <c r="A632">
        <v>18901</v>
      </c>
      <c r="B632" t="s">
        <v>37</v>
      </c>
      <c r="C632">
        <v>12030611</v>
      </c>
      <c r="D632" t="s">
        <v>36</v>
      </c>
      <c r="E632">
        <v>235</v>
      </c>
      <c r="F632" t="s">
        <v>207</v>
      </c>
      <c r="G632" s="47">
        <v>112.215</v>
      </c>
      <c r="I632">
        <v>1052</v>
      </c>
      <c r="J632" s="69" t="s">
        <v>12</v>
      </c>
      <c r="L632" s="15">
        <f t="shared" si="10"/>
        <v>112.215</v>
      </c>
    </row>
    <row r="633" spans="1:12" x14ac:dyDescent="0.2">
      <c r="A633">
        <v>18797</v>
      </c>
      <c r="B633" t="s">
        <v>101</v>
      </c>
      <c r="C633">
        <v>12030611</v>
      </c>
      <c r="D633" t="s">
        <v>36</v>
      </c>
      <c r="E633">
        <v>235</v>
      </c>
      <c r="F633" t="s">
        <v>207</v>
      </c>
      <c r="G633" s="47">
        <v>112.215</v>
      </c>
      <c r="I633">
        <v>464</v>
      </c>
      <c r="J633" s="69" t="s">
        <v>12</v>
      </c>
      <c r="L633" s="15">
        <f t="shared" si="10"/>
        <v>112.215</v>
      </c>
    </row>
    <row r="634" spans="1:12" x14ac:dyDescent="0.2">
      <c r="A634">
        <v>18887</v>
      </c>
      <c r="B634" t="s">
        <v>105</v>
      </c>
      <c r="C634">
        <v>12030611</v>
      </c>
      <c r="D634" t="s">
        <v>36</v>
      </c>
      <c r="E634">
        <v>235</v>
      </c>
      <c r="F634" t="s">
        <v>207</v>
      </c>
      <c r="G634" s="47">
        <v>112.215</v>
      </c>
      <c r="I634">
        <v>492</v>
      </c>
      <c r="J634" s="69" t="s">
        <v>12</v>
      </c>
      <c r="L634" s="15">
        <f t="shared" si="10"/>
        <v>112.215</v>
      </c>
    </row>
    <row r="635" spans="1:12" x14ac:dyDescent="0.2">
      <c r="A635">
        <v>18979</v>
      </c>
      <c r="B635" t="s">
        <v>39</v>
      </c>
      <c r="C635">
        <v>12030611</v>
      </c>
      <c r="D635" t="s">
        <v>36</v>
      </c>
      <c r="E635">
        <v>235</v>
      </c>
      <c r="F635" t="s">
        <v>207</v>
      </c>
      <c r="G635" s="47">
        <v>112.215</v>
      </c>
      <c r="I635">
        <v>442</v>
      </c>
      <c r="J635" s="69" t="s">
        <v>12</v>
      </c>
      <c r="L635" s="15">
        <f t="shared" si="10"/>
        <v>112.215</v>
      </c>
    </row>
    <row r="636" spans="1:12" x14ac:dyDescent="0.2">
      <c r="A636">
        <v>18929</v>
      </c>
      <c r="B636" t="s">
        <v>106</v>
      </c>
      <c r="C636">
        <v>12030611</v>
      </c>
      <c r="D636" t="s">
        <v>36</v>
      </c>
      <c r="E636">
        <v>235</v>
      </c>
      <c r="F636" t="s">
        <v>207</v>
      </c>
      <c r="G636" s="47">
        <v>112.215</v>
      </c>
      <c r="I636">
        <v>104</v>
      </c>
      <c r="J636" s="69" t="s">
        <v>12</v>
      </c>
      <c r="L636" s="15">
        <f t="shared" si="10"/>
        <v>112.215</v>
      </c>
    </row>
    <row r="637" spans="1:12" x14ac:dyDescent="0.2">
      <c r="A637">
        <v>18822</v>
      </c>
      <c r="B637" t="s">
        <v>103</v>
      </c>
      <c r="C637">
        <v>12030611</v>
      </c>
      <c r="D637" t="s">
        <v>36</v>
      </c>
      <c r="E637">
        <v>235</v>
      </c>
      <c r="F637" t="s">
        <v>207</v>
      </c>
      <c r="G637" s="47">
        <v>112.215</v>
      </c>
      <c r="I637">
        <v>430</v>
      </c>
      <c r="J637" s="69" t="s">
        <v>12</v>
      </c>
      <c r="L637" s="15">
        <f t="shared" si="10"/>
        <v>112.215</v>
      </c>
    </row>
    <row r="638" spans="1:12" x14ac:dyDescent="0.2">
      <c r="A638">
        <v>18827</v>
      </c>
      <c r="B638" t="s">
        <v>104</v>
      </c>
      <c r="C638">
        <v>12030611</v>
      </c>
      <c r="D638" t="s">
        <v>36</v>
      </c>
      <c r="E638">
        <v>235</v>
      </c>
      <c r="F638" t="s">
        <v>207</v>
      </c>
      <c r="G638" s="47">
        <v>112.215</v>
      </c>
      <c r="I638">
        <v>668</v>
      </c>
      <c r="J638" s="69" t="s">
        <v>12</v>
      </c>
      <c r="L638" s="15">
        <f t="shared" si="10"/>
        <v>112.215</v>
      </c>
    </row>
    <row r="639" spans="1:12" x14ac:dyDescent="0.2">
      <c r="A639">
        <v>18949</v>
      </c>
      <c r="B639" t="s">
        <v>35</v>
      </c>
      <c r="C639">
        <v>12030611</v>
      </c>
      <c r="D639" t="s">
        <v>36</v>
      </c>
      <c r="E639">
        <v>235</v>
      </c>
      <c r="F639" t="s">
        <v>207</v>
      </c>
      <c r="G639" s="47">
        <v>112.215</v>
      </c>
      <c r="I639">
        <v>816</v>
      </c>
      <c r="J639" s="69" t="s">
        <v>12</v>
      </c>
      <c r="L639" s="15">
        <f t="shared" si="10"/>
        <v>112.215</v>
      </c>
    </row>
    <row r="640" spans="1:12" x14ac:dyDescent="0.2">
      <c r="A640">
        <v>134</v>
      </c>
      <c r="B640" t="s">
        <v>102</v>
      </c>
      <c r="C640">
        <v>12030611</v>
      </c>
      <c r="D640" t="s">
        <v>36</v>
      </c>
      <c r="E640">
        <v>235</v>
      </c>
      <c r="F640" t="s">
        <v>207</v>
      </c>
      <c r="G640" s="47">
        <v>112.215</v>
      </c>
      <c r="I640">
        <v>128</v>
      </c>
      <c r="J640" s="69" t="s">
        <v>12</v>
      </c>
      <c r="L640" s="15">
        <f t="shared" si="10"/>
        <v>112.215</v>
      </c>
    </row>
    <row r="641" spans="1:12" x14ac:dyDescent="0.2">
      <c r="A641">
        <v>18918</v>
      </c>
      <c r="B641" t="s">
        <v>38</v>
      </c>
      <c r="C641">
        <v>12030611</v>
      </c>
      <c r="D641" t="s">
        <v>36</v>
      </c>
      <c r="E641">
        <v>235</v>
      </c>
      <c r="F641" t="s">
        <v>207</v>
      </c>
      <c r="G641" s="47">
        <v>112.215</v>
      </c>
      <c r="I641">
        <v>706</v>
      </c>
      <c r="J641" s="69" t="s">
        <v>12</v>
      </c>
      <c r="L641" s="15">
        <f t="shared" si="10"/>
        <v>112.215</v>
      </c>
    </row>
    <row r="642" spans="1:12" x14ac:dyDescent="0.2">
      <c r="A642">
        <v>18989</v>
      </c>
      <c r="B642" t="s">
        <v>107</v>
      </c>
      <c r="C642">
        <v>12030800</v>
      </c>
      <c r="D642" t="s">
        <v>59</v>
      </c>
      <c r="E642">
        <v>235</v>
      </c>
      <c r="F642" t="s">
        <v>207</v>
      </c>
      <c r="G642" s="47">
        <v>112.215</v>
      </c>
      <c r="I642">
        <v>574</v>
      </c>
      <c r="J642" s="69" t="s">
        <v>12</v>
      </c>
      <c r="L642" s="15">
        <f t="shared" si="10"/>
        <v>112.215</v>
      </c>
    </row>
    <row r="643" spans="1:12" x14ac:dyDescent="0.2">
      <c r="A643">
        <v>18736</v>
      </c>
      <c r="B643" t="s">
        <v>70</v>
      </c>
      <c r="C643">
        <v>12032511</v>
      </c>
      <c r="D643" t="s">
        <v>43</v>
      </c>
      <c r="E643">
        <v>235</v>
      </c>
      <c r="F643" t="s">
        <v>207</v>
      </c>
      <c r="G643" s="47">
        <v>112.215</v>
      </c>
      <c r="I643">
        <v>541.5</v>
      </c>
      <c r="J643" s="69" t="s">
        <v>12</v>
      </c>
      <c r="L643" s="15">
        <f t="shared" si="10"/>
        <v>112.215</v>
      </c>
    </row>
    <row r="644" spans="1:12" x14ac:dyDescent="0.2">
      <c r="A644">
        <v>18983</v>
      </c>
      <c r="B644" t="s">
        <v>112</v>
      </c>
      <c r="C644">
        <v>12033011</v>
      </c>
      <c r="D644" t="s">
        <v>45</v>
      </c>
      <c r="E644">
        <v>235</v>
      </c>
      <c r="F644" t="s">
        <v>207</v>
      </c>
      <c r="G644" s="47">
        <v>112.215</v>
      </c>
      <c r="I644">
        <v>690</v>
      </c>
      <c r="J644" s="69" t="s">
        <v>12</v>
      </c>
      <c r="L644" s="15">
        <f t="shared" si="10"/>
        <v>112.215</v>
      </c>
    </row>
    <row r="645" spans="1:12" x14ac:dyDescent="0.2">
      <c r="A645">
        <v>19008</v>
      </c>
      <c r="B645" t="s">
        <v>118</v>
      </c>
      <c r="C645">
        <v>12033011</v>
      </c>
      <c r="D645" t="s">
        <v>45</v>
      </c>
      <c r="E645">
        <v>235</v>
      </c>
      <c r="F645" t="s">
        <v>207</v>
      </c>
      <c r="G645" s="47">
        <v>112.215</v>
      </c>
      <c r="I645">
        <v>116</v>
      </c>
      <c r="J645" s="69" t="s">
        <v>12</v>
      </c>
      <c r="L645" s="15">
        <f t="shared" si="10"/>
        <v>112.215</v>
      </c>
    </row>
    <row r="646" spans="1:12" x14ac:dyDescent="0.2">
      <c r="A646">
        <v>18932</v>
      </c>
      <c r="B646" t="s">
        <v>44</v>
      </c>
      <c r="C646">
        <v>12033011</v>
      </c>
      <c r="D646" t="s">
        <v>45</v>
      </c>
      <c r="E646">
        <v>235</v>
      </c>
      <c r="F646" t="s">
        <v>207</v>
      </c>
      <c r="G646" s="47">
        <v>112.215</v>
      </c>
      <c r="I646">
        <v>696</v>
      </c>
      <c r="J646" s="69" t="s">
        <v>12</v>
      </c>
      <c r="L646" s="15">
        <f t="shared" si="10"/>
        <v>112.215</v>
      </c>
    </row>
    <row r="647" spans="1:12" x14ac:dyDescent="0.2">
      <c r="A647">
        <v>19009</v>
      </c>
      <c r="B647" t="s">
        <v>117</v>
      </c>
      <c r="C647">
        <v>12033011</v>
      </c>
      <c r="D647" t="s">
        <v>45</v>
      </c>
      <c r="E647">
        <v>235</v>
      </c>
      <c r="F647" t="s">
        <v>207</v>
      </c>
      <c r="G647" s="47">
        <v>112.215</v>
      </c>
      <c r="I647">
        <v>588</v>
      </c>
      <c r="J647" s="69" t="s">
        <v>12</v>
      </c>
      <c r="L647" s="15">
        <f t="shared" si="10"/>
        <v>112.215</v>
      </c>
    </row>
    <row r="648" spans="1:12" x14ac:dyDescent="0.2">
      <c r="A648">
        <v>19030</v>
      </c>
      <c r="B648" t="s">
        <v>364</v>
      </c>
      <c r="C648">
        <v>12033011</v>
      </c>
      <c r="D648" t="s">
        <v>45</v>
      </c>
      <c r="E648">
        <v>235</v>
      </c>
      <c r="F648" t="s">
        <v>207</v>
      </c>
      <c r="G648" s="47">
        <v>112.215</v>
      </c>
      <c r="I648">
        <v>336</v>
      </c>
      <c r="J648" s="69" t="s">
        <v>12</v>
      </c>
      <c r="L648" s="15">
        <f t="shared" si="10"/>
        <v>112.215</v>
      </c>
    </row>
    <row r="649" spans="1:12" x14ac:dyDescent="0.2">
      <c r="A649">
        <v>19029</v>
      </c>
      <c r="B649" t="s">
        <v>366</v>
      </c>
      <c r="C649">
        <v>12033011</v>
      </c>
      <c r="D649" t="s">
        <v>45</v>
      </c>
      <c r="E649">
        <v>235</v>
      </c>
      <c r="F649" t="s">
        <v>207</v>
      </c>
      <c r="G649" s="47">
        <v>112.215</v>
      </c>
      <c r="I649">
        <v>638</v>
      </c>
      <c r="J649" s="69" t="s">
        <v>12</v>
      </c>
      <c r="L649" s="15">
        <f t="shared" si="10"/>
        <v>112.215</v>
      </c>
    </row>
    <row r="650" spans="1:12" x14ac:dyDescent="0.2">
      <c r="A650">
        <v>19017</v>
      </c>
      <c r="B650" t="s">
        <v>65</v>
      </c>
      <c r="C650">
        <v>12033011</v>
      </c>
      <c r="D650" t="s">
        <v>45</v>
      </c>
      <c r="E650">
        <v>235</v>
      </c>
      <c r="F650" t="s">
        <v>207</v>
      </c>
      <c r="G650" s="47">
        <v>112.215</v>
      </c>
      <c r="I650">
        <v>626</v>
      </c>
      <c r="J650" s="69" t="s">
        <v>12</v>
      </c>
      <c r="L650" s="15">
        <f t="shared" si="10"/>
        <v>112.215</v>
      </c>
    </row>
    <row r="651" spans="1:12" x14ac:dyDescent="0.2">
      <c r="A651">
        <v>19015</v>
      </c>
      <c r="B651" t="s">
        <v>116</v>
      </c>
      <c r="C651">
        <v>12033011</v>
      </c>
      <c r="D651" t="s">
        <v>45</v>
      </c>
      <c r="E651">
        <v>235</v>
      </c>
      <c r="F651" t="s">
        <v>207</v>
      </c>
      <c r="G651" s="47">
        <v>112.215</v>
      </c>
      <c r="I651">
        <v>494</v>
      </c>
      <c r="J651" s="69" t="s">
        <v>12</v>
      </c>
      <c r="L651" s="15">
        <f t="shared" si="10"/>
        <v>112.215</v>
      </c>
    </row>
    <row r="652" spans="1:12" x14ac:dyDescent="0.2">
      <c r="A652">
        <v>18679</v>
      </c>
      <c r="B652" t="s">
        <v>114</v>
      </c>
      <c r="C652">
        <v>12033011</v>
      </c>
      <c r="D652" t="s">
        <v>45</v>
      </c>
      <c r="E652">
        <v>235</v>
      </c>
      <c r="F652" t="s">
        <v>207</v>
      </c>
      <c r="G652" s="47">
        <v>112.215</v>
      </c>
      <c r="I652">
        <v>236</v>
      </c>
      <c r="J652" s="69" t="s">
        <v>12</v>
      </c>
      <c r="L652" s="15">
        <f t="shared" si="10"/>
        <v>112.215</v>
      </c>
    </row>
    <row r="653" spans="1:12" x14ac:dyDescent="0.2">
      <c r="A653">
        <v>18829</v>
      </c>
      <c r="B653" t="s">
        <v>115</v>
      </c>
      <c r="C653">
        <v>12033011</v>
      </c>
      <c r="D653" t="s">
        <v>45</v>
      </c>
      <c r="E653">
        <v>235</v>
      </c>
      <c r="F653" t="s">
        <v>207</v>
      </c>
      <c r="G653" s="47">
        <v>112.215</v>
      </c>
      <c r="I653">
        <v>986</v>
      </c>
      <c r="J653" s="69" t="s">
        <v>12</v>
      </c>
      <c r="L653" s="15">
        <f t="shared" si="10"/>
        <v>112.215</v>
      </c>
    </row>
    <row r="654" spans="1:12" x14ac:dyDescent="0.2">
      <c r="A654">
        <v>18923</v>
      </c>
      <c r="B654" t="s">
        <v>46</v>
      </c>
      <c r="C654">
        <v>12033011</v>
      </c>
      <c r="D654" t="s">
        <v>45</v>
      </c>
      <c r="E654">
        <v>235</v>
      </c>
      <c r="F654" t="s">
        <v>207</v>
      </c>
      <c r="G654" s="47">
        <v>112.215</v>
      </c>
      <c r="I654">
        <v>234</v>
      </c>
      <c r="J654" s="69" t="s">
        <v>12</v>
      </c>
      <c r="L654" s="15">
        <f t="shared" si="10"/>
        <v>112.215</v>
      </c>
    </row>
    <row r="655" spans="1:12" x14ac:dyDescent="0.2">
      <c r="A655">
        <v>19011</v>
      </c>
      <c r="B655" t="s">
        <v>111</v>
      </c>
      <c r="C655">
        <v>12033011</v>
      </c>
      <c r="D655" t="s">
        <v>45</v>
      </c>
      <c r="E655">
        <v>235</v>
      </c>
      <c r="F655" t="s">
        <v>207</v>
      </c>
      <c r="G655" s="47">
        <v>112.215</v>
      </c>
      <c r="I655">
        <v>554</v>
      </c>
      <c r="J655" s="69" t="s">
        <v>12</v>
      </c>
      <c r="L655" s="15">
        <f t="shared" si="10"/>
        <v>112.215</v>
      </c>
    </row>
    <row r="656" spans="1:12" x14ac:dyDescent="0.2">
      <c r="A656">
        <v>19019</v>
      </c>
      <c r="B656" t="s">
        <v>108</v>
      </c>
      <c r="C656">
        <v>12033011</v>
      </c>
      <c r="D656" t="s">
        <v>45</v>
      </c>
      <c r="E656">
        <v>235</v>
      </c>
      <c r="F656" t="s">
        <v>207</v>
      </c>
      <c r="G656" s="47">
        <v>112.215</v>
      </c>
      <c r="I656">
        <v>508</v>
      </c>
      <c r="J656" s="69" t="s">
        <v>12</v>
      </c>
      <c r="L656" s="15">
        <f t="shared" si="10"/>
        <v>112.215</v>
      </c>
    </row>
    <row r="657" spans="1:12" x14ac:dyDescent="0.2">
      <c r="A657">
        <v>18607</v>
      </c>
      <c r="B657" t="s">
        <v>109</v>
      </c>
      <c r="C657">
        <v>12033011</v>
      </c>
      <c r="D657" t="s">
        <v>45</v>
      </c>
      <c r="E657">
        <v>235</v>
      </c>
      <c r="F657" t="s">
        <v>207</v>
      </c>
      <c r="G657" s="47">
        <v>112.215</v>
      </c>
      <c r="I657">
        <v>590</v>
      </c>
      <c r="J657" s="69" t="s">
        <v>12</v>
      </c>
      <c r="L657" s="15">
        <f t="shared" si="10"/>
        <v>112.215</v>
      </c>
    </row>
    <row r="658" spans="1:12" x14ac:dyDescent="0.2">
      <c r="A658">
        <v>19012</v>
      </c>
      <c r="B658" t="s">
        <v>110</v>
      </c>
      <c r="C658">
        <v>12033011</v>
      </c>
      <c r="D658" t="s">
        <v>45</v>
      </c>
      <c r="E658">
        <v>235</v>
      </c>
      <c r="F658" t="s">
        <v>207</v>
      </c>
      <c r="G658" s="47">
        <v>112.215</v>
      </c>
      <c r="I658">
        <v>486</v>
      </c>
      <c r="J658" s="69" t="s">
        <v>12</v>
      </c>
      <c r="L658" s="15">
        <f t="shared" si="10"/>
        <v>112.215</v>
      </c>
    </row>
    <row r="659" spans="1:12" x14ac:dyDescent="0.2">
      <c r="A659">
        <v>19028</v>
      </c>
      <c r="B659" t="s">
        <v>367</v>
      </c>
      <c r="C659">
        <v>12033011</v>
      </c>
      <c r="D659" t="s">
        <v>45</v>
      </c>
      <c r="E659">
        <v>235</v>
      </c>
      <c r="F659" t="s">
        <v>207</v>
      </c>
      <c r="G659" s="47">
        <v>112.215</v>
      </c>
      <c r="I659">
        <v>554</v>
      </c>
      <c r="J659" s="69" t="s">
        <v>12</v>
      </c>
      <c r="L659" s="15">
        <f t="shared" si="10"/>
        <v>112.215</v>
      </c>
    </row>
    <row r="660" spans="1:12" x14ac:dyDescent="0.2">
      <c r="A660">
        <v>18998</v>
      </c>
      <c r="B660" t="s">
        <v>47</v>
      </c>
      <c r="C660">
        <v>12038099</v>
      </c>
      <c r="D660" t="s">
        <v>48</v>
      </c>
      <c r="E660">
        <v>235</v>
      </c>
      <c r="F660" t="s">
        <v>207</v>
      </c>
      <c r="G660" s="47">
        <v>112.215</v>
      </c>
      <c r="I660">
        <v>1082</v>
      </c>
      <c r="J660" s="69" t="s">
        <v>12</v>
      </c>
      <c r="L660" s="15">
        <f t="shared" si="10"/>
        <v>112.215</v>
      </c>
    </row>
    <row r="661" spans="1:12" x14ac:dyDescent="0.2">
      <c r="A661">
        <v>115</v>
      </c>
      <c r="B661" t="s">
        <v>196</v>
      </c>
      <c r="C661">
        <v>12040400</v>
      </c>
      <c r="D661" t="s">
        <v>197</v>
      </c>
      <c r="E661">
        <v>235</v>
      </c>
      <c r="F661" t="s">
        <v>207</v>
      </c>
      <c r="G661" s="47">
        <v>112.215</v>
      </c>
      <c r="I661">
        <v>676</v>
      </c>
      <c r="J661" s="69" t="s">
        <v>12</v>
      </c>
      <c r="L661" s="15">
        <f t="shared" si="10"/>
        <v>112.215</v>
      </c>
    </row>
    <row r="662" spans="1:12" x14ac:dyDescent="0.2">
      <c r="A662">
        <v>18649</v>
      </c>
      <c r="B662" t="s">
        <v>152</v>
      </c>
      <c r="C662">
        <v>12040500</v>
      </c>
      <c r="D662" t="s">
        <v>67</v>
      </c>
      <c r="E662">
        <v>235</v>
      </c>
      <c r="F662" t="s">
        <v>207</v>
      </c>
      <c r="G662" s="47">
        <v>112.215</v>
      </c>
      <c r="I662">
        <v>796</v>
      </c>
      <c r="J662" s="69" t="s">
        <v>12</v>
      </c>
      <c r="L662" s="15">
        <f t="shared" si="10"/>
        <v>112.215</v>
      </c>
    </row>
    <row r="663" spans="1:12" x14ac:dyDescent="0.2">
      <c r="A663">
        <v>19020</v>
      </c>
      <c r="B663" t="s">
        <v>66</v>
      </c>
      <c r="C663">
        <v>12040500</v>
      </c>
      <c r="D663" t="s">
        <v>67</v>
      </c>
      <c r="E663">
        <v>235</v>
      </c>
      <c r="F663" t="s">
        <v>207</v>
      </c>
      <c r="G663" s="47">
        <v>112.215</v>
      </c>
      <c r="I663">
        <v>338</v>
      </c>
      <c r="J663" s="69" t="s">
        <v>12</v>
      </c>
      <c r="L663" s="15">
        <f t="shared" si="10"/>
        <v>112.215</v>
      </c>
    </row>
    <row r="664" spans="1:12" x14ac:dyDescent="0.2">
      <c r="A664">
        <v>18839</v>
      </c>
      <c r="B664" t="s">
        <v>198</v>
      </c>
      <c r="C664">
        <v>12040800</v>
      </c>
      <c r="D664" t="s">
        <v>120</v>
      </c>
      <c r="E664">
        <v>235</v>
      </c>
      <c r="F664" t="s">
        <v>207</v>
      </c>
      <c r="G664" s="47">
        <v>112.215</v>
      </c>
      <c r="I664">
        <v>116</v>
      </c>
      <c r="J664" s="69" t="s">
        <v>12</v>
      </c>
      <c r="L664" s="15">
        <f t="shared" si="10"/>
        <v>112.215</v>
      </c>
    </row>
    <row r="665" spans="1:12" x14ac:dyDescent="0.2">
      <c r="A665">
        <v>18904</v>
      </c>
      <c r="B665" t="s">
        <v>119</v>
      </c>
      <c r="C665">
        <v>12040800</v>
      </c>
      <c r="D665" t="s">
        <v>120</v>
      </c>
      <c r="E665">
        <v>235</v>
      </c>
      <c r="F665" t="s">
        <v>207</v>
      </c>
      <c r="G665" s="47">
        <v>112.215</v>
      </c>
      <c r="I665">
        <v>712</v>
      </c>
      <c r="J665" s="69" t="s">
        <v>12</v>
      </c>
      <c r="L665" s="15">
        <f t="shared" si="10"/>
        <v>112.215</v>
      </c>
    </row>
    <row r="666" spans="1:12" x14ac:dyDescent="0.2">
      <c r="A666">
        <v>18650</v>
      </c>
      <c r="B666" t="s">
        <v>49</v>
      </c>
      <c r="C666">
        <v>12042511</v>
      </c>
      <c r="D666" t="s">
        <v>50</v>
      </c>
      <c r="E666">
        <v>235</v>
      </c>
      <c r="F666" t="s">
        <v>207</v>
      </c>
      <c r="G666" s="47">
        <v>112.215</v>
      </c>
      <c r="I666">
        <v>272</v>
      </c>
      <c r="J666" s="69" t="s">
        <v>12</v>
      </c>
      <c r="L666" s="15">
        <f t="shared" si="10"/>
        <v>112.215</v>
      </c>
    </row>
    <row r="667" spans="1:12" x14ac:dyDescent="0.2">
      <c r="A667">
        <v>18713</v>
      </c>
      <c r="B667" t="s">
        <v>154</v>
      </c>
      <c r="C667">
        <v>12043011</v>
      </c>
      <c r="D667" t="s">
        <v>52</v>
      </c>
      <c r="E667">
        <v>235</v>
      </c>
      <c r="F667" t="s">
        <v>207</v>
      </c>
      <c r="G667" s="47">
        <v>112.215</v>
      </c>
      <c r="I667">
        <v>802</v>
      </c>
      <c r="J667" s="69" t="s">
        <v>12</v>
      </c>
      <c r="L667" s="15">
        <f t="shared" si="10"/>
        <v>112.215</v>
      </c>
    </row>
    <row r="668" spans="1:12" x14ac:dyDescent="0.2">
      <c r="A668">
        <v>18850</v>
      </c>
      <c r="B668" t="s">
        <v>123</v>
      </c>
      <c r="C668">
        <v>12043011</v>
      </c>
      <c r="D668" t="s">
        <v>52</v>
      </c>
      <c r="E668">
        <v>235</v>
      </c>
      <c r="F668" t="s">
        <v>207</v>
      </c>
      <c r="G668" s="47">
        <v>112.215</v>
      </c>
      <c r="I668">
        <v>1494</v>
      </c>
      <c r="J668" s="69" t="s">
        <v>12</v>
      </c>
      <c r="L668" s="15">
        <f t="shared" si="10"/>
        <v>112.215</v>
      </c>
    </row>
    <row r="669" spans="1:12" x14ac:dyDescent="0.2">
      <c r="A669">
        <v>18646</v>
      </c>
      <c r="B669" t="s">
        <v>124</v>
      </c>
      <c r="C669">
        <v>12043011</v>
      </c>
      <c r="D669" t="s">
        <v>52</v>
      </c>
      <c r="E669">
        <v>235</v>
      </c>
      <c r="F669" t="s">
        <v>207</v>
      </c>
      <c r="G669" s="47">
        <v>112.215</v>
      </c>
      <c r="I669">
        <v>562</v>
      </c>
      <c r="J669" s="69" t="s">
        <v>12</v>
      </c>
      <c r="L669" s="15">
        <f t="shared" si="10"/>
        <v>112.215</v>
      </c>
    </row>
    <row r="670" spans="1:12" x14ac:dyDescent="0.2">
      <c r="A670">
        <v>18942</v>
      </c>
      <c r="B670" t="s">
        <v>51</v>
      </c>
      <c r="C670">
        <v>12043011</v>
      </c>
      <c r="D670" t="s">
        <v>52</v>
      </c>
      <c r="E670">
        <v>235</v>
      </c>
      <c r="F670" t="s">
        <v>207</v>
      </c>
      <c r="G670" s="47">
        <v>112.215</v>
      </c>
      <c r="I670">
        <v>470</v>
      </c>
      <c r="J670" s="69" t="s">
        <v>12</v>
      </c>
      <c r="L670" s="15">
        <f t="shared" si="10"/>
        <v>112.215</v>
      </c>
    </row>
    <row r="671" spans="1:12" x14ac:dyDescent="0.2">
      <c r="A671">
        <v>18703</v>
      </c>
      <c r="B671" t="s">
        <v>126</v>
      </c>
      <c r="C671">
        <v>12043011</v>
      </c>
      <c r="D671" t="s">
        <v>52</v>
      </c>
      <c r="E671">
        <v>235</v>
      </c>
      <c r="F671" t="s">
        <v>207</v>
      </c>
      <c r="G671" s="47">
        <v>112.215</v>
      </c>
      <c r="I671">
        <v>708</v>
      </c>
      <c r="J671" s="69" t="s">
        <v>12</v>
      </c>
      <c r="L671" s="15">
        <f t="shared" si="10"/>
        <v>112.215</v>
      </c>
    </row>
    <row r="672" spans="1:12" x14ac:dyDescent="0.2">
      <c r="A672">
        <v>19023</v>
      </c>
      <c r="B672" t="s">
        <v>69</v>
      </c>
      <c r="C672">
        <v>12043011</v>
      </c>
      <c r="D672" t="s">
        <v>52</v>
      </c>
      <c r="E672">
        <v>235</v>
      </c>
      <c r="F672" t="s">
        <v>207</v>
      </c>
      <c r="G672" s="47">
        <v>112.215</v>
      </c>
      <c r="I672">
        <v>24</v>
      </c>
      <c r="J672" s="69" t="s">
        <v>12</v>
      </c>
      <c r="L672" s="15">
        <f t="shared" si="10"/>
        <v>112.215</v>
      </c>
    </row>
    <row r="673" spans="1:12" x14ac:dyDescent="0.2">
      <c r="A673">
        <v>18990</v>
      </c>
      <c r="B673" t="s">
        <v>125</v>
      </c>
      <c r="C673">
        <v>12043011</v>
      </c>
      <c r="D673" t="s">
        <v>52</v>
      </c>
      <c r="E673">
        <v>235</v>
      </c>
      <c r="F673" t="s">
        <v>207</v>
      </c>
      <c r="G673" s="47">
        <v>112.215</v>
      </c>
      <c r="I673">
        <v>250</v>
      </c>
      <c r="J673" s="69" t="s">
        <v>12</v>
      </c>
      <c r="L673" s="15">
        <f t="shared" si="10"/>
        <v>112.215</v>
      </c>
    </row>
    <row r="674" spans="1:12" x14ac:dyDescent="0.2">
      <c r="A674">
        <v>18924</v>
      </c>
      <c r="B674" t="s">
        <v>121</v>
      </c>
      <c r="C674">
        <v>12043011</v>
      </c>
      <c r="D674" t="s">
        <v>52</v>
      </c>
      <c r="E674">
        <v>235</v>
      </c>
      <c r="F674" t="s">
        <v>207</v>
      </c>
      <c r="G674" s="47">
        <v>112.215</v>
      </c>
      <c r="I674">
        <v>120</v>
      </c>
      <c r="J674" s="69" t="s">
        <v>12</v>
      </c>
      <c r="L674" s="15">
        <f t="shared" si="10"/>
        <v>112.215</v>
      </c>
    </row>
    <row r="675" spans="1:12" x14ac:dyDescent="0.2">
      <c r="A675">
        <v>19039</v>
      </c>
      <c r="B675" t="s">
        <v>443</v>
      </c>
      <c r="C675">
        <v>12043011</v>
      </c>
      <c r="D675" t="s">
        <v>52</v>
      </c>
      <c r="E675">
        <v>235</v>
      </c>
      <c r="F675" t="s">
        <v>207</v>
      </c>
      <c r="G675" s="47">
        <v>112.215</v>
      </c>
      <c r="I675">
        <v>310</v>
      </c>
      <c r="J675" s="69" t="s">
        <v>12</v>
      </c>
      <c r="L675" s="15">
        <f t="shared" si="10"/>
        <v>112.215</v>
      </c>
    </row>
    <row r="676" spans="1:12" x14ac:dyDescent="0.2">
      <c r="A676">
        <v>18986</v>
      </c>
      <c r="B676" t="s">
        <v>153</v>
      </c>
      <c r="C676">
        <v>12043011</v>
      </c>
      <c r="D676" t="s">
        <v>52</v>
      </c>
      <c r="E676">
        <v>235</v>
      </c>
      <c r="F676" t="s">
        <v>207</v>
      </c>
      <c r="G676" s="47">
        <v>112.215</v>
      </c>
      <c r="I676">
        <v>318</v>
      </c>
      <c r="J676" s="69" t="s">
        <v>12</v>
      </c>
      <c r="L676" s="15">
        <f t="shared" si="10"/>
        <v>112.215</v>
      </c>
    </row>
    <row r="677" spans="1:12" x14ac:dyDescent="0.2">
      <c r="A677">
        <v>18970</v>
      </c>
      <c r="B677" t="s">
        <v>200</v>
      </c>
      <c r="C677">
        <v>12043123</v>
      </c>
      <c r="D677" t="s">
        <v>201</v>
      </c>
      <c r="E677">
        <v>235</v>
      </c>
      <c r="F677" t="s">
        <v>207</v>
      </c>
      <c r="G677" s="47">
        <v>112.215</v>
      </c>
      <c r="I677">
        <v>234</v>
      </c>
      <c r="J677" s="69" t="s">
        <v>12</v>
      </c>
      <c r="L677" s="15">
        <f t="shared" si="10"/>
        <v>112.215</v>
      </c>
    </row>
    <row r="678" spans="1:12" x14ac:dyDescent="0.2">
      <c r="A678">
        <v>19031</v>
      </c>
      <c r="B678" t="s">
        <v>387</v>
      </c>
      <c r="C678">
        <v>12048099</v>
      </c>
      <c r="D678" t="s">
        <v>156</v>
      </c>
      <c r="E678">
        <v>235</v>
      </c>
      <c r="F678" t="s">
        <v>207</v>
      </c>
      <c r="G678" s="47">
        <v>112.215</v>
      </c>
      <c r="I678">
        <v>1002</v>
      </c>
      <c r="J678" s="69" t="s">
        <v>12</v>
      </c>
      <c r="L678" s="15">
        <f t="shared" si="10"/>
        <v>112.215</v>
      </c>
    </row>
    <row r="679" spans="1:12" x14ac:dyDescent="0.2">
      <c r="A679">
        <v>18976</v>
      </c>
      <c r="B679" t="s">
        <v>202</v>
      </c>
      <c r="C679">
        <v>12048099</v>
      </c>
      <c r="D679" t="s">
        <v>156</v>
      </c>
      <c r="E679">
        <v>235</v>
      </c>
      <c r="F679" t="s">
        <v>207</v>
      </c>
      <c r="G679" s="47">
        <v>112.215</v>
      </c>
      <c r="I679">
        <v>390</v>
      </c>
      <c r="J679" s="69" t="s">
        <v>12</v>
      </c>
      <c r="L679" s="15">
        <f t="shared" si="10"/>
        <v>112.215</v>
      </c>
    </row>
    <row r="680" spans="1:12" x14ac:dyDescent="0.2">
      <c r="A680">
        <v>18442</v>
      </c>
      <c r="B680" t="s">
        <v>157</v>
      </c>
      <c r="C680">
        <v>12060400</v>
      </c>
      <c r="D680" t="s">
        <v>158</v>
      </c>
      <c r="E680">
        <v>235</v>
      </c>
      <c r="F680" t="s">
        <v>207</v>
      </c>
      <c r="G680" s="47">
        <v>112.215</v>
      </c>
      <c r="I680">
        <v>510</v>
      </c>
      <c r="J680" s="69" t="s">
        <v>12</v>
      </c>
      <c r="L680" s="15">
        <f t="shared" si="10"/>
        <v>112.215</v>
      </c>
    </row>
    <row r="681" spans="1:12" x14ac:dyDescent="0.2">
      <c r="A681">
        <v>261</v>
      </c>
      <c r="B681" t="s">
        <v>159</v>
      </c>
      <c r="C681">
        <v>12060611</v>
      </c>
      <c r="D681" t="s">
        <v>54</v>
      </c>
      <c r="E681">
        <v>235</v>
      </c>
      <c r="F681" t="s">
        <v>207</v>
      </c>
      <c r="G681" s="47">
        <v>112.215</v>
      </c>
      <c r="I681">
        <v>644</v>
      </c>
      <c r="J681" s="69" t="s">
        <v>12</v>
      </c>
      <c r="L681" s="15">
        <f t="shared" si="10"/>
        <v>112.215</v>
      </c>
    </row>
    <row r="682" spans="1:12" x14ac:dyDescent="0.2">
      <c r="A682">
        <v>18634</v>
      </c>
      <c r="B682" t="s">
        <v>129</v>
      </c>
      <c r="C682">
        <v>12060611</v>
      </c>
      <c r="D682" t="s">
        <v>54</v>
      </c>
      <c r="E682">
        <v>235</v>
      </c>
      <c r="F682" t="s">
        <v>207</v>
      </c>
      <c r="G682" s="47">
        <v>112.215</v>
      </c>
      <c r="I682">
        <v>120</v>
      </c>
      <c r="J682" s="69" t="s">
        <v>12</v>
      </c>
      <c r="L682" s="15">
        <f t="shared" si="10"/>
        <v>112.215</v>
      </c>
    </row>
    <row r="683" spans="1:12" x14ac:dyDescent="0.2">
      <c r="A683">
        <v>18898</v>
      </c>
      <c r="B683" t="s">
        <v>130</v>
      </c>
      <c r="C683">
        <v>12060611</v>
      </c>
      <c r="D683" t="s">
        <v>54</v>
      </c>
      <c r="E683">
        <v>235</v>
      </c>
      <c r="F683" t="s">
        <v>207</v>
      </c>
      <c r="G683" s="47">
        <v>112.215</v>
      </c>
      <c r="I683">
        <v>346</v>
      </c>
      <c r="J683" s="69" t="s">
        <v>12</v>
      </c>
      <c r="L683" s="15">
        <f t="shared" si="10"/>
        <v>112.215</v>
      </c>
    </row>
    <row r="684" spans="1:12" x14ac:dyDescent="0.2">
      <c r="A684">
        <v>18823</v>
      </c>
      <c r="B684" t="s">
        <v>53</v>
      </c>
      <c r="C684">
        <v>12060611</v>
      </c>
      <c r="D684" t="s">
        <v>54</v>
      </c>
      <c r="E684">
        <v>235</v>
      </c>
      <c r="F684" t="s">
        <v>207</v>
      </c>
      <c r="G684" s="47">
        <v>112.215</v>
      </c>
      <c r="I684">
        <v>630</v>
      </c>
      <c r="J684" s="69" t="s">
        <v>12</v>
      </c>
      <c r="L684" s="15">
        <f t="shared" si="10"/>
        <v>112.215</v>
      </c>
    </row>
    <row r="685" spans="1:12" x14ac:dyDescent="0.2">
      <c r="A685">
        <v>18996</v>
      </c>
      <c r="B685" t="s">
        <v>127</v>
      </c>
      <c r="C685">
        <v>12060611</v>
      </c>
      <c r="D685" t="s">
        <v>54</v>
      </c>
      <c r="E685">
        <v>235</v>
      </c>
      <c r="F685" t="s">
        <v>207</v>
      </c>
      <c r="G685" s="47">
        <v>112.215</v>
      </c>
      <c r="I685">
        <v>468</v>
      </c>
      <c r="J685" s="69" t="s">
        <v>12</v>
      </c>
      <c r="L685" s="15">
        <f t="shared" si="10"/>
        <v>112.215</v>
      </c>
    </row>
    <row r="686" spans="1:12" x14ac:dyDescent="0.2">
      <c r="A686">
        <v>18927</v>
      </c>
      <c r="B686" t="s">
        <v>55</v>
      </c>
      <c r="C686">
        <v>12060611</v>
      </c>
      <c r="D686" t="s">
        <v>54</v>
      </c>
      <c r="E686">
        <v>235</v>
      </c>
      <c r="F686" t="s">
        <v>207</v>
      </c>
      <c r="G686" s="47">
        <v>112.215</v>
      </c>
      <c r="I686">
        <v>162</v>
      </c>
      <c r="J686" s="69" t="s">
        <v>12</v>
      </c>
      <c r="L686" s="15">
        <f t="shared" si="10"/>
        <v>112.215</v>
      </c>
    </row>
    <row r="687" spans="1:12" x14ac:dyDescent="0.2">
      <c r="A687">
        <v>18895</v>
      </c>
      <c r="B687" t="s">
        <v>128</v>
      </c>
      <c r="C687">
        <v>12060611</v>
      </c>
      <c r="D687" t="s">
        <v>54</v>
      </c>
      <c r="E687">
        <v>235</v>
      </c>
      <c r="F687" t="s">
        <v>207</v>
      </c>
      <c r="G687" s="47">
        <v>112.215</v>
      </c>
      <c r="I687">
        <v>210</v>
      </c>
      <c r="J687" s="69" t="s">
        <v>12</v>
      </c>
      <c r="L687" s="15">
        <f t="shared" si="10"/>
        <v>112.215</v>
      </c>
    </row>
    <row r="688" spans="1:12" x14ac:dyDescent="0.2">
      <c r="A688">
        <v>18791</v>
      </c>
      <c r="B688" t="s">
        <v>132</v>
      </c>
      <c r="C688">
        <v>12060711</v>
      </c>
      <c r="D688" t="s">
        <v>133</v>
      </c>
      <c r="E688">
        <v>235</v>
      </c>
      <c r="F688" t="s">
        <v>207</v>
      </c>
      <c r="G688" s="47">
        <v>112.215</v>
      </c>
      <c r="I688">
        <v>502</v>
      </c>
      <c r="J688" s="69" t="s">
        <v>12</v>
      </c>
      <c r="L688" s="15">
        <f t="shared" si="10"/>
        <v>112.215</v>
      </c>
    </row>
    <row r="689" spans="1:12" x14ac:dyDescent="0.2">
      <c r="A689">
        <v>18561</v>
      </c>
      <c r="B689" t="s">
        <v>134</v>
      </c>
      <c r="C689">
        <v>12060800</v>
      </c>
      <c r="D689" t="s">
        <v>135</v>
      </c>
      <c r="E689">
        <v>235</v>
      </c>
      <c r="F689" t="s">
        <v>207</v>
      </c>
      <c r="G689" s="47">
        <v>112.215</v>
      </c>
      <c r="I689">
        <v>576</v>
      </c>
      <c r="J689" s="69" t="s">
        <v>12</v>
      </c>
      <c r="L689" s="15">
        <f t="shared" si="10"/>
        <v>112.215</v>
      </c>
    </row>
    <row r="690" spans="1:12" x14ac:dyDescent="0.2">
      <c r="A690">
        <v>18953</v>
      </c>
      <c r="B690" t="s">
        <v>136</v>
      </c>
      <c r="C690">
        <v>12060800</v>
      </c>
      <c r="D690" t="s">
        <v>135</v>
      </c>
      <c r="E690">
        <v>235</v>
      </c>
      <c r="F690" t="s">
        <v>207</v>
      </c>
      <c r="G690" s="47">
        <v>112.215</v>
      </c>
      <c r="I690">
        <v>280</v>
      </c>
      <c r="J690" s="69" t="s">
        <v>12</v>
      </c>
      <c r="L690" s="15">
        <f t="shared" si="10"/>
        <v>112.215</v>
      </c>
    </row>
    <row r="691" spans="1:12" x14ac:dyDescent="0.2">
      <c r="A691">
        <v>18792</v>
      </c>
      <c r="B691" t="s">
        <v>56</v>
      </c>
      <c r="C691">
        <v>12062511</v>
      </c>
      <c r="D691" t="s">
        <v>57</v>
      </c>
      <c r="E691">
        <v>235</v>
      </c>
      <c r="F691" t="s">
        <v>207</v>
      </c>
      <c r="G691" s="47">
        <v>112.215</v>
      </c>
      <c r="I691">
        <v>392</v>
      </c>
      <c r="J691" s="69" t="s">
        <v>12</v>
      </c>
      <c r="L691" s="15">
        <f t="shared" si="10"/>
        <v>112.215</v>
      </c>
    </row>
    <row r="692" spans="1:12" x14ac:dyDescent="0.2">
      <c r="A692">
        <v>18506</v>
      </c>
      <c r="B692" t="s">
        <v>438</v>
      </c>
      <c r="C692">
        <v>12062511</v>
      </c>
      <c r="D692" t="s">
        <v>57</v>
      </c>
      <c r="E692">
        <v>235</v>
      </c>
      <c r="F692" t="s">
        <v>207</v>
      </c>
      <c r="G692" s="47">
        <v>112.215</v>
      </c>
      <c r="I692">
        <v>4</v>
      </c>
      <c r="J692" s="69" t="s">
        <v>12</v>
      </c>
      <c r="L692" s="15">
        <f t="shared" si="10"/>
        <v>112.215</v>
      </c>
    </row>
    <row r="693" spans="1:12" x14ac:dyDescent="0.2">
      <c r="A693">
        <v>18876</v>
      </c>
      <c r="B693" t="s">
        <v>160</v>
      </c>
      <c r="C693">
        <v>12068099</v>
      </c>
      <c r="D693" t="s">
        <v>161</v>
      </c>
      <c r="E693">
        <v>235</v>
      </c>
      <c r="F693" t="s">
        <v>207</v>
      </c>
      <c r="G693" s="47">
        <v>112.215</v>
      </c>
      <c r="I693">
        <v>1082</v>
      </c>
      <c r="J693" s="69" t="s">
        <v>12</v>
      </c>
      <c r="L693" s="15">
        <f t="shared" si="10"/>
        <v>112.215</v>
      </c>
    </row>
    <row r="694" spans="1:12" x14ac:dyDescent="0.2">
      <c r="A694">
        <v>18647</v>
      </c>
      <c r="B694" t="s">
        <v>167</v>
      </c>
      <c r="C694">
        <v>12010500</v>
      </c>
      <c r="D694" t="s">
        <v>60</v>
      </c>
      <c r="E694">
        <v>299</v>
      </c>
      <c r="F694" t="s">
        <v>208</v>
      </c>
      <c r="G694" s="47" t="s">
        <v>206</v>
      </c>
      <c r="I694">
        <v>3095.12</v>
      </c>
      <c r="J694" s="69" t="s">
        <v>12</v>
      </c>
      <c r="L694" s="15" t="str">
        <f t="shared" si="10"/>
        <v>112.2160.100</v>
      </c>
    </row>
    <row r="695" spans="1:12" x14ac:dyDescent="0.2">
      <c r="A695">
        <v>18726</v>
      </c>
      <c r="B695" t="s">
        <v>162</v>
      </c>
      <c r="C695">
        <v>12010500</v>
      </c>
      <c r="D695" t="s">
        <v>60</v>
      </c>
      <c r="E695">
        <v>299</v>
      </c>
      <c r="F695" t="s">
        <v>208</v>
      </c>
      <c r="G695" s="47" t="s">
        <v>206</v>
      </c>
      <c r="I695">
        <v>1744.38</v>
      </c>
      <c r="J695" s="69" t="s">
        <v>12</v>
      </c>
      <c r="L695" s="15" t="str">
        <f t="shared" ref="L695:L758" si="11">G695</f>
        <v>112.2160.100</v>
      </c>
    </row>
    <row r="696" spans="1:12" x14ac:dyDescent="0.2">
      <c r="A696">
        <v>18517</v>
      </c>
      <c r="B696" t="s">
        <v>140</v>
      </c>
      <c r="C696">
        <v>12010500</v>
      </c>
      <c r="D696" t="s">
        <v>60</v>
      </c>
      <c r="E696">
        <v>299</v>
      </c>
      <c r="F696" t="s">
        <v>208</v>
      </c>
      <c r="G696" s="47" t="s">
        <v>206</v>
      </c>
      <c r="I696">
        <v>3997.39</v>
      </c>
      <c r="J696" s="69" t="s">
        <v>12</v>
      </c>
      <c r="L696" s="15" t="str">
        <f t="shared" si="11"/>
        <v>112.2160.100</v>
      </c>
    </row>
    <row r="697" spans="1:12" x14ac:dyDescent="0.2">
      <c r="A697">
        <v>18871</v>
      </c>
      <c r="B697" t="s">
        <v>168</v>
      </c>
      <c r="C697">
        <v>12010500</v>
      </c>
      <c r="D697" t="s">
        <v>60</v>
      </c>
      <c r="E697">
        <v>299</v>
      </c>
      <c r="F697" t="s">
        <v>208</v>
      </c>
      <c r="G697" s="47" t="s">
        <v>206</v>
      </c>
      <c r="I697">
        <v>3136.78</v>
      </c>
      <c r="J697" s="69" t="s">
        <v>12</v>
      </c>
      <c r="L697" s="15" t="str">
        <f t="shared" si="11"/>
        <v>112.2160.100</v>
      </c>
    </row>
    <row r="698" spans="1:12" x14ac:dyDescent="0.2">
      <c r="A698">
        <v>152</v>
      </c>
      <c r="B698" t="s">
        <v>169</v>
      </c>
      <c r="C698">
        <v>12010700</v>
      </c>
      <c r="D698" t="s">
        <v>170</v>
      </c>
      <c r="E698">
        <v>299</v>
      </c>
      <c r="F698" t="s">
        <v>208</v>
      </c>
      <c r="G698" s="47" t="s">
        <v>206</v>
      </c>
      <c r="I698">
        <v>2114.9299999999998</v>
      </c>
      <c r="J698" s="69" t="s">
        <v>12</v>
      </c>
      <c r="L698" s="15" t="str">
        <f t="shared" si="11"/>
        <v>112.2160.100</v>
      </c>
    </row>
    <row r="699" spans="1:12" x14ac:dyDescent="0.2">
      <c r="A699">
        <v>18736</v>
      </c>
      <c r="B699" t="s">
        <v>70</v>
      </c>
      <c r="C699">
        <v>12013012</v>
      </c>
      <c r="D699" t="s">
        <v>71</v>
      </c>
      <c r="E699">
        <v>299</v>
      </c>
      <c r="F699" t="s">
        <v>208</v>
      </c>
      <c r="G699" s="47" t="s">
        <v>206</v>
      </c>
      <c r="I699">
        <v>551.19000000000005</v>
      </c>
      <c r="J699" s="69" t="s">
        <v>12</v>
      </c>
      <c r="L699" s="15" t="str">
        <f t="shared" si="11"/>
        <v>112.2160.100</v>
      </c>
    </row>
    <row r="700" spans="1:12" x14ac:dyDescent="0.2">
      <c r="A700">
        <v>19014</v>
      </c>
      <c r="B700" t="s">
        <v>171</v>
      </c>
      <c r="C700">
        <v>12013012</v>
      </c>
      <c r="D700" t="s">
        <v>71</v>
      </c>
      <c r="E700">
        <v>299</v>
      </c>
      <c r="F700" t="s">
        <v>208</v>
      </c>
      <c r="G700" s="47" t="s">
        <v>206</v>
      </c>
      <c r="I700">
        <v>2066</v>
      </c>
      <c r="J700" s="69" t="s">
        <v>12</v>
      </c>
      <c r="L700" s="15" t="str">
        <f t="shared" si="11"/>
        <v>112.2160.100</v>
      </c>
    </row>
    <row r="701" spans="1:12" x14ac:dyDescent="0.2">
      <c r="A701">
        <v>18721</v>
      </c>
      <c r="B701" t="s">
        <v>172</v>
      </c>
      <c r="C701">
        <v>12013250</v>
      </c>
      <c r="D701" t="s">
        <v>10</v>
      </c>
      <c r="E701">
        <v>299</v>
      </c>
      <c r="F701" t="s">
        <v>208</v>
      </c>
      <c r="G701" s="47" t="s">
        <v>206</v>
      </c>
      <c r="I701">
        <v>2203.6999999999998</v>
      </c>
      <c r="J701" s="69" t="s">
        <v>12</v>
      </c>
      <c r="L701" s="15" t="str">
        <f t="shared" si="11"/>
        <v>112.2160.100</v>
      </c>
    </row>
    <row r="702" spans="1:12" x14ac:dyDescent="0.2">
      <c r="A702">
        <v>18997</v>
      </c>
      <c r="B702" t="s">
        <v>141</v>
      </c>
      <c r="C702">
        <v>12013250</v>
      </c>
      <c r="D702" t="s">
        <v>10</v>
      </c>
      <c r="E702">
        <v>299</v>
      </c>
      <c r="F702" t="s">
        <v>208</v>
      </c>
      <c r="G702" s="47" t="s">
        <v>206</v>
      </c>
      <c r="I702">
        <v>3241.01</v>
      </c>
      <c r="J702" s="69" t="s">
        <v>12</v>
      </c>
      <c r="L702" s="15" t="str">
        <f t="shared" si="11"/>
        <v>112.2160.100</v>
      </c>
    </row>
    <row r="703" spans="1:12" x14ac:dyDescent="0.2">
      <c r="A703">
        <v>18946</v>
      </c>
      <c r="B703" t="s">
        <v>13</v>
      </c>
      <c r="C703">
        <v>12013250</v>
      </c>
      <c r="D703" t="s">
        <v>10</v>
      </c>
      <c r="E703">
        <v>299</v>
      </c>
      <c r="F703" t="s">
        <v>208</v>
      </c>
      <c r="G703" s="47" t="s">
        <v>206</v>
      </c>
      <c r="I703">
        <v>1750.42</v>
      </c>
      <c r="J703" s="69" t="s">
        <v>12</v>
      </c>
      <c r="L703" s="15" t="str">
        <f t="shared" si="11"/>
        <v>112.2160.100</v>
      </c>
    </row>
    <row r="704" spans="1:12" x14ac:dyDescent="0.2">
      <c r="A704">
        <v>18920</v>
      </c>
      <c r="B704" t="s">
        <v>9</v>
      </c>
      <c r="C704">
        <v>12013250</v>
      </c>
      <c r="D704" t="s">
        <v>10</v>
      </c>
      <c r="E704">
        <v>299</v>
      </c>
      <c r="F704" t="s">
        <v>208</v>
      </c>
      <c r="G704" s="47" t="s">
        <v>206</v>
      </c>
      <c r="I704">
        <v>3905.54</v>
      </c>
      <c r="J704" s="69" t="s">
        <v>12</v>
      </c>
      <c r="L704" s="15" t="str">
        <f t="shared" si="11"/>
        <v>112.2160.100</v>
      </c>
    </row>
    <row r="705" spans="1:12" x14ac:dyDescent="0.2">
      <c r="A705">
        <v>18995</v>
      </c>
      <c r="B705" t="s">
        <v>174</v>
      </c>
      <c r="C705">
        <v>12013250</v>
      </c>
      <c r="D705" t="s">
        <v>10</v>
      </c>
      <c r="E705">
        <v>299</v>
      </c>
      <c r="F705" t="s">
        <v>208</v>
      </c>
      <c r="G705" s="47" t="s">
        <v>206</v>
      </c>
      <c r="I705">
        <v>1877.69</v>
      </c>
      <c r="J705" s="69" t="s">
        <v>12</v>
      </c>
      <c r="L705" s="15" t="str">
        <f t="shared" si="11"/>
        <v>112.2160.100</v>
      </c>
    </row>
    <row r="706" spans="1:12" x14ac:dyDescent="0.2">
      <c r="A706">
        <v>18987</v>
      </c>
      <c r="B706" t="s">
        <v>173</v>
      </c>
      <c r="C706">
        <v>12013250</v>
      </c>
      <c r="D706" t="s">
        <v>10</v>
      </c>
      <c r="E706">
        <v>299</v>
      </c>
      <c r="F706" t="s">
        <v>208</v>
      </c>
      <c r="G706" s="47" t="s">
        <v>206</v>
      </c>
      <c r="I706">
        <v>2380.9299999999998</v>
      </c>
      <c r="J706" s="69" t="s">
        <v>12</v>
      </c>
      <c r="L706" s="15" t="str">
        <f t="shared" si="11"/>
        <v>112.2160.100</v>
      </c>
    </row>
    <row r="707" spans="1:12" x14ac:dyDescent="0.2">
      <c r="A707">
        <v>18988</v>
      </c>
      <c r="B707" t="s">
        <v>175</v>
      </c>
      <c r="C707">
        <v>12013250</v>
      </c>
      <c r="D707" t="s">
        <v>10</v>
      </c>
      <c r="E707">
        <v>299</v>
      </c>
      <c r="F707" t="s">
        <v>208</v>
      </c>
      <c r="G707" s="47" t="s">
        <v>206</v>
      </c>
      <c r="I707">
        <v>1859.08</v>
      </c>
      <c r="J707" s="69" t="s">
        <v>12</v>
      </c>
      <c r="L707" s="15" t="str">
        <f t="shared" si="11"/>
        <v>112.2160.100</v>
      </c>
    </row>
    <row r="708" spans="1:12" x14ac:dyDescent="0.2">
      <c r="A708">
        <v>220</v>
      </c>
      <c r="B708" t="s">
        <v>14</v>
      </c>
      <c r="C708">
        <v>12013300</v>
      </c>
      <c r="D708" t="s">
        <v>15</v>
      </c>
      <c r="E708">
        <v>299</v>
      </c>
      <c r="F708" t="s">
        <v>208</v>
      </c>
      <c r="G708" s="47" t="s">
        <v>206</v>
      </c>
      <c r="I708">
        <v>1407.67</v>
      </c>
      <c r="J708" s="69" t="s">
        <v>12</v>
      </c>
      <c r="L708" s="15" t="str">
        <f t="shared" si="11"/>
        <v>112.2160.100</v>
      </c>
    </row>
    <row r="709" spans="1:12" x14ac:dyDescent="0.2">
      <c r="A709">
        <v>18948</v>
      </c>
      <c r="B709" t="s">
        <v>142</v>
      </c>
      <c r="C709">
        <v>12018099</v>
      </c>
      <c r="D709" t="s">
        <v>17</v>
      </c>
      <c r="E709">
        <v>299</v>
      </c>
      <c r="F709" t="s">
        <v>208</v>
      </c>
      <c r="G709" s="47" t="s">
        <v>206</v>
      </c>
      <c r="I709">
        <v>1485.54</v>
      </c>
      <c r="J709" s="69" t="s">
        <v>12</v>
      </c>
      <c r="L709" s="15" t="str">
        <f t="shared" si="11"/>
        <v>112.2160.100</v>
      </c>
    </row>
    <row r="710" spans="1:12" x14ac:dyDescent="0.2">
      <c r="A710">
        <v>18716</v>
      </c>
      <c r="B710" t="s">
        <v>16</v>
      </c>
      <c r="C710">
        <v>12018099</v>
      </c>
      <c r="D710" t="s">
        <v>17</v>
      </c>
      <c r="E710">
        <v>299</v>
      </c>
      <c r="F710" t="s">
        <v>208</v>
      </c>
      <c r="G710" s="47" t="s">
        <v>206</v>
      </c>
      <c r="I710">
        <v>4278.93</v>
      </c>
      <c r="J710" s="69" t="s">
        <v>12</v>
      </c>
      <c r="L710" s="15" t="str">
        <f t="shared" si="11"/>
        <v>112.2160.100</v>
      </c>
    </row>
    <row r="711" spans="1:12" x14ac:dyDescent="0.2">
      <c r="A711">
        <v>18862</v>
      </c>
      <c r="B711" t="s">
        <v>145</v>
      </c>
      <c r="C711">
        <v>12018599</v>
      </c>
      <c r="D711" t="s">
        <v>144</v>
      </c>
      <c r="E711">
        <v>299</v>
      </c>
      <c r="F711" t="s">
        <v>208</v>
      </c>
      <c r="G711" s="47" t="s">
        <v>206</v>
      </c>
      <c r="I711">
        <v>2021.85</v>
      </c>
      <c r="J711" s="69" t="s">
        <v>12</v>
      </c>
      <c r="L711" s="15" t="str">
        <f t="shared" si="11"/>
        <v>112.2160.100</v>
      </c>
    </row>
    <row r="712" spans="1:12" x14ac:dyDescent="0.2">
      <c r="A712">
        <v>18969</v>
      </c>
      <c r="B712" t="s">
        <v>143</v>
      </c>
      <c r="C712">
        <v>12018599</v>
      </c>
      <c r="D712" t="s">
        <v>144</v>
      </c>
      <c r="E712">
        <v>299</v>
      </c>
      <c r="F712" t="s">
        <v>208</v>
      </c>
      <c r="G712" s="47" t="s">
        <v>206</v>
      </c>
      <c r="I712">
        <v>4033.84</v>
      </c>
      <c r="J712" s="69" t="s">
        <v>12</v>
      </c>
      <c r="L712" s="15" t="str">
        <f t="shared" si="11"/>
        <v>112.2160.100</v>
      </c>
    </row>
    <row r="713" spans="1:12" x14ac:dyDescent="0.2">
      <c r="A713">
        <v>18886</v>
      </c>
      <c r="B713" t="s">
        <v>18</v>
      </c>
      <c r="C713">
        <v>12019099</v>
      </c>
      <c r="D713" t="s">
        <v>19</v>
      </c>
      <c r="E713">
        <v>299</v>
      </c>
      <c r="F713" t="s">
        <v>208</v>
      </c>
      <c r="G713" s="47" t="s">
        <v>206</v>
      </c>
      <c r="I713">
        <v>6148.2</v>
      </c>
      <c r="J713" s="69" t="s">
        <v>12</v>
      </c>
      <c r="L713" s="15" t="str">
        <f t="shared" si="11"/>
        <v>112.2160.100</v>
      </c>
    </row>
    <row r="714" spans="1:12" x14ac:dyDescent="0.2">
      <c r="A714">
        <v>19022</v>
      </c>
      <c r="B714" t="s">
        <v>113</v>
      </c>
      <c r="C714">
        <v>12019199</v>
      </c>
      <c r="D714" t="s">
        <v>147</v>
      </c>
      <c r="E714">
        <v>299</v>
      </c>
      <c r="F714" t="s">
        <v>208</v>
      </c>
      <c r="G714" s="47" t="s">
        <v>206</v>
      </c>
      <c r="I714">
        <v>488.32</v>
      </c>
      <c r="J714" s="69" t="s">
        <v>12</v>
      </c>
      <c r="L714" s="15" t="str">
        <f t="shared" si="11"/>
        <v>112.2160.100</v>
      </c>
    </row>
    <row r="715" spans="1:12" x14ac:dyDescent="0.2">
      <c r="A715">
        <v>18741</v>
      </c>
      <c r="B715" t="s">
        <v>179</v>
      </c>
      <c r="C715">
        <v>12019199</v>
      </c>
      <c r="D715" t="s">
        <v>147</v>
      </c>
      <c r="E715">
        <v>299</v>
      </c>
      <c r="F715" t="s">
        <v>208</v>
      </c>
      <c r="G715" s="47" t="s">
        <v>206</v>
      </c>
      <c r="I715">
        <v>1853.38</v>
      </c>
      <c r="J715" s="69" t="s">
        <v>12</v>
      </c>
      <c r="L715" s="15" t="str">
        <f t="shared" si="11"/>
        <v>112.2160.100</v>
      </c>
    </row>
    <row r="716" spans="1:12" x14ac:dyDescent="0.2">
      <c r="A716">
        <v>18968</v>
      </c>
      <c r="B716" t="s">
        <v>164</v>
      </c>
      <c r="C716">
        <v>12019199</v>
      </c>
      <c r="D716" t="s">
        <v>147</v>
      </c>
      <c r="E716">
        <v>299</v>
      </c>
      <c r="F716" t="s">
        <v>208</v>
      </c>
      <c r="G716" s="47" t="s">
        <v>206</v>
      </c>
      <c r="I716">
        <v>1766.31</v>
      </c>
      <c r="J716" s="69" t="s">
        <v>12</v>
      </c>
      <c r="L716" s="15" t="str">
        <f t="shared" si="11"/>
        <v>112.2160.100</v>
      </c>
    </row>
    <row r="717" spans="1:12" x14ac:dyDescent="0.2">
      <c r="A717">
        <v>18853</v>
      </c>
      <c r="B717" t="s">
        <v>146</v>
      </c>
      <c r="C717">
        <v>12019199</v>
      </c>
      <c r="D717" t="s">
        <v>147</v>
      </c>
      <c r="E717">
        <v>299</v>
      </c>
      <c r="F717" t="s">
        <v>208</v>
      </c>
      <c r="G717" s="47" t="s">
        <v>206</v>
      </c>
      <c r="I717">
        <v>4091.74</v>
      </c>
      <c r="J717" s="69" t="s">
        <v>12</v>
      </c>
      <c r="L717" s="15" t="str">
        <f t="shared" si="11"/>
        <v>112.2160.100</v>
      </c>
    </row>
    <row r="718" spans="1:12" x14ac:dyDescent="0.2">
      <c r="A718">
        <v>19025</v>
      </c>
      <c r="B718" t="s">
        <v>180</v>
      </c>
      <c r="C718">
        <v>12019199</v>
      </c>
      <c r="D718" t="s">
        <v>147</v>
      </c>
      <c r="E718">
        <v>299</v>
      </c>
      <c r="F718" t="s">
        <v>208</v>
      </c>
      <c r="G718" s="47" t="s">
        <v>206</v>
      </c>
      <c r="I718">
        <v>2002</v>
      </c>
      <c r="J718" s="69" t="s">
        <v>12</v>
      </c>
      <c r="L718" s="15" t="str">
        <f t="shared" si="11"/>
        <v>112.2160.100</v>
      </c>
    </row>
    <row r="719" spans="1:12" x14ac:dyDescent="0.2">
      <c r="A719">
        <v>18550</v>
      </c>
      <c r="B719" t="s">
        <v>165</v>
      </c>
      <c r="C719">
        <v>12019199</v>
      </c>
      <c r="D719" t="s">
        <v>147</v>
      </c>
      <c r="E719">
        <v>299</v>
      </c>
      <c r="F719" t="s">
        <v>208</v>
      </c>
      <c r="G719" s="47" t="s">
        <v>206</v>
      </c>
      <c r="I719">
        <v>1178.71</v>
      </c>
      <c r="J719" s="69" t="s">
        <v>12</v>
      </c>
      <c r="L719" s="15" t="str">
        <f t="shared" si="11"/>
        <v>112.2160.100</v>
      </c>
    </row>
    <row r="720" spans="1:12" x14ac:dyDescent="0.2">
      <c r="A720">
        <v>19003</v>
      </c>
      <c r="B720" t="s">
        <v>388</v>
      </c>
      <c r="C720">
        <v>12019199</v>
      </c>
      <c r="D720" t="s">
        <v>147</v>
      </c>
      <c r="E720">
        <v>299</v>
      </c>
      <c r="F720" t="s">
        <v>208</v>
      </c>
      <c r="G720" s="47" t="s">
        <v>206</v>
      </c>
      <c r="I720">
        <v>2093.85</v>
      </c>
      <c r="J720" s="69" t="s">
        <v>12</v>
      </c>
      <c r="L720" s="15" t="str">
        <f t="shared" si="11"/>
        <v>112.2160.100</v>
      </c>
    </row>
    <row r="721" spans="1:12" x14ac:dyDescent="0.2">
      <c r="A721">
        <v>18836</v>
      </c>
      <c r="B721" t="s">
        <v>182</v>
      </c>
      <c r="C721">
        <v>12020400</v>
      </c>
      <c r="D721" t="s">
        <v>21</v>
      </c>
      <c r="E721">
        <v>299</v>
      </c>
      <c r="F721" t="s">
        <v>208</v>
      </c>
      <c r="G721" s="47" t="s">
        <v>206</v>
      </c>
      <c r="I721">
        <v>1953.7</v>
      </c>
      <c r="J721" s="69" t="s">
        <v>12</v>
      </c>
      <c r="L721" s="15" t="str">
        <f t="shared" si="11"/>
        <v>112.2160.100</v>
      </c>
    </row>
    <row r="722" spans="1:12" x14ac:dyDescent="0.2">
      <c r="A722">
        <v>18619</v>
      </c>
      <c r="B722" t="s">
        <v>20</v>
      </c>
      <c r="C722">
        <v>12020400</v>
      </c>
      <c r="D722" t="s">
        <v>21</v>
      </c>
      <c r="E722">
        <v>299</v>
      </c>
      <c r="F722" t="s">
        <v>208</v>
      </c>
      <c r="G722" s="47" t="s">
        <v>206</v>
      </c>
      <c r="I722">
        <v>2024.62</v>
      </c>
      <c r="J722" s="69" t="s">
        <v>12</v>
      </c>
      <c r="L722" s="15" t="str">
        <f t="shared" si="11"/>
        <v>112.2160.100</v>
      </c>
    </row>
    <row r="723" spans="1:12" x14ac:dyDescent="0.2">
      <c r="A723">
        <v>18893</v>
      </c>
      <c r="B723" t="s">
        <v>444</v>
      </c>
      <c r="C723">
        <v>12020500</v>
      </c>
      <c r="D723" t="s">
        <v>454</v>
      </c>
      <c r="E723">
        <v>299</v>
      </c>
      <c r="F723" t="s">
        <v>208</v>
      </c>
      <c r="G723" s="47" t="s">
        <v>206</v>
      </c>
      <c r="I723">
        <v>2680.68</v>
      </c>
      <c r="J723" s="69" t="s">
        <v>12</v>
      </c>
      <c r="L723" s="15" t="str">
        <f t="shared" si="11"/>
        <v>112.2160.100</v>
      </c>
    </row>
    <row r="724" spans="1:12" x14ac:dyDescent="0.2">
      <c r="A724">
        <v>19040</v>
      </c>
      <c r="B724" t="s">
        <v>453</v>
      </c>
      <c r="C724">
        <v>12020500</v>
      </c>
      <c r="D724" t="s">
        <v>454</v>
      </c>
      <c r="E724">
        <v>299</v>
      </c>
      <c r="F724" t="s">
        <v>208</v>
      </c>
      <c r="G724" s="47" t="s">
        <v>206</v>
      </c>
      <c r="I724">
        <v>1127.06</v>
      </c>
      <c r="J724" s="69" t="s">
        <v>12</v>
      </c>
      <c r="L724" s="15" t="str">
        <f t="shared" si="11"/>
        <v>112.2160.100</v>
      </c>
    </row>
    <row r="725" spans="1:12" x14ac:dyDescent="0.2">
      <c r="A725">
        <v>18866</v>
      </c>
      <c r="B725" t="s">
        <v>76</v>
      </c>
      <c r="C725">
        <v>12020611</v>
      </c>
      <c r="D725" t="s">
        <v>23</v>
      </c>
      <c r="E725">
        <v>299</v>
      </c>
      <c r="F725" t="s">
        <v>208</v>
      </c>
      <c r="G725" s="47" t="s">
        <v>206</v>
      </c>
      <c r="I725">
        <v>2031.32</v>
      </c>
      <c r="J725" s="69" t="s">
        <v>12</v>
      </c>
      <c r="L725" s="15" t="str">
        <f t="shared" si="11"/>
        <v>112.2160.100</v>
      </c>
    </row>
    <row r="726" spans="1:12" x14ac:dyDescent="0.2">
      <c r="A726">
        <v>18891</v>
      </c>
      <c r="B726" t="s">
        <v>77</v>
      </c>
      <c r="C726">
        <v>12020611</v>
      </c>
      <c r="D726" t="s">
        <v>23</v>
      </c>
      <c r="E726">
        <v>299</v>
      </c>
      <c r="F726" t="s">
        <v>208</v>
      </c>
      <c r="G726" s="47" t="s">
        <v>206</v>
      </c>
      <c r="I726">
        <v>1562.26</v>
      </c>
      <c r="J726" s="69" t="s">
        <v>12</v>
      </c>
      <c r="L726" s="15" t="str">
        <f t="shared" si="11"/>
        <v>112.2160.100</v>
      </c>
    </row>
    <row r="727" spans="1:12" x14ac:dyDescent="0.2">
      <c r="A727">
        <v>18831</v>
      </c>
      <c r="B727" t="s">
        <v>22</v>
      </c>
      <c r="C727">
        <v>12020611</v>
      </c>
      <c r="D727" t="s">
        <v>23</v>
      </c>
      <c r="E727">
        <v>299</v>
      </c>
      <c r="F727" t="s">
        <v>208</v>
      </c>
      <c r="G727" s="47" t="s">
        <v>206</v>
      </c>
      <c r="I727">
        <v>1465.99</v>
      </c>
      <c r="J727" s="69" t="s">
        <v>12</v>
      </c>
      <c r="L727" s="15" t="str">
        <f t="shared" si="11"/>
        <v>112.2160.100</v>
      </c>
    </row>
    <row r="728" spans="1:12" x14ac:dyDescent="0.2">
      <c r="A728">
        <v>18589</v>
      </c>
      <c r="B728" t="s">
        <v>75</v>
      </c>
      <c r="C728">
        <v>12020611</v>
      </c>
      <c r="D728" t="s">
        <v>23</v>
      </c>
      <c r="E728">
        <v>299</v>
      </c>
      <c r="F728" t="s">
        <v>208</v>
      </c>
      <c r="G728" s="47" t="s">
        <v>206</v>
      </c>
      <c r="I728">
        <v>1523.37</v>
      </c>
      <c r="J728" s="69" t="s">
        <v>12</v>
      </c>
      <c r="L728" s="15" t="str">
        <f t="shared" si="11"/>
        <v>112.2160.100</v>
      </c>
    </row>
    <row r="729" spans="1:12" x14ac:dyDescent="0.2">
      <c r="A729">
        <v>18903</v>
      </c>
      <c r="B729" t="s">
        <v>73</v>
      </c>
      <c r="C729">
        <v>12020611</v>
      </c>
      <c r="D729" t="s">
        <v>23</v>
      </c>
      <c r="E729">
        <v>299</v>
      </c>
      <c r="F729" t="s">
        <v>208</v>
      </c>
      <c r="G729" s="47" t="s">
        <v>206</v>
      </c>
      <c r="I729">
        <v>2135.02</v>
      </c>
      <c r="J729" s="69" t="s">
        <v>12</v>
      </c>
      <c r="L729" s="15" t="str">
        <f t="shared" si="11"/>
        <v>112.2160.100</v>
      </c>
    </row>
    <row r="730" spans="1:12" x14ac:dyDescent="0.2">
      <c r="A730">
        <v>18893</v>
      </c>
      <c r="B730" t="s">
        <v>444</v>
      </c>
      <c r="C730">
        <v>12020611</v>
      </c>
      <c r="D730" t="s">
        <v>23</v>
      </c>
      <c r="E730">
        <v>299</v>
      </c>
      <c r="F730" t="s">
        <v>208</v>
      </c>
      <c r="G730" s="47" t="s">
        <v>206</v>
      </c>
      <c r="I730">
        <v>1340.13</v>
      </c>
      <c r="J730" s="69" t="s">
        <v>12</v>
      </c>
      <c r="L730" s="15" t="str">
        <f t="shared" si="11"/>
        <v>112.2160.100</v>
      </c>
    </row>
    <row r="731" spans="1:12" x14ac:dyDescent="0.2">
      <c r="A731">
        <v>18957</v>
      </c>
      <c r="B731" t="s">
        <v>74</v>
      </c>
      <c r="C731">
        <v>12020611</v>
      </c>
      <c r="D731" t="s">
        <v>23</v>
      </c>
      <c r="E731">
        <v>299</v>
      </c>
      <c r="F731" t="s">
        <v>208</v>
      </c>
      <c r="G731" s="47" t="s">
        <v>206</v>
      </c>
      <c r="I731">
        <v>1551.38</v>
      </c>
      <c r="J731" s="69" t="s">
        <v>12</v>
      </c>
      <c r="L731" s="15" t="str">
        <f t="shared" si="11"/>
        <v>112.2160.100</v>
      </c>
    </row>
    <row r="732" spans="1:12" x14ac:dyDescent="0.2">
      <c r="A732">
        <v>18954</v>
      </c>
      <c r="B732" t="s">
        <v>183</v>
      </c>
      <c r="C732">
        <v>12020711</v>
      </c>
      <c r="D732" t="s">
        <v>25</v>
      </c>
      <c r="E732">
        <v>299</v>
      </c>
      <c r="F732" t="s">
        <v>208</v>
      </c>
      <c r="G732" s="47" t="s">
        <v>206</v>
      </c>
      <c r="I732">
        <v>2380.92</v>
      </c>
      <c r="J732" s="69" t="s">
        <v>12</v>
      </c>
      <c r="L732" s="15" t="str">
        <f t="shared" si="11"/>
        <v>112.2160.100</v>
      </c>
    </row>
    <row r="733" spans="1:12" x14ac:dyDescent="0.2">
      <c r="A733">
        <v>18631</v>
      </c>
      <c r="B733" t="s">
        <v>80</v>
      </c>
      <c r="C733">
        <v>12020711</v>
      </c>
      <c r="D733" t="s">
        <v>25</v>
      </c>
      <c r="E733">
        <v>299</v>
      </c>
      <c r="F733" t="s">
        <v>208</v>
      </c>
      <c r="G733" s="47" t="s">
        <v>206</v>
      </c>
      <c r="I733">
        <v>1290.1500000000001</v>
      </c>
      <c r="J733" s="69" t="s">
        <v>12</v>
      </c>
      <c r="L733" s="15" t="str">
        <f t="shared" si="11"/>
        <v>112.2160.100</v>
      </c>
    </row>
    <row r="734" spans="1:12" x14ac:dyDescent="0.2">
      <c r="A734">
        <v>18879</v>
      </c>
      <c r="B734" t="s">
        <v>79</v>
      </c>
      <c r="C734">
        <v>12020711</v>
      </c>
      <c r="D734" t="s">
        <v>25</v>
      </c>
      <c r="E734">
        <v>299</v>
      </c>
      <c r="F734" t="s">
        <v>208</v>
      </c>
      <c r="G734" s="47" t="s">
        <v>206</v>
      </c>
      <c r="I734">
        <v>1845.44</v>
      </c>
      <c r="J734" s="69" t="s">
        <v>12</v>
      </c>
      <c r="L734" s="15" t="str">
        <f t="shared" si="11"/>
        <v>112.2160.100</v>
      </c>
    </row>
    <row r="735" spans="1:12" x14ac:dyDescent="0.2">
      <c r="A735">
        <v>18</v>
      </c>
      <c r="B735" t="s">
        <v>24</v>
      </c>
      <c r="C735">
        <v>12020711</v>
      </c>
      <c r="D735" t="s">
        <v>25</v>
      </c>
      <c r="E735">
        <v>299</v>
      </c>
      <c r="F735" t="s">
        <v>208</v>
      </c>
      <c r="G735" s="47" t="s">
        <v>206</v>
      </c>
      <c r="I735">
        <v>1005.24</v>
      </c>
      <c r="J735" s="69" t="s">
        <v>12</v>
      </c>
      <c r="L735" s="15" t="str">
        <f t="shared" si="11"/>
        <v>112.2160.100</v>
      </c>
    </row>
    <row r="736" spans="1:12" x14ac:dyDescent="0.2">
      <c r="A736">
        <v>18630</v>
      </c>
      <c r="B736" t="s">
        <v>204</v>
      </c>
      <c r="C736">
        <v>12020800</v>
      </c>
      <c r="D736" t="s">
        <v>27</v>
      </c>
      <c r="E736">
        <v>299</v>
      </c>
      <c r="F736" t="s">
        <v>208</v>
      </c>
      <c r="G736" s="47" t="s">
        <v>206</v>
      </c>
      <c r="I736">
        <v>1461.1</v>
      </c>
      <c r="J736" s="69" t="s">
        <v>12</v>
      </c>
      <c r="L736" s="15" t="str">
        <f t="shared" si="11"/>
        <v>112.2160.100</v>
      </c>
    </row>
    <row r="737" spans="1:12" x14ac:dyDescent="0.2">
      <c r="A737">
        <v>19013</v>
      </c>
      <c r="B737" t="s">
        <v>81</v>
      </c>
      <c r="C737">
        <v>12020800</v>
      </c>
      <c r="D737" t="s">
        <v>27</v>
      </c>
      <c r="E737">
        <v>299</v>
      </c>
      <c r="F737" t="s">
        <v>208</v>
      </c>
      <c r="G737" s="47" t="s">
        <v>206</v>
      </c>
      <c r="I737">
        <v>2297.9699999999998</v>
      </c>
      <c r="J737" s="69" t="s">
        <v>12</v>
      </c>
      <c r="L737" s="15" t="str">
        <f t="shared" si="11"/>
        <v>112.2160.100</v>
      </c>
    </row>
    <row r="738" spans="1:12" x14ac:dyDescent="0.2">
      <c r="A738">
        <v>18892</v>
      </c>
      <c r="B738" t="s">
        <v>184</v>
      </c>
      <c r="C738">
        <v>12021021</v>
      </c>
      <c r="D738" t="s">
        <v>29</v>
      </c>
      <c r="E738">
        <v>299</v>
      </c>
      <c r="F738" t="s">
        <v>208</v>
      </c>
      <c r="G738" s="47" t="s">
        <v>206</v>
      </c>
      <c r="I738">
        <v>1630.7</v>
      </c>
      <c r="J738" s="69" t="s">
        <v>12</v>
      </c>
      <c r="L738" s="15" t="str">
        <f t="shared" si="11"/>
        <v>112.2160.100</v>
      </c>
    </row>
    <row r="739" spans="1:12" x14ac:dyDescent="0.2">
      <c r="A739">
        <v>19033</v>
      </c>
      <c r="B739" t="s">
        <v>389</v>
      </c>
      <c r="C739">
        <v>12021021</v>
      </c>
      <c r="D739" t="s">
        <v>29</v>
      </c>
      <c r="E739">
        <v>299</v>
      </c>
      <c r="F739" t="s">
        <v>208</v>
      </c>
      <c r="G739" s="47" t="s">
        <v>206</v>
      </c>
      <c r="I739">
        <v>1440.92</v>
      </c>
      <c r="J739" s="69" t="s">
        <v>12</v>
      </c>
      <c r="L739" s="15" t="str">
        <f t="shared" si="11"/>
        <v>112.2160.100</v>
      </c>
    </row>
    <row r="740" spans="1:12" x14ac:dyDescent="0.2">
      <c r="A740">
        <v>18659</v>
      </c>
      <c r="B740" t="s">
        <v>88</v>
      </c>
      <c r="C740">
        <v>12021021</v>
      </c>
      <c r="D740" t="s">
        <v>29</v>
      </c>
      <c r="E740">
        <v>299</v>
      </c>
      <c r="F740" t="s">
        <v>208</v>
      </c>
      <c r="G740" s="47" t="s">
        <v>206</v>
      </c>
      <c r="I740">
        <v>1644.12</v>
      </c>
      <c r="J740" s="69" t="s">
        <v>12</v>
      </c>
      <c r="L740" s="15" t="str">
        <f t="shared" si="11"/>
        <v>112.2160.100</v>
      </c>
    </row>
    <row r="741" spans="1:12" x14ac:dyDescent="0.2">
      <c r="A741">
        <v>18967</v>
      </c>
      <c r="B741" t="s">
        <v>85</v>
      </c>
      <c r="C741">
        <v>12021021</v>
      </c>
      <c r="D741" t="s">
        <v>29</v>
      </c>
      <c r="E741">
        <v>299</v>
      </c>
      <c r="F741" t="s">
        <v>208</v>
      </c>
      <c r="G741" s="47" t="s">
        <v>206</v>
      </c>
      <c r="I741">
        <v>2179.5300000000002</v>
      </c>
      <c r="J741" s="69" t="s">
        <v>12</v>
      </c>
      <c r="L741" s="15" t="str">
        <f t="shared" si="11"/>
        <v>112.2160.100</v>
      </c>
    </row>
    <row r="742" spans="1:12" x14ac:dyDescent="0.2">
      <c r="A742">
        <v>18781</v>
      </c>
      <c r="B742" t="s">
        <v>82</v>
      </c>
      <c r="C742">
        <v>12021021</v>
      </c>
      <c r="D742" t="s">
        <v>29</v>
      </c>
      <c r="E742">
        <v>299</v>
      </c>
      <c r="F742" t="s">
        <v>208</v>
      </c>
      <c r="G742" s="47" t="s">
        <v>206</v>
      </c>
      <c r="I742">
        <v>1006.79</v>
      </c>
      <c r="J742" s="69" t="s">
        <v>12</v>
      </c>
      <c r="L742" s="15" t="str">
        <f t="shared" si="11"/>
        <v>112.2160.100</v>
      </c>
    </row>
    <row r="743" spans="1:12" x14ac:dyDescent="0.2">
      <c r="A743">
        <v>18911</v>
      </c>
      <c r="B743" t="s">
        <v>28</v>
      </c>
      <c r="C743">
        <v>12021021</v>
      </c>
      <c r="D743" t="s">
        <v>29</v>
      </c>
      <c r="E743">
        <v>299</v>
      </c>
      <c r="F743" t="s">
        <v>208</v>
      </c>
      <c r="G743" s="47" t="s">
        <v>206</v>
      </c>
      <c r="I743">
        <v>2183.5700000000002</v>
      </c>
      <c r="J743" s="69" t="s">
        <v>12</v>
      </c>
      <c r="L743" s="15" t="str">
        <f t="shared" si="11"/>
        <v>112.2160.100</v>
      </c>
    </row>
    <row r="744" spans="1:12" x14ac:dyDescent="0.2">
      <c r="A744">
        <v>18894</v>
      </c>
      <c r="B744" t="s">
        <v>89</v>
      </c>
      <c r="C744">
        <v>12021021</v>
      </c>
      <c r="D744" t="s">
        <v>29</v>
      </c>
      <c r="E744">
        <v>299</v>
      </c>
      <c r="F744" t="s">
        <v>208</v>
      </c>
      <c r="G744" s="47" t="s">
        <v>206</v>
      </c>
      <c r="I744">
        <v>1523.12</v>
      </c>
      <c r="J744" s="69" t="s">
        <v>12</v>
      </c>
      <c r="L744" s="15" t="str">
        <f t="shared" si="11"/>
        <v>112.2160.100</v>
      </c>
    </row>
    <row r="745" spans="1:12" x14ac:dyDescent="0.2">
      <c r="A745">
        <v>18733</v>
      </c>
      <c r="B745" t="s">
        <v>86</v>
      </c>
      <c r="C745">
        <v>12021021</v>
      </c>
      <c r="D745" t="s">
        <v>29</v>
      </c>
      <c r="E745">
        <v>299</v>
      </c>
      <c r="F745" t="s">
        <v>208</v>
      </c>
      <c r="G745" s="47" t="s">
        <v>206</v>
      </c>
      <c r="I745">
        <v>1892.54</v>
      </c>
      <c r="J745" s="69" t="s">
        <v>12</v>
      </c>
      <c r="L745" s="15" t="str">
        <f t="shared" si="11"/>
        <v>112.2160.100</v>
      </c>
    </row>
    <row r="746" spans="1:12" x14ac:dyDescent="0.2">
      <c r="A746">
        <v>18559</v>
      </c>
      <c r="B746" t="s">
        <v>87</v>
      </c>
      <c r="C746">
        <v>12021021</v>
      </c>
      <c r="D746" t="s">
        <v>29</v>
      </c>
      <c r="E746">
        <v>299</v>
      </c>
      <c r="F746" t="s">
        <v>208</v>
      </c>
      <c r="G746" s="47" t="s">
        <v>206</v>
      </c>
      <c r="I746">
        <v>1046.6199999999999</v>
      </c>
      <c r="J746" s="69" t="s">
        <v>12</v>
      </c>
      <c r="L746" s="15" t="str">
        <f t="shared" si="11"/>
        <v>112.2160.100</v>
      </c>
    </row>
    <row r="747" spans="1:12" x14ac:dyDescent="0.2">
      <c r="A747">
        <v>18687</v>
      </c>
      <c r="B747" t="s">
        <v>83</v>
      </c>
      <c r="C747">
        <v>12021021</v>
      </c>
      <c r="D747" t="s">
        <v>29</v>
      </c>
      <c r="E747">
        <v>299</v>
      </c>
      <c r="F747" t="s">
        <v>208</v>
      </c>
      <c r="G747" s="47" t="s">
        <v>206</v>
      </c>
      <c r="I747">
        <v>1210.9100000000001</v>
      </c>
      <c r="J747" s="69" t="s">
        <v>12</v>
      </c>
      <c r="L747" s="15" t="str">
        <f t="shared" si="11"/>
        <v>112.2160.100</v>
      </c>
    </row>
    <row r="748" spans="1:12" x14ac:dyDescent="0.2">
      <c r="A748">
        <v>18960</v>
      </c>
      <c r="B748" t="s">
        <v>84</v>
      </c>
      <c r="C748">
        <v>12021021</v>
      </c>
      <c r="D748" t="s">
        <v>29</v>
      </c>
      <c r="E748">
        <v>299</v>
      </c>
      <c r="F748" t="s">
        <v>208</v>
      </c>
      <c r="G748" s="47" t="s">
        <v>206</v>
      </c>
      <c r="I748">
        <v>899.95</v>
      </c>
      <c r="J748" s="69" t="s">
        <v>12</v>
      </c>
      <c r="L748" s="15" t="str">
        <f t="shared" si="11"/>
        <v>112.2160.100</v>
      </c>
    </row>
    <row r="749" spans="1:12" x14ac:dyDescent="0.2">
      <c r="A749">
        <v>18961</v>
      </c>
      <c r="B749" t="s">
        <v>90</v>
      </c>
      <c r="C749">
        <v>12022511</v>
      </c>
      <c r="D749" t="s">
        <v>32</v>
      </c>
      <c r="E749">
        <v>299</v>
      </c>
      <c r="F749" t="s">
        <v>208</v>
      </c>
      <c r="G749" s="47" t="s">
        <v>206</v>
      </c>
      <c r="I749">
        <v>1633.55</v>
      </c>
      <c r="J749" s="69" t="s">
        <v>12</v>
      </c>
      <c r="L749" s="15" t="str">
        <f t="shared" si="11"/>
        <v>112.2160.100</v>
      </c>
    </row>
    <row r="750" spans="1:12" x14ac:dyDescent="0.2">
      <c r="A750">
        <v>145</v>
      </c>
      <c r="B750" t="s">
        <v>91</v>
      </c>
      <c r="C750">
        <v>12022511</v>
      </c>
      <c r="D750" t="s">
        <v>32</v>
      </c>
      <c r="E750">
        <v>299</v>
      </c>
      <c r="F750" t="s">
        <v>208</v>
      </c>
      <c r="G750" s="47" t="s">
        <v>206</v>
      </c>
      <c r="I750">
        <v>1867.17</v>
      </c>
      <c r="J750" s="69" t="s">
        <v>12</v>
      </c>
      <c r="L750" s="15" t="str">
        <f t="shared" si="11"/>
        <v>112.2160.100</v>
      </c>
    </row>
    <row r="751" spans="1:12" x14ac:dyDescent="0.2">
      <c r="A751">
        <v>141</v>
      </c>
      <c r="B751" t="s">
        <v>185</v>
      </c>
      <c r="C751">
        <v>12022511</v>
      </c>
      <c r="D751" t="s">
        <v>32</v>
      </c>
      <c r="E751">
        <v>299</v>
      </c>
      <c r="F751" t="s">
        <v>208</v>
      </c>
      <c r="G751" s="47" t="s">
        <v>206</v>
      </c>
      <c r="I751">
        <v>635.98</v>
      </c>
      <c r="J751" s="69" t="s">
        <v>12</v>
      </c>
      <c r="L751" s="15" t="str">
        <f t="shared" si="11"/>
        <v>112.2160.100</v>
      </c>
    </row>
    <row r="752" spans="1:12" x14ac:dyDescent="0.2">
      <c r="A752">
        <v>11229</v>
      </c>
      <c r="B752" t="s">
        <v>31</v>
      </c>
      <c r="C752">
        <v>12022511</v>
      </c>
      <c r="D752" t="s">
        <v>32</v>
      </c>
      <c r="E752">
        <v>299</v>
      </c>
      <c r="F752" t="s">
        <v>208</v>
      </c>
      <c r="G752" s="47" t="s">
        <v>206</v>
      </c>
      <c r="I752">
        <v>4313.03</v>
      </c>
      <c r="J752" s="69" t="s">
        <v>12</v>
      </c>
      <c r="L752" s="15" t="str">
        <f t="shared" si="11"/>
        <v>112.2160.100</v>
      </c>
    </row>
    <row r="753" spans="1:12" x14ac:dyDescent="0.2">
      <c r="A753">
        <v>19035</v>
      </c>
      <c r="B753" t="s">
        <v>440</v>
      </c>
      <c r="C753">
        <v>12023011</v>
      </c>
      <c r="D753" t="s">
        <v>93</v>
      </c>
      <c r="E753">
        <v>299</v>
      </c>
      <c r="F753" t="s">
        <v>208</v>
      </c>
      <c r="G753" s="47" t="s">
        <v>206</v>
      </c>
      <c r="I753">
        <v>1661.81</v>
      </c>
      <c r="J753" s="69" t="s">
        <v>12</v>
      </c>
      <c r="L753" s="15" t="str">
        <f t="shared" si="11"/>
        <v>112.2160.100</v>
      </c>
    </row>
    <row r="754" spans="1:12" x14ac:dyDescent="0.2">
      <c r="A754">
        <v>19016</v>
      </c>
      <c r="B754" t="s">
        <v>96</v>
      </c>
      <c r="C754">
        <v>12023011</v>
      </c>
      <c r="D754" t="s">
        <v>93</v>
      </c>
      <c r="E754">
        <v>299</v>
      </c>
      <c r="F754" t="s">
        <v>208</v>
      </c>
      <c r="G754" s="47" t="s">
        <v>206</v>
      </c>
      <c r="I754">
        <v>2095.83</v>
      </c>
      <c r="J754" s="69" t="s">
        <v>12</v>
      </c>
      <c r="L754" s="15" t="str">
        <f t="shared" si="11"/>
        <v>112.2160.100</v>
      </c>
    </row>
    <row r="755" spans="1:12" x14ac:dyDescent="0.2">
      <c r="A755">
        <v>19032</v>
      </c>
      <c r="B755" t="s">
        <v>386</v>
      </c>
      <c r="C755">
        <v>12023011</v>
      </c>
      <c r="D755" t="s">
        <v>93</v>
      </c>
      <c r="E755">
        <v>299</v>
      </c>
      <c r="F755" t="s">
        <v>208</v>
      </c>
      <c r="G755" s="47" t="s">
        <v>206</v>
      </c>
      <c r="I755">
        <v>870.23</v>
      </c>
      <c r="J755" s="69" t="s">
        <v>12</v>
      </c>
      <c r="L755" s="15" t="str">
        <f t="shared" si="11"/>
        <v>112.2160.100</v>
      </c>
    </row>
    <row r="756" spans="1:12" x14ac:dyDescent="0.2">
      <c r="A756">
        <v>18973</v>
      </c>
      <c r="B756" t="s">
        <v>188</v>
      </c>
      <c r="C756">
        <v>12023011</v>
      </c>
      <c r="D756" t="s">
        <v>93</v>
      </c>
      <c r="E756">
        <v>299</v>
      </c>
      <c r="F756" t="s">
        <v>208</v>
      </c>
      <c r="G756" s="47" t="s">
        <v>206</v>
      </c>
      <c r="I756">
        <v>1435.88</v>
      </c>
      <c r="J756" s="69" t="s">
        <v>12</v>
      </c>
      <c r="L756" s="15" t="str">
        <f t="shared" si="11"/>
        <v>112.2160.100</v>
      </c>
    </row>
    <row r="757" spans="1:12" x14ac:dyDescent="0.2">
      <c r="A757">
        <v>18999</v>
      </c>
      <c r="B757" t="s">
        <v>92</v>
      </c>
      <c r="C757">
        <v>12023011</v>
      </c>
      <c r="D757" t="s">
        <v>93</v>
      </c>
      <c r="E757">
        <v>299</v>
      </c>
      <c r="F757" t="s">
        <v>208</v>
      </c>
      <c r="G757" s="47" t="s">
        <v>206</v>
      </c>
      <c r="I757">
        <v>1887.16</v>
      </c>
      <c r="J757" s="69" t="s">
        <v>12</v>
      </c>
      <c r="L757" s="15" t="str">
        <f t="shared" si="11"/>
        <v>112.2160.100</v>
      </c>
    </row>
    <row r="758" spans="1:12" x14ac:dyDescent="0.2">
      <c r="A758">
        <v>19026</v>
      </c>
      <c r="B758" t="s">
        <v>187</v>
      </c>
      <c r="C758">
        <v>12023011</v>
      </c>
      <c r="D758" t="s">
        <v>93</v>
      </c>
      <c r="E758">
        <v>299</v>
      </c>
      <c r="F758" t="s">
        <v>208</v>
      </c>
      <c r="G758" s="47" t="s">
        <v>206</v>
      </c>
      <c r="I758">
        <v>934.31</v>
      </c>
      <c r="J758" s="69" t="s">
        <v>12</v>
      </c>
      <c r="L758" s="15" t="str">
        <f t="shared" si="11"/>
        <v>112.2160.100</v>
      </c>
    </row>
    <row r="759" spans="1:12" x14ac:dyDescent="0.2">
      <c r="A759">
        <v>18974</v>
      </c>
      <c r="B759" t="s">
        <v>94</v>
      </c>
      <c r="C759">
        <v>12023011</v>
      </c>
      <c r="D759" t="s">
        <v>93</v>
      </c>
      <c r="E759">
        <v>299</v>
      </c>
      <c r="F759" t="s">
        <v>208</v>
      </c>
      <c r="G759" s="47" t="s">
        <v>206</v>
      </c>
      <c r="I759">
        <v>2256.87</v>
      </c>
      <c r="J759" s="69" t="s">
        <v>12</v>
      </c>
      <c r="L759" s="15" t="str">
        <f t="shared" ref="L759:L822" si="12">G759</f>
        <v>112.2160.100</v>
      </c>
    </row>
    <row r="760" spans="1:12" x14ac:dyDescent="0.2">
      <c r="A760">
        <v>19006</v>
      </c>
      <c r="B760" t="s">
        <v>95</v>
      </c>
      <c r="C760">
        <v>12023011</v>
      </c>
      <c r="D760" t="s">
        <v>93</v>
      </c>
      <c r="E760">
        <v>299</v>
      </c>
      <c r="F760" t="s">
        <v>208</v>
      </c>
      <c r="G760" s="47" t="s">
        <v>206</v>
      </c>
      <c r="I760">
        <v>1858.6</v>
      </c>
      <c r="J760" s="69" t="s">
        <v>12</v>
      </c>
      <c r="L760" s="15" t="str">
        <f t="shared" si="12"/>
        <v>112.2160.100</v>
      </c>
    </row>
    <row r="761" spans="1:12" x14ac:dyDescent="0.2">
      <c r="A761">
        <v>19007</v>
      </c>
      <c r="B761" t="s">
        <v>189</v>
      </c>
      <c r="C761">
        <v>12023011</v>
      </c>
      <c r="D761" t="s">
        <v>93</v>
      </c>
      <c r="E761">
        <v>299</v>
      </c>
      <c r="F761" t="s">
        <v>208</v>
      </c>
      <c r="G761" s="47" t="s">
        <v>206</v>
      </c>
      <c r="I761">
        <v>1529.01</v>
      </c>
      <c r="J761" s="69" t="s">
        <v>12</v>
      </c>
      <c r="L761" s="15" t="str">
        <f t="shared" si="12"/>
        <v>112.2160.100</v>
      </c>
    </row>
    <row r="762" spans="1:12" x14ac:dyDescent="0.2">
      <c r="A762">
        <v>18962</v>
      </c>
      <c r="B762" t="s">
        <v>148</v>
      </c>
      <c r="C762">
        <v>12023011</v>
      </c>
      <c r="D762" t="s">
        <v>93</v>
      </c>
      <c r="E762">
        <v>299</v>
      </c>
      <c r="F762" t="s">
        <v>208</v>
      </c>
      <c r="G762" s="47" t="s">
        <v>206</v>
      </c>
      <c r="I762">
        <v>3762.77</v>
      </c>
      <c r="J762" s="69" t="s">
        <v>12</v>
      </c>
      <c r="L762" s="15" t="str">
        <f t="shared" si="12"/>
        <v>112.2160.100</v>
      </c>
    </row>
    <row r="763" spans="1:12" x14ac:dyDescent="0.2">
      <c r="A763">
        <v>19038</v>
      </c>
      <c r="B763" t="s">
        <v>449</v>
      </c>
      <c r="C763">
        <v>12023021</v>
      </c>
      <c r="D763" t="s">
        <v>98</v>
      </c>
      <c r="E763">
        <v>299</v>
      </c>
      <c r="F763" t="s">
        <v>208</v>
      </c>
      <c r="G763" s="47" t="s">
        <v>206</v>
      </c>
      <c r="I763">
        <v>2180.31</v>
      </c>
      <c r="J763" s="69" t="s">
        <v>12</v>
      </c>
      <c r="L763" s="15" t="str">
        <f t="shared" si="12"/>
        <v>112.2160.100</v>
      </c>
    </row>
    <row r="764" spans="1:12" x14ac:dyDescent="0.2">
      <c r="A764">
        <v>19021</v>
      </c>
      <c r="B764" t="s">
        <v>99</v>
      </c>
      <c r="C764">
        <v>12023021</v>
      </c>
      <c r="D764" t="s">
        <v>98</v>
      </c>
      <c r="E764">
        <v>299</v>
      </c>
      <c r="F764" t="s">
        <v>208</v>
      </c>
      <c r="G764" s="47" t="s">
        <v>206</v>
      </c>
      <c r="I764">
        <v>1670.76</v>
      </c>
      <c r="J764" s="69" t="s">
        <v>12</v>
      </c>
      <c r="L764" s="15" t="str">
        <f t="shared" si="12"/>
        <v>112.2160.100</v>
      </c>
    </row>
    <row r="765" spans="1:12" x14ac:dyDescent="0.2">
      <c r="A765">
        <v>19027</v>
      </c>
      <c r="B765" t="s">
        <v>365</v>
      </c>
      <c r="C765">
        <v>12023021</v>
      </c>
      <c r="D765" t="s">
        <v>98</v>
      </c>
      <c r="E765">
        <v>299</v>
      </c>
      <c r="F765" t="s">
        <v>208</v>
      </c>
      <c r="G765" s="47" t="s">
        <v>206</v>
      </c>
      <c r="I765">
        <v>1487.67</v>
      </c>
      <c r="J765" s="69" t="s">
        <v>12</v>
      </c>
      <c r="L765" s="15" t="str">
        <f t="shared" si="12"/>
        <v>112.2160.100</v>
      </c>
    </row>
    <row r="766" spans="1:12" x14ac:dyDescent="0.2">
      <c r="A766">
        <v>18980</v>
      </c>
      <c r="B766" t="s">
        <v>97</v>
      </c>
      <c r="C766">
        <v>12023021</v>
      </c>
      <c r="D766" t="s">
        <v>98</v>
      </c>
      <c r="E766">
        <v>299</v>
      </c>
      <c r="F766" t="s">
        <v>208</v>
      </c>
      <c r="G766" s="47" t="s">
        <v>206</v>
      </c>
      <c r="I766">
        <v>1668.24</v>
      </c>
      <c r="J766" s="69" t="s">
        <v>12</v>
      </c>
      <c r="L766" s="15" t="str">
        <f t="shared" si="12"/>
        <v>112.2160.100</v>
      </c>
    </row>
    <row r="767" spans="1:12" x14ac:dyDescent="0.2">
      <c r="A767">
        <v>18581</v>
      </c>
      <c r="B767" t="s">
        <v>190</v>
      </c>
      <c r="C767">
        <v>12024021</v>
      </c>
      <c r="D767" t="s">
        <v>191</v>
      </c>
      <c r="E767">
        <v>299</v>
      </c>
      <c r="F767" t="s">
        <v>208</v>
      </c>
      <c r="G767" s="47" t="s">
        <v>206</v>
      </c>
      <c r="I767">
        <v>1171.56</v>
      </c>
      <c r="J767" s="69" t="s">
        <v>12</v>
      </c>
      <c r="L767" s="15" t="str">
        <f t="shared" si="12"/>
        <v>112.2160.100</v>
      </c>
    </row>
    <row r="768" spans="1:12" x14ac:dyDescent="0.2">
      <c r="A768">
        <v>44705</v>
      </c>
      <c r="B768" t="s">
        <v>149</v>
      </c>
      <c r="C768">
        <v>12028099</v>
      </c>
      <c r="D768" t="s">
        <v>150</v>
      </c>
      <c r="E768">
        <v>299</v>
      </c>
      <c r="F768" t="s">
        <v>208</v>
      </c>
      <c r="G768" s="47" t="s">
        <v>206</v>
      </c>
      <c r="I768">
        <v>3550.9</v>
      </c>
      <c r="J768" s="69" t="s">
        <v>12</v>
      </c>
      <c r="L768" s="15" t="str">
        <f t="shared" si="12"/>
        <v>112.2160.100</v>
      </c>
    </row>
    <row r="769" spans="1:12" x14ac:dyDescent="0.2">
      <c r="A769">
        <v>19034</v>
      </c>
      <c r="B769" t="s">
        <v>439</v>
      </c>
      <c r="C769">
        <v>12028099</v>
      </c>
      <c r="D769" t="s">
        <v>150</v>
      </c>
      <c r="E769">
        <v>299</v>
      </c>
      <c r="F769" t="s">
        <v>208</v>
      </c>
      <c r="G769" s="47" t="s">
        <v>206</v>
      </c>
      <c r="I769">
        <v>2380.92</v>
      </c>
      <c r="J769" s="69" t="s">
        <v>12</v>
      </c>
      <c r="L769" s="15" t="str">
        <f t="shared" si="12"/>
        <v>112.2160.100</v>
      </c>
    </row>
    <row r="770" spans="1:12" x14ac:dyDescent="0.2">
      <c r="A770">
        <v>18805</v>
      </c>
      <c r="B770" t="s">
        <v>192</v>
      </c>
      <c r="C770">
        <v>12030400</v>
      </c>
      <c r="D770" t="s">
        <v>62</v>
      </c>
      <c r="E770">
        <v>299</v>
      </c>
      <c r="F770" t="s">
        <v>208</v>
      </c>
      <c r="G770" s="47" t="s">
        <v>206</v>
      </c>
      <c r="I770">
        <v>1416.16</v>
      </c>
      <c r="J770" s="69" t="s">
        <v>12</v>
      </c>
      <c r="L770" s="15" t="str">
        <f t="shared" si="12"/>
        <v>112.2160.100</v>
      </c>
    </row>
    <row r="771" spans="1:12" x14ac:dyDescent="0.2">
      <c r="A771">
        <v>18982</v>
      </c>
      <c r="B771" t="s">
        <v>100</v>
      </c>
      <c r="C771">
        <v>12030400</v>
      </c>
      <c r="D771" t="s">
        <v>62</v>
      </c>
      <c r="E771">
        <v>299</v>
      </c>
      <c r="F771" t="s">
        <v>208</v>
      </c>
      <c r="G771" s="47" t="s">
        <v>206</v>
      </c>
      <c r="I771">
        <v>1819.68</v>
      </c>
      <c r="J771" s="69" t="s">
        <v>12</v>
      </c>
      <c r="L771" s="15" t="str">
        <f t="shared" si="12"/>
        <v>112.2160.100</v>
      </c>
    </row>
    <row r="772" spans="1:12" x14ac:dyDescent="0.2">
      <c r="A772">
        <v>18841</v>
      </c>
      <c r="B772" t="s">
        <v>193</v>
      </c>
      <c r="C772">
        <v>12030500</v>
      </c>
      <c r="D772" t="s">
        <v>34</v>
      </c>
      <c r="E772">
        <v>299</v>
      </c>
      <c r="F772" t="s">
        <v>208</v>
      </c>
      <c r="G772" s="47" t="s">
        <v>206</v>
      </c>
      <c r="I772">
        <v>1733.84</v>
      </c>
      <c r="J772" s="69" t="s">
        <v>12</v>
      </c>
      <c r="L772" s="15" t="str">
        <f t="shared" si="12"/>
        <v>112.2160.100</v>
      </c>
    </row>
    <row r="773" spans="1:12" x14ac:dyDescent="0.2">
      <c r="A773">
        <v>266</v>
      </c>
      <c r="B773" t="s">
        <v>194</v>
      </c>
      <c r="C773">
        <v>12030500</v>
      </c>
      <c r="D773" t="s">
        <v>34</v>
      </c>
      <c r="E773">
        <v>299</v>
      </c>
      <c r="F773" t="s">
        <v>208</v>
      </c>
      <c r="G773" s="47" t="s">
        <v>206</v>
      </c>
      <c r="I773">
        <v>1492.64</v>
      </c>
      <c r="J773" s="69" t="s">
        <v>12</v>
      </c>
      <c r="L773" s="15" t="str">
        <f t="shared" si="12"/>
        <v>112.2160.100</v>
      </c>
    </row>
    <row r="774" spans="1:12" x14ac:dyDescent="0.2">
      <c r="A774">
        <v>302</v>
      </c>
      <c r="B774" t="s">
        <v>33</v>
      </c>
      <c r="C774">
        <v>12030500</v>
      </c>
      <c r="D774" t="s">
        <v>34</v>
      </c>
      <c r="E774">
        <v>299</v>
      </c>
      <c r="F774" t="s">
        <v>208</v>
      </c>
      <c r="G774" s="47" t="s">
        <v>206</v>
      </c>
      <c r="I774">
        <v>421.96</v>
      </c>
      <c r="J774" s="69" t="s">
        <v>12</v>
      </c>
      <c r="L774" s="15" t="str">
        <f t="shared" si="12"/>
        <v>112.2160.100</v>
      </c>
    </row>
    <row r="775" spans="1:12" x14ac:dyDescent="0.2">
      <c r="A775">
        <v>18827</v>
      </c>
      <c r="B775" t="s">
        <v>104</v>
      </c>
      <c r="C775">
        <v>12030611</v>
      </c>
      <c r="D775" t="s">
        <v>36</v>
      </c>
      <c r="E775">
        <v>299</v>
      </c>
      <c r="F775" t="s">
        <v>208</v>
      </c>
      <c r="G775" s="47" t="s">
        <v>206</v>
      </c>
      <c r="I775">
        <v>2328.31</v>
      </c>
      <c r="J775" s="69" t="s">
        <v>12</v>
      </c>
      <c r="L775" s="15" t="str">
        <f t="shared" si="12"/>
        <v>112.2160.100</v>
      </c>
    </row>
    <row r="776" spans="1:12" x14ac:dyDescent="0.2">
      <c r="A776">
        <v>18949</v>
      </c>
      <c r="B776" t="s">
        <v>35</v>
      </c>
      <c r="C776">
        <v>12030611</v>
      </c>
      <c r="D776" t="s">
        <v>36</v>
      </c>
      <c r="E776">
        <v>299</v>
      </c>
      <c r="F776" t="s">
        <v>208</v>
      </c>
      <c r="G776" s="47" t="s">
        <v>206</v>
      </c>
      <c r="I776">
        <v>2604.88</v>
      </c>
      <c r="J776" s="69" t="s">
        <v>12</v>
      </c>
      <c r="L776" s="15" t="str">
        <f t="shared" si="12"/>
        <v>112.2160.100</v>
      </c>
    </row>
    <row r="777" spans="1:12" x14ac:dyDescent="0.2">
      <c r="A777">
        <v>134</v>
      </c>
      <c r="B777" t="s">
        <v>102</v>
      </c>
      <c r="C777">
        <v>12030611</v>
      </c>
      <c r="D777" t="s">
        <v>36</v>
      </c>
      <c r="E777">
        <v>299</v>
      </c>
      <c r="F777" t="s">
        <v>208</v>
      </c>
      <c r="G777" s="47" t="s">
        <v>206</v>
      </c>
      <c r="I777">
        <v>1134.19</v>
      </c>
      <c r="J777" s="69" t="s">
        <v>12</v>
      </c>
      <c r="L777" s="15" t="str">
        <f t="shared" si="12"/>
        <v>112.2160.100</v>
      </c>
    </row>
    <row r="778" spans="1:12" x14ac:dyDescent="0.2">
      <c r="A778">
        <v>18797</v>
      </c>
      <c r="B778" t="s">
        <v>101</v>
      </c>
      <c r="C778">
        <v>12030611</v>
      </c>
      <c r="D778" t="s">
        <v>36</v>
      </c>
      <c r="E778">
        <v>299</v>
      </c>
      <c r="F778" t="s">
        <v>208</v>
      </c>
      <c r="G778" s="47" t="s">
        <v>206</v>
      </c>
      <c r="I778">
        <v>1941.43</v>
      </c>
      <c r="J778" s="69" t="s">
        <v>12</v>
      </c>
      <c r="L778" s="15" t="str">
        <f t="shared" si="12"/>
        <v>112.2160.100</v>
      </c>
    </row>
    <row r="779" spans="1:12" x14ac:dyDescent="0.2">
      <c r="A779">
        <v>18626</v>
      </c>
      <c r="B779" t="s">
        <v>195</v>
      </c>
      <c r="C779">
        <v>12030611</v>
      </c>
      <c r="D779" t="s">
        <v>36</v>
      </c>
      <c r="E779">
        <v>299</v>
      </c>
      <c r="F779" t="s">
        <v>208</v>
      </c>
      <c r="G779" s="47" t="s">
        <v>206</v>
      </c>
      <c r="I779">
        <v>2633.54</v>
      </c>
      <c r="J779" s="69" t="s">
        <v>12</v>
      </c>
      <c r="L779" s="15" t="str">
        <f t="shared" si="12"/>
        <v>112.2160.100</v>
      </c>
    </row>
    <row r="780" spans="1:12" x14ac:dyDescent="0.2">
      <c r="A780">
        <v>18887</v>
      </c>
      <c r="B780" t="s">
        <v>105</v>
      </c>
      <c r="C780">
        <v>12030611</v>
      </c>
      <c r="D780" t="s">
        <v>36</v>
      </c>
      <c r="E780">
        <v>299</v>
      </c>
      <c r="F780" t="s">
        <v>208</v>
      </c>
      <c r="G780" s="47" t="s">
        <v>206</v>
      </c>
      <c r="I780">
        <v>1990.03</v>
      </c>
      <c r="J780" s="69" t="s">
        <v>12</v>
      </c>
      <c r="L780" s="15" t="str">
        <f t="shared" si="12"/>
        <v>112.2160.100</v>
      </c>
    </row>
    <row r="781" spans="1:12" x14ac:dyDescent="0.2">
      <c r="A781">
        <v>18929</v>
      </c>
      <c r="B781" t="s">
        <v>106</v>
      </c>
      <c r="C781">
        <v>12030611</v>
      </c>
      <c r="D781" t="s">
        <v>36</v>
      </c>
      <c r="E781">
        <v>299</v>
      </c>
      <c r="F781" t="s">
        <v>208</v>
      </c>
      <c r="G781" s="47" t="s">
        <v>206</v>
      </c>
      <c r="I781">
        <v>1044.32</v>
      </c>
      <c r="J781" s="69" t="s">
        <v>12</v>
      </c>
      <c r="L781" s="15" t="str">
        <f t="shared" si="12"/>
        <v>112.2160.100</v>
      </c>
    </row>
    <row r="782" spans="1:12" x14ac:dyDescent="0.2">
      <c r="A782">
        <v>18901</v>
      </c>
      <c r="B782" t="s">
        <v>37</v>
      </c>
      <c r="C782">
        <v>12030611</v>
      </c>
      <c r="D782" t="s">
        <v>36</v>
      </c>
      <c r="E782">
        <v>299</v>
      </c>
      <c r="F782" t="s">
        <v>208</v>
      </c>
      <c r="G782" s="47" t="s">
        <v>206</v>
      </c>
      <c r="I782">
        <v>3125.6</v>
      </c>
      <c r="J782" s="69" t="s">
        <v>12</v>
      </c>
      <c r="L782" s="15" t="str">
        <f t="shared" si="12"/>
        <v>112.2160.100</v>
      </c>
    </row>
    <row r="783" spans="1:12" x14ac:dyDescent="0.2">
      <c r="A783">
        <v>18822</v>
      </c>
      <c r="B783" t="s">
        <v>103</v>
      </c>
      <c r="C783">
        <v>12030611</v>
      </c>
      <c r="D783" t="s">
        <v>36</v>
      </c>
      <c r="E783">
        <v>299</v>
      </c>
      <c r="F783" t="s">
        <v>208</v>
      </c>
      <c r="G783" s="47" t="s">
        <v>206</v>
      </c>
      <c r="I783">
        <v>1679.84</v>
      </c>
      <c r="J783" s="69" t="s">
        <v>12</v>
      </c>
      <c r="L783" s="15" t="str">
        <f t="shared" si="12"/>
        <v>112.2160.100</v>
      </c>
    </row>
    <row r="784" spans="1:12" x14ac:dyDescent="0.2">
      <c r="A784">
        <v>18918</v>
      </c>
      <c r="B784" t="s">
        <v>38</v>
      </c>
      <c r="C784">
        <v>12030611</v>
      </c>
      <c r="D784" t="s">
        <v>36</v>
      </c>
      <c r="E784">
        <v>299</v>
      </c>
      <c r="F784" t="s">
        <v>208</v>
      </c>
      <c r="G784" s="47" t="s">
        <v>206</v>
      </c>
      <c r="I784">
        <v>2400.41</v>
      </c>
      <c r="J784" s="69" t="s">
        <v>12</v>
      </c>
      <c r="L784" s="15" t="str">
        <f t="shared" si="12"/>
        <v>112.2160.100</v>
      </c>
    </row>
    <row r="785" spans="1:12" x14ac:dyDescent="0.2">
      <c r="A785">
        <v>18979</v>
      </c>
      <c r="B785" t="s">
        <v>39</v>
      </c>
      <c r="C785">
        <v>12030611</v>
      </c>
      <c r="D785" t="s">
        <v>36</v>
      </c>
      <c r="E785">
        <v>299</v>
      </c>
      <c r="F785" t="s">
        <v>208</v>
      </c>
      <c r="G785" s="47" t="s">
        <v>206</v>
      </c>
      <c r="I785">
        <v>1725.42</v>
      </c>
      <c r="J785" s="69" t="s">
        <v>12</v>
      </c>
      <c r="L785" s="15" t="str">
        <f t="shared" si="12"/>
        <v>112.2160.100</v>
      </c>
    </row>
    <row r="786" spans="1:12" x14ac:dyDescent="0.2">
      <c r="A786">
        <v>18989</v>
      </c>
      <c r="B786" t="s">
        <v>107</v>
      </c>
      <c r="C786">
        <v>12030800</v>
      </c>
      <c r="D786" t="s">
        <v>59</v>
      </c>
      <c r="E786">
        <v>299</v>
      </c>
      <c r="F786" t="s">
        <v>208</v>
      </c>
      <c r="G786" s="47" t="s">
        <v>206</v>
      </c>
      <c r="I786">
        <v>2151.31</v>
      </c>
      <c r="J786" s="69" t="s">
        <v>12</v>
      </c>
      <c r="L786" s="15" t="str">
        <f t="shared" si="12"/>
        <v>112.2160.100</v>
      </c>
    </row>
    <row r="787" spans="1:12" x14ac:dyDescent="0.2">
      <c r="A787">
        <v>18736</v>
      </c>
      <c r="B787" t="s">
        <v>70</v>
      </c>
      <c r="C787">
        <v>12032511</v>
      </c>
      <c r="D787" t="s">
        <v>43</v>
      </c>
      <c r="E787">
        <v>299</v>
      </c>
      <c r="F787" t="s">
        <v>208</v>
      </c>
      <c r="G787" s="47" t="s">
        <v>206</v>
      </c>
      <c r="I787">
        <v>1653.54</v>
      </c>
      <c r="J787" s="69" t="s">
        <v>12</v>
      </c>
      <c r="L787" s="15" t="str">
        <f t="shared" si="12"/>
        <v>112.2160.100</v>
      </c>
    </row>
    <row r="788" spans="1:12" x14ac:dyDescent="0.2">
      <c r="A788">
        <v>18607</v>
      </c>
      <c r="B788" t="s">
        <v>109</v>
      </c>
      <c r="C788">
        <v>12033011</v>
      </c>
      <c r="D788" t="s">
        <v>45</v>
      </c>
      <c r="E788">
        <v>299</v>
      </c>
      <c r="F788" t="s">
        <v>208</v>
      </c>
      <c r="G788" s="47" t="s">
        <v>206</v>
      </c>
      <c r="I788">
        <v>2181.37</v>
      </c>
      <c r="J788" s="69" t="s">
        <v>12</v>
      </c>
      <c r="L788" s="15" t="str">
        <f t="shared" si="12"/>
        <v>112.2160.100</v>
      </c>
    </row>
    <row r="789" spans="1:12" x14ac:dyDescent="0.2">
      <c r="A789">
        <v>19009</v>
      </c>
      <c r="B789" t="s">
        <v>117</v>
      </c>
      <c r="C789">
        <v>12033011</v>
      </c>
      <c r="D789" t="s">
        <v>45</v>
      </c>
      <c r="E789">
        <v>299</v>
      </c>
      <c r="F789" t="s">
        <v>208</v>
      </c>
      <c r="G789" s="47" t="s">
        <v>206</v>
      </c>
      <c r="I789">
        <v>2172.44</v>
      </c>
      <c r="J789" s="69" t="s">
        <v>12</v>
      </c>
      <c r="L789" s="15" t="str">
        <f t="shared" si="12"/>
        <v>112.2160.100</v>
      </c>
    </row>
    <row r="790" spans="1:12" x14ac:dyDescent="0.2">
      <c r="A790">
        <v>18932</v>
      </c>
      <c r="B790" t="s">
        <v>44</v>
      </c>
      <c r="C790">
        <v>12033011</v>
      </c>
      <c r="D790" t="s">
        <v>45</v>
      </c>
      <c r="E790">
        <v>299</v>
      </c>
      <c r="F790" t="s">
        <v>208</v>
      </c>
      <c r="G790" s="47" t="s">
        <v>206</v>
      </c>
      <c r="I790">
        <v>1491.86</v>
      </c>
      <c r="J790" s="69" t="s">
        <v>12</v>
      </c>
      <c r="L790" s="15" t="str">
        <f t="shared" si="12"/>
        <v>112.2160.100</v>
      </c>
    </row>
    <row r="791" spans="1:12" x14ac:dyDescent="0.2">
      <c r="A791">
        <v>19008</v>
      </c>
      <c r="B791" t="s">
        <v>118</v>
      </c>
      <c r="C791">
        <v>12033011</v>
      </c>
      <c r="D791" t="s">
        <v>45</v>
      </c>
      <c r="E791">
        <v>299</v>
      </c>
      <c r="F791" t="s">
        <v>208</v>
      </c>
      <c r="G791" s="47" t="s">
        <v>206</v>
      </c>
      <c r="I791">
        <v>1089.47</v>
      </c>
      <c r="J791" s="69" t="s">
        <v>12</v>
      </c>
      <c r="L791" s="15" t="str">
        <f t="shared" si="12"/>
        <v>112.2160.100</v>
      </c>
    </row>
    <row r="792" spans="1:12" x14ac:dyDescent="0.2">
      <c r="A792">
        <v>19012</v>
      </c>
      <c r="B792" t="s">
        <v>110</v>
      </c>
      <c r="C792">
        <v>12033011</v>
      </c>
      <c r="D792" t="s">
        <v>45</v>
      </c>
      <c r="E792">
        <v>299</v>
      </c>
      <c r="F792" t="s">
        <v>208</v>
      </c>
      <c r="G792" s="47" t="s">
        <v>206</v>
      </c>
      <c r="I792">
        <v>1983.58</v>
      </c>
      <c r="J792" s="69" t="s">
        <v>12</v>
      </c>
      <c r="L792" s="15" t="str">
        <f t="shared" si="12"/>
        <v>112.2160.100</v>
      </c>
    </row>
    <row r="793" spans="1:12" x14ac:dyDescent="0.2">
      <c r="A793">
        <v>19011</v>
      </c>
      <c r="B793" t="s">
        <v>111</v>
      </c>
      <c r="C793">
        <v>12033011</v>
      </c>
      <c r="D793" t="s">
        <v>45</v>
      </c>
      <c r="E793">
        <v>299</v>
      </c>
      <c r="F793" t="s">
        <v>208</v>
      </c>
      <c r="G793" s="47" t="s">
        <v>206</v>
      </c>
      <c r="I793">
        <v>2113.25</v>
      </c>
      <c r="J793" s="69" t="s">
        <v>12</v>
      </c>
      <c r="L793" s="15" t="str">
        <f t="shared" si="12"/>
        <v>112.2160.100</v>
      </c>
    </row>
    <row r="794" spans="1:12" x14ac:dyDescent="0.2">
      <c r="A794">
        <v>19017</v>
      </c>
      <c r="B794" t="s">
        <v>65</v>
      </c>
      <c r="C794">
        <v>12033011</v>
      </c>
      <c r="D794" t="s">
        <v>45</v>
      </c>
      <c r="E794">
        <v>299</v>
      </c>
      <c r="F794" t="s">
        <v>208</v>
      </c>
      <c r="G794" s="47" t="s">
        <v>206</v>
      </c>
      <c r="I794">
        <v>1981.22</v>
      </c>
      <c r="J794" s="69" t="s">
        <v>12</v>
      </c>
      <c r="L794" s="15" t="str">
        <f t="shared" si="12"/>
        <v>112.2160.100</v>
      </c>
    </row>
    <row r="795" spans="1:12" x14ac:dyDescent="0.2">
      <c r="A795">
        <v>19019</v>
      </c>
      <c r="B795" t="s">
        <v>108</v>
      </c>
      <c r="C795">
        <v>12033011</v>
      </c>
      <c r="D795" t="s">
        <v>45</v>
      </c>
      <c r="E795">
        <v>299</v>
      </c>
      <c r="F795" t="s">
        <v>208</v>
      </c>
      <c r="G795" s="47" t="s">
        <v>206</v>
      </c>
      <c r="I795">
        <v>1925.13</v>
      </c>
      <c r="J795" s="69" t="s">
        <v>12</v>
      </c>
      <c r="L795" s="15" t="str">
        <f t="shared" si="12"/>
        <v>112.2160.100</v>
      </c>
    </row>
    <row r="796" spans="1:12" x14ac:dyDescent="0.2">
      <c r="A796">
        <v>19015</v>
      </c>
      <c r="B796" t="s">
        <v>116</v>
      </c>
      <c r="C796">
        <v>12033011</v>
      </c>
      <c r="D796" t="s">
        <v>45</v>
      </c>
      <c r="E796">
        <v>299</v>
      </c>
      <c r="F796" t="s">
        <v>208</v>
      </c>
      <c r="G796" s="47" t="s">
        <v>206</v>
      </c>
      <c r="I796">
        <v>1900.92</v>
      </c>
      <c r="J796" s="69" t="s">
        <v>12</v>
      </c>
      <c r="L796" s="15" t="str">
        <f t="shared" si="12"/>
        <v>112.2160.100</v>
      </c>
    </row>
    <row r="797" spans="1:12" x14ac:dyDescent="0.2">
      <c r="A797">
        <v>18983</v>
      </c>
      <c r="B797" t="s">
        <v>112</v>
      </c>
      <c r="C797">
        <v>12033011</v>
      </c>
      <c r="D797" t="s">
        <v>45</v>
      </c>
      <c r="E797">
        <v>299</v>
      </c>
      <c r="F797" t="s">
        <v>208</v>
      </c>
      <c r="G797" s="47" t="s">
        <v>206</v>
      </c>
      <c r="I797">
        <v>2370.87</v>
      </c>
      <c r="J797" s="69" t="s">
        <v>12</v>
      </c>
      <c r="L797" s="15" t="str">
        <f t="shared" si="12"/>
        <v>112.2160.100</v>
      </c>
    </row>
    <row r="798" spans="1:12" x14ac:dyDescent="0.2">
      <c r="A798">
        <v>19028</v>
      </c>
      <c r="B798" t="s">
        <v>367</v>
      </c>
      <c r="C798">
        <v>12033011</v>
      </c>
      <c r="D798" t="s">
        <v>45</v>
      </c>
      <c r="E798">
        <v>299</v>
      </c>
      <c r="F798" t="s">
        <v>208</v>
      </c>
      <c r="G798" s="47" t="s">
        <v>206</v>
      </c>
      <c r="I798">
        <v>2113.69</v>
      </c>
      <c r="J798" s="69" t="s">
        <v>12</v>
      </c>
      <c r="L798" s="15" t="str">
        <f t="shared" si="12"/>
        <v>112.2160.100</v>
      </c>
    </row>
    <row r="799" spans="1:12" x14ac:dyDescent="0.2">
      <c r="A799">
        <v>18679</v>
      </c>
      <c r="B799" t="s">
        <v>114</v>
      </c>
      <c r="C799">
        <v>12033011</v>
      </c>
      <c r="D799" t="s">
        <v>45</v>
      </c>
      <c r="E799">
        <v>299</v>
      </c>
      <c r="F799" t="s">
        <v>208</v>
      </c>
      <c r="G799" s="47" t="s">
        <v>206</v>
      </c>
      <c r="I799">
        <v>1515.27</v>
      </c>
      <c r="J799" s="69" t="s">
        <v>12</v>
      </c>
      <c r="L799" s="15" t="str">
        <f t="shared" si="12"/>
        <v>112.2160.100</v>
      </c>
    </row>
    <row r="800" spans="1:12" x14ac:dyDescent="0.2">
      <c r="A800">
        <v>18923</v>
      </c>
      <c r="B800" t="s">
        <v>46</v>
      </c>
      <c r="C800">
        <v>12033011</v>
      </c>
      <c r="D800" t="s">
        <v>45</v>
      </c>
      <c r="E800">
        <v>299</v>
      </c>
      <c r="F800" t="s">
        <v>208</v>
      </c>
      <c r="G800" s="47" t="s">
        <v>206</v>
      </c>
      <c r="I800">
        <v>1160.6099999999999</v>
      </c>
      <c r="J800" s="69" t="s">
        <v>12</v>
      </c>
      <c r="L800" s="15" t="str">
        <f t="shared" si="12"/>
        <v>112.2160.100</v>
      </c>
    </row>
    <row r="801" spans="1:12" x14ac:dyDescent="0.2">
      <c r="A801">
        <v>18829</v>
      </c>
      <c r="B801" t="s">
        <v>115</v>
      </c>
      <c r="C801">
        <v>12033011</v>
      </c>
      <c r="D801" t="s">
        <v>45</v>
      </c>
      <c r="E801">
        <v>299</v>
      </c>
      <c r="F801" t="s">
        <v>208</v>
      </c>
      <c r="G801" s="47" t="s">
        <v>206</v>
      </c>
      <c r="I801">
        <v>2389.06</v>
      </c>
      <c r="J801" s="69" t="s">
        <v>12</v>
      </c>
      <c r="L801" s="15" t="str">
        <f t="shared" si="12"/>
        <v>112.2160.100</v>
      </c>
    </row>
    <row r="802" spans="1:12" x14ac:dyDescent="0.2">
      <c r="A802">
        <v>19030</v>
      </c>
      <c r="B802" t="s">
        <v>364</v>
      </c>
      <c r="C802">
        <v>12033011</v>
      </c>
      <c r="D802" t="s">
        <v>45</v>
      </c>
      <c r="E802">
        <v>299</v>
      </c>
      <c r="F802" t="s">
        <v>208</v>
      </c>
      <c r="G802" s="47" t="s">
        <v>206</v>
      </c>
      <c r="I802">
        <v>1702.99</v>
      </c>
      <c r="J802" s="69" t="s">
        <v>12</v>
      </c>
      <c r="L802" s="15" t="str">
        <f t="shared" si="12"/>
        <v>112.2160.100</v>
      </c>
    </row>
    <row r="803" spans="1:12" x14ac:dyDescent="0.2">
      <c r="A803">
        <v>19029</v>
      </c>
      <c r="B803" t="s">
        <v>366</v>
      </c>
      <c r="C803">
        <v>12033011</v>
      </c>
      <c r="D803" t="s">
        <v>45</v>
      </c>
      <c r="E803">
        <v>299</v>
      </c>
      <c r="F803" t="s">
        <v>208</v>
      </c>
      <c r="G803" s="47" t="s">
        <v>206</v>
      </c>
      <c r="I803">
        <v>2269.5</v>
      </c>
      <c r="J803" s="69" t="s">
        <v>12</v>
      </c>
      <c r="L803" s="15" t="str">
        <f t="shared" si="12"/>
        <v>112.2160.100</v>
      </c>
    </row>
    <row r="804" spans="1:12" x14ac:dyDescent="0.2">
      <c r="A804">
        <v>18998</v>
      </c>
      <c r="B804" t="s">
        <v>47</v>
      </c>
      <c r="C804">
        <v>12038099</v>
      </c>
      <c r="D804" t="s">
        <v>48</v>
      </c>
      <c r="E804">
        <v>299</v>
      </c>
      <c r="F804" t="s">
        <v>208</v>
      </c>
      <c r="G804" s="47" t="s">
        <v>206</v>
      </c>
      <c r="I804">
        <v>1341.08</v>
      </c>
      <c r="J804" s="69" t="s">
        <v>12</v>
      </c>
      <c r="L804" s="15" t="str">
        <f t="shared" si="12"/>
        <v>112.2160.100</v>
      </c>
    </row>
    <row r="805" spans="1:12" x14ac:dyDescent="0.2">
      <c r="A805">
        <v>115</v>
      </c>
      <c r="B805" t="s">
        <v>196</v>
      </c>
      <c r="C805">
        <v>12040400</v>
      </c>
      <c r="D805" t="s">
        <v>197</v>
      </c>
      <c r="E805">
        <v>299</v>
      </c>
      <c r="F805" t="s">
        <v>208</v>
      </c>
      <c r="G805" s="47" t="s">
        <v>206</v>
      </c>
      <c r="I805">
        <v>2283.62</v>
      </c>
      <c r="J805" s="69" t="s">
        <v>12</v>
      </c>
      <c r="L805" s="15" t="str">
        <f t="shared" si="12"/>
        <v>112.2160.100</v>
      </c>
    </row>
    <row r="806" spans="1:12" x14ac:dyDescent="0.2">
      <c r="A806">
        <v>19020</v>
      </c>
      <c r="B806" t="s">
        <v>66</v>
      </c>
      <c r="C806">
        <v>12040500</v>
      </c>
      <c r="D806" t="s">
        <v>67</v>
      </c>
      <c r="E806">
        <v>299</v>
      </c>
      <c r="F806" t="s">
        <v>208</v>
      </c>
      <c r="G806" s="47" t="s">
        <v>206</v>
      </c>
      <c r="I806">
        <v>1704.31</v>
      </c>
      <c r="J806" s="69" t="s">
        <v>12</v>
      </c>
      <c r="L806" s="15" t="str">
        <f t="shared" si="12"/>
        <v>112.2160.100</v>
      </c>
    </row>
    <row r="807" spans="1:12" x14ac:dyDescent="0.2">
      <c r="A807">
        <v>18649</v>
      </c>
      <c r="B807" t="s">
        <v>152</v>
      </c>
      <c r="C807">
        <v>12040500</v>
      </c>
      <c r="D807" t="s">
        <v>67</v>
      </c>
      <c r="E807">
        <v>299</v>
      </c>
      <c r="F807" t="s">
        <v>208</v>
      </c>
      <c r="G807" s="47" t="s">
        <v>206</v>
      </c>
      <c r="I807">
        <v>2317.38</v>
      </c>
      <c r="J807" s="69" t="s">
        <v>12</v>
      </c>
      <c r="L807" s="15" t="str">
        <f t="shared" si="12"/>
        <v>112.2160.100</v>
      </c>
    </row>
    <row r="808" spans="1:12" x14ac:dyDescent="0.2">
      <c r="A808">
        <v>18839</v>
      </c>
      <c r="B808" t="s">
        <v>198</v>
      </c>
      <c r="C808">
        <v>12040800</v>
      </c>
      <c r="D808" t="s">
        <v>120</v>
      </c>
      <c r="E808">
        <v>299</v>
      </c>
      <c r="F808" t="s">
        <v>208</v>
      </c>
      <c r="G808" s="47" t="s">
        <v>206</v>
      </c>
      <c r="I808">
        <v>1087.76</v>
      </c>
      <c r="J808" s="69" t="s">
        <v>12</v>
      </c>
      <c r="L808" s="15" t="str">
        <f t="shared" si="12"/>
        <v>112.2160.100</v>
      </c>
    </row>
    <row r="809" spans="1:12" x14ac:dyDescent="0.2">
      <c r="A809">
        <v>18904</v>
      </c>
      <c r="B809" t="s">
        <v>119</v>
      </c>
      <c r="C809">
        <v>12040800</v>
      </c>
      <c r="D809" t="s">
        <v>120</v>
      </c>
      <c r="E809">
        <v>299</v>
      </c>
      <c r="F809" t="s">
        <v>208</v>
      </c>
      <c r="G809" s="47" t="s">
        <v>206</v>
      </c>
      <c r="I809">
        <v>1359.13</v>
      </c>
      <c r="J809" s="69" t="s">
        <v>12</v>
      </c>
      <c r="L809" s="15" t="str">
        <f t="shared" si="12"/>
        <v>112.2160.100</v>
      </c>
    </row>
    <row r="810" spans="1:12" x14ac:dyDescent="0.2">
      <c r="A810">
        <v>18650</v>
      </c>
      <c r="B810" t="s">
        <v>49</v>
      </c>
      <c r="C810">
        <v>12042511</v>
      </c>
      <c r="D810" t="s">
        <v>50</v>
      </c>
      <c r="E810">
        <v>299</v>
      </c>
      <c r="F810" t="s">
        <v>208</v>
      </c>
      <c r="G810" s="47" t="s">
        <v>206</v>
      </c>
      <c r="I810">
        <v>1116.19</v>
      </c>
      <c r="J810" s="69" t="s">
        <v>12</v>
      </c>
      <c r="L810" s="15" t="str">
        <f t="shared" si="12"/>
        <v>112.2160.100</v>
      </c>
    </row>
    <row r="811" spans="1:12" x14ac:dyDescent="0.2">
      <c r="A811">
        <v>18713</v>
      </c>
      <c r="B811" t="s">
        <v>154</v>
      </c>
      <c r="C811">
        <v>12043011</v>
      </c>
      <c r="D811" t="s">
        <v>52</v>
      </c>
      <c r="E811">
        <v>299</v>
      </c>
      <c r="F811" t="s">
        <v>208</v>
      </c>
      <c r="G811" s="47" t="s">
        <v>206</v>
      </c>
      <c r="I811">
        <v>2619.5500000000002</v>
      </c>
      <c r="J811" s="69" t="s">
        <v>12</v>
      </c>
      <c r="L811" s="15" t="str">
        <f t="shared" si="12"/>
        <v>112.2160.100</v>
      </c>
    </row>
    <row r="812" spans="1:12" x14ac:dyDescent="0.2">
      <c r="A812">
        <v>18924</v>
      </c>
      <c r="B812" t="s">
        <v>121</v>
      </c>
      <c r="C812">
        <v>12043011</v>
      </c>
      <c r="D812" t="s">
        <v>52</v>
      </c>
      <c r="E812">
        <v>299</v>
      </c>
      <c r="F812" t="s">
        <v>208</v>
      </c>
      <c r="G812" s="47" t="s">
        <v>206</v>
      </c>
      <c r="I812">
        <v>1098.8399999999999</v>
      </c>
      <c r="J812" s="69" t="s">
        <v>12</v>
      </c>
      <c r="L812" s="15" t="str">
        <f t="shared" si="12"/>
        <v>112.2160.100</v>
      </c>
    </row>
    <row r="813" spans="1:12" x14ac:dyDescent="0.2">
      <c r="A813">
        <v>18917</v>
      </c>
      <c r="B813" t="s">
        <v>68</v>
      </c>
      <c r="C813">
        <v>12043011</v>
      </c>
      <c r="D813" t="s">
        <v>52</v>
      </c>
      <c r="E813">
        <v>299</v>
      </c>
      <c r="F813" t="s">
        <v>208</v>
      </c>
      <c r="G813" s="47" t="s">
        <v>206</v>
      </c>
      <c r="I813">
        <v>480.05</v>
      </c>
      <c r="J813" s="69" t="s">
        <v>12</v>
      </c>
      <c r="L813" s="15" t="str">
        <f t="shared" si="12"/>
        <v>112.2160.100</v>
      </c>
    </row>
    <row r="814" spans="1:12" x14ac:dyDescent="0.2">
      <c r="A814">
        <v>18986</v>
      </c>
      <c r="B814" t="s">
        <v>153</v>
      </c>
      <c r="C814">
        <v>12043011</v>
      </c>
      <c r="D814" t="s">
        <v>52</v>
      </c>
      <c r="E814">
        <v>299</v>
      </c>
      <c r="F814" t="s">
        <v>208</v>
      </c>
      <c r="G814" s="47" t="s">
        <v>206</v>
      </c>
      <c r="I814">
        <v>1669.76</v>
      </c>
      <c r="J814" s="69" t="s">
        <v>12</v>
      </c>
      <c r="L814" s="15" t="str">
        <f t="shared" si="12"/>
        <v>112.2160.100</v>
      </c>
    </row>
    <row r="815" spans="1:12" x14ac:dyDescent="0.2">
      <c r="A815">
        <v>19039</v>
      </c>
      <c r="B815" t="s">
        <v>443</v>
      </c>
      <c r="C815">
        <v>12043011</v>
      </c>
      <c r="D815" t="s">
        <v>52</v>
      </c>
      <c r="E815">
        <v>299</v>
      </c>
      <c r="F815" t="s">
        <v>208</v>
      </c>
      <c r="G815" s="47" t="s">
        <v>206</v>
      </c>
      <c r="I815">
        <v>1652.93</v>
      </c>
      <c r="J815" s="69" t="s">
        <v>12</v>
      </c>
      <c r="L815" s="15" t="str">
        <f t="shared" si="12"/>
        <v>112.2160.100</v>
      </c>
    </row>
    <row r="816" spans="1:12" x14ac:dyDescent="0.2">
      <c r="A816">
        <v>18942</v>
      </c>
      <c r="B816" t="s">
        <v>51</v>
      </c>
      <c r="C816">
        <v>12043011</v>
      </c>
      <c r="D816" t="s">
        <v>52</v>
      </c>
      <c r="E816">
        <v>299</v>
      </c>
      <c r="F816" t="s">
        <v>208</v>
      </c>
      <c r="G816" s="47" t="s">
        <v>206</v>
      </c>
      <c r="I816">
        <v>1949.44</v>
      </c>
      <c r="J816" s="69" t="s">
        <v>12</v>
      </c>
      <c r="L816" s="15" t="str">
        <f t="shared" si="12"/>
        <v>112.2160.100</v>
      </c>
    </row>
    <row r="817" spans="1:12" x14ac:dyDescent="0.2">
      <c r="A817">
        <v>18990</v>
      </c>
      <c r="B817" t="s">
        <v>125</v>
      </c>
      <c r="C817">
        <v>12043011</v>
      </c>
      <c r="D817" t="s">
        <v>52</v>
      </c>
      <c r="E817">
        <v>299</v>
      </c>
      <c r="F817" t="s">
        <v>208</v>
      </c>
      <c r="G817" s="47" t="s">
        <v>206</v>
      </c>
      <c r="I817">
        <v>1000.32</v>
      </c>
      <c r="J817" s="69" t="s">
        <v>12</v>
      </c>
      <c r="L817" s="15" t="str">
        <f t="shared" si="12"/>
        <v>112.2160.100</v>
      </c>
    </row>
    <row r="818" spans="1:12" x14ac:dyDescent="0.2">
      <c r="A818">
        <v>18703</v>
      </c>
      <c r="B818" t="s">
        <v>126</v>
      </c>
      <c r="C818">
        <v>12043011</v>
      </c>
      <c r="D818" t="s">
        <v>52</v>
      </c>
      <c r="E818">
        <v>299</v>
      </c>
      <c r="F818" t="s">
        <v>208</v>
      </c>
      <c r="G818" s="47" t="s">
        <v>206</v>
      </c>
      <c r="I818">
        <v>2076.34</v>
      </c>
      <c r="J818" s="69" t="s">
        <v>12</v>
      </c>
      <c r="L818" s="15" t="str">
        <f t="shared" si="12"/>
        <v>112.2160.100</v>
      </c>
    </row>
    <row r="819" spans="1:12" x14ac:dyDescent="0.2">
      <c r="A819">
        <v>18850</v>
      </c>
      <c r="B819" t="s">
        <v>123</v>
      </c>
      <c r="C819">
        <v>12043011</v>
      </c>
      <c r="D819" t="s">
        <v>52</v>
      </c>
      <c r="E819">
        <v>299</v>
      </c>
      <c r="F819" t="s">
        <v>208</v>
      </c>
      <c r="G819" s="47" t="s">
        <v>206</v>
      </c>
      <c r="I819">
        <v>884.23</v>
      </c>
      <c r="J819" s="69" t="s">
        <v>12</v>
      </c>
      <c r="L819" s="15" t="str">
        <f t="shared" si="12"/>
        <v>112.2160.100</v>
      </c>
    </row>
    <row r="820" spans="1:12" x14ac:dyDescent="0.2">
      <c r="A820">
        <v>18646</v>
      </c>
      <c r="B820" t="s">
        <v>124</v>
      </c>
      <c r="C820">
        <v>12043011</v>
      </c>
      <c r="D820" t="s">
        <v>52</v>
      </c>
      <c r="E820">
        <v>299</v>
      </c>
      <c r="F820" t="s">
        <v>208</v>
      </c>
      <c r="G820" s="47" t="s">
        <v>206</v>
      </c>
      <c r="I820">
        <v>1910.57</v>
      </c>
      <c r="J820" s="69" t="s">
        <v>12</v>
      </c>
      <c r="L820" s="15" t="str">
        <f t="shared" si="12"/>
        <v>112.2160.100</v>
      </c>
    </row>
    <row r="821" spans="1:12" x14ac:dyDescent="0.2">
      <c r="A821">
        <v>19023</v>
      </c>
      <c r="B821" t="s">
        <v>69</v>
      </c>
      <c r="C821">
        <v>12043011</v>
      </c>
      <c r="D821" t="s">
        <v>52</v>
      </c>
      <c r="E821">
        <v>299</v>
      </c>
      <c r="F821" t="s">
        <v>208</v>
      </c>
      <c r="G821" s="47" t="s">
        <v>206</v>
      </c>
      <c r="I821">
        <v>816.93</v>
      </c>
      <c r="J821" s="69" t="s">
        <v>12</v>
      </c>
      <c r="L821" s="15" t="str">
        <f t="shared" si="12"/>
        <v>112.2160.100</v>
      </c>
    </row>
    <row r="822" spans="1:12" x14ac:dyDescent="0.2">
      <c r="A822">
        <v>18858</v>
      </c>
      <c r="B822" t="s">
        <v>122</v>
      </c>
      <c r="C822">
        <v>12043011</v>
      </c>
      <c r="D822" t="s">
        <v>52</v>
      </c>
      <c r="E822">
        <v>299</v>
      </c>
      <c r="F822" t="s">
        <v>208</v>
      </c>
      <c r="G822" s="47" t="s">
        <v>206</v>
      </c>
      <c r="I822">
        <v>36.46</v>
      </c>
      <c r="J822" s="69" t="s">
        <v>12</v>
      </c>
      <c r="L822" s="15" t="str">
        <f t="shared" si="12"/>
        <v>112.2160.100</v>
      </c>
    </row>
    <row r="823" spans="1:12" x14ac:dyDescent="0.2">
      <c r="A823">
        <v>18970</v>
      </c>
      <c r="B823" t="s">
        <v>200</v>
      </c>
      <c r="C823">
        <v>12043123</v>
      </c>
      <c r="D823" t="s">
        <v>201</v>
      </c>
      <c r="E823">
        <v>299</v>
      </c>
      <c r="F823" t="s">
        <v>208</v>
      </c>
      <c r="G823" s="47" t="s">
        <v>206</v>
      </c>
      <c r="I823">
        <v>1509.55</v>
      </c>
      <c r="J823" s="69" t="s">
        <v>12</v>
      </c>
      <c r="L823" s="15" t="str">
        <f t="shared" ref="L823:L886" si="13">G823</f>
        <v>112.2160.100</v>
      </c>
    </row>
    <row r="824" spans="1:12" x14ac:dyDescent="0.2">
      <c r="A824">
        <v>18976</v>
      </c>
      <c r="B824" t="s">
        <v>202</v>
      </c>
      <c r="C824">
        <v>12048099</v>
      </c>
      <c r="D824" t="s">
        <v>156</v>
      </c>
      <c r="E824">
        <v>299</v>
      </c>
      <c r="F824" t="s">
        <v>208</v>
      </c>
      <c r="G824" s="47" t="s">
        <v>206</v>
      </c>
      <c r="I824">
        <v>1802.31</v>
      </c>
      <c r="J824" s="69" t="s">
        <v>12</v>
      </c>
      <c r="L824" s="15" t="str">
        <f t="shared" si="13"/>
        <v>112.2160.100</v>
      </c>
    </row>
    <row r="825" spans="1:12" x14ac:dyDescent="0.2">
      <c r="A825">
        <v>19031</v>
      </c>
      <c r="B825" t="s">
        <v>387</v>
      </c>
      <c r="C825">
        <v>12048099</v>
      </c>
      <c r="D825" t="s">
        <v>156</v>
      </c>
      <c r="E825">
        <v>299</v>
      </c>
      <c r="F825" t="s">
        <v>208</v>
      </c>
      <c r="G825" s="47" t="s">
        <v>206</v>
      </c>
      <c r="I825">
        <v>2632.62</v>
      </c>
      <c r="J825" s="69" t="s">
        <v>12</v>
      </c>
      <c r="L825" s="15" t="str">
        <f t="shared" si="13"/>
        <v>112.2160.100</v>
      </c>
    </row>
    <row r="826" spans="1:12" x14ac:dyDescent="0.2">
      <c r="A826">
        <v>18442</v>
      </c>
      <c r="B826" t="s">
        <v>157</v>
      </c>
      <c r="C826">
        <v>12060400</v>
      </c>
      <c r="D826" t="s">
        <v>158</v>
      </c>
      <c r="E826">
        <v>299</v>
      </c>
      <c r="F826" t="s">
        <v>208</v>
      </c>
      <c r="G826" s="47" t="s">
        <v>206</v>
      </c>
      <c r="I826">
        <v>2064.92</v>
      </c>
      <c r="J826" s="69" t="s">
        <v>12</v>
      </c>
      <c r="L826" s="15" t="str">
        <f t="shared" si="13"/>
        <v>112.2160.100</v>
      </c>
    </row>
    <row r="827" spans="1:12" x14ac:dyDescent="0.2">
      <c r="A827">
        <v>18927</v>
      </c>
      <c r="B827" t="s">
        <v>55</v>
      </c>
      <c r="C827">
        <v>12060611</v>
      </c>
      <c r="D827" t="s">
        <v>54</v>
      </c>
      <c r="E827">
        <v>299</v>
      </c>
      <c r="F827" t="s">
        <v>208</v>
      </c>
      <c r="G827" s="47" t="s">
        <v>206</v>
      </c>
      <c r="I827">
        <v>1255.45</v>
      </c>
      <c r="J827" s="69" t="s">
        <v>12</v>
      </c>
      <c r="L827" s="15" t="str">
        <f t="shared" si="13"/>
        <v>112.2160.100</v>
      </c>
    </row>
    <row r="828" spans="1:12" x14ac:dyDescent="0.2">
      <c r="A828">
        <v>18895</v>
      </c>
      <c r="B828" t="s">
        <v>128</v>
      </c>
      <c r="C828">
        <v>12060611</v>
      </c>
      <c r="D828" t="s">
        <v>54</v>
      </c>
      <c r="E828">
        <v>299</v>
      </c>
      <c r="F828" t="s">
        <v>208</v>
      </c>
      <c r="G828" s="47" t="s">
        <v>206</v>
      </c>
      <c r="I828">
        <v>1430.9</v>
      </c>
      <c r="J828" s="69" t="s">
        <v>12</v>
      </c>
      <c r="L828" s="15" t="str">
        <f t="shared" si="13"/>
        <v>112.2160.100</v>
      </c>
    </row>
    <row r="829" spans="1:12" x14ac:dyDescent="0.2">
      <c r="A829">
        <v>261</v>
      </c>
      <c r="B829" t="s">
        <v>159</v>
      </c>
      <c r="C829">
        <v>12060611</v>
      </c>
      <c r="D829" t="s">
        <v>54</v>
      </c>
      <c r="E829">
        <v>299</v>
      </c>
      <c r="F829" t="s">
        <v>208</v>
      </c>
      <c r="G829" s="47" t="s">
        <v>206</v>
      </c>
      <c r="I829">
        <v>2319.38</v>
      </c>
      <c r="J829" s="69" t="s">
        <v>12</v>
      </c>
      <c r="L829" s="15" t="str">
        <f t="shared" si="13"/>
        <v>112.2160.100</v>
      </c>
    </row>
    <row r="830" spans="1:12" x14ac:dyDescent="0.2">
      <c r="A830">
        <v>18634</v>
      </c>
      <c r="B830" t="s">
        <v>129</v>
      </c>
      <c r="C830">
        <v>12060611</v>
      </c>
      <c r="D830" t="s">
        <v>54</v>
      </c>
      <c r="E830">
        <v>299</v>
      </c>
      <c r="F830" t="s">
        <v>208</v>
      </c>
      <c r="G830" s="47" t="s">
        <v>206</v>
      </c>
      <c r="I830">
        <v>847.6</v>
      </c>
      <c r="J830" s="69" t="s">
        <v>12</v>
      </c>
      <c r="L830" s="15" t="str">
        <f t="shared" si="13"/>
        <v>112.2160.100</v>
      </c>
    </row>
    <row r="831" spans="1:12" x14ac:dyDescent="0.2">
      <c r="A831">
        <v>18996</v>
      </c>
      <c r="B831" t="s">
        <v>127</v>
      </c>
      <c r="C831">
        <v>12060611</v>
      </c>
      <c r="D831" t="s">
        <v>54</v>
      </c>
      <c r="E831">
        <v>299</v>
      </c>
      <c r="F831" t="s">
        <v>208</v>
      </c>
      <c r="G831" s="47" t="s">
        <v>206</v>
      </c>
      <c r="I831">
        <v>1050.7</v>
      </c>
      <c r="J831" s="69" t="s">
        <v>12</v>
      </c>
      <c r="L831" s="15" t="str">
        <f t="shared" si="13"/>
        <v>112.2160.100</v>
      </c>
    </row>
    <row r="832" spans="1:12" x14ac:dyDescent="0.2">
      <c r="A832">
        <v>18898</v>
      </c>
      <c r="B832" t="s">
        <v>130</v>
      </c>
      <c r="C832">
        <v>12060611</v>
      </c>
      <c r="D832" t="s">
        <v>54</v>
      </c>
      <c r="E832">
        <v>299</v>
      </c>
      <c r="F832" t="s">
        <v>208</v>
      </c>
      <c r="G832" s="47" t="s">
        <v>206</v>
      </c>
      <c r="I832">
        <v>830.91</v>
      </c>
      <c r="J832" s="69" t="s">
        <v>12</v>
      </c>
      <c r="L832" s="15" t="str">
        <f t="shared" si="13"/>
        <v>112.2160.100</v>
      </c>
    </row>
    <row r="833" spans="1:12" x14ac:dyDescent="0.2">
      <c r="A833">
        <v>18823</v>
      </c>
      <c r="B833" t="s">
        <v>53</v>
      </c>
      <c r="C833">
        <v>12060611</v>
      </c>
      <c r="D833" t="s">
        <v>54</v>
      </c>
      <c r="E833">
        <v>299</v>
      </c>
      <c r="F833" t="s">
        <v>208</v>
      </c>
      <c r="G833" s="47" t="s">
        <v>206</v>
      </c>
      <c r="I833">
        <v>2021.69</v>
      </c>
      <c r="J833" s="69" t="s">
        <v>12</v>
      </c>
      <c r="L833" s="15" t="str">
        <f t="shared" si="13"/>
        <v>112.2160.100</v>
      </c>
    </row>
    <row r="834" spans="1:12" x14ac:dyDescent="0.2">
      <c r="A834">
        <v>18791</v>
      </c>
      <c r="B834" t="s">
        <v>132</v>
      </c>
      <c r="C834">
        <v>12060711</v>
      </c>
      <c r="D834" t="s">
        <v>133</v>
      </c>
      <c r="E834">
        <v>299</v>
      </c>
      <c r="F834" t="s">
        <v>208</v>
      </c>
      <c r="G834" s="47" t="s">
        <v>206</v>
      </c>
      <c r="I834">
        <v>54.39</v>
      </c>
      <c r="J834" s="69" t="s">
        <v>12</v>
      </c>
      <c r="L834" s="15" t="str">
        <f t="shared" si="13"/>
        <v>112.2160.100</v>
      </c>
    </row>
    <row r="835" spans="1:12" x14ac:dyDescent="0.2">
      <c r="A835">
        <v>18953</v>
      </c>
      <c r="B835" t="s">
        <v>136</v>
      </c>
      <c r="C835">
        <v>12060800</v>
      </c>
      <c r="D835" t="s">
        <v>135</v>
      </c>
      <c r="E835">
        <v>299</v>
      </c>
      <c r="F835" t="s">
        <v>208</v>
      </c>
      <c r="G835" s="47" t="s">
        <v>206</v>
      </c>
      <c r="I835">
        <v>872.92</v>
      </c>
      <c r="J835" s="69" t="s">
        <v>12</v>
      </c>
      <c r="L835" s="15" t="str">
        <f t="shared" si="13"/>
        <v>112.2160.100</v>
      </c>
    </row>
    <row r="836" spans="1:12" x14ac:dyDescent="0.2">
      <c r="A836">
        <v>18561</v>
      </c>
      <c r="B836" t="s">
        <v>134</v>
      </c>
      <c r="C836">
        <v>12060800</v>
      </c>
      <c r="D836" t="s">
        <v>135</v>
      </c>
      <c r="E836">
        <v>299</v>
      </c>
      <c r="F836" t="s">
        <v>208</v>
      </c>
      <c r="G836" s="47" t="s">
        <v>206</v>
      </c>
      <c r="I836">
        <v>2151.38</v>
      </c>
      <c r="J836" s="69" t="s">
        <v>12</v>
      </c>
      <c r="L836" s="15" t="str">
        <f t="shared" si="13"/>
        <v>112.2160.100</v>
      </c>
    </row>
    <row r="837" spans="1:12" x14ac:dyDescent="0.2">
      <c r="A837">
        <v>18792</v>
      </c>
      <c r="B837" t="s">
        <v>56</v>
      </c>
      <c r="C837">
        <v>12062511</v>
      </c>
      <c r="D837" t="s">
        <v>57</v>
      </c>
      <c r="E837">
        <v>299</v>
      </c>
      <c r="F837" t="s">
        <v>208</v>
      </c>
      <c r="G837" s="47" t="s">
        <v>206</v>
      </c>
      <c r="I837">
        <v>1802.5</v>
      </c>
      <c r="J837" s="69" t="s">
        <v>12</v>
      </c>
      <c r="L837" s="15" t="str">
        <f t="shared" si="13"/>
        <v>112.2160.100</v>
      </c>
    </row>
    <row r="838" spans="1:12" x14ac:dyDescent="0.2">
      <c r="A838">
        <v>18506</v>
      </c>
      <c r="B838" t="s">
        <v>438</v>
      </c>
      <c r="C838">
        <v>12062511</v>
      </c>
      <c r="D838" t="s">
        <v>57</v>
      </c>
      <c r="E838">
        <v>299</v>
      </c>
      <c r="F838" t="s">
        <v>208</v>
      </c>
      <c r="G838" s="47" t="s">
        <v>206</v>
      </c>
      <c r="I838">
        <v>731.88</v>
      </c>
      <c r="J838" s="69" t="s">
        <v>12</v>
      </c>
      <c r="L838" s="15" t="str">
        <f t="shared" si="13"/>
        <v>112.2160.100</v>
      </c>
    </row>
    <row r="839" spans="1:12" x14ac:dyDescent="0.2">
      <c r="A839">
        <v>156</v>
      </c>
      <c r="B839" t="s">
        <v>137</v>
      </c>
      <c r="C839">
        <v>12062511</v>
      </c>
      <c r="D839" t="s">
        <v>57</v>
      </c>
      <c r="E839">
        <v>299</v>
      </c>
      <c r="F839" t="s">
        <v>208</v>
      </c>
      <c r="G839" s="47" t="s">
        <v>206</v>
      </c>
      <c r="I839">
        <v>558.84</v>
      </c>
      <c r="J839" s="69" t="s">
        <v>12</v>
      </c>
      <c r="L839" s="15" t="str">
        <f t="shared" si="13"/>
        <v>112.2160.100</v>
      </c>
    </row>
    <row r="840" spans="1:12" x14ac:dyDescent="0.2">
      <c r="A840">
        <v>19037</v>
      </c>
      <c r="B840" t="s">
        <v>441</v>
      </c>
      <c r="C840">
        <v>12063011</v>
      </c>
      <c r="D840" t="s">
        <v>442</v>
      </c>
      <c r="E840">
        <v>299</v>
      </c>
      <c r="F840" t="s">
        <v>208</v>
      </c>
      <c r="G840" s="47" t="s">
        <v>206</v>
      </c>
      <c r="I840">
        <v>662.18</v>
      </c>
      <c r="J840" s="69" t="s">
        <v>12</v>
      </c>
      <c r="L840" s="15" t="str">
        <f t="shared" si="13"/>
        <v>112.2160.100</v>
      </c>
    </row>
    <row r="841" spans="1:12" x14ac:dyDescent="0.2">
      <c r="A841">
        <v>18876</v>
      </c>
      <c r="B841" t="s">
        <v>160</v>
      </c>
      <c r="C841">
        <v>12068099</v>
      </c>
      <c r="D841" t="s">
        <v>161</v>
      </c>
      <c r="E841">
        <v>299</v>
      </c>
      <c r="F841" t="s">
        <v>208</v>
      </c>
      <c r="G841" s="47" t="s">
        <v>206</v>
      </c>
      <c r="I841">
        <v>2494.9299999999998</v>
      </c>
      <c r="J841" s="69" t="s">
        <v>12</v>
      </c>
      <c r="L841" s="15" t="str">
        <f t="shared" si="13"/>
        <v>112.2160.100</v>
      </c>
    </row>
    <row r="842" spans="1:12" x14ac:dyDescent="0.2">
      <c r="A842">
        <v>18726</v>
      </c>
      <c r="B842" t="s">
        <v>162</v>
      </c>
      <c r="C842">
        <v>12010500</v>
      </c>
      <c r="D842" t="s">
        <v>60</v>
      </c>
      <c r="E842">
        <v>300</v>
      </c>
      <c r="F842" t="s">
        <v>209</v>
      </c>
      <c r="G842" s="47" t="s">
        <v>210</v>
      </c>
      <c r="I842">
        <v>165</v>
      </c>
      <c r="J842" s="69" t="s">
        <v>12</v>
      </c>
      <c r="L842" s="15" t="str">
        <f t="shared" si="13"/>
        <v>112.2160.200</v>
      </c>
    </row>
    <row r="843" spans="1:12" x14ac:dyDescent="0.2">
      <c r="A843">
        <v>18946</v>
      </c>
      <c r="B843" t="s">
        <v>13</v>
      </c>
      <c r="C843">
        <v>12013250</v>
      </c>
      <c r="D843" t="s">
        <v>10</v>
      </c>
      <c r="E843">
        <v>300</v>
      </c>
      <c r="F843" t="s">
        <v>209</v>
      </c>
      <c r="G843" s="47" t="s">
        <v>210</v>
      </c>
      <c r="I843">
        <v>300</v>
      </c>
      <c r="J843" s="69" t="s">
        <v>12</v>
      </c>
      <c r="L843" s="15" t="str">
        <f t="shared" si="13"/>
        <v>112.2160.200</v>
      </c>
    </row>
    <row r="844" spans="1:12" x14ac:dyDescent="0.2">
      <c r="A844">
        <v>220</v>
      </c>
      <c r="B844" t="s">
        <v>14</v>
      </c>
      <c r="C844">
        <v>12013300</v>
      </c>
      <c r="D844" t="s">
        <v>15</v>
      </c>
      <c r="E844">
        <v>300</v>
      </c>
      <c r="F844" t="s">
        <v>209</v>
      </c>
      <c r="G844" s="47" t="s">
        <v>210</v>
      </c>
      <c r="I844">
        <v>75</v>
      </c>
      <c r="J844" s="69" t="s">
        <v>12</v>
      </c>
      <c r="L844" s="15" t="str">
        <f t="shared" si="13"/>
        <v>112.2160.200</v>
      </c>
    </row>
    <row r="845" spans="1:12" x14ac:dyDescent="0.2">
      <c r="A845">
        <v>18968</v>
      </c>
      <c r="B845" t="s">
        <v>164</v>
      </c>
      <c r="C845">
        <v>12019199</v>
      </c>
      <c r="D845" t="s">
        <v>147</v>
      </c>
      <c r="E845">
        <v>300</v>
      </c>
      <c r="F845" t="s">
        <v>209</v>
      </c>
      <c r="G845" s="47" t="s">
        <v>210</v>
      </c>
      <c r="I845">
        <v>400</v>
      </c>
      <c r="J845" s="69" t="s">
        <v>12</v>
      </c>
      <c r="L845" s="15" t="str">
        <f t="shared" si="13"/>
        <v>112.2160.200</v>
      </c>
    </row>
    <row r="846" spans="1:12" x14ac:dyDescent="0.2">
      <c r="A846">
        <v>18550</v>
      </c>
      <c r="B846" t="s">
        <v>165</v>
      </c>
      <c r="C846">
        <v>12019199</v>
      </c>
      <c r="D846" t="s">
        <v>147</v>
      </c>
      <c r="E846">
        <v>300</v>
      </c>
      <c r="F846" t="s">
        <v>209</v>
      </c>
      <c r="G846" s="47" t="s">
        <v>210</v>
      </c>
      <c r="I846">
        <v>780</v>
      </c>
      <c r="J846" s="69" t="s">
        <v>12</v>
      </c>
      <c r="L846" s="15" t="str">
        <f t="shared" si="13"/>
        <v>112.2160.200</v>
      </c>
    </row>
    <row r="847" spans="1:12" x14ac:dyDescent="0.2">
      <c r="A847">
        <v>18957</v>
      </c>
      <c r="B847" t="s">
        <v>74</v>
      </c>
      <c r="C847">
        <v>12020611</v>
      </c>
      <c r="D847" t="s">
        <v>23</v>
      </c>
      <c r="E847">
        <v>300</v>
      </c>
      <c r="F847" t="s">
        <v>209</v>
      </c>
      <c r="G847" s="47" t="s">
        <v>210</v>
      </c>
      <c r="I847">
        <v>860</v>
      </c>
      <c r="J847" s="69" t="s">
        <v>12</v>
      </c>
      <c r="L847" s="15" t="str">
        <f t="shared" si="13"/>
        <v>112.2160.200</v>
      </c>
    </row>
    <row r="848" spans="1:12" x14ac:dyDescent="0.2">
      <c r="A848">
        <v>261</v>
      </c>
      <c r="B848" t="s">
        <v>159</v>
      </c>
      <c r="C848">
        <v>12060611</v>
      </c>
      <c r="D848" t="s">
        <v>54</v>
      </c>
      <c r="E848">
        <v>300</v>
      </c>
      <c r="F848" t="s">
        <v>209</v>
      </c>
      <c r="G848" s="47" t="s">
        <v>210</v>
      </c>
      <c r="I848">
        <v>150</v>
      </c>
      <c r="J848" s="69" t="s">
        <v>12</v>
      </c>
      <c r="L848" s="15" t="str">
        <f t="shared" si="13"/>
        <v>112.2160.200</v>
      </c>
    </row>
    <row r="849" spans="1:12" x14ac:dyDescent="0.2">
      <c r="A849">
        <v>18517</v>
      </c>
      <c r="B849" t="s">
        <v>140</v>
      </c>
      <c r="C849">
        <v>12010500</v>
      </c>
      <c r="D849" t="s">
        <v>60</v>
      </c>
      <c r="E849">
        <v>301</v>
      </c>
      <c r="F849" t="s">
        <v>211</v>
      </c>
      <c r="G849" s="47" t="s">
        <v>210</v>
      </c>
      <c r="I849">
        <v>565.39</v>
      </c>
      <c r="J849" s="69" t="s">
        <v>12</v>
      </c>
      <c r="L849" s="15" t="str">
        <f t="shared" si="13"/>
        <v>112.2160.200</v>
      </c>
    </row>
    <row r="850" spans="1:12" x14ac:dyDescent="0.2">
      <c r="A850">
        <v>18726</v>
      </c>
      <c r="B850" t="s">
        <v>162</v>
      </c>
      <c r="C850">
        <v>12010500</v>
      </c>
      <c r="D850" t="s">
        <v>60</v>
      </c>
      <c r="E850">
        <v>301</v>
      </c>
      <c r="F850" t="s">
        <v>211</v>
      </c>
      <c r="G850" s="47" t="s">
        <v>210</v>
      </c>
      <c r="I850">
        <v>343.27</v>
      </c>
      <c r="J850" s="69" t="s">
        <v>12</v>
      </c>
      <c r="L850" s="15" t="str">
        <f t="shared" si="13"/>
        <v>112.2160.200</v>
      </c>
    </row>
    <row r="851" spans="1:12" x14ac:dyDescent="0.2">
      <c r="A851">
        <v>18647</v>
      </c>
      <c r="B851" t="s">
        <v>167</v>
      </c>
      <c r="C851">
        <v>12010500</v>
      </c>
      <c r="D851" t="s">
        <v>60</v>
      </c>
      <c r="E851">
        <v>301</v>
      </c>
      <c r="F851" t="s">
        <v>211</v>
      </c>
      <c r="G851" s="47" t="s">
        <v>210</v>
      </c>
      <c r="I851">
        <v>437.55</v>
      </c>
      <c r="J851" s="69" t="s">
        <v>12</v>
      </c>
      <c r="L851" s="15" t="str">
        <f t="shared" si="13"/>
        <v>112.2160.200</v>
      </c>
    </row>
    <row r="852" spans="1:12" x14ac:dyDescent="0.2">
      <c r="A852">
        <v>18871</v>
      </c>
      <c r="B852" t="s">
        <v>168</v>
      </c>
      <c r="C852">
        <v>12010500</v>
      </c>
      <c r="D852" t="s">
        <v>60</v>
      </c>
      <c r="E852">
        <v>301</v>
      </c>
      <c r="F852" t="s">
        <v>211</v>
      </c>
      <c r="G852" s="47" t="s">
        <v>210</v>
      </c>
      <c r="I852">
        <v>444.23</v>
      </c>
      <c r="J852" s="69" t="s">
        <v>12</v>
      </c>
      <c r="L852" s="15" t="str">
        <f t="shared" si="13"/>
        <v>112.2160.200</v>
      </c>
    </row>
    <row r="853" spans="1:12" x14ac:dyDescent="0.2">
      <c r="A853">
        <v>152</v>
      </c>
      <c r="B853" t="s">
        <v>169</v>
      </c>
      <c r="C853">
        <v>12010700</v>
      </c>
      <c r="D853" t="s">
        <v>170</v>
      </c>
      <c r="E853">
        <v>301</v>
      </c>
      <c r="F853" t="s">
        <v>211</v>
      </c>
      <c r="G853" s="47" t="s">
        <v>210</v>
      </c>
      <c r="I853">
        <v>403.85</v>
      </c>
      <c r="J853" s="69" t="s">
        <v>12</v>
      </c>
      <c r="L853" s="15" t="str">
        <f t="shared" si="13"/>
        <v>112.2160.200</v>
      </c>
    </row>
    <row r="854" spans="1:12" x14ac:dyDescent="0.2">
      <c r="A854">
        <v>19014</v>
      </c>
      <c r="B854" t="s">
        <v>171</v>
      </c>
      <c r="C854">
        <v>12013012</v>
      </c>
      <c r="D854" t="s">
        <v>71</v>
      </c>
      <c r="E854">
        <v>301</v>
      </c>
      <c r="F854" t="s">
        <v>211</v>
      </c>
      <c r="G854" s="47" t="s">
        <v>210</v>
      </c>
      <c r="I854">
        <v>262.5</v>
      </c>
      <c r="J854" s="69" t="s">
        <v>12</v>
      </c>
      <c r="L854" s="15" t="str">
        <f t="shared" si="13"/>
        <v>112.2160.200</v>
      </c>
    </row>
    <row r="855" spans="1:12" x14ac:dyDescent="0.2">
      <c r="A855">
        <v>18736</v>
      </c>
      <c r="B855" t="s">
        <v>70</v>
      </c>
      <c r="C855">
        <v>12013012</v>
      </c>
      <c r="D855" t="s">
        <v>71</v>
      </c>
      <c r="E855">
        <v>301</v>
      </c>
      <c r="F855" t="s">
        <v>211</v>
      </c>
      <c r="G855" s="47" t="s">
        <v>210</v>
      </c>
      <c r="I855">
        <v>61.46</v>
      </c>
      <c r="J855" s="69" t="s">
        <v>12</v>
      </c>
      <c r="L855" s="15" t="str">
        <f t="shared" si="13"/>
        <v>112.2160.200</v>
      </c>
    </row>
    <row r="856" spans="1:12" x14ac:dyDescent="0.2">
      <c r="A856">
        <v>18946</v>
      </c>
      <c r="B856" t="s">
        <v>13</v>
      </c>
      <c r="C856">
        <v>12013250</v>
      </c>
      <c r="D856" t="s">
        <v>10</v>
      </c>
      <c r="E856">
        <v>301</v>
      </c>
      <c r="F856" t="s">
        <v>211</v>
      </c>
      <c r="G856" s="47" t="s">
        <v>210</v>
      </c>
      <c r="I856">
        <v>253.51</v>
      </c>
      <c r="J856" s="69" t="s">
        <v>12</v>
      </c>
      <c r="L856" s="15" t="str">
        <f t="shared" si="13"/>
        <v>112.2160.200</v>
      </c>
    </row>
    <row r="857" spans="1:12" x14ac:dyDescent="0.2">
      <c r="A857">
        <v>18721</v>
      </c>
      <c r="B857" t="s">
        <v>172</v>
      </c>
      <c r="C857">
        <v>12013250</v>
      </c>
      <c r="D857" t="s">
        <v>10</v>
      </c>
      <c r="E857">
        <v>301</v>
      </c>
      <c r="F857" t="s">
        <v>211</v>
      </c>
      <c r="G857" s="47" t="s">
        <v>210</v>
      </c>
      <c r="I857">
        <v>294.81</v>
      </c>
      <c r="J857" s="69" t="s">
        <v>12</v>
      </c>
      <c r="L857" s="15" t="str">
        <f t="shared" si="13"/>
        <v>112.2160.200</v>
      </c>
    </row>
    <row r="858" spans="1:12" x14ac:dyDescent="0.2">
      <c r="A858">
        <v>18920</v>
      </c>
      <c r="B858" t="s">
        <v>9</v>
      </c>
      <c r="C858">
        <v>12013250</v>
      </c>
      <c r="D858" t="s">
        <v>10</v>
      </c>
      <c r="E858">
        <v>301</v>
      </c>
      <c r="F858" t="s">
        <v>211</v>
      </c>
      <c r="G858" s="47" t="s">
        <v>210</v>
      </c>
      <c r="I858">
        <v>500.77</v>
      </c>
      <c r="J858" s="69" t="s">
        <v>12</v>
      </c>
      <c r="L858" s="15" t="str">
        <f t="shared" si="13"/>
        <v>112.2160.200</v>
      </c>
    </row>
    <row r="859" spans="1:12" x14ac:dyDescent="0.2">
      <c r="A859">
        <v>18988</v>
      </c>
      <c r="B859" t="s">
        <v>175</v>
      </c>
      <c r="C859">
        <v>12013250</v>
      </c>
      <c r="D859" t="s">
        <v>10</v>
      </c>
      <c r="E859">
        <v>301</v>
      </c>
      <c r="F859" t="s">
        <v>211</v>
      </c>
      <c r="G859" s="47" t="s">
        <v>210</v>
      </c>
      <c r="I859">
        <v>282.69</v>
      </c>
      <c r="J859" s="69" t="s">
        <v>12</v>
      </c>
      <c r="L859" s="15" t="str">
        <f t="shared" si="13"/>
        <v>112.2160.200</v>
      </c>
    </row>
    <row r="860" spans="1:12" x14ac:dyDescent="0.2">
      <c r="A860">
        <v>18987</v>
      </c>
      <c r="B860" t="s">
        <v>173</v>
      </c>
      <c r="C860">
        <v>12013250</v>
      </c>
      <c r="D860" t="s">
        <v>10</v>
      </c>
      <c r="E860">
        <v>301</v>
      </c>
      <c r="F860" t="s">
        <v>211</v>
      </c>
      <c r="G860" s="47" t="s">
        <v>210</v>
      </c>
      <c r="I860">
        <v>323.08</v>
      </c>
      <c r="J860" s="69" t="s">
        <v>12</v>
      </c>
      <c r="L860" s="15" t="str">
        <f t="shared" si="13"/>
        <v>112.2160.200</v>
      </c>
    </row>
    <row r="861" spans="1:12" x14ac:dyDescent="0.2">
      <c r="A861">
        <v>18995</v>
      </c>
      <c r="B861" t="s">
        <v>174</v>
      </c>
      <c r="C861">
        <v>12013250</v>
      </c>
      <c r="D861" t="s">
        <v>10</v>
      </c>
      <c r="E861">
        <v>301</v>
      </c>
      <c r="F861" t="s">
        <v>211</v>
      </c>
      <c r="G861" s="47" t="s">
        <v>210</v>
      </c>
      <c r="I861">
        <v>242.31</v>
      </c>
      <c r="J861" s="69" t="s">
        <v>12</v>
      </c>
      <c r="L861" s="15" t="str">
        <f t="shared" si="13"/>
        <v>112.2160.200</v>
      </c>
    </row>
    <row r="862" spans="1:12" x14ac:dyDescent="0.2">
      <c r="A862">
        <v>18997</v>
      </c>
      <c r="B862" t="s">
        <v>141</v>
      </c>
      <c r="C862">
        <v>12013250</v>
      </c>
      <c r="D862" t="s">
        <v>10</v>
      </c>
      <c r="E862">
        <v>301</v>
      </c>
      <c r="F862" t="s">
        <v>211</v>
      </c>
      <c r="G862" s="47" t="s">
        <v>210</v>
      </c>
      <c r="I862">
        <v>88.85</v>
      </c>
      <c r="J862" s="69" t="s">
        <v>12</v>
      </c>
      <c r="L862" s="15" t="str">
        <f t="shared" si="13"/>
        <v>112.2160.200</v>
      </c>
    </row>
    <row r="863" spans="1:12" x14ac:dyDescent="0.2">
      <c r="A863">
        <v>220</v>
      </c>
      <c r="B863" t="s">
        <v>14</v>
      </c>
      <c r="C863">
        <v>12013300</v>
      </c>
      <c r="D863" t="s">
        <v>15</v>
      </c>
      <c r="E863">
        <v>301</v>
      </c>
      <c r="F863" t="s">
        <v>211</v>
      </c>
      <c r="G863" s="47" t="s">
        <v>210</v>
      </c>
      <c r="I863">
        <v>337.9</v>
      </c>
      <c r="J863" s="69" t="s">
        <v>12</v>
      </c>
      <c r="L863" s="15" t="str">
        <f t="shared" si="13"/>
        <v>112.2160.200</v>
      </c>
    </row>
    <row r="864" spans="1:12" x14ac:dyDescent="0.2">
      <c r="A864">
        <v>18948</v>
      </c>
      <c r="B864" t="s">
        <v>142</v>
      </c>
      <c r="C864">
        <v>12018099</v>
      </c>
      <c r="D864" t="s">
        <v>17</v>
      </c>
      <c r="E864">
        <v>301</v>
      </c>
      <c r="F864" t="s">
        <v>211</v>
      </c>
      <c r="G864" s="47" t="s">
        <v>210</v>
      </c>
      <c r="I864">
        <v>274.62</v>
      </c>
      <c r="J864" s="69" t="s">
        <v>12</v>
      </c>
      <c r="L864" s="15" t="str">
        <f t="shared" si="13"/>
        <v>112.2160.200</v>
      </c>
    </row>
    <row r="865" spans="1:12" x14ac:dyDescent="0.2">
      <c r="A865">
        <v>18716</v>
      </c>
      <c r="B865" t="s">
        <v>16</v>
      </c>
      <c r="C865">
        <v>12018099</v>
      </c>
      <c r="D865" t="s">
        <v>17</v>
      </c>
      <c r="E865">
        <v>301</v>
      </c>
      <c r="F865" t="s">
        <v>211</v>
      </c>
      <c r="G865" s="47" t="s">
        <v>210</v>
      </c>
      <c r="I865">
        <v>565.39</v>
      </c>
      <c r="J865" s="69" t="s">
        <v>12</v>
      </c>
      <c r="L865" s="15" t="str">
        <f t="shared" si="13"/>
        <v>112.2160.200</v>
      </c>
    </row>
    <row r="866" spans="1:12" x14ac:dyDescent="0.2">
      <c r="A866">
        <v>18969</v>
      </c>
      <c r="B866" t="s">
        <v>143</v>
      </c>
      <c r="C866">
        <v>12018599</v>
      </c>
      <c r="D866" t="s">
        <v>144</v>
      </c>
      <c r="E866">
        <v>301</v>
      </c>
      <c r="F866" t="s">
        <v>211</v>
      </c>
      <c r="G866" s="47" t="s">
        <v>210</v>
      </c>
      <c r="I866">
        <v>565.38</v>
      </c>
      <c r="J866" s="69" t="s">
        <v>12</v>
      </c>
      <c r="L866" s="15" t="str">
        <f t="shared" si="13"/>
        <v>112.2160.200</v>
      </c>
    </row>
    <row r="867" spans="1:12" x14ac:dyDescent="0.2">
      <c r="A867">
        <v>18862</v>
      </c>
      <c r="B867" t="s">
        <v>145</v>
      </c>
      <c r="C867">
        <v>12018599</v>
      </c>
      <c r="D867" t="s">
        <v>144</v>
      </c>
      <c r="E867">
        <v>301</v>
      </c>
      <c r="F867" t="s">
        <v>211</v>
      </c>
      <c r="G867" s="47" t="s">
        <v>210</v>
      </c>
      <c r="I867">
        <v>274.62</v>
      </c>
      <c r="J867" s="69" t="s">
        <v>12</v>
      </c>
      <c r="L867" s="15" t="str">
        <f t="shared" si="13"/>
        <v>112.2160.200</v>
      </c>
    </row>
    <row r="868" spans="1:12" x14ac:dyDescent="0.2">
      <c r="A868">
        <v>18886</v>
      </c>
      <c r="B868" t="s">
        <v>18</v>
      </c>
      <c r="C868">
        <v>12019099</v>
      </c>
      <c r="D868" t="s">
        <v>19</v>
      </c>
      <c r="E868">
        <v>301</v>
      </c>
      <c r="F868" t="s">
        <v>211</v>
      </c>
      <c r="G868" s="47" t="s">
        <v>210</v>
      </c>
      <c r="I868">
        <v>857.42</v>
      </c>
      <c r="J868" s="69" t="s">
        <v>12</v>
      </c>
      <c r="L868" s="15" t="str">
        <f t="shared" si="13"/>
        <v>112.2160.200</v>
      </c>
    </row>
    <row r="869" spans="1:12" x14ac:dyDescent="0.2">
      <c r="A869">
        <v>18853</v>
      </c>
      <c r="B869" t="s">
        <v>146</v>
      </c>
      <c r="C869">
        <v>12019199</v>
      </c>
      <c r="D869" t="s">
        <v>147</v>
      </c>
      <c r="E869">
        <v>301</v>
      </c>
      <c r="F869" t="s">
        <v>211</v>
      </c>
      <c r="G869" s="47" t="s">
        <v>210</v>
      </c>
      <c r="I869">
        <v>637.4</v>
      </c>
      <c r="J869" s="69" t="s">
        <v>12</v>
      </c>
      <c r="L869" s="15" t="str">
        <f t="shared" si="13"/>
        <v>112.2160.200</v>
      </c>
    </row>
    <row r="870" spans="1:12" x14ac:dyDescent="0.2">
      <c r="A870">
        <v>18550</v>
      </c>
      <c r="B870" t="s">
        <v>165</v>
      </c>
      <c r="C870">
        <v>12019199</v>
      </c>
      <c r="D870" t="s">
        <v>147</v>
      </c>
      <c r="E870">
        <v>301</v>
      </c>
      <c r="F870" t="s">
        <v>211</v>
      </c>
      <c r="G870" s="47" t="s">
        <v>210</v>
      </c>
      <c r="I870">
        <v>272.56</v>
      </c>
      <c r="J870" s="69" t="s">
        <v>12</v>
      </c>
      <c r="L870" s="15" t="str">
        <f t="shared" si="13"/>
        <v>112.2160.200</v>
      </c>
    </row>
    <row r="871" spans="1:12" x14ac:dyDescent="0.2">
      <c r="A871">
        <v>18968</v>
      </c>
      <c r="B871" t="s">
        <v>164</v>
      </c>
      <c r="C871">
        <v>12019199</v>
      </c>
      <c r="D871" t="s">
        <v>147</v>
      </c>
      <c r="E871">
        <v>301</v>
      </c>
      <c r="F871" t="s">
        <v>211</v>
      </c>
      <c r="G871" s="47" t="s">
        <v>210</v>
      </c>
      <c r="I871">
        <v>282.69</v>
      </c>
      <c r="J871" s="69" t="s">
        <v>12</v>
      </c>
      <c r="L871" s="15" t="str">
        <f t="shared" si="13"/>
        <v>112.2160.200</v>
      </c>
    </row>
    <row r="872" spans="1:12" x14ac:dyDescent="0.2">
      <c r="A872">
        <v>18741</v>
      </c>
      <c r="B872" t="s">
        <v>179</v>
      </c>
      <c r="C872">
        <v>12019199</v>
      </c>
      <c r="D872" t="s">
        <v>147</v>
      </c>
      <c r="E872">
        <v>301</v>
      </c>
      <c r="F872" t="s">
        <v>211</v>
      </c>
      <c r="G872" s="47" t="s">
        <v>210</v>
      </c>
      <c r="I872">
        <v>343.27</v>
      </c>
      <c r="J872" s="69" t="s">
        <v>12</v>
      </c>
      <c r="L872" s="15" t="str">
        <f t="shared" si="13"/>
        <v>112.2160.200</v>
      </c>
    </row>
    <row r="873" spans="1:12" x14ac:dyDescent="0.2">
      <c r="A873">
        <v>19025</v>
      </c>
      <c r="B873" t="s">
        <v>180</v>
      </c>
      <c r="C873">
        <v>12019199</v>
      </c>
      <c r="D873" t="s">
        <v>147</v>
      </c>
      <c r="E873">
        <v>301</v>
      </c>
      <c r="F873" t="s">
        <v>211</v>
      </c>
      <c r="G873" s="47" t="s">
        <v>210</v>
      </c>
      <c r="I873">
        <v>262.5</v>
      </c>
      <c r="J873" s="69" t="s">
        <v>12</v>
      </c>
      <c r="L873" s="15" t="str">
        <f t="shared" si="13"/>
        <v>112.2160.200</v>
      </c>
    </row>
    <row r="874" spans="1:12" x14ac:dyDescent="0.2">
      <c r="A874">
        <v>19003</v>
      </c>
      <c r="B874" t="s">
        <v>388</v>
      </c>
      <c r="C874">
        <v>12019199</v>
      </c>
      <c r="D874" t="s">
        <v>147</v>
      </c>
      <c r="E874">
        <v>301</v>
      </c>
      <c r="F874" t="s">
        <v>211</v>
      </c>
      <c r="G874" s="47" t="s">
        <v>210</v>
      </c>
      <c r="I874">
        <v>327.12</v>
      </c>
      <c r="J874" s="69" t="s">
        <v>12</v>
      </c>
      <c r="L874" s="15" t="str">
        <f t="shared" si="13"/>
        <v>112.2160.200</v>
      </c>
    </row>
    <row r="875" spans="1:12" x14ac:dyDescent="0.2">
      <c r="A875">
        <v>19022</v>
      </c>
      <c r="B875" t="s">
        <v>113</v>
      </c>
      <c r="C875">
        <v>12019199</v>
      </c>
      <c r="D875" t="s">
        <v>147</v>
      </c>
      <c r="E875">
        <v>301</v>
      </c>
      <c r="F875" t="s">
        <v>211</v>
      </c>
      <c r="G875" s="47" t="s">
        <v>210</v>
      </c>
      <c r="I875">
        <v>234.23</v>
      </c>
      <c r="J875" s="69" t="s">
        <v>12</v>
      </c>
      <c r="L875" s="15" t="str">
        <f t="shared" si="13"/>
        <v>112.2160.200</v>
      </c>
    </row>
    <row r="876" spans="1:12" x14ac:dyDescent="0.2">
      <c r="A876">
        <v>18619</v>
      </c>
      <c r="B876" t="s">
        <v>20</v>
      </c>
      <c r="C876">
        <v>12020400</v>
      </c>
      <c r="D876" t="s">
        <v>21</v>
      </c>
      <c r="E876">
        <v>301</v>
      </c>
      <c r="F876" t="s">
        <v>211</v>
      </c>
      <c r="G876" s="47" t="s">
        <v>210</v>
      </c>
      <c r="I876">
        <v>266.14</v>
      </c>
      <c r="J876" s="69" t="s">
        <v>12</v>
      </c>
      <c r="L876" s="15" t="str">
        <f t="shared" si="13"/>
        <v>112.2160.200</v>
      </c>
    </row>
    <row r="877" spans="1:12" x14ac:dyDescent="0.2">
      <c r="A877">
        <v>18836</v>
      </c>
      <c r="B877" t="s">
        <v>182</v>
      </c>
      <c r="C877">
        <v>12020400</v>
      </c>
      <c r="D877" t="s">
        <v>21</v>
      </c>
      <c r="E877">
        <v>301</v>
      </c>
      <c r="F877" t="s">
        <v>211</v>
      </c>
      <c r="G877" s="47" t="s">
        <v>210</v>
      </c>
      <c r="I877">
        <v>269.19</v>
      </c>
      <c r="J877" s="69" t="s">
        <v>12</v>
      </c>
      <c r="L877" s="15" t="str">
        <f t="shared" si="13"/>
        <v>112.2160.200</v>
      </c>
    </row>
    <row r="878" spans="1:12" x14ac:dyDescent="0.2">
      <c r="A878">
        <v>19040</v>
      </c>
      <c r="B878" t="s">
        <v>453</v>
      </c>
      <c r="C878">
        <v>12020500</v>
      </c>
      <c r="D878" t="s">
        <v>454</v>
      </c>
      <c r="E878">
        <v>301</v>
      </c>
      <c r="F878" t="s">
        <v>211</v>
      </c>
      <c r="G878" s="47" t="s">
        <v>210</v>
      </c>
      <c r="I878">
        <v>131.78</v>
      </c>
      <c r="J878" s="69" t="s">
        <v>12</v>
      </c>
      <c r="L878" s="15" t="str">
        <f t="shared" si="13"/>
        <v>112.2160.200</v>
      </c>
    </row>
    <row r="879" spans="1:12" x14ac:dyDescent="0.2">
      <c r="A879">
        <v>18893</v>
      </c>
      <c r="B879" t="s">
        <v>444</v>
      </c>
      <c r="C879">
        <v>12020500</v>
      </c>
      <c r="D879" t="s">
        <v>454</v>
      </c>
      <c r="E879">
        <v>301</v>
      </c>
      <c r="F879" t="s">
        <v>211</v>
      </c>
      <c r="G879" s="47" t="s">
        <v>210</v>
      </c>
      <c r="I879">
        <v>394.78</v>
      </c>
      <c r="J879" s="69" t="s">
        <v>12</v>
      </c>
      <c r="L879" s="15" t="str">
        <f t="shared" si="13"/>
        <v>112.2160.200</v>
      </c>
    </row>
    <row r="880" spans="1:12" x14ac:dyDescent="0.2">
      <c r="A880">
        <v>18589</v>
      </c>
      <c r="B880" t="s">
        <v>75</v>
      </c>
      <c r="C880">
        <v>12020611</v>
      </c>
      <c r="D880" t="s">
        <v>23</v>
      </c>
      <c r="E880">
        <v>301</v>
      </c>
      <c r="F880" t="s">
        <v>211</v>
      </c>
      <c r="G880" s="47" t="s">
        <v>210</v>
      </c>
      <c r="I880">
        <v>259.29000000000002</v>
      </c>
      <c r="J880" s="69" t="s">
        <v>12</v>
      </c>
      <c r="L880" s="15" t="str">
        <f t="shared" si="13"/>
        <v>112.2160.200</v>
      </c>
    </row>
    <row r="881" spans="1:12" x14ac:dyDescent="0.2">
      <c r="A881">
        <v>18831</v>
      </c>
      <c r="B881" t="s">
        <v>22</v>
      </c>
      <c r="C881">
        <v>12020611</v>
      </c>
      <c r="D881" t="s">
        <v>23</v>
      </c>
      <c r="E881">
        <v>301</v>
      </c>
      <c r="F881" t="s">
        <v>211</v>
      </c>
      <c r="G881" s="47" t="s">
        <v>210</v>
      </c>
      <c r="I881">
        <v>178.72</v>
      </c>
      <c r="J881" s="69" t="s">
        <v>12</v>
      </c>
      <c r="L881" s="15" t="str">
        <f t="shared" si="13"/>
        <v>112.2160.200</v>
      </c>
    </row>
    <row r="882" spans="1:12" x14ac:dyDescent="0.2">
      <c r="A882">
        <v>18957</v>
      </c>
      <c r="B882" t="s">
        <v>74</v>
      </c>
      <c r="C882">
        <v>12020611</v>
      </c>
      <c r="D882" t="s">
        <v>23</v>
      </c>
      <c r="E882">
        <v>301</v>
      </c>
      <c r="F882" t="s">
        <v>211</v>
      </c>
      <c r="G882" s="47" t="s">
        <v>210</v>
      </c>
      <c r="I882">
        <v>272.01</v>
      </c>
      <c r="J882" s="69" t="s">
        <v>12</v>
      </c>
      <c r="L882" s="15" t="str">
        <f t="shared" si="13"/>
        <v>112.2160.200</v>
      </c>
    </row>
    <row r="883" spans="1:12" x14ac:dyDescent="0.2">
      <c r="A883">
        <v>18866</v>
      </c>
      <c r="B883" t="s">
        <v>76</v>
      </c>
      <c r="C883">
        <v>12020611</v>
      </c>
      <c r="D883" t="s">
        <v>23</v>
      </c>
      <c r="E883">
        <v>301</v>
      </c>
      <c r="F883" t="s">
        <v>211</v>
      </c>
      <c r="G883" s="47" t="s">
        <v>210</v>
      </c>
      <c r="I883">
        <v>263.82</v>
      </c>
      <c r="J883" s="69" t="s">
        <v>12</v>
      </c>
      <c r="L883" s="15" t="str">
        <f t="shared" si="13"/>
        <v>112.2160.200</v>
      </c>
    </row>
    <row r="884" spans="1:12" x14ac:dyDescent="0.2">
      <c r="A884">
        <v>18903</v>
      </c>
      <c r="B884" t="s">
        <v>73</v>
      </c>
      <c r="C884">
        <v>12020611</v>
      </c>
      <c r="D884" t="s">
        <v>23</v>
      </c>
      <c r="E884">
        <v>301</v>
      </c>
      <c r="F884" t="s">
        <v>211</v>
      </c>
      <c r="G884" s="47" t="s">
        <v>210</v>
      </c>
      <c r="I884">
        <v>261.17</v>
      </c>
      <c r="J884" s="69" t="s">
        <v>12</v>
      </c>
      <c r="L884" s="15" t="str">
        <f t="shared" si="13"/>
        <v>112.2160.200</v>
      </c>
    </row>
    <row r="885" spans="1:12" x14ac:dyDescent="0.2">
      <c r="A885">
        <v>18893</v>
      </c>
      <c r="B885" t="s">
        <v>444</v>
      </c>
      <c r="C885">
        <v>12020611</v>
      </c>
      <c r="D885" t="s">
        <v>23</v>
      </c>
      <c r="E885">
        <v>301</v>
      </c>
      <c r="F885" t="s">
        <v>211</v>
      </c>
      <c r="G885" s="47" t="s">
        <v>210</v>
      </c>
      <c r="I885">
        <v>197.36</v>
      </c>
      <c r="J885" s="69" t="s">
        <v>12</v>
      </c>
      <c r="L885" s="15" t="str">
        <f t="shared" si="13"/>
        <v>112.2160.200</v>
      </c>
    </row>
    <row r="886" spans="1:12" x14ac:dyDescent="0.2">
      <c r="A886">
        <v>18891</v>
      </c>
      <c r="B886" t="s">
        <v>77</v>
      </c>
      <c r="C886">
        <v>12020611</v>
      </c>
      <c r="D886" t="s">
        <v>23</v>
      </c>
      <c r="E886">
        <v>301</v>
      </c>
      <c r="F886" t="s">
        <v>211</v>
      </c>
      <c r="G886" s="47" t="s">
        <v>210</v>
      </c>
      <c r="I886">
        <v>193.59</v>
      </c>
      <c r="J886" s="69" t="s">
        <v>12</v>
      </c>
      <c r="L886" s="15" t="str">
        <f t="shared" si="13"/>
        <v>112.2160.200</v>
      </c>
    </row>
    <row r="887" spans="1:12" x14ac:dyDescent="0.2">
      <c r="A887">
        <v>18954</v>
      </c>
      <c r="B887" t="s">
        <v>183</v>
      </c>
      <c r="C887">
        <v>12020711</v>
      </c>
      <c r="D887" t="s">
        <v>25</v>
      </c>
      <c r="E887">
        <v>301</v>
      </c>
      <c r="F887" t="s">
        <v>211</v>
      </c>
      <c r="G887" s="47" t="s">
        <v>210</v>
      </c>
      <c r="I887">
        <v>323.08</v>
      </c>
      <c r="J887" s="69" t="s">
        <v>12</v>
      </c>
      <c r="L887" s="15" t="str">
        <f t="shared" ref="L887:L950" si="14">G887</f>
        <v>112.2160.200</v>
      </c>
    </row>
    <row r="888" spans="1:12" x14ac:dyDescent="0.2">
      <c r="A888">
        <v>18631</v>
      </c>
      <c r="B888" t="s">
        <v>80</v>
      </c>
      <c r="C888">
        <v>12020711</v>
      </c>
      <c r="D888" t="s">
        <v>25</v>
      </c>
      <c r="E888">
        <v>301</v>
      </c>
      <c r="F888" t="s">
        <v>211</v>
      </c>
      <c r="G888" s="47" t="s">
        <v>210</v>
      </c>
      <c r="I888">
        <v>149.85</v>
      </c>
      <c r="J888" s="69" t="s">
        <v>12</v>
      </c>
      <c r="L888" s="15" t="str">
        <f t="shared" si="14"/>
        <v>112.2160.200</v>
      </c>
    </row>
    <row r="889" spans="1:12" x14ac:dyDescent="0.2">
      <c r="A889">
        <v>18879</v>
      </c>
      <c r="B889" t="s">
        <v>79</v>
      </c>
      <c r="C889">
        <v>12020711</v>
      </c>
      <c r="D889" t="s">
        <v>25</v>
      </c>
      <c r="E889">
        <v>301</v>
      </c>
      <c r="F889" t="s">
        <v>211</v>
      </c>
      <c r="G889" s="47" t="s">
        <v>210</v>
      </c>
      <c r="I889">
        <v>235.93</v>
      </c>
      <c r="J889" s="69" t="s">
        <v>12</v>
      </c>
      <c r="L889" s="15" t="str">
        <f t="shared" si="14"/>
        <v>112.2160.200</v>
      </c>
    </row>
    <row r="890" spans="1:12" x14ac:dyDescent="0.2">
      <c r="A890">
        <v>18</v>
      </c>
      <c r="B890" t="s">
        <v>24</v>
      </c>
      <c r="C890">
        <v>12020711</v>
      </c>
      <c r="D890" t="s">
        <v>25</v>
      </c>
      <c r="E890">
        <v>301</v>
      </c>
      <c r="F890" t="s">
        <v>211</v>
      </c>
      <c r="G890" s="47" t="s">
        <v>210</v>
      </c>
      <c r="I890">
        <v>113.93</v>
      </c>
      <c r="J890" s="69" t="s">
        <v>12</v>
      </c>
      <c r="L890" s="15" t="str">
        <f t="shared" si="14"/>
        <v>112.2160.200</v>
      </c>
    </row>
    <row r="891" spans="1:12" x14ac:dyDescent="0.2">
      <c r="A891">
        <v>19013</v>
      </c>
      <c r="B891" t="s">
        <v>81</v>
      </c>
      <c r="C891">
        <v>12020800</v>
      </c>
      <c r="D891" t="s">
        <v>27</v>
      </c>
      <c r="E891">
        <v>301</v>
      </c>
      <c r="F891" t="s">
        <v>211</v>
      </c>
      <c r="G891" s="47" t="s">
        <v>210</v>
      </c>
      <c r="I891">
        <v>304.33999999999997</v>
      </c>
      <c r="J891" s="69" t="s">
        <v>12</v>
      </c>
      <c r="L891" s="15" t="str">
        <f t="shared" si="14"/>
        <v>112.2160.200</v>
      </c>
    </row>
    <row r="892" spans="1:12" x14ac:dyDescent="0.2">
      <c r="A892">
        <v>18630</v>
      </c>
      <c r="B892" t="s">
        <v>204</v>
      </c>
      <c r="C892">
        <v>12020800</v>
      </c>
      <c r="D892" t="s">
        <v>27</v>
      </c>
      <c r="E892">
        <v>301</v>
      </c>
      <c r="F892" t="s">
        <v>211</v>
      </c>
      <c r="G892" s="47" t="s">
        <v>210</v>
      </c>
      <c r="I892">
        <v>207.81</v>
      </c>
      <c r="J892" s="69" t="s">
        <v>12</v>
      </c>
      <c r="L892" s="15" t="str">
        <f t="shared" si="14"/>
        <v>112.2160.200</v>
      </c>
    </row>
    <row r="893" spans="1:12" x14ac:dyDescent="0.2">
      <c r="A893">
        <v>18733</v>
      </c>
      <c r="B893" t="s">
        <v>86</v>
      </c>
      <c r="C893">
        <v>12021021</v>
      </c>
      <c r="D893" t="s">
        <v>29</v>
      </c>
      <c r="E893">
        <v>301</v>
      </c>
      <c r="F893" t="s">
        <v>211</v>
      </c>
      <c r="G893" s="47" t="s">
        <v>210</v>
      </c>
      <c r="I893">
        <v>235.71</v>
      </c>
      <c r="J893" s="69" t="s">
        <v>12</v>
      </c>
      <c r="L893" s="15" t="str">
        <f t="shared" si="14"/>
        <v>112.2160.200</v>
      </c>
    </row>
    <row r="894" spans="1:12" x14ac:dyDescent="0.2">
      <c r="A894">
        <v>18967</v>
      </c>
      <c r="B894" t="s">
        <v>85</v>
      </c>
      <c r="C894">
        <v>12021021</v>
      </c>
      <c r="D894" t="s">
        <v>29</v>
      </c>
      <c r="E894">
        <v>301</v>
      </c>
      <c r="F894" t="s">
        <v>211</v>
      </c>
      <c r="G894" s="47" t="s">
        <v>210</v>
      </c>
      <c r="I894">
        <v>272.01</v>
      </c>
      <c r="J894" s="69" t="s">
        <v>12</v>
      </c>
      <c r="L894" s="15" t="str">
        <f t="shared" si="14"/>
        <v>112.2160.200</v>
      </c>
    </row>
    <row r="895" spans="1:12" x14ac:dyDescent="0.2">
      <c r="A895">
        <v>18559</v>
      </c>
      <c r="B895" t="s">
        <v>87</v>
      </c>
      <c r="C895">
        <v>12021021</v>
      </c>
      <c r="D895" t="s">
        <v>29</v>
      </c>
      <c r="E895">
        <v>301</v>
      </c>
      <c r="F895" t="s">
        <v>211</v>
      </c>
      <c r="G895" s="47" t="s">
        <v>210</v>
      </c>
      <c r="I895">
        <v>848.08</v>
      </c>
      <c r="J895" s="69" t="s">
        <v>12</v>
      </c>
      <c r="L895" s="15" t="str">
        <f t="shared" si="14"/>
        <v>112.2160.200</v>
      </c>
    </row>
    <row r="896" spans="1:12" x14ac:dyDescent="0.2">
      <c r="A896">
        <v>18960</v>
      </c>
      <c r="B896" t="s">
        <v>84</v>
      </c>
      <c r="C896">
        <v>12021021</v>
      </c>
      <c r="D896" t="s">
        <v>29</v>
      </c>
      <c r="E896">
        <v>301</v>
      </c>
      <c r="F896" t="s">
        <v>211</v>
      </c>
      <c r="G896" s="47" t="s">
        <v>210</v>
      </c>
      <c r="I896">
        <v>99.27</v>
      </c>
      <c r="J896" s="69" t="s">
        <v>12</v>
      </c>
      <c r="L896" s="15" t="str">
        <f t="shared" si="14"/>
        <v>112.2160.200</v>
      </c>
    </row>
    <row r="897" spans="1:12" x14ac:dyDescent="0.2">
      <c r="A897">
        <v>18894</v>
      </c>
      <c r="B897" t="s">
        <v>89</v>
      </c>
      <c r="C897">
        <v>12021021</v>
      </c>
      <c r="D897" t="s">
        <v>29</v>
      </c>
      <c r="E897">
        <v>301</v>
      </c>
      <c r="F897" t="s">
        <v>211</v>
      </c>
      <c r="G897" s="47" t="s">
        <v>210</v>
      </c>
      <c r="I897">
        <v>141.55000000000001</v>
      </c>
      <c r="J897" s="69" t="s">
        <v>12</v>
      </c>
      <c r="L897" s="15" t="str">
        <f t="shared" si="14"/>
        <v>112.2160.200</v>
      </c>
    </row>
    <row r="898" spans="1:12" x14ac:dyDescent="0.2">
      <c r="A898">
        <v>18892</v>
      </c>
      <c r="B898" t="s">
        <v>184</v>
      </c>
      <c r="C898">
        <v>12021021</v>
      </c>
      <c r="D898" t="s">
        <v>29</v>
      </c>
      <c r="E898">
        <v>301</v>
      </c>
      <c r="F898" t="s">
        <v>211</v>
      </c>
      <c r="G898" s="47" t="s">
        <v>210</v>
      </c>
      <c r="I898">
        <v>204.44</v>
      </c>
      <c r="J898" s="69" t="s">
        <v>12</v>
      </c>
      <c r="L898" s="15" t="str">
        <f t="shared" si="14"/>
        <v>112.2160.200</v>
      </c>
    </row>
    <row r="899" spans="1:12" x14ac:dyDescent="0.2">
      <c r="A899">
        <v>19033</v>
      </c>
      <c r="B899" t="s">
        <v>389</v>
      </c>
      <c r="C899">
        <v>12021021</v>
      </c>
      <c r="D899" t="s">
        <v>29</v>
      </c>
      <c r="E899">
        <v>301</v>
      </c>
      <c r="F899" t="s">
        <v>211</v>
      </c>
      <c r="G899" s="47" t="s">
        <v>210</v>
      </c>
      <c r="I899">
        <v>191.08</v>
      </c>
      <c r="J899" s="69" t="s">
        <v>12</v>
      </c>
      <c r="L899" s="15" t="str">
        <f t="shared" si="14"/>
        <v>112.2160.200</v>
      </c>
    </row>
    <row r="900" spans="1:12" x14ac:dyDescent="0.2">
      <c r="A900">
        <v>18781</v>
      </c>
      <c r="B900" t="s">
        <v>82</v>
      </c>
      <c r="C900">
        <v>12021021</v>
      </c>
      <c r="D900" t="s">
        <v>29</v>
      </c>
      <c r="E900">
        <v>301</v>
      </c>
      <c r="F900" t="s">
        <v>211</v>
      </c>
      <c r="G900" s="47" t="s">
        <v>210</v>
      </c>
      <c r="I900">
        <v>544.01</v>
      </c>
      <c r="J900" s="69" t="s">
        <v>12</v>
      </c>
      <c r="L900" s="15" t="str">
        <f t="shared" si="14"/>
        <v>112.2160.200</v>
      </c>
    </row>
    <row r="901" spans="1:12" x14ac:dyDescent="0.2">
      <c r="A901">
        <v>18687</v>
      </c>
      <c r="B901" t="s">
        <v>83</v>
      </c>
      <c r="C901">
        <v>12021021</v>
      </c>
      <c r="D901" t="s">
        <v>29</v>
      </c>
      <c r="E901">
        <v>301</v>
      </c>
      <c r="F901" t="s">
        <v>211</v>
      </c>
      <c r="G901" s="47" t="s">
        <v>210</v>
      </c>
      <c r="I901">
        <v>480.87</v>
      </c>
      <c r="J901" s="69" t="s">
        <v>12</v>
      </c>
      <c r="L901" s="15" t="str">
        <f t="shared" si="14"/>
        <v>112.2160.200</v>
      </c>
    </row>
    <row r="902" spans="1:12" x14ac:dyDescent="0.2">
      <c r="A902">
        <v>18659</v>
      </c>
      <c r="B902" t="s">
        <v>88</v>
      </c>
      <c r="C902">
        <v>12021021</v>
      </c>
      <c r="D902" t="s">
        <v>29</v>
      </c>
      <c r="E902">
        <v>301</v>
      </c>
      <c r="F902" t="s">
        <v>211</v>
      </c>
      <c r="G902" s="47" t="s">
        <v>210</v>
      </c>
      <c r="I902">
        <v>250.17</v>
      </c>
      <c r="J902" s="69" t="s">
        <v>12</v>
      </c>
      <c r="L902" s="15" t="str">
        <f t="shared" si="14"/>
        <v>112.2160.200</v>
      </c>
    </row>
    <row r="903" spans="1:12" x14ac:dyDescent="0.2">
      <c r="A903">
        <v>18911</v>
      </c>
      <c r="B903" t="s">
        <v>28</v>
      </c>
      <c r="C903">
        <v>12021021</v>
      </c>
      <c r="D903" t="s">
        <v>29</v>
      </c>
      <c r="E903">
        <v>301</v>
      </c>
      <c r="F903" t="s">
        <v>211</v>
      </c>
      <c r="G903" s="47" t="s">
        <v>210</v>
      </c>
      <c r="I903">
        <v>266.64999999999998</v>
      </c>
      <c r="J903" s="69" t="s">
        <v>12</v>
      </c>
      <c r="L903" s="15" t="str">
        <f t="shared" si="14"/>
        <v>112.2160.200</v>
      </c>
    </row>
    <row r="904" spans="1:12" x14ac:dyDescent="0.2">
      <c r="A904">
        <v>18961</v>
      </c>
      <c r="B904" t="s">
        <v>90</v>
      </c>
      <c r="C904">
        <v>12022511</v>
      </c>
      <c r="D904" t="s">
        <v>32</v>
      </c>
      <c r="E904">
        <v>301</v>
      </c>
      <c r="F904" t="s">
        <v>211</v>
      </c>
      <c r="G904" s="47" t="s">
        <v>210</v>
      </c>
      <c r="I904">
        <v>235.87</v>
      </c>
      <c r="J904" s="69" t="s">
        <v>12</v>
      </c>
      <c r="L904" s="15" t="str">
        <f t="shared" si="14"/>
        <v>112.2160.200</v>
      </c>
    </row>
    <row r="905" spans="1:12" x14ac:dyDescent="0.2">
      <c r="A905">
        <v>145</v>
      </c>
      <c r="B905" t="s">
        <v>91</v>
      </c>
      <c r="C905">
        <v>12022511</v>
      </c>
      <c r="D905" t="s">
        <v>32</v>
      </c>
      <c r="E905">
        <v>301</v>
      </c>
      <c r="F905" t="s">
        <v>211</v>
      </c>
      <c r="G905" s="47" t="s">
        <v>210</v>
      </c>
      <c r="I905">
        <v>252.83</v>
      </c>
      <c r="J905" s="69" t="s">
        <v>12</v>
      </c>
      <c r="L905" s="15" t="str">
        <f t="shared" si="14"/>
        <v>112.2160.200</v>
      </c>
    </row>
    <row r="906" spans="1:12" x14ac:dyDescent="0.2">
      <c r="A906">
        <v>141</v>
      </c>
      <c r="B906" t="s">
        <v>185</v>
      </c>
      <c r="C906">
        <v>12022511</v>
      </c>
      <c r="D906" t="s">
        <v>32</v>
      </c>
      <c r="E906">
        <v>301</v>
      </c>
      <c r="F906" t="s">
        <v>211</v>
      </c>
      <c r="G906" s="47" t="s">
        <v>210</v>
      </c>
      <c r="I906">
        <v>114.82</v>
      </c>
      <c r="J906" s="69" t="s">
        <v>12</v>
      </c>
      <c r="L906" s="15" t="str">
        <f t="shared" si="14"/>
        <v>112.2160.200</v>
      </c>
    </row>
    <row r="907" spans="1:12" x14ac:dyDescent="0.2">
      <c r="A907">
        <v>11229</v>
      </c>
      <c r="B907" t="s">
        <v>31</v>
      </c>
      <c r="C907">
        <v>12022511</v>
      </c>
      <c r="D907" t="s">
        <v>32</v>
      </c>
      <c r="E907">
        <v>301</v>
      </c>
      <c r="F907" t="s">
        <v>211</v>
      </c>
      <c r="G907" s="47" t="s">
        <v>210</v>
      </c>
      <c r="I907">
        <v>60.28</v>
      </c>
      <c r="J907" s="69" t="s">
        <v>12</v>
      </c>
      <c r="L907" s="15" t="str">
        <f t="shared" si="14"/>
        <v>112.2160.200</v>
      </c>
    </row>
    <row r="908" spans="1:12" x14ac:dyDescent="0.2">
      <c r="A908">
        <v>19035</v>
      </c>
      <c r="B908" t="s">
        <v>440</v>
      </c>
      <c r="C908">
        <v>12023011</v>
      </c>
      <c r="D908" t="s">
        <v>93</v>
      </c>
      <c r="E908">
        <v>301</v>
      </c>
      <c r="F908" t="s">
        <v>211</v>
      </c>
      <c r="G908" s="47" t="s">
        <v>210</v>
      </c>
      <c r="I908">
        <v>209.44</v>
      </c>
      <c r="J908" s="69" t="s">
        <v>12</v>
      </c>
      <c r="L908" s="15" t="str">
        <f t="shared" si="14"/>
        <v>112.2160.200</v>
      </c>
    </row>
    <row r="909" spans="1:12" x14ac:dyDescent="0.2">
      <c r="A909">
        <v>19007</v>
      </c>
      <c r="B909" t="s">
        <v>189</v>
      </c>
      <c r="C909">
        <v>12023011</v>
      </c>
      <c r="D909" t="s">
        <v>93</v>
      </c>
      <c r="E909">
        <v>301</v>
      </c>
      <c r="F909" t="s">
        <v>211</v>
      </c>
      <c r="G909" s="47" t="s">
        <v>210</v>
      </c>
      <c r="I909">
        <v>231.71</v>
      </c>
      <c r="J909" s="69" t="s">
        <v>12</v>
      </c>
      <c r="L909" s="15" t="str">
        <f t="shared" si="14"/>
        <v>112.2160.200</v>
      </c>
    </row>
    <row r="910" spans="1:12" x14ac:dyDescent="0.2">
      <c r="A910">
        <v>19006</v>
      </c>
      <c r="B910" t="s">
        <v>95</v>
      </c>
      <c r="C910">
        <v>12023011</v>
      </c>
      <c r="D910" t="s">
        <v>93</v>
      </c>
      <c r="E910">
        <v>301</v>
      </c>
      <c r="F910" t="s">
        <v>211</v>
      </c>
      <c r="G910" s="47" t="s">
        <v>210</v>
      </c>
      <c r="I910">
        <v>238.97</v>
      </c>
      <c r="J910" s="69" t="s">
        <v>12</v>
      </c>
      <c r="L910" s="15" t="str">
        <f t="shared" si="14"/>
        <v>112.2160.200</v>
      </c>
    </row>
    <row r="911" spans="1:12" x14ac:dyDescent="0.2">
      <c r="A911">
        <v>18974</v>
      </c>
      <c r="B911" t="s">
        <v>94</v>
      </c>
      <c r="C911">
        <v>12023011</v>
      </c>
      <c r="D911" t="s">
        <v>93</v>
      </c>
      <c r="E911">
        <v>301</v>
      </c>
      <c r="F911" t="s">
        <v>211</v>
      </c>
      <c r="G911" s="47" t="s">
        <v>210</v>
      </c>
      <c r="I911">
        <v>306.43</v>
      </c>
      <c r="J911" s="69" t="s">
        <v>12</v>
      </c>
      <c r="L911" s="15" t="str">
        <f t="shared" si="14"/>
        <v>112.2160.200</v>
      </c>
    </row>
    <row r="912" spans="1:12" x14ac:dyDescent="0.2">
      <c r="A912">
        <v>18973</v>
      </c>
      <c r="B912" t="s">
        <v>188</v>
      </c>
      <c r="C912">
        <v>12023011</v>
      </c>
      <c r="D912" t="s">
        <v>93</v>
      </c>
      <c r="E912">
        <v>301</v>
      </c>
      <c r="F912" t="s">
        <v>211</v>
      </c>
      <c r="G912" s="47" t="s">
        <v>210</v>
      </c>
      <c r="I912">
        <v>174.47</v>
      </c>
      <c r="J912" s="69" t="s">
        <v>12</v>
      </c>
      <c r="L912" s="15" t="str">
        <f t="shared" si="14"/>
        <v>112.2160.200</v>
      </c>
    </row>
    <row r="913" spans="1:12" x14ac:dyDescent="0.2">
      <c r="A913">
        <v>19016</v>
      </c>
      <c r="B913" t="s">
        <v>96</v>
      </c>
      <c r="C913">
        <v>12023011</v>
      </c>
      <c r="D913" t="s">
        <v>93</v>
      </c>
      <c r="E913">
        <v>301</v>
      </c>
      <c r="F913" t="s">
        <v>211</v>
      </c>
      <c r="G913" s="47" t="s">
        <v>210</v>
      </c>
      <c r="I913">
        <v>166.25</v>
      </c>
      <c r="J913" s="69" t="s">
        <v>12</v>
      </c>
      <c r="L913" s="15" t="str">
        <f t="shared" si="14"/>
        <v>112.2160.200</v>
      </c>
    </row>
    <row r="914" spans="1:12" x14ac:dyDescent="0.2">
      <c r="A914">
        <v>18962</v>
      </c>
      <c r="B914" t="s">
        <v>148</v>
      </c>
      <c r="C914">
        <v>12023011</v>
      </c>
      <c r="D914" t="s">
        <v>93</v>
      </c>
      <c r="E914">
        <v>301</v>
      </c>
      <c r="F914" t="s">
        <v>211</v>
      </c>
      <c r="G914" s="47" t="s">
        <v>210</v>
      </c>
      <c r="I914">
        <v>525</v>
      </c>
      <c r="J914" s="69" t="s">
        <v>12</v>
      </c>
      <c r="L914" s="15" t="str">
        <f t="shared" si="14"/>
        <v>112.2160.200</v>
      </c>
    </row>
    <row r="915" spans="1:12" x14ac:dyDescent="0.2">
      <c r="A915">
        <v>19032</v>
      </c>
      <c r="B915" t="s">
        <v>386</v>
      </c>
      <c r="C915">
        <v>12023011</v>
      </c>
      <c r="D915" t="s">
        <v>93</v>
      </c>
      <c r="E915">
        <v>301</v>
      </c>
      <c r="F915" t="s">
        <v>211</v>
      </c>
      <c r="G915" s="47" t="s">
        <v>210</v>
      </c>
      <c r="I915">
        <v>124.69</v>
      </c>
      <c r="J915" s="69" t="s">
        <v>12</v>
      </c>
      <c r="L915" s="15" t="str">
        <f t="shared" si="14"/>
        <v>112.2160.200</v>
      </c>
    </row>
    <row r="916" spans="1:12" x14ac:dyDescent="0.2">
      <c r="A916">
        <v>18999</v>
      </c>
      <c r="B916" t="s">
        <v>92</v>
      </c>
      <c r="C916">
        <v>12023011</v>
      </c>
      <c r="D916" t="s">
        <v>93</v>
      </c>
      <c r="E916">
        <v>301</v>
      </c>
      <c r="F916" t="s">
        <v>211</v>
      </c>
      <c r="G916" s="47" t="s">
        <v>210</v>
      </c>
      <c r="I916">
        <v>235.48</v>
      </c>
      <c r="J916" s="69" t="s">
        <v>12</v>
      </c>
      <c r="L916" s="15" t="str">
        <f t="shared" si="14"/>
        <v>112.2160.200</v>
      </c>
    </row>
    <row r="917" spans="1:12" x14ac:dyDescent="0.2">
      <c r="A917">
        <v>19026</v>
      </c>
      <c r="B917" t="s">
        <v>187</v>
      </c>
      <c r="C917">
        <v>12023011</v>
      </c>
      <c r="D917" t="s">
        <v>93</v>
      </c>
      <c r="E917">
        <v>301</v>
      </c>
      <c r="F917" t="s">
        <v>211</v>
      </c>
      <c r="G917" s="47" t="s">
        <v>210</v>
      </c>
      <c r="I917">
        <v>124.69</v>
      </c>
      <c r="J917" s="69" t="s">
        <v>12</v>
      </c>
      <c r="L917" s="15" t="str">
        <f t="shared" si="14"/>
        <v>112.2160.200</v>
      </c>
    </row>
    <row r="918" spans="1:12" x14ac:dyDescent="0.2">
      <c r="A918">
        <v>19027</v>
      </c>
      <c r="B918" t="s">
        <v>365</v>
      </c>
      <c r="C918">
        <v>12023021</v>
      </c>
      <c r="D918" t="s">
        <v>98</v>
      </c>
      <c r="E918">
        <v>301</v>
      </c>
      <c r="F918" t="s">
        <v>211</v>
      </c>
      <c r="G918" s="47" t="s">
        <v>210</v>
      </c>
      <c r="I918">
        <v>181.51</v>
      </c>
      <c r="J918" s="69" t="s">
        <v>12</v>
      </c>
      <c r="L918" s="15" t="str">
        <f t="shared" si="14"/>
        <v>112.2160.200</v>
      </c>
    </row>
    <row r="919" spans="1:12" x14ac:dyDescent="0.2">
      <c r="A919">
        <v>18980</v>
      </c>
      <c r="B919" t="s">
        <v>97</v>
      </c>
      <c r="C919">
        <v>12023021</v>
      </c>
      <c r="D919" t="s">
        <v>98</v>
      </c>
      <c r="E919">
        <v>301</v>
      </c>
      <c r="F919" t="s">
        <v>211</v>
      </c>
      <c r="G919" s="47" t="s">
        <v>210</v>
      </c>
      <c r="I919">
        <v>207.81</v>
      </c>
      <c r="J919" s="69" t="s">
        <v>12</v>
      </c>
      <c r="L919" s="15" t="str">
        <f t="shared" si="14"/>
        <v>112.2160.200</v>
      </c>
    </row>
    <row r="920" spans="1:12" x14ac:dyDescent="0.2">
      <c r="A920">
        <v>19021</v>
      </c>
      <c r="B920" t="s">
        <v>99</v>
      </c>
      <c r="C920">
        <v>12023021</v>
      </c>
      <c r="D920" t="s">
        <v>98</v>
      </c>
      <c r="E920">
        <v>301</v>
      </c>
      <c r="F920" t="s">
        <v>211</v>
      </c>
      <c r="G920" s="47" t="s">
        <v>210</v>
      </c>
      <c r="I920">
        <v>207.81</v>
      </c>
      <c r="J920" s="69" t="s">
        <v>12</v>
      </c>
      <c r="L920" s="15" t="str">
        <f t="shared" si="14"/>
        <v>112.2160.200</v>
      </c>
    </row>
    <row r="921" spans="1:12" x14ac:dyDescent="0.2">
      <c r="A921">
        <v>19038</v>
      </c>
      <c r="B921" t="s">
        <v>449</v>
      </c>
      <c r="C921">
        <v>12023021</v>
      </c>
      <c r="D921" t="s">
        <v>98</v>
      </c>
      <c r="E921">
        <v>301</v>
      </c>
      <c r="F921" t="s">
        <v>211</v>
      </c>
      <c r="G921" s="47" t="s">
        <v>210</v>
      </c>
      <c r="I921">
        <v>343.27</v>
      </c>
      <c r="J921" s="69" t="s">
        <v>12</v>
      </c>
      <c r="L921" s="15" t="str">
        <f t="shared" si="14"/>
        <v>112.2160.200</v>
      </c>
    </row>
    <row r="922" spans="1:12" x14ac:dyDescent="0.2">
      <c r="A922">
        <v>18581</v>
      </c>
      <c r="B922" t="s">
        <v>190</v>
      </c>
      <c r="C922">
        <v>12024021</v>
      </c>
      <c r="D922" t="s">
        <v>191</v>
      </c>
      <c r="E922">
        <v>301</v>
      </c>
      <c r="F922" t="s">
        <v>211</v>
      </c>
      <c r="G922" s="47" t="s">
        <v>210</v>
      </c>
      <c r="I922">
        <v>332.07</v>
      </c>
      <c r="J922" s="69" t="s">
        <v>12</v>
      </c>
      <c r="L922" s="15" t="str">
        <f t="shared" si="14"/>
        <v>112.2160.200</v>
      </c>
    </row>
    <row r="923" spans="1:12" x14ac:dyDescent="0.2">
      <c r="A923">
        <v>19034</v>
      </c>
      <c r="B923" t="s">
        <v>439</v>
      </c>
      <c r="C923">
        <v>12028099</v>
      </c>
      <c r="D923" t="s">
        <v>150</v>
      </c>
      <c r="E923">
        <v>301</v>
      </c>
      <c r="F923" t="s">
        <v>211</v>
      </c>
      <c r="G923" s="47" t="s">
        <v>210</v>
      </c>
      <c r="I923">
        <v>262.5</v>
      </c>
      <c r="J923" s="69" t="s">
        <v>12</v>
      </c>
      <c r="L923" s="15" t="str">
        <f t="shared" si="14"/>
        <v>112.2160.200</v>
      </c>
    </row>
    <row r="924" spans="1:12" x14ac:dyDescent="0.2">
      <c r="A924">
        <v>44705</v>
      </c>
      <c r="B924" t="s">
        <v>149</v>
      </c>
      <c r="C924">
        <v>12028099</v>
      </c>
      <c r="D924" t="s">
        <v>150</v>
      </c>
      <c r="E924">
        <v>301</v>
      </c>
      <c r="F924" t="s">
        <v>211</v>
      </c>
      <c r="G924" s="47" t="s">
        <v>210</v>
      </c>
      <c r="I924">
        <v>565.38</v>
      </c>
      <c r="J924" s="69" t="s">
        <v>12</v>
      </c>
      <c r="L924" s="15" t="str">
        <f t="shared" si="14"/>
        <v>112.2160.200</v>
      </c>
    </row>
    <row r="925" spans="1:12" x14ac:dyDescent="0.2">
      <c r="A925">
        <v>18982</v>
      </c>
      <c r="B925" t="s">
        <v>100</v>
      </c>
      <c r="C925">
        <v>12030400</v>
      </c>
      <c r="D925" t="s">
        <v>62</v>
      </c>
      <c r="E925">
        <v>301</v>
      </c>
      <c r="F925" t="s">
        <v>211</v>
      </c>
      <c r="G925" s="47" t="s">
        <v>210</v>
      </c>
      <c r="I925">
        <v>242.31</v>
      </c>
      <c r="J925" s="69" t="s">
        <v>12</v>
      </c>
      <c r="L925" s="15" t="str">
        <f t="shared" si="14"/>
        <v>112.2160.200</v>
      </c>
    </row>
    <row r="926" spans="1:12" x14ac:dyDescent="0.2">
      <c r="A926">
        <v>18805</v>
      </c>
      <c r="B926" t="s">
        <v>192</v>
      </c>
      <c r="C926">
        <v>12030400</v>
      </c>
      <c r="D926" t="s">
        <v>62</v>
      </c>
      <c r="E926">
        <v>301</v>
      </c>
      <c r="F926" t="s">
        <v>211</v>
      </c>
      <c r="G926" s="47" t="s">
        <v>210</v>
      </c>
      <c r="I926">
        <v>242.31</v>
      </c>
      <c r="J926" s="69" t="s">
        <v>12</v>
      </c>
      <c r="L926" s="15" t="str">
        <f t="shared" si="14"/>
        <v>112.2160.200</v>
      </c>
    </row>
    <row r="927" spans="1:12" x14ac:dyDescent="0.2">
      <c r="A927">
        <v>302</v>
      </c>
      <c r="B927" t="s">
        <v>33</v>
      </c>
      <c r="C927">
        <v>12030500</v>
      </c>
      <c r="D927" t="s">
        <v>34</v>
      </c>
      <c r="E927">
        <v>301</v>
      </c>
      <c r="F927" t="s">
        <v>211</v>
      </c>
      <c r="G927" s="47" t="s">
        <v>210</v>
      </c>
      <c r="I927">
        <v>192.07</v>
      </c>
      <c r="J927" s="69" t="s">
        <v>12</v>
      </c>
      <c r="L927" s="15" t="str">
        <f t="shared" si="14"/>
        <v>112.2160.200</v>
      </c>
    </row>
    <row r="928" spans="1:12" x14ac:dyDescent="0.2">
      <c r="A928">
        <v>18841</v>
      </c>
      <c r="B928" t="s">
        <v>193</v>
      </c>
      <c r="C928">
        <v>12030500</v>
      </c>
      <c r="D928" t="s">
        <v>34</v>
      </c>
      <c r="E928">
        <v>301</v>
      </c>
      <c r="F928" t="s">
        <v>211</v>
      </c>
      <c r="G928" s="47" t="s">
        <v>210</v>
      </c>
      <c r="I928">
        <v>226.15</v>
      </c>
      <c r="J928" s="69" t="s">
        <v>12</v>
      </c>
      <c r="L928" s="15" t="str">
        <f t="shared" si="14"/>
        <v>112.2160.200</v>
      </c>
    </row>
    <row r="929" spans="1:12" x14ac:dyDescent="0.2">
      <c r="A929">
        <v>266</v>
      </c>
      <c r="B929" t="s">
        <v>194</v>
      </c>
      <c r="C929">
        <v>12030500</v>
      </c>
      <c r="D929" t="s">
        <v>34</v>
      </c>
      <c r="E929">
        <v>301</v>
      </c>
      <c r="F929" t="s">
        <v>211</v>
      </c>
      <c r="G929" s="47" t="s">
        <v>210</v>
      </c>
      <c r="I929">
        <v>259.95999999999998</v>
      </c>
      <c r="J929" s="69" t="s">
        <v>12</v>
      </c>
      <c r="L929" s="15" t="str">
        <f t="shared" si="14"/>
        <v>112.2160.200</v>
      </c>
    </row>
    <row r="930" spans="1:12" x14ac:dyDescent="0.2">
      <c r="A930">
        <v>134</v>
      </c>
      <c r="B930" t="s">
        <v>102</v>
      </c>
      <c r="C930">
        <v>12030611</v>
      </c>
      <c r="D930" t="s">
        <v>36</v>
      </c>
      <c r="E930">
        <v>301</v>
      </c>
      <c r="F930" t="s">
        <v>211</v>
      </c>
      <c r="G930" s="47" t="s">
        <v>210</v>
      </c>
      <c r="I930">
        <v>100.72</v>
      </c>
      <c r="J930" s="69" t="s">
        <v>12</v>
      </c>
      <c r="L930" s="15" t="str">
        <f t="shared" si="14"/>
        <v>112.2160.200</v>
      </c>
    </row>
    <row r="931" spans="1:12" x14ac:dyDescent="0.2">
      <c r="A931">
        <v>18918</v>
      </c>
      <c r="B931" t="s">
        <v>38</v>
      </c>
      <c r="C931">
        <v>12030611</v>
      </c>
      <c r="D931" t="s">
        <v>36</v>
      </c>
      <c r="E931">
        <v>301</v>
      </c>
      <c r="F931" t="s">
        <v>211</v>
      </c>
      <c r="G931" s="47" t="s">
        <v>210</v>
      </c>
      <c r="I931">
        <v>261.98</v>
      </c>
      <c r="J931" s="69" t="s">
        <v>12</v>
      </c>
      <c r="L931" s="15" t="str">
        <f t="shared" si="14"/>
        <v>112.2160.200</v>
      </c>
    </row>
    <row r="932" spans="1:12" x14ac:dyDescent="0.2">
      <c r="A932">
        <v>18979</v>
      </c>
      <c r="B932" t="s">
        <v>39</v>
      </c>
      <c r="C932">
        <v>12030611</v>
      </c>
      <c r="D932" t="s">
        <v>36</v>
      </c>
      <c r="E932">
        <v>301</v>
      </c>
      <c r="F932" t="s">
        <v>211</v>
      </c>
      <c r="G932" s="47" t="s">
        <v>210</v>
      </c>
      <c r="I932">
        <v>210.88</v>
      </c>
      <c r="J932" s="69" t="s">
        <v>12</v>
      </c>
      <c r="L932" s="15" t="str">
        <f t="shared" si="14"/>
        <v>112.2160.200</v>
      </c>
    </row>
    <row r="933" spans="1:12" x14ac:dyDescent="0.2">
      <c r="A933">
        <v>18797</v>
      </c>
      <c r="B933" t="s">
        <v>101</v>
      </c>
      <c r="C933">
        <v>12030611</v>
      </c>
      <c r="D933" t="s">
        <v>36</v>
      </c>
      <c r="E933">
        <v>301</v>
      </c>
      <c r="F933" t="s">
        <v>211</v>
      </c>
      <c r="G933" s="47" t="s">
        <v>210</v>
      </c>
      <c r="I933">
        <v>228.59</v>
      </c>
      <c r="J933" s="69" t="s">
        <v>12</v>
      </c>
      <c r="L933" s="15" t="str">
        <f t="shared" si="14"/>
        <v>112.2160.200</v>
      </c>
    </row>
    <row r="934" spans="1:12" x14ac:dyDescent="0.2">
      <c r="A934">
        <v>18949</v>
      </c>
      <c r="B934" t="s">
        <v>35</v>
      </c>
      <c r="C934">
        <v>12030611</v>
      </c>
      <c r="D934" t="s">
        <v>36</v>
      </c>
      <c r="E934">
        <v>301</v>
      </c>
      <c r="F934" t="s">
        <v>211</v>
      </c>
      <c r="G934" s="47" t="s">
        <v>210</v>
      </c>
      <c r="I934">
        <v>204.9</v>
      </c>
      <c r="J934" s="69" t="s">
        <v>12</v>
      </c>
      <c r="L934" s="15" t="str">
        <f t="shared" si="14"/>
        <v>112.2160.200</v>
      </c>
    </row>
    <row r="935" spans="1:12" x14ac:dyDescent="0.2">
      <c r="A935">
        <v>18929</v>
      </c>
      <c r="B935" t="s">
        <v>106</v>
      </c>
      <c r="C935">
        <v>12030611</v>
      </c>
      <c r="D935" t="s">
        <v>36</v>
      </c>
      <c r="E935">
        <v>301</v>
      </c>
      <c r="F935" t="s">
        <v>211</v>
      </c>
      <c r="G935" s="47" t="s">
        <v>210</v>
      </c>
      <c r="I935">
        <v>100.89</v>
      </c>
      <c r="J935" s="69" t="s">
        <v>12</v>
      </c>
      <c r="L935" s="15" t="str">
        <f t="shared" si="14"/>
        <v>112.2160.200</v>
      </c>
    </row>
    <row r="936" spans="1:12" x14ac:dyDescent="0.2">
      <c r="A936">
        <v>18901</v>
      </c>
      <c r="B936" t="s">
        <v>37</v>
      </c>
      <c r="C936">
        <v>12030611</v>
      </c>
      <c r="D936" t="s">
        <v>36</v>
      </c>
      <c r="E936">
        <v>301</v>
      </c>
      <c r="F936" t="s">
        <v>211</v>
      </c>
      <c r="G936" s="47" t="s">
        <v>210</v>
      </c>
      <c r="I936">
        <v>249.55</v>
      </c>
      <c r="J936" s="69" t="s">
        <v>12</v>
      </c>
      <c r="L936" s="15" t="str">
        <f t="shared" si="14"/>
        <v>112.2160.200</v>
      </c>
    </row>
    <row r="937" spans="1:12" x14ac:dyDescent="0.2">
      <c r="A937">
        <v>18887</v>
      </c>
      <c r="B937" t="s">
        <v>105</v>
      </c>
      <c r="C937">
        <v>12030611</v>
      </c>
      <c r="D937" t="s">
        <v>36</v>
      </c>
      <c r="E937">
        <v>301</v>
      </c>
      <c r="F937" t="s">
        <v>211</v>
      </c>
      <c r="G937" s="47" t="s">
        <v>210</v>
      </c>
      <c r="I937">
        <v>201.52</v>
      </c>
      <c r="J937" s="69" t="s">
        <v>12</v>
      </c>
      <c r="L937" s="15" t="str">
        <f t="shared" si="14"/>
        <v>112.2160.200</v>
      </c>
    </row>
    <row r="938" spans="1:12" x14ac:dyDescent="0.2">
      <c r="A938">
        <v>18827</v>
      </c>
      <c r="B938" t="s">
        <v>104</v>
      </c>
      <c r="C938">
        <v>12030611</v>
      </c>
      <c r="D938" t="s">
        <v>36</v>
      </c>
      <c r="E938">
        <v>301</v>
      </c>
      <c r="F938" t="s">
        <v>211</v>
      </c>
      <c r="G938" s="47" t="s">
        <v>210</v>
      </c>
      <c r="I938">
        <v>250.83</v>
      </c>
      <c r="J938" s="69" t="s">
        <v>12</v>
      </c>
      <c r="L938" s="15" t="str">
        <f t="shared" si="14"/>
        <v>112.2160.200</v>
      </c>
    </row>
    <row r="939" spans="1:12" x14ac:dyDescent="0.2">
      <c r="A939">
        <v>18822</v>
      </c>
      <c r="B939" t="s">
        <v>103</v>
      </c>
      <c r="C939">
        <v>12030611</v>
      </c>
      <c r="D939" t="s">
        <v>36</v>
      </c>
      <c r="E939">
        <v>301</v>
      </c>
      <c r="F939" t="s">
        <v>211</v>
      </c>
      <c r="G939" s="47" t="s">
        <v>210</v>
      </c>
      <c r="I939">
        <v>227.63</v>
      </c>
      <c r="J939" s="69" t="s">
        <v>12</v>
      </c>
      <c r="L939" s="15" t="str">
        <f t="shared" si="14"/>
        <v>112.2160.200</v>
      </c>
    </row>
    <row r="940" spans="1:12" x14ac:dyDescent="0.2">
      <c r="A940">
        <v>18626</v>
      </c>
      <c r="B940" t="s">
        <v>195</v>
      </c>
      <c r="C940">
        <v>12030611</v>
      </c>
      <c r="D940" t="s">
        <v>36</v>
      </c>
      <c r="E940">
        <v>301</v>
      </c>
      <c r="F940" t="s">
        <v>211</v>
      </c>
      <c r="G940" s="47" t="s">
        <v>210</v>
      </c>
      <c r="I940">
        <v>363.46</v>
      </c>
      <c r="J940" s="69" t="s">
        <v>12</v>
      </c>
      <c r="L940" s="15" t="str">
        <f t="shared" si="14"/>
        <v>112.2160.200</v>
      </c>
    </row>
    <row r="941" spans="1:12" x14ac:dyDescent="0.2">
      <c r="A941">
        <v>18989</v>
      </c>
      <c r="B941" t="s">
        <v>107</v>
      </c>
      <c r="C941">
        <v>12030800</v>
      </c>
      <c r="D941" t="s">
        <v>59</v>
      </c>
      <c r="E941">
        <v>301</v>
      </c>
      <c r="F941" t="s">
        <v>211</v>
      </c>
      <c r="G941" s="47" t="s">
        <v>210</v>
      </c>
      <c r="I941">
        <v>205.97</v>
      </c>
      <c r="J941" s="69" t="s">
        <v>12</v>
      </c>
      <c r="L941" s="15" t="str">
        <f t="shared" si="14"/>
        <v>112.2160.200</v>
      </c>
    </row>
    <row r="942" spans="1:12" x14ac:dyDescent="0.2">
      <c r="A942">
        <v>18736</v>
      </c>
      <c r="B942" t="s">
        <v>70</v>
      </c>
      <c r="C942">
        <v>12032511</v>
      </c>
      <c r="D942" t="s">
        <v>43</v>
      </c>
      <c r="E942">
        <v>301</v>
      </c>
      <c r="F942" t="s">
        <v>211</v>
      </c>
      <c r="G942" s="47" t="s">
        <v>210</v>
      </c>
      <c r="I942">
        <v>184.34</v>
      </c>
      <c r="J942" s="69" t="s">
        <v>12</v>
      </c>
      <c r="L942" s="15" t="str">
        <f t="shared" si="14"/>
        <v>112.2160.200</v>
      </c>
    </row>
    <row r="943" spans="1:12" x14ac:dyDescent="0.2">
      <c r="A943">
        <v>19030</v>
      </c>
      <c r="B943" t="s">
        <v>364</v>
      </c>
      <c r="C943">
        <v>12033011</v>
      </c>
      <c r="D943" t="s">
        <v>45</v>
      </c>
      <c r="E943">
        <v>301</v>
      </c>
      <c r="F943" t="s">
        <v>211</v>
      </c>
      <c r="G943" s="47" t="s">
        <v>210</v>
      </c>
      <c r="I943">
        <v>216.13</v>
      </c>
      <c r="J943" s="69" t="s">
        <v>12</v>
      </c>
      <c r="L943" s="15" t="str">
        <f t="shared" si="14"/>
        <v>112.2160.200</v>
      </c>
    </row>
    <row r="944" spans="1:12" x14ac:dyDescent="0.2">
      <c r="A944">
        <v>19029</v>
      </c>
      <c r="B944" t="s">
        <v>366</v>
      </c>
      <c r="C944">
        <v>12033011</v>
      </c>
      <c r="D944" t="s">
        <v>45</v>
      </c>
      <c r="E944">
        <v>301</v>
      </c>
      <c r="F944" t="s">
        <v>211</v>
      </c>
      <c r="G944" s="47" t="s">
        <v>210</v>
      </c>
      <c r="I944">
        <v>217.28</v>
      </c>
      <c r="J944" s="69" t="s">
        <v>12</v>
      </c>
      <c r="L944" s="15" t="str">
        <f t="shared" si="14"/>
        <v>112.2160.200</v>
      </c>
    </row>
    <row r="945" spans="1:12" x14ac:dyDescent="0.2">
      <c r="A945">
        <v>19019</v>
      </c>
      <c r="B945" t="s">
        <v>108</v>
      </c>
      <c r="C945">
        <v>12033011</v>
      </c>
      <c r="D945" t="s">
        <v>45</v>
      </c>
      <c r="E945">
        <v>301</v>
      </c>
      <c r="F945" t="s">
        <v>211</v>
      </c>
      <c r="G945" s="47" t="s">
        <v>210</v>
      </c>
      <c r="I945">
        <v>215.59</v>
      </c>
      <c r="J945" s="69" t="s">
        <v>12</v>
      </c>
      <c r="L945" s="15" t="str">
        <f t="shared" si="14"/>
        <v>112.2160.200</v>
      </c>
    </row>
    <row r="946" spans="1:12" x14ac:dyDescent="0.2">
      <c r="A946">
        <v>18983</v>
      </c>
      <c r="B946" t="s">
        <v>112</v>
      </c>
      <c r="C946">
        <v>12033011</v>
      </c>
      <c r="D946" t="s">
        <v>45</v>
      </c>
      <c r="E946">
        <v>301</v>
      </c>
      <c r="F946" t="s">
        <v>211</v>
      </c>
      <c r="G946" s="47" t="s">
        <v>210</v>
      </c>
      <c r="I946">
        <v>220.66</v>
      </c>
      <c r="J946" s="69" t="s">
        <v>12</v>
      </c>
      <c r="L946" s="15" t="str">
        <f t="shared" si="14"/>
        <v>112.2160.200</v>
      </c>
    </row>
    <row r="947" spans="1:12" x14ac:dyDescent="0.2">
      <c r="A947">
        <v>19028</v>
      </c>
      <c r="B947" t="s">
        <v>367</v>
      </c>
      <c r="C947">
        <v>12033011</v>
      </c>
      <c r="D947" t="s">
        <v>45</v>
      </c>
      <c r="E947">
        <v>301</v>
      </c>
      <c r="F947" t="s">
        <v>211</v>
      </c>
      <c r="G947" s="47" t="s">
        <v>210</v>
      </c>
      <c r="I947">
        <v>199.88</v>
      </c>
      <c r="J947" s="69" t="s">
        <v>12</v>
      </c>
      <c r="L947" s="15" t="str">
        <f t="shared" si="14"/>
        <v>112.2160.200</v>
      </c>
    </row>
    <row r="948" spans="1:12" x14ac:dyDescent="0.2">
      <c r="A948">
        <v>19017</v>
      </c>
      <c r="B948" t="s">
        <v>65</v>
      </c>
      <c r="C948">
        <v>12033011</v>
      </c>
      <c r="D948" t="s">
        <v>45</v>
      </c>
      <c r="E948">
        <v>301</v>
      </c>
      <c r="F948" t="s">
        <v>211</v>
      </c>
      <c r="G948" s="47" t="s">
        <v>210</v>
      </c>
      <c r="I948">
        <v>202.23</v>
      </c>
      <c r="J948" s="69" t="s">
        <v>12</v>
      </c>
      <c r="L948" s="15" t="str">
        <f t="shared" si="14"/>
        <v>112.2160.200</v>
      </c>
    </row>
    <row r="949" spans="1:12" x14ac:dyDescent="0.2">
      <c r="A949">
        <v>18607</v>
      </c>
      <c r="B949" t="s">
        <v>109</v>
      </c>
      <c r="C949">
        <v>12033011</v>
      </c>
      <c r="D949" t="s">
        <v>45</v>
      </c>
      <c r="E949">
        <v>301</v>
      </c>
      <c r="F949" t="s">
        <v>211</v>
      </c>
      <c r="G949" s="47" t="s">
        <v>210</v>
      </c>
      <c r="I949">
        <v>235.66</v>
      </c>
      <c r="J949" s="69" t="s">
        <v>12</v>
      </c>
      <c r="L949" s="15" t="str">
        <f t="shared" si="14"/>
        <v>112.2160.200</v>
      </c>
    </row>
    <row r="950" spans="1:12" x14ac:dyDescent="0.2">
      <c r="A950">
        <v>19012</v>
      </c>
      <c r="B950" t="s">
        <v>110</v>
      </c>
      <c r="C950">
        <v>12033011</v>
      </c>
      <c r="D950" t="s">
        <v>45</v>
      </c>
      <c r="E950">
        <v>301</v>
      </c>
      <c r="F950" t="s">
        <v>211</v>
      </c>
      <c r="G950" s="47" t="s">
        <v>210</v>
      </c>
      <c r="I950">
        <v>210.67</v>
      </c>
      <c r="J950" s="69" t="s">
        <v>12</v>
      </c>
      <c r="L950" s="15" t="str">
        <f t="shared" si="14"/>
        <v>112.2160.200</v>
      </c>
    </row>
    <row r="951" spans="1:12" x14ac:dyDescent="0.2">
      <c r="A951">
        <v>18932</v>
      </c>
      <c r="B951" t="s">
        <v>44</v>
      </c>
      <c r="C951">
        <v>12033011</v>
      </c>
      <c r="D951" t="s">
        <v>45</v>
      </c>
      <c r="E951">
        <v>301</v>
      </c>
      <c r="F951" t="s">
        <v>211</v>
      </c>
      <c r="G951" s="47" t="s">
        <v>210</v>
      </c>
      <c r="I951">
        <v>262</v>
      </c>
      <c r="J951" s="69" t="s">
        <v>12</v>
      </c>
      <c r="L951" s="15" t="str">
        <f t="shared" ref="L951:L995" si="15">G951</f>
        <v>112.2160.200</v>
      </c>
    </row>
    <row r="952" spans="1:12" x14ac:dyDescent="0.2">
      <c r="A952">
        <v>18829</v>
      </c>
      <c r="B952" t="s">
        <v>115</v>
      </c>
      <c r="C952">
        <v>12033011</v>
      </c>
      <c r="D952" t="s">
        <v>45</v>
      </c>
      <c r="E952">
        <v>301</v>
      </c>
      <c r="F952" t="s">
        <v>211</v>
      </c>
      <c r="G952" s="47" t="s">
        <v>210</v>
      </c>
      <c r="I952">
        <v>245.62</v>
      </c>
      <c r="J952" s="69" t="s">
        <v>12</v>
      </c>
      <c r="L952" s="15" t="str">
        <f t="shared" si="15"/>
        <v>112.2160.200</v>
      </c>
    </row>
    <row r="953" spans="1:12" x14ac:dyDescent="0.2">
      <c r="A953">
        <v>19008</v>
      </c>
      <c r="B953" t="s">
        <v>118</v>
      </c>
      <c r="C953">
        <v>12033011</v>
      </c>
      <c r="D953" t="s">
        <v>45</v>
      </c>
      <c r="E953">
        <v>301</v>
      </c>
      <c r="F953" t="s">
        <v>211</v>
      </c>
      <c r="G953" s="47" t="s">
        <v>210</v>
      </c>
      <c r="I953">
        <v>125.34</v>
      </c>
      <c r="J953" s="69" t="s">
        <v>12</v>
      </c>
      <c r="L953" s="15" t="str">
        <f t="shared" si="15"/>
        <v>112.2160.200</v>
      </c>
    </row>
    <row r="954" spans="1:12" x14ac:dyDescent="0.2">
      <c r="A954">
        <v>18923</v>
      </c>
      <c r="B954" t="s">
        <v>46</v>
      </c>
      <c r="C954">
        <v>12033011</v>
      </c>
      <c r="D954" t="s">
        <v>45</v>
      </c>
      <c r="E954">
        <v>301</v>
      </c>
      <c r="F954" t="s">
        <v>211</v>
      </c>
      <c r="G954" s="47" t="s">
        <v>210</v>
      </c>
      <c r="I954">
        <v>179.33</v>
      </c>
      <c r="J954" s="69" t="s">
        <v>12</v>
      </c>
      <c r="L954" s="15" t="str">
        <f t="shared" si="15"/>
        <v>112.2160.200</v>
      </c>
    </row>
    <row r="955" spans="1:12" x14ac:dyDescent="0.2">
      <c r="A955">
        <v>19015</v>
      </c>
      <c r="B955" t="s">
        <v>116</v>
      </c>
      <c r="C955">
        <v>12033011</v>
      </c>
      <c r="D955" t="s">
        <v>45</v>
      </c>
      <c r="E955">
        <v>301</v>
      </c>
      <c r="F955" t="s">
        <v>211</v>
      </c>
      <c r="G955" s="47" t="s">
        <v>210</v>
      </c>
      <c r="I955">
        <v>214.83</v>
      </c>
      <c r="J955" s="69" t="s">
        <v>12</v>
      </c>
      <c r="L955" s="15" t="str">
        <f t="shared" si="15"/>
        <v>112.2160.200</v>
      </c>
    </row>
    <row r="956" spans="1:12" x14ac:dyDescent="0.2">
      <c r="A956">
        <v>18679</v>
      </c>
      <c r="B956" t="s">
        <v>114</v>
      </c>
      <c r="C956">
        <v>12033011</v>
      </c>
      <c r="D956" t="s">
        <v>45</v>
      </c>
      <c r="E956">
        <v>301</v>
      </c>
      <c r="F956" t="s">
        <v>211</v>
      </c>
      <c r="G956" s="47" t="s">
        <v>210</v>
      </c>
      <c r="I956">
        <v>185.03</v>
      </c>
      <c r="J956" s="69" t="s">
        <v>12</v>
      </c>
      <c r="L956" s="15" t="str">
        <f t="shared" si="15"/>
        <v>112.2160.200</v>
      </c>
    </row>
    <row r="957" spans="1:12" x14ac:dyDescent="0.2">
      <c r="A957">
        <v>19011</v>
      </c>
      <c r="B957" t="s">
        <v>111</v>
      </c>
      <c r="C957">
        <v>12033011</v>
      </c>
      <c r="D957" t="s">
        <v>45</v>
      </c>
      <c r="E957">
        <v>301</v>
      </c>
      <c r="F957" t="s">
        <v>211</v>
      </c>
      <c r="G957" s="47" t="s">
        <v>210</v>
      </c>
      <c r="I957">
        <v>199.83</v>
      </c>
      <c r="J957" s="69" t="s">
        <v>12</v>
      </c>
      <c r="L957" s="15" t="str">
        <f t="shared" si="15"/>
        <v>112.2160.200</v>
      </c>
    </row>
    <row r="958" spans="1:12" x14ac:dyDescent="0.2">
      <c r="A958">
        <v>19009</v>
      </c>
      <c r="B958" t="s">
        <v>117</v>
      </c>
      <c r="C958">
        <v>12033011</v>
      </c>
      <c r="D958" t="s">
        <v>45</v>
      </c>
      <c r="E958">
        <v>301</v>
      </c>
      <c r="F958" t="s">
        <v>211</v>
      </c>
      <c r="G958" s="47" t="s">
        <v>210</v>
      </c>
      <c r="I958">
        <v>216.39</v>
      </c>
      <c r="J958" s="69" t="s">
        <v>12</v>
      </c>
      <c r="L958" s="15" t="str">
        <f t="shared" si="15"/>
        <v>112.2160.200</v>
      </c>
    </row>
    <row r="959" spans="1:12" x14ac:dyDescent="0.2">
      <c r="A959">
        <v>18998</v>
      </c>
      <c r="B959" t="s">
        <v>47</v>
      </c>
      <c r="C959">
        <v>12038099</v>
      </c>
      <c r="D959" t="s">
        <v>48</v>
      </c>
      <c r="E959">
        <v>301</v>
      </c>
      <c r="F959" t="s">
        <v>211</v>
      </c>
      <c r="G959" s="47" t="s">
        <v>210</v>
      </c>
      <c r="I959">
        <v>302.89</v>
      </c>
      <c r="J959" s="69" t="s">
        <v>12</v>
      </c>
      <c r="L959" s="15" t="str">
        <f t="shared" si="15"/>
        <v>112.2160.200</v>
      </c>
    </row>
    <row r="960" spans="1:12" x14ac:dyDescent="0.2">
      <c r="A960">
        <v>115</v>
      </c>
      <c r="B960" t="s">
        <v>196</v>
      </c>
      <c r="C960">
        <v>12040400</v>
      </c>
      <c r="D960" t="s">
        <v>197</v>
      </c>
      <c r="E960">
        <v>301</v>
      </c>
      <c r="F960" t="s">
        <v>211</v>
      </c>
      <c r="G960" s="47" t="s">
        <v>210</v>
      </c>
      <c r="I960">
        <v>310.76</v>
      </c>
      <c r="J960" s="69" t="s">
        <v>12</v>
      </c>
      <c r="L960" s="15" t="str">
        <f t="shared" si="15"/>
        <v>112.2160.200</v>
      </c>
    </row>
    <row r="961" spans="1:12" x14ac:dyDescent="0.2">
      <c r="A961">
        <v>18649</v>
      </c>
      <c r="B961" t="s">
        <v>152</v>
      </c>
      <c r="C961">
        <v>12040500</v>
      </c>
      <c r="D961" t="s">
        <v>67</v>
      </c>
      <c r="E961">
        <v>301</v>
      </c>
      <c r="F961" t="s">
        <v>211</v>
      </c>
      <c r="G961" s="47" t="s">
        <v>210</v>
      </c>
      <c r="I961">
        <v>323.08</v>
      </c>
      <c r="J961" s="69" t="s">
        <v>12</v>
      </c>
      <c r="L961" s="15" t="str">
        <f t="shared" si="15"/>
        <v>112.2160.200</v>
      </c>
    </row>
    <row r="962" spans="1:12" x14ac:dyDescent="0.2">
      <c r="A962">
        <v>19020</v>
      </c>
      <c r="B962" t="s">
        <v>66</v>
      </c>
      <c r="C962">
        <v>12040500</v>
      </c>
      <c r="D962" t="s">
        <v>67</v>
      </c>
      <c r="E962">
        <v>301</v>
      </c>
      <c r="F962" t="s">
        <v>211</v>
      </c>
      <c r="G962" s="47" t="s">
        <v>210</v>
      </c>
      <c r="I962">
        <v>214.44</v>
      </c>
      <c r="J962" s="69" t="s">
        <v>12</v>
      </c>
      <c r="L962" s="15" t="str">
        <f t="shared" si="15"/>
        <v>112.2160.200</v>
      </c>
    </row>
    <row r="963" spans="1:12" x14ac:dyDescent="0.2">
      <c r="A963">
        <v>18904</v>
      </c>
      <c r="B963" t="s">
        <v>119</v>
      </c>
      <c r="C963">
        <v>12040800</v>
      </c>
      <c r="D963" t="s">
        <v>120</v>
      </c>
      <c r="E963">
        <v>301</v>
      </c>
      <c r="F963" t="s">
        <v>211</v>
      </c>
      <c r="G963" s="47" t="s">
        <v>210</v>
      </c>
      <c r="I963">
        <v>312.76</v>
      </c>
      <c r="J963" s="69" t="s">
        <v>12</v>
      </c>
      <c r="L963" s="15" t="str">
        <f t="shared" si="15"/>
        <v>112.2160.200</v>
      </c>
    </row>
    <row r="964" spans="1:12" x14ac:dyDescent="0.2">
      <c r="A964">
        <v>18839</v>
      </c>
      <c r="B964" t="s">
        <v>198</v>
      </c>
      <c r="C964">
        <v>12040800</v>
      </c>
      <c r="D964" t="s">
        <v>120</v>
      </c>
      <c r="E964">
        <v>301</v>
      </c>
      <c r="F964" t="s">
        <v>211</v>
      </c>
      <c r="G964" s="47" t="s">
        <v>210</v>
      </c>
      <c r="I964">
        <v>127.59</v>
      </c>
      <c r="J964" s="69" t="s">
        <v>12</v>
      </c>
      <c r="L964" s="15" t="str">
        <f t="shared" si="15"/>
        <v>112.2160.200</v>
      </c>
    </row>
    <row r="965" spans="1:12" x14ac:dyDescent="0.2">
      <c r="A965">
        <v>18650</v>
      </c>
      <c r="B965" t="s">
        <v>49</v>
      </c>
      <c r="C965">
        <v>12042511</v>
      </c>
      <c r="D965" t="s">
        <v>50</v>
      </c>
      <c r="E965">
        <v>301</v>
      </c>
      <c r="F965" t="s">
        <v>211</v>
      </c>
      <c r="G965" s="47" t="s">
        <v>210</v>
      </c>
      <c r="I965">
        <v>196.36</v>
      </c>
      <c r="J965" s="69" t="s">
        <v>12</v>
      </c>
      <c r="L965" s="15" t="str">
        <f t="shared" si="15"/>
        <v>112.2160.200</v>
      </c>
    </row>
    <row r="966" spans="1:12" x14ac:dyDescent="0.2">
      <c r="A966">
        <v>18850</v>
      </c>
      <c r="B966" t="s">
        <v>123</v>
      </c>
      <c r="C966">
        <v>12043011</v>
      </c>
      <c r="D966" t="s">
        <v>52</v>
      </c>
      <c r="E966">
        <v>301</v>
      </c>
      <c r="F966" t="s">
        <v>211</v>
      </c>
      <c r="G966" s="47" t="s">
        <v>210</v>
      </c>
      <c r="I966">
        <v>556.45000000000005</v>
      </c>
      <c r="J966" s="69" t="s">
        <v>12</v>
      </c>
      <c r="L966" s="15" t="str">
        <f t="shared" si="15"/>
        <v>112.2160.200</v>
      </c>
    </row>
    <row r="967" spans="1:12" x14ac:dyDescent="0.2">
      <c r="A967">
        <v>18646</v>
      </c>
      <c r="B967" t="s">
        <v>124</v>
      </c>
      <c r="C967">
        <v>12043011</v>
      </c>
      <c r="D967" t="s">
        <v>52</v>
      </c>
      <c r="E967">
        <v>301</v>
      </c>
      <c r="F967" t="s">
        <v>211</v>
      </c>
      <c r="G967" s="47" t="s">
        <v>210</v>
      </c>
      <c r="I967">
        <v>246.68</v>
      </c>
      <c r="J967" s="69" t="s">
        <v>12</v>
      </c>
      <c r="L967" s="15" t="str">
        <f t="shared" si="15"/>
        <v>112.2160.200</v>
      </c>
    </row>
    <row r="968" spans="1:12" x14ac:dyDescent="0.2">
      <c r="A968">
        <v>18703</v>
      </c>
      <c r="B968" t="s">
        <v>126</v>
      </c>
      <c r="C968">
        <v>12043011</v>
      </c>
      <c r="D968" t="s">
        <v>52</v>
      </c>
      <c r="E968">
        <v>301</v>
      </c>
      <c r="F968" t="s">
        <v>211</v>
      </c>
      <c r="G968" s="47" t="s">
        <v>210</v>
      </c>
      <c r="I968">
        <v>255.02</v>
      </c>
      <c r="J968" s="69" t="s">
        <v>12</v>
      </c>
      <c r="L968" s="15" t="str">
        <f t="shared" si="15"/>
        <v>112.2160.200</v>
      </c>
    </row>
    <row r="969" spans="1:12" x14ac:dyDescent="0.2">
      <c r="A969">
        <v>18917</v>
      </c>
      <c r="B969" t="s">
        <v>68</v>
      </c>
      <c r="C969">
        <v>12043011</v>
      </c>
      <c r="D969" t="s">
        <v>52</v>
      </c>
      <c r="E969">
        <v>301</v>
      </c>
      <c r="F969" t="s">
        <v>211</v>
      </c>
      <c r="G969" s="47" t="s">
        <v>210</v>
      </c>
      <c r="I969">
        <v>50.89</v>
      </c>
      <c r="J969" s="69" t="s">
        <v>12</v>
      </c>
      <c r="L969" s="15" t="str">
        <f t="shared" si="15"/>
        <v>112.2160.200</v>
      </c>
    </row>
    <row r="970" spans="1:12" x14ac:dyDescent="0.2">
      <c r="A970">
        <v>19039</v>
      </c>
      <c r="B970" t="s">
        <v>443</v>
      </c>
      <c r="C970">
        <v>12043011</v>
      </c>
      <c r="D970" t="s">
        <v>52</v>
      </c>
      <c r="E970">
        <v>301</v>
      </c>
      <c r="F970" t="s">
        <v>211</v>
      </c>
      <c r="G970" s="47" t="s">
        <v>210</v>
      </c>
      <c r="I970">
        <v>206.87</v>
      </c>
      <c r="J970" s="69" t="s">
        <v>12</v>
      </c>
      <c r="L970" s="15" t="str">
        <f t="shared" si="15"/>
        <v>112.2160.200</v>
      </c>
    </row>
    <row r="971" spans="1:12" x14ac:dyDescent="0.2">
      <c r="A971">
        <v>18942</v>
      </c>
      <c r="B971" t="s">
        <v>51</v>
      </c>
      <c r="C971">
        <v>12043011</v>
      </c>
      <c r="D971" t="s">
        <v>52</v>
      </c>
      <c r="E971">
        <v>301</v>
      </c>
      <c r="F971" t="s">
        <v>211</v>
      </c>
      <c r="G971" s="47" t="s">
        <v>210</v>
      </c>
      <c r="I971">
        <v>256.45999999999998</v>
      </c>
      <c r="J971" s="69" t="s">
        <v>12</v>
      </c>
      <c r="L971" s="15" t="str">
        <f t="shared" si="15"/>
        <v>112.2160.200</v>
      </c>
    </row>
    <row r="972" spans="1:12" x14ac:dyDescent="0.2">
      <c r="A972">
        <v>18990</v>
      </c>
      <c r="B972" t="s">
        <v>125</v>
      </c>
      <c r="C972">
        <v>12043011</v>
      </c>
      <c r="D972" t="s">
        <v>52</v>
      </c>
      <c r="E972">
        <v>301</v>
      </c>
      <c r="F972" t="s">
        <v>211</v>
      </c>
      <c r="G972" s="47" t="s">
        <v>210</v>
      </c>
      <c r="I972">
        <v>189.94</v>
      </c>
      <c r="J972" s="69" t="s">
        <v>12</v>
      </c>
      <c r="L972" s="15" t="str">
        <f t="shared" si="15"/>
        <v>112.2160.200</v>
      </c>
    </row>
    <row r="973" spans="1:12" x14ac:dyDescent="0.2">
      <c r="A973">
        <v>18986</v>
      </c>
      <c r="B973" t="s">
        <v>153</v>
      </c>
      <c r="C973">
        <v>12043011</v>
      </c>
      <c r="D973" t="s">
        <v>52</v>
      </c>
      <c r="E973">
        <v>301</v>
      </c>
      <c r="F973" t="s">
        <v>211</v>
      </c>
      <c r="G973" s="47" t="s">
        <v>210</v>
      </c>
      <c r="I973">
        <v>210.58</v>
      </c>
      <c r="J973" s="69" t="s">
        <v>12</v>
      </c>
      <c r="L973" s="15" t="str">
        <f t="shared" si="15"/>
        <v>112.2160.200</v>
      </c>
    </row>
    <row r="974" spans="1:12" x14ac:dyDescent="0.2">
      <c r="A974">
        <v>19023</v>
      </c>
      <c r="B974" t="s">
        <v>69</v>
      </c>
      <c r="C974">
        <v>12043011</v>
      </c>
      <c r="D974" t="s">
        <v>52</v>
      </c>
      <c r="E974">
        <v>301</v>
      </c>
      <c r="F974" t="s">
        <v>211</v>
      </c>
      <c r="G974" s="47" t="s">
        <v>210</v>
      </c>
      <c r="I974">
        <v>89.14</v>
      </c>
      <c r="J974" s="69" t="s">
        <v>12</v>
      </c>
      <c r="L974" s="15" t="str">
        <f t="shared" si="15"/>
        <v>112.2160.200</v>
      </c>
    </row>
    <row r="975" spans="1:12" x14ac:dyDescent="0.2">
      <c r="A975">
        <v>18924</v>
      </c>
      <c r="B975" t="s">
        <v>121</v>
      </c>
      <c r="C975">
        <v>12043011</v>
      </c>
      <c r="D975" t="s">
        <v>52</v>
      </c>
      <c r="E975">
        <v>301</v>
      </c>
      <c r="F975" t="s">
        <v>211</v>
      </c>
      <c r="G975" s="47" t="s">
        <v>210</v>
      </c>
      <c r="I975">
        <v>125.74</v>
      </c>
      <c r="J975" s="69" t="s">
        <v>12</v>
      </c>
      <c r="L975" s="15" t="str">
        <f t="shared" si="15"/>
        <v>112.2160.200</v>
      </c>
    </row>
    <row r="976" spans="1:12" x14ac:dyDescent="0.2">
      <c r="A976">
        <v>18713</v>
      </c>
      <c r="B976" t="s">
        <v>154</v>
      </c>
      <c r="C976">
        <v>12043011</v>
      </c>
      <c r="D976" t="s">
        <v>52</v>
      </c>
      <c r="E976">
        <v>301</v>
      </c>
      <c r="F976" t="s">
        <v>211</v>
      </c>
      <c r="G976" s="47" t="s">
        <v>210</v>
      </c>
      <c r="I976">
        <v>331.2</v>
      </c>
      <c r="J976" s="69" t="s">
        <v>12</v>
      </c>
      <c r="L976" s="15" t="str">
        <f t="shared" si="15"/>
        <v>112.2160.200</v>
      </c>
    </row>
    <row r="977" spans="1:12" x14ac:dyDescent="0.2">
      <c r="A977">
        <v>18970</v>
      </c>
      <c r="B977" t="s">
        <v>200</v>
      </c>
      <c r="C977">
        <v>12043123</v>
      </c>
      <c r="D977" t="s">
        <v>201</v>
      </c>
      <c r="E977">
        <v>301</v>
      </c>
      <c r="F977" t="s">
        <v>211</v>
      </c>
      <c r="G977" s="47" t="s">
        <v>210</v>
      </c>
      <c r="I977">
        <v>184.61</v>
      </c>
      <c r="J977" s="69" t="s">
        <v>12</v>
      </c>
      <c r="L977" s="15" t="str">
        <f t="shared" si="15"/>
        <v>112.2160.200</v>
      </c>
    </row>
    <row r="978" spans="1:12" x14ac:dyDescent="0.2">
      <c r="A978">
        <v>18976</v>
      </c>
      <c r="B978" t="s">
        <v>202</v>
      </c>
      <c r="C978">
        <v>12048099</v>
      </c>
      <c r="D978" t="s">
        <v>156</v>
      </c>
      <c r="E978">
        <v>301</v>
      </c>
      <c r="F978" t="s">
        <v>211</v>
      </c>
      <c r="G978" s="47" t="s">
        <v>210</v>
      </c>
      <c r="I978">
        <v>230.19</v>
      </c>
      <c r="J978" s="69" t="s">
        <v>12</v>
      </c>
      <c r="L978" s="15" t="str">
        <f t="shared" si="15"/>
        <v>112.2160.200</v>
      </c>
    </row>
    <row r="979" spans="1:12" x14ac:dyDescent="0.2">
      <c r="A979">
        <v>19031</v>
      </c>
      <c r="B979" t="s">
        <v>387</v>
      </c>
      <c r="C979">
        <v>12048099</v>
      </c>
      <c r="D979" t="s">
        <v>156</v>
      </c>
      <c r="E979">
        <v>301</v>
      </c>
      <c r="F979" t="s">
        <v>211</v>
      </c>
      <c r="G979" s="47" t="s">
        <v>210</v>
      </c>
      <c r="I979">
        <v>343.27</v>
      </c>
      <c r="J979" s="69" t="s">
        <v>12</v>
      </c>
      <c r="L979" s="15" t="str">
        <f t="shared" si="15"/>
        <v>112.2160.200</v>
      </c>
    </row>
    <row r="980" spans="1:12" x14ac:dyDescent="0.2">
      <c r="A980">
        <v>18442</v>
      </c>
      <c r="B980" t="s">
        <v>157</v>
      </c>
      <c r="C980">
        <v>12060400</v>
      </c>
      <c r="D980" t="s">
        <v>158</v>
      </c>
      <c r="E980">
        <v>301</v>
      </c>
      <c r="F980" t="s">
        <v>211</v>
      </c>
      <c r="G980" s="47" t="s">
        <v>210</v>
      </c>
      <c r="I980">
        <v>266.54000000000002</v>
      </c>
      <c r="J980" s="69" t="s">
        <v>12</v>
      </c>
      <c r="L980" s="15" t="str">
        <f t="shared" si="15"/>
        <v>112.2160.200</v>
      </c>
    </row>
    <row r="981" spans="1:12" x14ac:dyDescent="0.2">
      <c r="A981">
        <v>18634</v>
      </c>
      <c r="B981" t="s">
        <v>129</v>
      </c>
      <c r="C981">
        <v>12060611</v>
      </c>
      <c r="D981" t="s">
        <v>54</v>
      </c>
      <c r="E981">
        <v>301</v>
      </c>
      <c r="F981" t="s">
        <v>211</v>
      </c>
      <c r="G981" s="47" t="s">
        <v>210</v>
      </c>
      <c r="I981">
        <v>125.14</v>
      </c>
      <c r="J981" s="69" t="s">
        <v>12</v>
      </c>
      <c r="L981" s="15" t="str">
        <f t="shared" si="15"/>
        <v>112.2160.200</v>
      </c>
    </row>
    <row r="982" spans="1:12" x14ac:dyDescent="0.2">
      <c r="A982">
        <v>261</v>
      </c>
      <c r="B982" t="s">
        <v>159</v>
      </c>
      <c r="C982">
        <v>12060611</v>
      </c>
      <c r="D982" t="s">
        <v>54</v>
      </c>
      <c r="E982">
        <v>301</v>
      </c>
      <c r="F982" t="s">
        <v>211</v>
      </c>
      <c r="G982" s="47" t="s">
        <v>210</v>
      </c>
      <c r="I982">
        <v>323.08</v>
      </c>
      <c r="J982" s="69" t="s">
        <v>12</v>
      </c>
      <c r="L982" s="15" t="str">
        <f t="shared" si="15"/>
        <v>112.2160.200</v>
      </c>
    </row>
    <row r="983" spans="1:12" x14ac:dyDescent="0.2">
      <c r="A983">
        <v>18898</v>
      </c>
      <c r="B983" t="s">
        <v>130</v>
      </c>
      <c r="C983">
        <v>12060611</v>
      </c>
      <c r="D983" t="s">
        <v>54</v>
      </c>
      <c r="E983">
        <v>301</v>
      </c>
      <c r="F983" t="s">
        <v>211</v>
      </c>
      <c r="G983" s="47" t="s">
        <v>210</v>
      </c>
      <c r="I983">
        <v>188.12</v>
      </c>
      <c r="J983" s="69" t="s">
        <v>12</v>
      </c>
      <c r="L983" s="15" t="str">
        <f t="shared" si="15"/>
        <v>112.2160.200</v>
      </c>
    </row>
    <row r="984" spans="1:12" x14ac:dyDescent="0.2">
      <c r="A984">
        <v>18823</v>
      </c>
      <c r="B984" t="s">
        <v>53</v>
      </c>
      <c r="C984">
        <v>12060611</v>
      </c>
      <c r="D984" t="s">
        <v>54</v>
      </c>
      <c r="E984">
        <v>301</v>
      </c>
      <c r="F984" t="s">
        <v>211</v>
      </c>
      <c r="G984" s="47" t="s">
        <v>210</v>
      </c>
      <c r="I984">
        <v>253.46</v>
      </c>
      <c r="J984" s="69" t="s">
        <v>12</v>
      </c>
      <c r="L984" s="15" t="str">
        <f t="shared" si="15"/>
        <v>112.2160.200</v>
      </c>
    </row>
    <row r="985" spans="1:12" x14ac:dyDescent="0.2">
      <c r="A985">
        <v>18996</v>
      </c>
      <c r="B985" t="s">
        <v>127</v>
      </c>
      <c r="C985">
        <v>12060611</v>
      </c>
      <c r="D985" t="s">
        <v>54</v>
      </c>
      <c r="E985">
        <v>301</v>
      </c>
      <c r="F985" t="s">
        <v>211</v>
      </c>
      <c r="G985" s="47" t="s">
        <v>210</v>
      </c>
      <c r="I985">
        <v>158.53</v>
      </c>
      <c r="J985" s="69" t="s">
        <v>12</v>
      </c>
      <c r="L985" s="15" t="str">
        <f t="shared" si="15"/>
        <v>112.2160.200</v>
      </c>
    </row>
    <row r="986" spans="1:12" x14ac:dyDescent="0.2">
      <c r="A986">
        <v>18927</v>
      </c>
      <c r="B986" t="s">
        <v>55</v>
      </c>
      <c r="C986">
        <v>12060611</v>
      </c>
      <c r="D986" t="s">
        <v>54</v>
      </c>
      <c r="E986">
        <v>301</v>
      </c>
      <c r="F986" t="s">
        <v>211</v>
      </c>
      <c r="G986" s="47" t="s">
        <v>210</v>
      </c>
      <c r="I986">
        <v>146.56</v>
      </c>
      <c r="J986" s="69" t="s">
        <v>12</v>
      </c>
      <c r="L986" s="15" t="str">
        <f t="shared" si="15"/>
        <v>112.2160.200</v>
      </c>
    </row>
    <row r="987" spans="1:12" x14ac:dyDescent="0.2">
      <c r="A987">
        <v>18895</v>
      </c>
      <c r="B987" t="s">
        <v>128</v>
      </c>
      <c r="C987">
        <v>12060611</v>
      </c>
      <c r="D987" t="s">
        <v>54</v>
      </c>
      <c r="E987">
        <v>301</v>
      </c>
      <c r="F987" t="s">
        <v>211</v>
      </c>
      <c r="G987" s="47" t="s">
        <v>210</v>
      </c>
      <c r="I987">
        <v>162.81</v>
      </c>
      <c r="J987" s="69" t="s">
        <v>12</v>
      </c>
      <c r="L987" s="15" t="str">
        <f t="shared" si="15"/>
        <v>112.2160.200</v>
      </c>
    </row>
    <row r="988" spans="1:12" x14ac:dyDescent="0.2">
      <c r="A988">
        <v>18791</v>
      </c>
      <c r="B988" t="s">
        <v>132</v>
      </c>
      <c r="C988">
        <v>12060711</v>
      </c>
      <c r="D988" t="s">
        <v>133</v>
      </c>
      <c r="E988">
        <v>301</v>
      </c>
      <c r="F988" t="s">
        <v>211</v>
      </c>
      <c r="G988" s="47" t="s">
        <v>210</v>
      </c>
      <c r="I988">
        <v>254.67</v>
      </c>
      <c r="J988" s="69" t="s">
        <v>12</v>
      </c>
      <c r="L988" s="15" t="str">
        <f t="shared" si="15"/>
        <v>112.2160.200</v>
      </c>
    </row>
    <row r="989" spans="1:12" x14ac:dyDescent="0.2">
      <c r="A989">
        <v>18561</v>
      </c>
      <c r="B989" t="s">
        <v>134</v>
      </c>
      <c r="C989">
        <v>12060800</v>
      </c>
      <c r="D989" t="s">
        <v>135</v>
      </c>
      <c r="E989">
        <v>301</v>
      </c>
      <c r="F989" t="s">
        <v>211</v>
      </c>
      <c r="G989" s="47" t="s">
        <v>210</v>
      </c>
      <c r="I989">
        <v>266.64999999999998</v>
      </c>
      <c r="J989" s="69" t="s">
        <v>12</v>
      </c>
      <c r="L989" s="15" t="str">
        <f t="shared" si="15"/>
        <v>112.2160.200</v>
      </c>
    </row>
    <row r="990" spans="1:12" x14ac:dyDescent="0.2">
      <c r="A990">
        <v>18953</v>
      </c>
      <c r="B990" t="s">
        <v>136</v>
      </c>
      <c r="C990">
        <v>12060800</v>
      </c>
      <c r="D990" t="s">
        <v>135</v>
      </c>
      <c r="E990">
        <v>301</v>
      </c>
      <c r="F990" t="s">
        <v>211</v>
      </c>
      <c r="G990" s="47" t="s">
        <v>210</v>
      </c>
      <c r="I990">
        <v>191.2</v>
      </c>
      <c r="J990" s="69" t="s">
        <v>12</v>
      </c>
      <c r="L990" s="15" t="str">
        <f t="shared" si="15"/>
        <v>112.2160.200</v>
      </c>
    </row>
    <row r="991" spans="1:12" x14ac:dyDescent="0.2">
      <c r="A991">
        <v>18792</v>
      </c>
      <c r="B991" t="s">
        <v>56</v>
      </c>
      <c r="C991">
        <v>12062511</v>
      </c>
      <c r="D991" t="s">
        <v>57</v>
      </c>
      <c r="E991">
        <v>301</v>
      </c>
      <c r="F991" t="s">
        <v>211</v>
      </c>
      <c r="G991" s="47" t="s">
        <v>210</v>
      </c>
      <c r="I991">
        <v>209</v>
      </c>
      <c r="J991" s="69" t="s">
        <v>12</v>
      </c>
      <c r="L991" s="15" t="str">
        <f t="shared" si="15"/>
        <v>112.2160.200</v>
      </c>
    </row>
    <row r="992" spans="1:12" x14ac:dyDescent="0.2">
      <c r="A992">
        <v>156</v>
      </c>
      <c r="B992" t="s">
        <v>137</v>
      </c>
      <c r="C992">
        <v>12062511</v>
      </c>
      <c r="D992" t="s">
        <v>57</v>
      </c>
      <c r="E992">
        <v>301</v>
      </c>
      <c r="F992" t="s">
        <v>211</v>
      </c>
      <c r="G992" s="47" t="s">
        <v>210</v>
      </c>
      <c r="I992">
        <v>58.5</v>
      </c>
      <c r="J992" s="69" t="s">
        <v>12</v>
      </c>
      <c r="L992" s="15" t="str">
        <f t="shared" si="15"/>
        <v>112.2160.200</v>
      </c>
    </row>
    <row r="993" spans="1:12" x14ac:dyDescent="0.2">
      <c r="A993">
        <v>18506</v>
      </c>
      <c r="B993" t="s">
        <v>438</v>
      </c>
      <c r="C993">
        <v>12062511</v>
      </c>
      <c r="D993" t="s">
        <v>57</v>
      </c>
      <c r="E993">
        <v>301</v>
      </c>
      <c r="F993" t="s">
        <v>211</v>
      </c>
      <c r="G993" s="47" t="s">
        <v>210</v>
      </c>
      <c r="I993">
        <v>74.430000000000007</v>
      </c>
      <c r="J993" s="69" t="s">
        <v>12</v>
      </c>
      <c r="L993" s="15" t="str">
        <f t="shared" si="15"/>
        <v>112.2160.200</v>
      </c>
    </row>
    <row r="994" spans="1:12" x14ac:dyDescent="0.2">
      <c r="A994">
        <v>19037</v>
      </c>
      <c r="B994" t="s">
        <v>441</v>
      </c>
      <c r="C994">
        <v>12063011</v>
      </c>
      <c r="D994" t="s">
        <v>442</v>
      </c>
      <c r="E994">
        <v>301</v>
      </c>
      <c r="F994" t="s">
        <v>211</v>
      </c>
      <c r="G994" s="47" t="s">
        <v>210</v>
      </c>
      <c r="I994">
        <v>66.48</v>
      </c>
      <c r="J994" s="69" t="s">
        <v>12</v>
      </c>
      <c r="L994" s="15" t="str">
        <f t="shared" si="15"/>
        <v>112.2160.200</v>
      </c>
    </row>
    <row r="995" spans="1:12" x14ac:dyDescent="0.2">
      <c r="A995">
        <v>18876</v>
      </c>
      <c r="B995" t="s">
        <v>160</v>
      </c>
      <c r="C995">
        <v>12068099</v>
      </c>
      <c r="D995" t="s">
        <v>161</v>
      </c>
      <c r="E995">
        <v>301</v>
      </c>
      <c r="F995" t="s">
        <v>211</v>
      </c>
      <c r="G995" s="47" t="s">
        <v>210</v>
      </c>
      <c r="I995">
        <v>302.89</v>
      </c>
      <c r="J995" s="69" t="s">
        <v>12</v>
      </c>
      <c r="L995" s="15" t="str">
        <f t="shared" si="15"/>
        <v>112.2160.200</v>
      </c>
    </row>
  </sheetData>
  <autoFilter ref="A1:O99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Pict="0" macro="[0]!addpayrolljournal">
                <anchor moveWithCells="1" sizeWithCells="1">
                  <from>
                    <xdr:col>12</xdr:col>
                    <xdr:colOff>28575</xdr:colOff>
                    <xdr:row>0</xdr:row>
                    <xdr:rowOff>28575</xdr:rowOff>
                  </from>
                  <to>
                    <xdr:col>13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1560"/>
  <sheetViews>
    <sheetView workbookViewId="0">
      <selection activeCell="H22" sqref="H22"/>
    </sheetView>
  </sheetViews>
  <sheetFormatPr defaultColWidth="9.140625" defaultRowHeight="12.75" outlineLevelRow="1" x14ac:dyDescent="0.2"/>
  <cols>
    <col min="1" max="1" width="23.5703125" style="71" customWidth="1"/>
    <col min="2" max="2" width="12.85546875" style="57" customWidth="1"/>
    <col min="3" max="3" width="12.140625" style="59" customWidth="1"/>
    <col min="4" max="7" width="4.140625" style="59" customWidth="1"/>
    <col min="8" max="8" width="27.140625" style="72" customWidth="1"/>
    <col min="9" max="9" width="4.140625" style="59" customWidth="1"/>
    <col min="10" max="10" width="10.140625" style="59" customWidth="1"/>
    <col min="11" max="11" width="30.42578125" style="59" customWidth="1"/>
    <col min="12" max="12" width="2.5703125" style="59" customWidth="1"/>
    <col min="13" max="13" width="12" style="59" customWidth="1"/>
    <col min="14" max="15" width="4.140625" style="59" customWidth="1"/>
    <col min="16" max="16" width="4.140625" style="73" customWidth="1"/>
    <col min="17" max="17" width="15" style="59" customWidth="1"/>
    <col min="18" max="18" width="16.42578125" style="59" customWidth="1"/>
    <col min="19" max="16384" width="9.140625" style="59"/>
  </cols>
  <sheetData>
    <row r="1" spans="1:21" x14ac:dyDescent="0.2">
      <c r="A1" s="74" t="s">
        <v>212</v>
      </c>
      <c r="J1" s="76">
        <v>44873</v>
      </c>
      <c r="K1" s="77" t="str">
        <f>"1st Pay Period ending "&amp;DAY(J1)&amp;"/"&amp;MONTH(J1)&amp;"/"&amp;YEAR(J1)</f>
        <v>1st Pay Period ending 8/11/2022</v>
      </c>
      <c r="L1" s="77"/>
      <c r="M1" s="77"/>
      <c r="N1" s="77" t="s">
        <v>213</v>
      </c>
      <c r="O1" s="77"/>
    </row>
    <row r="2" spans="1:21" s="70" customFormat="1" x14ac:dyDescent="0.2">
      <c r="A2" s="96" t="s">
        <v>214</v>
      </c>
      <c r="B2" s="97" t="s">
        <v>215</v>
      </c>
      <c r="C2" s="98" t="s">
        <v>216</v>
      </c>
      <c r="D2" s="98" t="s">
        <v>217</v>
      </c>
      <c r="E2" s="98"/>
      <c r="F2" s="98"/>
      <c r="G2" s="98" t="s">
        <v>218</v>
      </c>
      <c r="H2" s="99" t="s">
        <v>219</v>
      </c>
      <c r="I2" s="98"/>
      <c r="J2" s="100"/>
      <c r="K2" s="98"/>
      <c r="L2" s="98"/>
      <c r="M2" s="98" t="s">
        <v>0</v>
      </c>
      <c r="P2" s="79"/>
      <c r="Q2" s="78" t="s">
        <v>220</v>
      </c>
      <c r="R2" s="78">
        <v>154670</v>
      </c>
      <c r="T2" s="70" t="s">
        <v>215</v>
      </c>
      <c r="U2" s="70" t="s">
        <v>216</v>
      </c>
    </row>
    <row r="3" spans="1:21" ht="12.75" customHeight="1" x14ac:dyDescent="0.2">
      <c r="A3" s="30" t="s">
        <v>379</v>
      </c>
      <c r="B3" s="30">
        <v>653.84</v>
      </c>
      <c r="C3" s="30"/>
      <c r="H3" s="83" t="str">
        <f t="shared" ref="H3:H66" si="0">$K$1</f>
        <v>1st Pay Period ending 8/11/2022</v>
      </c>
      <c r="M3" s="30">
        <v>18726</v>
      </c>
      <c r="N3" s="61"/>
    </row>
    <row r="4" spans="1:21" ht="12.75" customHeight="1" x14ac:dyDescent="0.2">
      <c r="A4" s="30" t="s">
        <v>464</v>
      </c>
      <c r="B4" s="30">
        <v>769.24</v>
      </c>
      <c r="C4" s="30"/>
      <c r="H4" s="59" t="str">
        <f t="shared" si="0"/>
        <v>1st Pay Period ending 8/11/2022</v>
      </c>
      <c r="M4" s="30">
        <v>152</v>
      </c>
      <c r="N4" s="61"/>
    </row>
    <row r="5" spans="1:21" ht="12.75" customHeight="1" x14ac:dyDescent="0.2">
      <c r="A5" s="30" t="s">
        <v>465</v>
      </c>
      <c r="B5" s="30">
        <v>55.59</v>
      </c>
      <c r="C5" s="30"/>
      <c r="H5" s="59" t="str">
        <f t="shared" si="0"/>
        <v>1st Pay Period ending 8/11/2022</v>
      </c>
      <c r="M5" s="30">
        <v>18736</v>
      </c>
      <c r="N5" s="61"/>
    </row>
    <row r="6" spans="1:21" ht="12.75" customHeight="1" x14ac:dyDescent="0.2">
      <c r="A6" s="75" t="s">
        <v>221</v>
      </c>
      <c r="B6" s="30">
        <v>269.23</v>
      </c>
      <c r="C6" s="30"/>
      <c r="H6" s="59" t="str">
        <f t="shared" si="0"/>
        <v>1st Pay Period ending 8/11/2022</v>
      </c>
      <c r="M6" s="30">
        <v>18988</v>
      </c>
      <c r="N6" s="61"/>
    </row>
    <row r="7" spans="1:21" ht="12.75" customHeight="1" x14ac:dyDescent="0.2">
      <c r="A7" s="75" t="s">
        <v>466</v>
      </c>
      <c r="B7" s="30">
        <v>965.43</v>
      </c>
      <c r="C7" s="30"/>
      <c r="H7" s="59" t="str">
        <f t="shared" si="0"/>
        <v>1st Pay Period ending 8/11/2022</v>
      </c>
      <c r="M7" s="30">
        <v>220</v>
      </c>
      <c r="N7" s="61"/>
    </row>
    <row r="8" spans="1:21" ht="12.75" customHeight="1" x14ac:dyDescent="0.2">
      <c r="A8" s="30" t="s">
        <v>222</v>
      </c>
      <c r="B8" s="30">
        <v>1046.1600000000001</v>
      </c>
      <c r="C8" s="30"/>
      <c r="H8" s="59" t="str">
        <f t="shared" si="0"/>
        <v>1st Pay Period ending 8/11/2022</v>
      </c>
      <c r="M8" s="30">
        <v>18948</v>
      </c>
      <c r="N8" s="61"/>
    </row>
    <row r="9" spans="1:21" ht="12.75" customHeight="1" x14ac:dyDescent="0.2">
      <c r="A9" s="75" t="s">
        <v>370</v>
      </c>
      <c r="B9" s="30">
        <v>607.04999999999995</v>
      </c>
      <c r="C9" s="30"/>
      <c r="H9" s="59" t="str">
        <f t="shared" si="0"/>
        <v>1st Pay Period ending 8/11/2022</v>
      </c>
      <c r="M9" s="30">
        <v>18853</v>
      </c>
      <c r="N9" s="61"/>
    </row>
    <row r="10" spans="1:21" ht="12.75" customHeight="1" x14ac:dyDescent="0.2">
      <c r="A10" s="75" t="s">
        <v>370</v>
      </c>
      <c r="B10" s="30">
        <v>311.54000000000002</v>
      </c>
      <c r="C10" s="30"/>
      <c r="H10" s="59" t="str">
        <f t="shared" si="0"/>
        <v>1st Pay Period ending 8/11/2022</v>
      </c>
      <c r="M10" s="30">
        <v>19003</v>
      </c>
      <c r="N10" s="61"/>
    </row>
    <row r="11" spans="1:21" ht="12.75" customHeight="1" x14ac:dyDescent="0.2">
      <c r="A11" s="75" t="s">
        <v>370</v>
      </c>
      <c r="B11" s="30">
        <v>653.84</v>
      </c>
      <c r="C11" s="30"/>
      <c r="H11" s="59" t="str">
        <f t="shared" si="0"/>
        <v>1st Pay Period ending 8/11/2022</v>
      </c>
      <c r="M11" s="30">
        <v>18741</v>
      </c>
      <c r="N11" s="61"/>
    </row>
    <row r="12" spans="1:21" ht="12.75" customHeight="1" x14ac:dyDescent="0.2">
      <c r="A12" s="75" t="s">
        <v>370</v>
      </c>
      <c r="B12" s="30">
        <v>1338.46</v>
      </c>
      <c r="C12" s="30"/>
      <c r="H12" s="59" t="str">
        <f t="shared" si="0"/>
        <v>1st Pay Period ending 8/11/2022</v>
      </c>
      <c r="M12" s="30">
        <v>19022</v>
      </c>
      <c r="N12" s="61"/>
    </row>
    <row r="13" spans="1:21" ht="12.75" customHeight="1" x14ac:dyDescent="0.2">
      <c r="A13" s="75" t="s">
        <v>370</v>
      </c>
      <c r="B13" s="30">
        <v>379.13</v>
      </c>
      <c r="C13" s="30"/>
      <c r="H13" s="59" t="str">
        <f t="shared" si="0"/>
        <v>1st Pay Period ending 8/11/2022</v>
      </c>
      <c r="M13" s="30">
        <v>18550</v>
      </c>
      <c r="N13" s="61"/>
    </row>
    <row r="14" spans="1:21" ht="12.75" customHeight="1" x14ac:dyDescent="0.2">
      <c r="A14" s="75" t="s">
        <v>223</v>
      </c>
      <c r="B14" s="30">
        <v>444.74</v>
      </c>
      <c r="C14" s="30"/>
      <c r="H14" s="59" t="str">
        <f t="shared" si="0"/>
        <v>1st Pay Period ending 8/11/2022</v>
      </c>
      <c r="M14" s="30">
        <v>18589</v>
      </c>
      <c r="N14" s="61"/>
    </row>
    <row r="15" spans="1:21" ht="12.75" customHeight="1" x14ac:dyDescent="0.2">
      <c r="A15" s="75" t="s">
        <v>225</v>
      </c>
      <c r="B15" s="30">
        <v>196.05</v>
      </c>
      <c r="C15" s="30"/>
      <c r="H15" s="59" t="str">
        <f t="shared" si="0"/>
        <v>1st Pay Period ending 8/11/2022</v>
      </c>
      <c r="M15" s="30">
        <v>18630</v>
      </c>
      <c r="N15" s="61"/>
    </row>
    <row r="16" spans="1:21" ht="12.75" customHeight="1" x14ac:dyDescent="0.2">
      <c r="A16" s="75" t="s">
        <v>226</v>
      </c>
      <c r="B16" s="30">
        <v>2268.2600000000002</v>
      </c>
      <c r="C16" s="30"/>
      <c r="H16" s="59" t="str">
        <f t="shared" si="0"/>
        <v>1st Pay Period ending 8/11/2022</v>
      </c>
      <c r="M16" s="30">
        <v>18687</v>
      </c>
      <c r="N16" s="61"/>
    </row>
    <row r="17" spans="1:14" ht="12.75" customHeight="1" x14ac:dyDescent="0.2">
      <c r="A17" s="75" t="s">
        <v>226</v>
      </c>
      <c r="B17" s="30">
        <v>180.54</v>
      </c>
      <c r="C17" s="30"/>
      <c r="H17" s="59" t="str">
        <f t="shared" si="0"/>
        <v>1st Pay Period ending 8/11/2022</v>
      </c>
      <c r="M17" s="30">
        <v>19033</v>
      </c>
      <c r="N17" s="61"/>
    </row>
    <row r="18" spans="1:14" ht="12.75" customHeight="1" x14ac:dyDescent="0.2">
      <c r="A18" s="75" t="s">
        <v>226</v>
      </c>
      <c r="B18" s="30">
        <v>2822.7</v>
      </c>
      <c r="C18" s="30"/>
      <c r="H18" s="59" t="str">
        <f t="shared" si="0"/>
        <v>1st Pay Period ending 8/11/2022</v>
      </c>
      <c r="M18" s="30">
        <v>18781</v>
      </c>
      <c r="N18" s="61"/>
    </row>
    <row r="19" spans="1:14" ht="12.75" customHeight="1" x14ac:dyDescent="0.2">
      <c r="A19" s="75" t="s">
        <v>226</v>
      </c>
      <c r="B19" s="30">
        <v>4442.32</v>
      </c>
      <c r="C19" s="30"/>
      <c r="H19" s="59" t="str">
        <f t="shared" si="0"/>
        <v>1st Pay Period ending 8/11/2022</v>
      </c>
      <c r="M19" s="30">
        <v>18559</v>
      </c>
      <c r="N19" s="61"/>
    </row>
    <row r="20" spans="1:14" ht="12.75" customHeight="1" x14ac:dyDescent="0.2">
      <c r="A20" s="75" t="s">
        <v>226</v>
      </c>
      <c r="B20" s="30">
        <v>236.27</v>
      </c>
      <c r="C20" s="30"/>
      <c r="H20" s="59" t="str">
        <f t="shared" si="0"/>
        <v>1st Pay Period ending 8/11/2022</v>
      </c>
      <c r="M20" s="30">
        <v>18659</v>
      </c>
      <c r="N20" s="61"/>
    </row>
    <row r="21" spans="1:14" ht="12.75" customHeight="1" x14ac:dyDescent="0.2">
      <c r="A21" s="75" t="s">
        <v>227</v>
      </c>
      <c r="B21" s="30">
        <v>361.08</v>
      </c>
      <c r="C21" s="30"/>
      <c r="H21" s="59" t="str">
        <f t="shared" si="0"/>
        <v>1st Pay Period ending 8/11/2022</v>
      </c>
      <c r="M21" s="30">
        <v>141</v>
      </c>
      <c r="N21" s="61"/>
    </row>
    <row r="22" spans="1:14" ht="12.75" customHeight="1" x14ac:dyDescent="0.2">
      <c r="A22" s="75" t="s">
        <v>227</v>
      </c>
      <c r="B22" s="30">
        <v>299.32</v>
      </c>
      <c r="C22" s="30"/>
      <c r="H22" s="59" t="str">
        <f t="shared" si="0"/>
        <v>1st Pay Period ending 8/11/2022</v>
      </c>
      <c r="M22" s="30">
        <v>11229</v>
      </c>
      <c r="N22" s="61"/>
    </row>
    <row r="23" spans="1:14" ht="12.75" customHeight="1" x14ac:dyDescent="0.2">
      <c r="A23" s="75" t="s">
        <v>227</v>
      </c>
      <c r="B23" s="30">
        <v>196.05</v>
      </c>
      <c r="C23" s="30"/>
      <c r="H23" s="59" t="str">
        <f t="shared" si="0"/>
        <v>1st Pay Period ending 8/11/2022</v>
      </c>
      <c r="M23" s="30">
        <v>18961</v>
      </c>
      <c r="N23" s="61"/>
    </row>
    <row r="24" spans="1:14" ht="12.75" customHeight="1" x14ac:dyDescent="0.2">
      <c r="A24" s="75" t="s">
        <v>371</v>
      </c>
      <c r="B24" s="30">
        <v>51.59</v>
      </c>
      <c r="C24" s="30"/>
      <c r="H24" s="59" t="str">
        <f t="shared" si="0"/>
        <v>1st Pay Period ending 8/11/2022</v>
      </c>
      <c r="M24" s="30">
        <v>19007</v>
      </c>
      <c r="N24" s="61"/>
    </row>
    <row r="25" spans="1:14" ht="12.75" customHeight="1" x14ac:dyDescent="0.2">
      <c r="A25" s="75" t="s">
        <v>371</v>
      </c>
      <c r="B25" s="30">
        <v>196.05</v>
      </c>
      <c r="C25" s="30"/>
      <c r="H25" s="59" t="str">
        <f t="shared" si="0"/>
        <v>1st Pay Period ending 8/11/2022</v>
      </c>
      <c r="M25" s="30">
        <v>19032</v>
      </c>
      <c r="N25" s="61"/>
    </row>
    <row r="26" spans="1:14" ht="12.75" customHeight="1" x14ac:dyDescent="0.2">
      <c r="A26" s="75" t="s">
        <v>450</v>
      </c>
      <c r="B26" s="30">
        <v>326.92</v>
      </c>
      <c r="C26" s="30"/>
      <c r="H26" s="59" t="str">
        <f t="shared" si="0"/>
        <v>1st Pay Period ending 8/11/2022</v>
      </c>
      <c r="M26" s="30">
        <v>19038</v>
      </c>
      <c r="N26" s="61"/>
    </row>
    <row r="27" spans="1:14" ht="12.75" customHeight="1" x14ac:dyDescent="0.2">
      <c r="A27" s="75" t="s">
        <v>445</v>
      </c>
      <c r="B27" s="30">
        <v>1265.04</v>
      </c>
      <c r="C27" s="30"/>
      <c r="H27" s="59" t="str">
        <f t="shared" si="0"/>
        <v>1st Pay Period ending 8/11/2022</v>
      </c>
      <c r="M27" s="30">
        <v>18581</v>
      </c>
      <c r="N27" s="61"/>
    </row>
    <row r="28" spans="1:14" ht="12.75" customHeight="1" x14ac:dyDescent="0.2">
      <c r="A28" s="75" t="s">
        <v>381</v>
      </c>
      <c r="B28" s="30">
        <v>821.86</v>
      </c>
      <c r="C28" s="30"/>
      <c r="H28" s="59" t="str">
        <f t="shared" si="0"/>
        <v>1st Pay Period ending 8/11/2022</v>
      </c>
      <c r="M28" s="30">
        <v>44705</v>
      </c>
      <c r="N28" s="61"/>
    </row>
    <row r="29" spans="1:14" ht="12.75" customHeight="1" x14ac:dyDescent="0.2">
      <c r="A29" s="75" t="s">
        <v>382</v>
      </c>
      <c r="B29" s="30">
        <v>461.54</v>
      </c>
      <c r="C29" s="30"/>
      <c r="H29" s="59" t="str">
        <f t="shared" si="0"/>
        <v>1st Pay Period ending 8/11/2022</v>
      </c>
      <c r="M29" s="30">
        <v>18805</v>
      </c>
      <c r="N29" s="61"/>
    </row>
    <row r="30" spans="1:14" ht="12.75" customHeight="1" x14ac:dyDescent="0.2">
      <c r="A30" s="75" t="s">
        <v>228</v>
      </c>
      <c r="B30" s="30">
        <v>495.16</v>
      </c>
      <c r="C30" s="30"/>
      <c r="H30" s="59" t="str">
        <f t="shared" si="0"/>
        <v>1st Pay Period ending 8/11/2022</v>
      </c>
      <c r="M30" s="30">
        <v>266</v>
      </c>
      <c r="N30" s="61"/>
    </row>
    <row r="31" spans="1:14" ht="12.75" customHeight="1" x14ac:dyDescent="0.2">
      <c r="A31" s="75" t="s">
        <v>228</v>
      </c>
      <c r="B31" s="30">
        <v>1143.26</v>
      </c>
      <c r="C31" s="30"/>
      <c r="H31" s="59" t="str">
        <f t="shared" si="0"/>
        <v>1st Pay Period ending 8/11/2022</v>
      </c>
      <c r="M31" s="30">
        <v>302</v>
      </c>
      <c r="N31" s="61"/>
    </row>
    <row r="32" spans="1:14" ht="12.75" customHeight="1" x14ac:dyDescent="0.2">
      <c r="A32" s="75" t="s">
        <v>229</v>
      </c>
      <c r="B32" s="30">
        <v>196.05</v>
      </c>
      <c r="C32" s="30"/>
      <c r="H32" s="59" t="str">
        <f t="shared" si="0"/>
        <v>1st Pay Period ending 8/11/2022</v>
      </c>
      <c r="M32" s="30">
        <v>18822</v>
      </c>
      <c r="N32" s="61"/>
    </row>
    <row r="33" spans="1:14" ht="12.75" customHeight="1" x14ac:dyDescent="0.2">
      <c r="A33" s="75" t="s">
        <v>229</v>
      </c>
      <c r="B33" s="30">
        <v>174.78</v>
      </c>
      <c r="C33" s="30"/>
      <c r="H33" s="59" t="str">
        <f t="shared" si="0"/>
        <v>1st Pay Period ending 8/11/2022</v>
      </c>
      <c r="M33" s="30">
        <v>18979</v>
      </c>
      <c r="N33" s="61"/>
    </row>
    <row r="34" spans="1:14" ht="12.75" customHeight="1" x14ac:dyDescent="0.2">
      <c r="A34" s="75" t="s">
        <v>230</v>
      </c>
      <c r="B34" s="30">
        <v>166.78</v>
      </c>
      <c r="C34" s="30"/>
      <c r="H34" s="59" t="str">
        <f t="shared" si="0"/>
        <v>1st Pay Period ending 8/11/2022</v>
      </c>
      <c r="M34" s="30">
        <v>18736</v>
      </c>
      <c r="N34" s="61"/>
    </row>
    <row r="35" spans="1:14" ht="12.75" customHeight="1" x14ac:dyDescent="0.2">
      <c r="A35" s="75" t="s">
        <v>231</v>
      </c>
      <c r="B35" s="30">
        <v>889.48</v>
      </c>
      <c r="C35" s="30"/>
      <c r="H35" s="59" t="str">
        <f t="shared" si="0"/>
        <v>1st Pay Period ending 8/11/2022</v>
      </c>
      <c r="M35" s="30">
        <v>18932</v>
      </c>
      <c r="N35" s="61"/>
    </row>
    <row r="36" spans="1:14" ht="12.75" customHeight="1" x14ac:dyDescent="0.2">
      <c r="A36" s="75" t="s">
        <v>231</v>
      </c>
      <c r="B36" s="30">
        <v>95.02</v>
      </c>
      <c r="C36" s="30"/>
      <c r="H36" s="59" t="str">
        <f t="shared" si="0"/>
        <v>1st Pay Period ending 8/11/2022</v>
      </c>
      <c r="M36" s="30">
        <v>19019</v>
      </c>
      <c r="N36" s="61"/>
    </row>
    <row r="37" spans="1:14" ht="12.75" customHeight="1" x14ac:dyDescent="0.2">
      <c r="A37" s="75" t="s">
        <v>231</v>
      </c>
      <c r="B37" s="30">
        <v>95.02</v>
      </c>
      <c r="C37" s="30"/>
      <c r="H37" s="59" t="str">
        <f t="shared" si="0"/>
        <v>1st Pay Period ending 8/11/2022</v>
      </c>
      <c r="M37" s="30">
        <v>19015</v>
      </c>
      <c r="N37" s="61"/>
    </row>
    <row r="38" spans="1:14" ht="12.75" customHeight="1" x14ac:dyDescent="0.2">
      <c r="A38" s="75" t="s">
        <v>231</v>
      </c>
      <c r="B38" s="30">
        <v>349.56</v>
      </c>
      <c r="C38" s="30"/>
      <c r="H38" s="59" t="str">
        <f t="shared" si="0"/>
        <v>1st Pay Period ending 8/11/2022</v>
      </c>
      <c r="M38" s="30">
        <v>18923</v>
      </c>
      <c r="N38" s="61"/>
    </row>
    <row r="39" spans="1:14" ht="12.75" customHeight="1" x14ac:dyDescent="0.2">
      <c r="A39" s="75" t="s">
        <v>467</v>
      </c>
      <c r="B39" s="30">
        <v>1153.8499999999999</v>
      </c>
      <c r="C39" s="30"/>
      <c r="H39" s="59" t="str">
        <f t="shared" si="0"/>
        <v>1st Pay Period ending 8/11/2022</v>
      </c>
      <c r="M39" s="30">
        <v>18998</v>
      </c>
      <c r="N39" s="61"/>
    </row>
    <row r="40" spans="1:14" ht="12.75" customHeight="1" x14ac:dyDescent="0.2">
      <c r="A40" s="75" t="s">
        <v>455</v>
      </c>
      <c r="B40" s="30">
        <v>980.23</v>
      </c>
      <c r="C40" s="30"/>
      <c r="H40" s="59" t="str">
        <f t="shared" si="0"/>
        <v>1st Pay Period ending 8/11/2022</v>
      </c>
      <c r="M40" s="30">
        <v>18904</v>
      </c>
      <c r="N40" s="61"/>
    </row>
    <row r="41" spans="1:14" ht="12.75" customHeight="1" x14ac:dyDescent="0.2">
      <c r="A41" s="75" t="s">
        <v>456</v>
      </c>
      <c r="B41" s="30">
        <v>465.02</v>
      </c>
      <c r="C41" s="30"/>
      <c r="H41" s="59" t="str">
        <f t="shared" si="0"/>
        <v>1st Pay Period ending 8/11/2022</v>
      </c>
      <c r="M41" s="30">
        <v>18650</v>
      </c>
      <c r="N41" s="61"/>
    </row>
    <row r="42" spans="1:14" ht="12.75" customHeight="1" x14ac:dyDescent="0.2">
      <c r="A42" s="75" t="s">
        <v>232</v>
      </c>
      <c r="B42" s="30">
        <v>3029.33</v>
      </c>
      <c r="C42" s="30"/>
      <c r="H42" s="59" t="str">
        <f t="shared" si="0"/>
        <v>1st Pay Period ending 8/11/2022</v>
      </c>
      <c r="M42" s="30">
        <v>18850</v>
      </c>
      <c r="N42" s="61"/>
    </row>
    <row r="43" spans="1:14" ht="12.75" customHeight="1" x14ac:dyDescent="0.2">
      <c r="A43" s="75" t="s">
        <v>232</v>
      </c>
      <c r="B43" s="30">
        <v>541.62</v>
      </c>
      <c r="C43" s="30"/>
      <c r="H43" s="59" t="str">
        <f t="shared" si="0"/>
        <v>1st Pay Period ending 8/11/2022</v>
      </c>
      <c r="M43" s="30">
        <v>18990</v>
      </c>
      <c r="N43" s="61"/>
    </row>
    <row r="44" spans="1:14" ht="12.75" customHeight="1" x14ac:dyDescent="0.2">
      <c r="A44" s="75" t="s">
        <v>373</v>
      </c>
      <c r="B44" s="30">
        <v>326.92</v>
      </c>
      <c r="C44" s="30"/>
      <c r="H44" s="59" t="str">
        <f t="shared" si="0"/>
        <v>1st Pay Period ending 8/11/2022</v>
      </c>
      <c r="M44" s="30">
        <v>19031</v>
      </c>
      <c r="N44" s="61"/>
    </row>
    <row r="45" spans="1:14" ht="12.75" customHeight="1" x14ac:dyDescent="0.2">
      <c r="A45" s="75" t="s">
        <v>233</v>
      </c>
      <c r="B45" s="30">
        <v>248.7</v>
      </c>
      <c r="C45" s="30"/>
      <c r="H45" s="59" t="str">
        <f t="shared" si="0"/>
        <v>1st Pay Period ending 8/11/2022</v>
      </c>
      <c r="M45" s="30">
        <v>18634</v>
      </c>
      <c r="N45" s="61"/>
    </row>
    <row r="46" spans="1:14" ht="12.75" customHeight="1" x14ac:dyDescent="0.2">
      <c r="A46" s="75" t="s">
        <v>233</v>
      </c>
      <c r="B46" s="30">
        <v>196.05</v>
      </c>
      <c r="C46" s="30"/>
      <c r="H46" s="59" t="str">
        <f t="shared" si="0"/>
        <v>1st Pay Period ending 8/11/2022</v>
      </c>
      <c r="M46" s="30">
        <v>18996</v>
      </c>
      <c r="N46" s="61"/>
    </row>
    <row r="47" spans="1:14" ht="12.75" customHeight="1" x14ac:dyDescent="0.2">
      <c r="A47" s="75" t="s">
        <v>233</v>
      </c>
      <c r="B47" s="30">
        <v>887.38</v>
      </c>
      <c r="C47" s="30"/>
      <c r="H47" s="59" t="str">
        <f t="shared" si="0"/>
        <v>1st Pay Period ending 8/11/2022</v>
      </c>
      <c r="M47" s="30">
        <v>18898</v>
      </c>
      <c r="N47" s="61"/>
    </row>
    <row r="48" spans="1:14" ht="12.75" customHeight="1" x14ac:dyDescent="0.2">
      <c r="A48" s="75" t="s">
        <v>468</v>
      </c>
      <c r="B48" s="30">
        <v>1922.08</v>
      </c>
      <c r="C48" s="30"/>
      <c r="H48" s="59" t="str">
        <f t="shared" si="0"/>
        <v>1st Pay Period ending 8/11/2022</v>
      </c>
      <c r="M48" s="30">
        <v>18791</v>
      </c>
      <c r="N48" s="61"/>
    </row>
    <row r="49" spans="1:14" ht="12.75" customHeight="1" x14ac:dyDescent="0.2">
      <c r="A49" s="75" t="s">
        <v>469</v>
      </c>
      <c r="B49" s="30">
        <v>722.16</v>
      </c>
      <c r="C49" s="30"/>
      <c r="H49" s="59" t="str">
        <f t="shared" si="0"/>
        <v>1st Pay Period ending 8/11/2022</v>
      </c>
      <c r="M49" s="30">
        <v>18953</v>
      </c>
      <c r="N49" s="61"/>
    </row>
    <row r="50" spans="1:14" ht="12.75" customHeight="1" x14ac:dyDescent="0.2">
      <c r="A50" s="75" t="s">
        <v>234</v>
      </c>
      <c r="B50" s="30">
        <v>996.67</v>
      </c>
      <c r="C50" s="30"/>
      <c r="H50" s="59" t="str">
        <f t="shared" si="0"/>
        <v>1st Pay Period ending 8/11/2022</v>
      </c>
      <c r="M50" s="30">
        <v>18997</v>
      </c>
      <c r="N50" s="61"/>
    </row>
    <row r="51" spans="1:14" ht="12.75" customHeight="1" x14ac:dyDescent="0.2">
      <c r="A51" s="75" t="s">
        <v>234</v>
      </c>
      <c r="B51" s="30">
        <v>574.6</v>
      </c>
      <c r="C51" s="30"/>
      <c r="H51" s="59" t="str">
        <f t="shared" si="0"/>
        <v>1st Pay Period ending 8/11/2022</v>
      </c>
      <c r="M51" s="30">
        <v>11229</v>
      </c>
      <c r="N51" s="61"/>
    </row>
    <row r="52" spans="1:14" ht="12.75" customHeight="1" x14ac:dyDescent="0.2">
      <c r="A52" s="75" t="s">
        <v>234</v>
      </c>
      <c r="B52" s="30">
        <v>258.25</v>
      </c>
      <c r="C52" s="30"/>
      <c r="H52" s="59" t="str">
        <f t="shared" si="0"/>
        <v>1st Pay Period ending 8/11/2022</v>
      </c>
      <c r="M52" s="30">
        <v>19016</v>
      </c>
      <c r="N52" s="61"/>
    </row>
    <row r="53" spans="1:14" ht="12.75" customHeight="1" x14ac:dyDescent="0.2">
      <c r="A53" s="75" t="s">
        <v>234</v>
      </c>
      <c r="B53" s="30">
        <v>787.77</v>
      </c>
      <c r="C53" s="30"/>
      <c r="H53" s="59" t="str">
        <f t="shared" si="0"/>
        <v>1st Pay Period ending 8/11/2022</v>
      </c>
      <c r="M53" s="30">
        <v>18901</v>
      </c>
      <c r="N53" s="61"/>
    </row>
    <row r="54" spans="1:14" ht="12.75" customHeight="1" x14ac:dyDescent="0.2">
      <c r="A54" s="75" t="s">
        <v>235</v>
      </c>
      <c r="B54" s="30">
        <v>2613.27</v>
      </c>
      <c r="C54" s="30"/>
      <c r="H54" s="59" t="str">
        <f t="shared" si="0"/>
        <v>1st Pay Period ending 8/11/2022</v>
      </c>
      <c r="M54" s="30">
        <v>18997</v>
      </c>
      <c r="N54" s="61"/>
    </row>
    <row r="55" spans="1:14" ht="12.75" customHeight="1" x14ac:dyDescent="0.2">
      <c r="A55" s="75" t="s">
        <v>235</v>
      </c>
      <c r="B55" s="30">
        <v>5653.05</v>
      </c>
      <c r="C55" s="30"/>
      <c r="H55" s="59" t="str">
        <f t="shared" si="0"/>
        <v>1st Pay Period ending 8/11/2022</v>
      </c>
      <c r="M55" s="30">
        <v>11229</v>
      </c>
      <c r="N55" s="61"/>
    </row>
    <row r="56" spans="1:14" ht="12.75" customHeight="1" x14ac:dyDescent="0.2">
      <c r="A56" s="75" t="s">
        <v>235</v>
      </c>
      <c r="B56" s="30">
        <v>879.21</v>
      </c>
      <c r="C56" s="30"/>
      <c r="H56" s="59" t="str">
        <f t="shared" si="0"/>
        <v>1st Pay Period ending 8/11/2022</v>
      </c>
      <c r="M56" s="30">
        <v>19016</v>
      </c>
      <c r="N56" s="61"/>
    </row>
    <row r="57" spans="1:14" ht="12.75" customHeight="1" x14ac:dyDescent="0.2">
      <c r="A57" s="75" t="s">
        <v>235</v>
      </c>
      <c r="B57" s="30">
        <v>184.57</v>
      </c>
      <c r="C57" s="30"/>
      <c r="H57" s="59" t="str">
        <f t="shared" si="0"/>
        <v>1st Pay Period ending 8/11/2022</v>
      </c>
      <c r="M57" s="30">
        <v>18901</v>
      </c>
      <c r="N57" s="61"/>
    </row>
    <row r="58" spans="1:14" ht="12.75" customHeight="1" x14ac:dyDescent="0.2">
      <c r="A58" s="75" t="s">
        <v>237</v>
      </c>
      <c r="B58" s="30">
        <v>1631.19</v>
      </c>
      <c r="C58" s="30"/>
      <c r="H58" s="59" t="str">
        <f t="shared" si="0"/>
        <v>1st Pay Period ending 8/11/2022</v>
      </c>
      <c r="M58" s="30">
        <v>19030</v>
      </c>
      <c r="N58" s="61"/>
    </row>
    <row r="59" spans="1:14" ht="12.75" customHeight="1" x14ac:dyDescent="0.2">
      <c r="A59" s="75" t="s">
        <v>238</v>
      </c>
      <c r="B59" s="30">
        <v>384.04</v>
      </c>
      <c r="C59" s="30"/>
      <c r="H59" s="59" t="str">
        <f t="shared" si="0"/>
        <v>1st Pay Period ending 8/11/2022</v>
      </c>
      <c r="M59" s="30">
        <v>18917</v>
      </c>
      <c r="N59" s="61"/>
    </row>
    <row r="60" spans="1:14" ht="12.75" customHeight="1" x14ac:dyDescent="0.2">
      <c r="A60" s="75" t="s">
        <v>238</v>
      </c>
      <c r="B60" s="30">
        <v>672.74</v>
      </c>
      <c r="C60" s="30"/>
      <c r="H60" s="59" t="str">
        <f t="shared" si="0"/>
        <v>1st Pay Period ending 8/11/2022</v>
      </c>
      <c r="M60" s="30">
        <v>19023</v>
      </c>
      <c r="N60" s="61"/>
    </row>
    <row r="61" spans="1:14" ht="12.75" customHeight="1" x14ac:dyDescent="0.2">
      <c r="A61" s="75" t="s">
        <v>239</v>
      </c>
      <c r="B61" s="30">
        <v>207.32</v>
      </c>
      <c r="C61" s="30"/>
      <c r="H61" s="59" t="str">
        <f t="shared" si="0"/>
        <v>1st Pay Period ending 8/11/2022</v>
      </c>
      <c r="M61" s="30">
        <v>18736</v>
      </c>
      <c r="N61" s="61"/>
    </row>
    <row r="62" spans="1:14" ht="12.75" customHeight="1" x14ac:dyDescent="0.2">
      <c r="A62" s="75" t="s">
        <v>470</v>
      </c>
      <c r="B62" s="30">
        <v>8.9</v>
      </c>
      <c r="C62" s="30"/>
      <c r="H62" s="59" t="str">
        <f t="shared" si="0"/>
        <v>1st Pay Period ending 8/11/2022</v>
      </c>
      <c r="M62" s="30">
        <v>18893</v>
      </c>
      <c r="N62" s="61"/>
    </row>
    <row r="63" spans="1:14" ht="12.75" customHeight="1" x14ac:dyDescent="0.2">
      <c r="A63" s="75" t="s">
        <v>240</v>
      </c>
      <c r="B63" s="30">
        <v>101.29</v>
      </c>
      <c r="C63" s="30"/>
      <c r="H63" s="59" t="str">
        <f t="shared" si="0"/>
        <v>1st Pay Period ending 8/11/2022</v>
      </c>
      <c r="M63" s="30">
        <v>18957</v>
      </c>
      <c r="N63" s="61"/>
    </row>
    <row r="64" spans="1:14" ht="12.75" customHeight="1" x14ac:dyDescent="0.2">
      <c r="A64" s="75" t="s">
        <v>240</v>
      </c>
      <c r="B64" s="30">
        <v>239.16</v>
      </c>
      <c r="C64" s="30"/>
      <c r="H64" s="59" t="str">
        <f t="shared" si="0"/>
        <v>1st Pay Period ending 8/11/2022</v>
      </c>
      <c r="M64" s="30">
        <v>18903</v>
      </c>
      <c r="N64" s="61"/>
    </row>
    <row r="65" spans="1:14" ht="12.75" customHeight="1" x14ac:dyDescent="0.2">
      <c r="A65" s="75" t="s">
        <v>240</v>
      </c>
      <c r="B65" s="30">
        <v>4.45</v>
      </c>
      <c r="C65" s="30"/>
      <c r="H65" s="59" t="str">
        <f t="shared" si="0"/>
        <v>1st Pay Period ending 8/11/2022</v>
      </c>
      <c r="M65" s="30">
        <v>18893</v>
      </c>
      <c r="N65" s="61"/>
    </row>
    <row r="66" spans="1:14" ht="12.75" customHeight="1" x14ac:dyDescent="0.2">
      <c r="A66" s="75" t="s">
        <v>241</v>
      </c>
      <c r="B66" s="30">
        <v>24.43</v>
      </c>
      <c r="C66" s="30"/>
      <c r="H66" s="59" t="str">
        <f t="shared" si="0"/>
        <v>1st Pay Period ending 8/11/2022</v>
      </c>
      <c r="M66" s="30">
        <v>18</v>
      </c>
      <c r="N66" s="61"/>
    </row>
    <row r="67" spans="1:14" ht="12.75" customHeight="1" x14ac:dyDescent="0.2">
      <c r="A67" s="75" t="s">
        <v>241</v>
      </c>
      <c r="B67" s="30">
        <v>67.58</v>
      </c>
      <c r="C67" s="30"/>
      <c r="H67" s="59" t="str">
        <f t="shared" ref="H67:H130" si="1">$K$1</f>
        <v>1st Pay Period ending 8/11/2022</v>
      </c>
      <c r="M67" s="30">
        <v>18879</v>
      </c>
      <c r="N67" s="61"/>
    </row>
    <row r="68" spans="1:14" ht="12.75" customHeight="1" x14ac:dyDescent="0.2">
      <c r="A68" s="75" t="s">
        <v>242</v>
      </c>
      <c r="B68" s="30">
        <v>322.72000000000003</v>
      </c>
      <c r="C68" s="30"/>
      <c r="H68" s="59" t="str">
        <f t="shared" si="1"/>
        <v>1st Pay Period ending 8/11/2022</v>
      </c>
      <c r="M68" s="30">
        <v>19013</v>
      </c>
      <c r="N68" s="61"/>
    </row>
    <row r="69" spans="1:14" ht="12.75" customHeight="1" x14ac:dyDescent="0.2">
      <c r="A69" s="75" t="s">
        <v>242</v>
      </c>
      <c r="B69" s="30">
        <v>38.69</v>
      </c>
      <c r="C69" s="30"/>
      <c r="H69" s="59" t="str">
        <f t="shared" si="1"/>
        <v>1st Pay Period ending 8/11/2022</v>
      </c>
      <c r="M69" s="30">
        <v>18630</v>
      </c>
      <c r="N69" s="61"/>
    </row>
    <row r="70" spans="1:14" ht="12.75" customHeight="1" x14ac:dyDescent="0.2">
      <c r="A70" s="75" t="s">
        <v>243</v>
      </c>
      <c r="B70" s="30">
        <v>203.44</v>
      </c>
      <c r="C70" s="30"/>
      <c r="H70" s="59" t="str">
        <f t="shared" si="1"/>
        <v>1st Pay Period ending 8/11/2022</v>
      </c>
      <c r="M70" s="30">
        <v>18967</v>
      </c>
      <c r="N70" s="61"/>
    </row>
    <row r="71" spans="1:14" ht="12.75" customHeight="1" x14ac:dyDescent="0.2">
      <c r="A71" s="75" t="s">
        <v>243</v>
      </c>
      <c r="B71" s="30">
        <v>429.82</v>
      </c>
      <c r="C71" s="30"/>
      <c r="H71" s="59" t="str">
        <f t="shared" si="1"/>
        <v>1st Pay Period ending 8/11/2022</v>
      </c>
      <c r="M71" s="30">
        <v>18894</v>
      </c>
      <c r="N71" s="61"/>
    </row>
    <row r="72" spans="1:14" ht="12.75" customHeight="1" x14ac:dyDescent="0.2">
      <c r="A72" s="75" t="s">
        <v>243</v>
      </c>
      <c r="B72" s="30">
        <v>212.65</v>
      </c>
      <c r="C72" s="30"/>
      <c r="H72" s="59" t="str">
        <f t="shared" si="1"/>
        <v>1st Pay Period ending 8/11/2022</v>
      </c>
      <c r="M72" s="30">
        <v>18687</v>
      </c>
      <c r="N72" s="61"/>
    </row>
    <row r="73" spans="1:14" ht="12.75" customHeight="1" x14ac:dyDescent="0.2">
      <c r="A73" s="75" t="s">
        <v>243</v>
      </c>
      <c r="B73" s="30">
        <v>106.8</v>
      </c>
      <c r="C73" s="30"/>
      <c r="H73" s="59" t="str">
        <f t="shared" si="1"/>
        <v>1st Pay Period ending 8/11/2022</v>
      </c>
      <c r="M73" s="30">
        <v>18733</v>
      </c>
      <c r="N73" s="61"/>
    </row>
    <row r="74" spans="1:14" ht="12.75" customHeight="1" x14ac:dyDescent="0.2">
      <c r="A74" s="75" t="s">
        <v>243</v>
      </c>
      <c r="B74" s="30">
        <v>44.3</v>
      </c>
      <c r="C74" s="30"/>
      <c r="H74" s="59" t="str">
        <f t="shared" si="1"/>
        <v>1st Pay Period ending 8/11/2022</v>
      </c>
      <c r="M74" s="30">
        <v>18659</v>
      </c>
      <c r="N74" s="61"/>
    </row>
    <row r="75" spans="1:14" ht="12.75" customHeight="1" x14ac:dyDescent="0.2">
      <c r="A75" s="75" t="s">
        <v>243</v>
      </c>
      <c r="B75" s="30">
        <v>15.44</v>
      </c>
      <c r="C75" s="30"/>
      <c r="H75" s="59" t="str">
        <f t="shared" si="1"/>
        <v>1st Pay Period ending 8/11/2022</v>
      </c>
      <c r="M75" s="30">
        <v>18960</v>
      </c>
      <c r="N75" s="61"/>
    </row>
    <row r="76" spans="1:14" ht="12.75" customHeight="1" x14ac:dyDescent="0.2">
      <c r="A76" s="75" t="s">
        <v>243</v>
      </c>
      <c r="B76" s="30">
        <v>203.56</v>
      </c>
      <c r="C76" s="30"/>
      <c r="H76" s="59" t="str">
        <f t="shared" si="1"/>
        <v>1st Pay Period ending 8/11/2022</v>
      </c>
      <c r="M76" s="30">
        <v>18911</v>
      </c>
      <c r="N76" s="61"/>
    </row>
    <row r="77" spans="1:14" ht="12.75" customHeight="1" x14ac:dyDescent="0.2">
      <c r="A77" s="75" t="s">
        <v>243</v>
      </c>
      <c r="B77" s="30">
        <v>155.31</v>
      </c>
      <c r="C77" s="30"/>
      <c r="H77" s="59" t="str">
        <f t="shared" si="1"/>
        <v>1st Pay Period ending 8/11/2022</v>
      </c>
      <c r="M77" s="30">
        <v>18781</v>
      </c>
      <c r="N77" s="61"/>
    </row>
    <row r="78" spans="1:14" ht="12.75" customHeight="1" x14ac:dyDescent="0.2">
      <c r="A78" s="75" t="s">
        <v>243</v>
      </c>
      <c r="B78" s="30">
        <v>112.84</v>
      </c>
      <c r="C78" s="30"/>
      <c r="H78" s="59" t="str">
        <f t="shared" si="1"/>
        <v>1st Pay Period ending 8/11/2022</v>
      </c>
      <c r="M78" s="30">
        <v>19033</v>
      </c>
      <c r="N78" s="61"/>
    </row>
    <row r="79" spans="1:14" ht="12.75" customHeight="1" x14ac:dyDescent="0.2">
      <c r="A79" s="75" t="s">
        <v>244</v>
      </c>
      <c r="B79" s="30">
        <v>17.82</v>
      </c>
      <c r="C79" s="30"/>
      <c r="H79" s="59" t="str">
        <f t="shared" si="1"/>
        <v>1st Pay Period ending 8/11/2022</v>
      </c>
      <c r="M79" s="30">
        <v>141</v>
      </c>
      <c r="N79" s="61"/>
    </row>
    <row r="80" spans="1:14" ht="12.75" customHeight="1" x14ac:dyDescent="0.2">
      <c r="A80" s="75" t="s">
        <v>244</v>
      </c>
      <c r="B80" s="30">
        <v>380.48</v>
      </c>
      <c r="C80" s="30"/>
      <c r="H80" s="59" t="str">
        <f t="shared" si="1"/>
        <v>1st Pay Period ending 8/11/2022</v>
      </c>
      <c r="M80" s="30">
        <v>18961</v>
      </c>
      <c r="N80" s="61"/>
    </row>
    <row r="81" spans="1:14" ht="12.75" customHeight="1" x14ac:dyDescent="0.2">
      <c r="A81" s="75" t="s">
        <v>245</v>
      </c>
      <c r="B81" s="30">
        <v>38.69</v>
      </c>
      <c r="C81" s="30"/>
      <c r="H81" s="59" t="str">
        <f t="shared" si="1"/>
        <v>1st Pay Period ending 8/11/2022</v>
      </c>
      <c r="M81" s="30">
        <v>19007</v>
      </c>
      <c r="N81" s="61"/>
    </row>
    <row r="82" spans="1:14" ht="12.75" customHeight="1" x14ac:dyDescent="0.2">
      <c r="A82" s="75" t="s">
        <v>245</v>
      </c>
      <c r="B82" s="30">
        <v>175.56</v>
      </c>
      <c r="C82" s="30"/>
      <c r="H82" s="59" t="str">
        <f t="shared" si="1"/>
        <v>1st Pay Period ending 8/11/2022</v>
      </c>
      <c r="M82" s="30">
        <v>18974</v>
      </c>
      <c r="N82" s="61"/>
    </row>
    <row r="83" spans="1:14" ht="12.75" customHeight="1" x14ac:dyDescent="0.2">
      <c r="A83" s="75" t="s">
        <v>245</v>
      </c>
      <c r="B83" s="30">
        <v>99.65</v>
      </c>
      <c r="C83" s="30"/>
      <c r="H83" s="59" t="str">
        <f t="shared" si="1"/>
        <v>1st Pay Period ending 8/11/2022</v>
      </c>
      <c r="M83" s="30">
        <v>18999</v>
      </c>
      <c r="N83" s="61"/>
    </row>
    <row r="84" spans="1:14" ht="12.75" customHeight="1" x14ac:dyDescent="0.2">
      <c r="A84" s="75" t="s">
        <v>245</v>
      </c>
      <c r="B84" s="30">
        <v>58.04</v>
      </c>
      <c r="C84" s="30"/>
      <c r="H84" s="59" t="str">
        <f t="shared" si="1"/>
        <v>1st Pay Period ending 8/11/2022</v>
      </c>
      <c r="M84" s="30">
        <v>19026</v>
      </c>
      <c r="N84" s="61"/>
    </row>
    <row r="85" spans="1:14" ht="12.75" customHeight="1" x14ac:dyDescent="0.2">
      <c r="A85" s="75" t="s">
        <v>245</v>
      </c>
      <c r="B85" s="30">
        <v>116.08</v>
      </c>
      <c r="C85" s="30"/>
      <c r="H85" s="59" t="str">
        <f t="shared" si="1"/>
        <v>1st Pay Period ending 8/11/2022</v>
      </c>
      <c r="M85" s="30">
        <v>19006</v>
      </c>
      <c r="N85" s="61"/>
    </row>
    <row r="86" spans="1:14" ht="12.75" customHeight="1" x14ac:dyDescent="0.2">
      <c r="A86" s="75" t="s">
        <v>246</v>
      </c>
      <c r="B86" s="30">
        <v>1.29</v>
      </c>
      <c r="C86" s="30"/>
      <c r="H86" s="59" t="str">
        <f t="shared" si="1"/>
        <v>1st Pay Period ending 8/11/2022</v>
      </c>
      <c r="M86" s="30">
        <v>19027</v>
      </c>
      <c r="N86" s="61"/>
    </row>
    <row r="87" spans="1:14" ht="12.75" customHeight="1" x14ac:dyDescent="0.2">
      <c r="A87" s="75" t="s">
        <v>246</v>
      </c>
      <c r="B87" s="30">
        <v>25.79</v>
      </c>
      <c r="C87" s="30"/>
      <c r="H87" s="59" t="str">
        <f t="shared" si="1"/>
        <v>1st Pay Period ending 8/11/2022</v>
      </c>
      <c r="M87" s="30">
        <v>18980</v>
      </c>
      <c r="N87" s="61"/>
    </row>
    <row r="88" spans="1:14" ht="12.75" customHeight="1" x14ac:dyDescent="0.2">
      <c r="A88" s="75" t="s">
        <v>246</v>
      </c>
      <c r="B88" s="30">
        <v>30.31</v>
      </c>
      <c r="C88" s="30"/>
      <c r="H88" s="59" t="str">
        <f t="shared" si="1"/>
        <v>1st Pay Period ending 8/11/2022</v>
      </c>
      <c r="M88" s="30">
        <v>19021</v>
      </c>
      <c r="N88" s="61"/>
    </row>
    <row r="89" spans="1:14" ht="12.75" customHeight="1" x14ac:dyDescent="0.2">
      <c r="A89" s="75" t="s">
        <v>247</v>
      </c>
      <c r="B89" s="30">
        <v>629.62</v>
      </c>
      <c r="C89" s="30"/>
      <c r="H89" s="59" t="str">
        <f t="shared" si="1"/>
        <v>1st Pay Period ending 8/11/2022</v>
      </c>
      <c r="M89" s="30">
        <v>18827</v>
      </c>
      <c r="N89" s="61"/>
    </row>
    <row r="90" spans="1:14" ht="12.75" customHeight="1" x14ac:dyDescent="0.2">
      <c r="A90" s="75" t="s">
        <v>247</v>
      </c>
      <c r="B90" s="30">
        <v>580.03</v>
      </c>
      <c r="C90" s="30"/>
      <c r="H90" s="59" t="str">
        <f t="shared" si="1"/>
        <v>1st Pay Period ending 8/11/2022</v>
      </c>
      <c r="M90" s="30">
        <v>18887</v>
      </c>
      <c r="N90" s="61"/>
    </row>
    <row r="91" spans="1:14" ht="12.75" customHeight="1" x14ac:dyDescent="0.2">
      <c r="A91" s="75" t="s">
        <v>247</v>
      </c>
      <c r="B91" s="30">
        <v>634.15</v>
      </c>
      <c r="C91" s="30"/>
      <c r="H91" s="59" t="str">
        <f t="shared" si="1"/>
        <v>1st Pay Period ending 8/11/2022</v>
      </c>
      <c r="M91" s="30">
        <v>18918</v>
      </c>
      <c r="N91" s="61"/>
    </row>
    <row r="92" spans="1:14" ht="12.75" customHeight="1" x14ac:dyDescent="0.2">
      <c r="A92" s="75" t="s">
        <v>247</v>
      </c>
      <c r="B92" s="30">
        <v>1486.68</v>
      </c>
      <c r="C92" s="30"/>
      <c r="H92" s="59" t="str">
        <f t="shared" si="1"/>
        <v>1st Pay Period ending 8/11/2022</v>
      </c>
      <c r="M92" s="30">
        <v>18949</v>
      </c>
      <c r="N92" s="61"/>
    </row>
    <row r="93" spans="1:14" ht="12.75" customHeight="1" x14ac:dyDescent="0.2">
      <c r="A93" s="75" t="s">
        <v>247</v>
      </c>
      <c r="B93" s="30">
        <v>850.39</v>
      </c>
      <c r="C93" s="30"/>
      <c r="H93" s="59" t="str">
        <f t="shared" si="1"/>
        <v>1st Pay Period ending 8/11/2022</v>
      </c>
      <c r="M93" s="30">
        <v>18901</v>
      </c>
      <c r="N93" s="61"/>
    </row>
    <row r="94" spans="1:14" ht="12.75" customHeight="1" x14ac:dyDescent="0.2">
      <c r="A94" s="75" t="s">
        <v>247</v>
      </c>
      <c r="B94" s="30">
        <v>196.47</v>
      </c>
      <c r="C94" s="30"/>
      <c r="H94" s="59" t="str">
        <f t="shared" si="1"/>
        <v>1st Pay Period ending 8/11/2022</v>
      </c>
      <c r="M94" s="30">
        <v>18929</v>
      </c>
      <c r="N94" s="61"/>
    </row>
    <row r="95" spans="1:14" ht="12.75" customHeight="1" x14ac:dyDescent="0.2">
      <c r="A95" s="75" t="s">
        <v>247</v>
      </c>
      <c r="B95" s="30">
        <v>311.98</v>
      </c>
      <c r="C95" s="30"/>
      <c r="H95" s="59" t="str">
        <f t="shared" si="1"/>
        <v>1st Pay Period ending 8/11/2022</v>
      </c>
      <c r="M95" s="30">
        <v>134</v>
      </c>
      <c r="N95" s="61"/>
    </row>
    <row r="96" spans="1:14" ht="12.75" customHeight="1" x14ac:dyDescent="0.2">
      <c r="A96" s="75" t="s">
        <v>247</v>
      </c>
      <c r="B96" s="30">
        <v>248.92</v>
      </c>
      <c r="C96" s="30"/>
      <c r="H96" s="59" t="str">
        <f t="shared" si="1"/>
        <v>1st Pay Period ending 8/11/2022</v>
      </c>
      <c r="M96" s="30">
        <v>18797</v>
      </c>
      <c r="N96" s="61"/>
    </row>
    <row r="97" spans="1:14" ht="12.75" customHeight="1" x14ac:dyDescent="0.2">
      <c r="A97" s="75" t="s">
        <v>247</v>
      </c>
      <c r="B97" s="30">
        <v>158.41999999999999</v>
      </c>
      <c r="C97" s="30"/>
      <c r="H97" s="59" t="str">
        <f t="shared" si="1"/>
        <v>1st Pay Period ending 8/11/2022</v>
      </c>
      <c r="M97" s="30">
        <v>18822</v>
      </c>
      <c r="N97" s="61"/>
    </row>
    <row r="98" spans="1:14" ht="12.75" customHeight="1" x14ac:dyDescent="0.2">
      <c r="A98" s="75" t="s">
        <v>247</v>
      </c>
      <c r="B98" s="30">
        <v>352.44</v>
      </c>
      <c r="C98" s="30"/>
      <c r="H98" s="59" t="str">
        <f t="shared" si="1"/>
        <v>1st Pay Period ending 8/11/2022</v>
      </c>
      <c r="M98" s="30">
        <v>18979</v>
      </c>
      <c r="N98" s="61"/>
    </row>
    <row r="99" spans="1:14" ht="12.75" customHeight="1" x14ac:dyDescent="0.2">
      <c r="A99" s="75" t="s">
        <v>249</v>
      </c>
      <c r="B99" s="30">
        <v>781.74</v>
      </c>
      <c r="C99" s="30"/>
      <c r="H99" s="59" t="str">
        <f t="shared" si="1"/>
        <v>1st Pay Period ending 8/11/2022</v>
      </c>
      <c r="M99" s="30">
        <v>18989</v>
      </c>
      <c r="N99" s="61"/>
    </row>
    <row r="100" spans="1:14" ht="12.75" customHeight="1" x14ac:dyDescent="0.2">
      <c r="A100" s="75" t="s">
        <v>250</v>
      </c>
      <c r="B100" s="30">
        <v>621.94000000000005</v>
      </c>
      <c r="C100" s="30"/>
      <c r="H100" s="59" t="str">
        <f t="shared" si="1"/>
        <v>1st Pay Period ending 8/11/2022</v>
      </c>
      <c r="M100" s="30">
        <v>18736</v>
      </c>
      <c r="N100" s="61"/>
    </row>
    <row r="101" spans="1:14" ht="12.75" customHeight="1" x14ac:dyDescent="0.2">
      <c r="A101" s="75" t="s">
        <v>251</v>
      </c>
      <c r="B101" s="30">
        <v>698.9</v>
      </c>
      <c r="C101" s="30"/>
      <c r="H101" s="59" t="str">
        <f t="shared" si="1"/>
        <v>1st Pay Period ending 8/11/2022</v>
      </c>
      <c r="M101" s="30">
        <v>19017</v>
      </c>
      <c r="N101" s="61"/>
    </row>
    <row r="102" spans="1:14" ht="12.75" customHeight="1" x14ac:dyDescent="0.2">
      <c r="A102" s="75" t="s">
        <v>251</v>
      </c>
      <c r="B102" s="30">
        <v>781.13</v>
      </c>
      <c r="C102" s="30"/>
      <c r="H102" s="59" t="str">
        <f t="shared" si="1"/>
        <v>1st Pay Period ending 8/11/2022</v>
      </c>
      <c r="M102" s="30">
        <v>19028</v>
      </c>
      <c r="N102" s="61"/>
    </row>
    <row r="103" spans="1:14" ht="12.75" customHeight="1" x14ac:dyDescent="0.2">
      <c r="A103" s="75" t="s">
        <v>251</v>
      </c>
      <c r="B103" s="30">
        <v>605.17999999999995</v>
      </c>
      <c r="C103" s="30"/>
      <c r="H103" s="59" t="str">
        <f t="shared" si="1"/>
        <v>1st Pay Period ending 8/11/2022</v>
      </c>
      <c r="M103" s="30">
        <v>18932</v>
      </c>
      <c r="N103" s="61"/>
    </row>
    <row r="104" spans="1:14" ht="12.75" customHeight="1" x14ac:dyDescent="0.2">
      <c r="A104" s="75" t="s">
        <v>251</v>
      </c>
      <c r="B104" s="30">
        <v>462.83</v>
      </c>
      <c r="C104" s="30"/>
      <c r="H104" s="59" t="str">
        <f t="shared" si="1"/>
        <v>1st Pay Period ending 8/11/2022</v>
      </c>
      <c r="M104" s="30">
        <v>19015</v>
      </c>
      <c r="N104" s="61"/>
    </row>
    <row r="105" spans="1:14" ht="12.75" customHeight="1" x14ac:dyDescent="0.2">
      <c r="A105" s="75" t="s">
        <v>251</v>
      </c>
      <c r="B105" s="30">
        <v>781.35</v>
      </c>
      <c r="C105" s="30"/>
      <c r="H105" s="59" t="str">
        <f t="shared" si="1"/>
        <v>1st Pay Period ending 8/11/2022</v>
      </c>
      <c r="M105" s="30">
        <v>19011</v>
      </c>
      <c r="N105" s="61"/>
    </row>
    <row r="106" spans="1:14" ht="12.75" customHeight="1" x14ac:dyDescent="0.2">
      <c r="A106" s="75" t="s">
        <v>251</v>
      </c>
      <c r="B106" s="30">
        <v>493.91</v>
      </c>
      <c r="C106" s="30"/>
      <c r="H106" s="59" t="str">
        <f t="shared" si="1"/>
        <v>1st Pay Period ending 8/11/2022</v>
      </c>
      <c r="M106" s="30">
        <v>19019</v>
      </c>
      <c r="N106" s="61"/>
    </row>
    <row r="107" spans="1:14" ht="12.75" customHeight="1" x14ac:dyDescent="0.2">
      <c r="A107" s="75" t="s">
        <v>251</v>
      </c>
      <c r="B107" s="30">
        <v>548.13</v>
      </c>
      <c r="C107" s="30"/>
      <c r="H107" s="59" t="str">
        <f t="shared" si="1"/>
        <v>1st Pay Period ending 8/11/2022</v>
      </c>
      <c r="M107" s="30">
        <v>18607</v>
      </c>
      <c r="N107" s="61"/>
    </row>
    <row r="108" spans="1:14" ht="12.75" customHeight="1" x14ac:dyDescent="0.2">
      <c r="A108" s="75" t="s">
        <v>251</v>
      </c>
      <c r="B108" s="30">
        <v>481.42</v>
      </c>
      <c r="C108" s="30"/>
      <c r="H108" s="59" t="str">
        <f t="shared" si="1"/>
        <v>1st Pay Period ending 8/11/2022</v>
      </c>
      <c r="M108" s="30">
        <v>19012</v>
      </c>
      <c r="N108" s="61"/>
    </row>
    <row r="109" spans="1:14" ht="12.75" customHeight="1" x14ac:dyDescent="0.2">
      <c r="A109" s="75" t="s">
        <v>251</v>
      </c>
      <c r="B109" s="30">
        <v>978.33</v>
      </c>
      <c r="C109" s="30"/>
      <c r="H109" s="59" t="str">
        <f t="shared" si="1"/>
        <v>1st Pay Period ending 8/11/2022</v>
      </c>
      <c r="M109" s="30">
        <v>18983</v>
      </c>
      <c r="N109" s="61"/>
    </row>
    <row r="110" spans="1:14" ht="12.75" customHeight="1" x14ac:dyDescent="0.2">
      <c r="A110" s="75" t="s">
        <v>251</v>
      </c>
      <c r="B110" s="30">
        <v>5.75</v>
      </c>
      <c r="C110" s="30"/>
      <c r="H110" s="59" t="str">
        <f t="shared" si="1"/>
        <v>1st Pay Period ending 8/11/2022</v>
      </c>
      <c r="M110" s="30">
        <v>18679</v>
      </c>
      <c r="N110" s="61"/>
    </row>
    <row r="111" spans="1:14" ht="12.75" customHeight="1" x14ac:dyDescent="0.2">
      <c r="A111" s="75" t="s">
        <v>251</v>
      </c>
      <c r="B111" s="30">
        <v>857.16</v>
      </c>
      <c r="C111" s="30"/>
      <c r="H111" s="59" t="str">
        <f t="shared" si="1"/>
        <v>1st Pay Period ending 8/11/2022</v>
      </c>
      <c r="M111" s="30">
        <v>19029</v>
      </c>
      <c r="N111" s="61"/>
    </row>
    <row r="112" spans="1:14" ht="12.75" customHeight="1" x14ac:dyDescent="0.2">
      <c r="A112" s="75" t="s">
        <v>251</v>
      </c>
      <c r="B112" s="30">
        <v>1056.94</v>
      </c>
      <c r="C112" s="30"/>
      <c r="H112" s="59" t="str">
        <f t="shared" si="1"/>
        <v>1st Pay Period ending 8/11/2022</v>
      </c>
      <c r="M112" s="30">
        <v>18829</v>
      </c>
      <c r="N112" s="61"/>
    </row>
    <row r="113" spans="1:14" ht="12.75" customHeight="1" x14ac:dyDescent="0.2">
      <c r="A113" s="75" t="s">
        <v>251</v>
      </c>
      <c r="B113" s="30">
        <v>718.41</v>
      </c>
      <c r="C113" s="30"/>
      <c r="H113" s="59" t="str">
        <f t="shared" si="1"/>
        <v>1st Pay Period ending 8/11/2022</v>
      </c>
      <c r="M113" s="30">
        <v>19009</v>
      </c>
      <c r="N113" s="61"/>
    </row>
    <row r="114" spans="1:14" ht="12.75" customHeight="1" x14ac:dyDescent="0.2">
      <c r="A114" s="75" t="s">
        <v>251</v>
      </c>
      <c r="B114" s="30">
        <v>23</v>
      </c>
      <c r="C114" s="30"/>
      <c r="H114" s="59" t="str">
        <f t="shared" si="1"/>
        <v>1st Pay Period ending 8/11/2022</v>
      </c>
      <c r="M114" s="30">
        <v>19008</v>
      </c>
      <c r="N114" s="61"/>
    </row>
    <row r="115" spans="1:14" ht="12.75" customHeight="1" x14ac:dyDescent="0.2">
      <c r="A115" s="75" t="s">
        <v>251</v>
      </c>
      <c r="B115" s="30">
        <v>52.32</v>
      </c>
      <c r="C115" s="30"/>
      <c r="H115" s="59" t="str">
        <f t="shared" si="1"/>
        <v>1st Pay Period ending 8/11/2022</v>
      </c>
      <c r="M115" s="30">
        <v>18923</v>
      </c>
      <c r="N115" s="61"/>
    </row>
    <row r="116" spans="1:14" ht="12.75" customHeight="1" x14ac:dyDescent="0.2">
      <c r="A116" s="75" t="s">
        <v>252</v>
      </c>
      <c r="B116" s="30">
        <v>100.6</v>
      </c>
      <c r="C116" s="30"/>
      <c r="H116" s="59" t="str">
        <f t="shared" si="1"/>
        <v>1st Pay Period ending 8/11/2022</v>
      </c>
      <c r="M116" s="30">
        <v>18904</v>
      </c>
      <c r="N116" s="61"/>
    </row>
    <row r="117" spans="1:14" ht="12.75" customHeight="1" x14ac:dyDescent="0.2">
      <c r="A117" s="75" t="s">
        <v>471</v>
      </c>
      <c r="B117" s="30">
        <v>0.77</v>
      </c>
      <c r="C117" s="30"/>
      <c r="H117" s="59" t="str">
        <f t="shared" si="1"/>
        <v>1st Pay Period ending 8/11/2022</v>
      </c>
      <c r="M117" s="30">
        <v>18650</v>
      </c>
      <c r="N117" s="61"/>
    </row>
    <row r="118" spans="1:14" ht="12.75" customHeight="1" x14ac:dyDescent="0.2">
      <c r="A118" s="75" t="s">
        <v>253</v>
      </c>
      <c r="B118" s="30">
        <v>32.659999999999997</v>
      </c>
      <c r="C118" s="30"/>
      <c r="H118" s="59" t="str">
        <f t="shared" si="1"/>
        <v>1st Pay Period ending 8/11/2022</v>
      </c>
      <c r="M118" s="30">
        <v>18924</v>
      </c>
      <c r="N118" s="61"/>
    </row>
    <row r="119" spans="1:14" ht="12.75" customHeight="1" x14ac:dyDescent="0.2">
      <c r="A119" s="75" t="s">
        <v>253</v>
      </c>
      <c r="B119" s="30">
        <v>378.3</v>
      </c>
      <c r="C119" s="30"/>
      <c r="H119" s="59" t="str">
        <f t="shared" si="1"/>
        <v>1st Pay Period ending 8/11/2022</v>
      </c>
      <c r="M119" s="30">
        <v>18703</v>
      </c>
      <c r="N119" s="61"/>
    </row>
    <row r="120" spans="1:14" ht="12.75" customHeight="1" x14ac:dyDescent="0.2">
      <c r="A120" s="75" t="s">
        <v>253</v>
      </c>
      <c r="B120" s="30">
        <v>11.28</v>
      </c>
      <c r="C120" s="30"/>
      <c r="H120" s="59" t="str">
        <f t="shared" si="1"/>
        <v>1st Pay Period ending 8/11/2022</v>
      </c>
      <c r="M120" s="30">
        <v>19039</v>
      </c>
      <c r="N120" s="61"/>
    </row>
    <row r="121" spans="1:14" ht="12.75" customHeight="1" x14ac:dyDescent="0.2">
      <c r="A121" s="75" t="s">
        <v>253</v>
      </c>
      <c r="B121" s="30">
        <v>145.43</v>
      </c>
      <c r="C121" s="30"/>
      <c r="H121" s="59" t="str">
        <f t="shared" si="1"/>
        <v>1st Pay Period ending 8/11/2022</v>
      </c>
      <c r="M121" s="30">
        <v>18646</v>
      </c>
      <c r="N121" s="61"/>
    </row>
    <row r="122" spans="1:14" ht="12.75" customHeight="1" x14ac:dyDescent="0.2">
      <c r="A122" s="75" t="s">
        <v>253</v>
      </c>
      <c r="B122" s="30">
        <v>1.19</v>
      </c>
      <c r="C122" s="30"/>
      <c r="H122" s="59" t="str">
        <f t="shared" si="1"/>
        <v>1st Pay Period ending 8/11/2022</v>
      </c>
      <c r="M122" s="30">
        <v>18986</v>
      </c>
      <c r="N122" s="61"/>
    </row>
    <row r="123" spans="1:14" ht="12.75" customHeight="1" x14ac:dyDescent="0.2">
      <c r="A123" s="75" t="s">
        <v>253</v>
      </c>
      <c r="B123" s="30">
        <v>121.58</v>
      </c>
      <c r="C123" s="30"/>
      <c r="H123" s="59" t="str">
        <f t="shared" si="1"/>
        <v>1st Pay Period ending 8/11/2022</v>
      </c>
      <c r="M123" s="30">
        <v>18850</v>
      </c>
      <c r="N123" s="61"/>
    </row>
    <row r="124" spans="1:14" ht="12.75" customHeight="1" x14ac:dyDescent="0.2">
      <c r="A124" s="75" t="s">
        <v>375</v>
      </c>
      <c r="B124" s="30">
        <v>1.93</v>
      </c>
      <c r="C124" s="30"/>
      <c r="H124" s="59" t="str">
        <f t="shared" si="1"/>
        <v>1st Pay Period ending 8/11/2022</v>
      </c>
      <c r="M124" s="30">
        <v>18970</v>
      </c>
      <c r="N124" s="61"/>
    </row>
    <row r="125" spans="1:14" ht="12.75" customHeight="1" x14ac:dyDescent="0.2">
      <c r="A125" s="75" t="s">
        <v>254</v>
      </c>
      <c r="B125" s="30">
        <v>224.1</v>
      </c>
      <c r="C125" s="30"/>
      <c r="H125" s="59" t="str">
        <f t="shared" si="1"/>
        <v>1st Pay Period ending 8/11/2022</v>
      </c>
      <c r="M125" s="30">
        <v>18823</v>
      </c>
      <c r="N125" s="61"/>
    </row>
    <row r="126" spans="1:14" ht="12.75" customHeight="1" x14ac:dyDescent="0.2">
      <c r="A126" s="75" t="s">
        <v>254</v>
      </c>
      <c r="B126" s="30">
        <v>34.82</v>
      </c>
      <c r="C126" s="30"/>
      <c r="H126" s="59" t="str">
        <f t="shared" si="1"/>
        <v>1st Pay Period ending 8/11/2022</v>
      </c>
      <c r="M126" s="30">
        <v>18927</v>
      </c>
      <c r="N126" s="61"/>
    </row>
    <row r="127" spans="1:14" ht="12.75" customHeight="1" x14ac:dyDescent="0.2">
      <c r="A127" s="75" t="s">
        <v>254</v>
      </c>
      <c r="B127" s="30">
        <v>35.75</v>
      </c>
      <c r="C127" s="30"/>
      <c r="H127" s="59" t="str">
        <f t="shared" si="1"/>
        <v>1st Pay Period ending 8/11/2022</v>
      </c>
      <c r="M127" s="30">
        <v>18634</v>
      </c>
      <c r="N127" s="61"/>
    </row>
    <row r="128" spans="1:14" ht="12.75" customHeight="1" x14ac:dyDescent="0.2">
      <c r="A128" s="75" t="s">
        <v>254</v>
      </c>
      <c r="B128" s="30">
        <v>219.26</v>
      </c>
      <c r="C128" s="30"/>
      <c r="H128" s="59" t="str">
        <f t="shared" si="1"/>
        <v>1st Pay Period ending 8/11/2022</v>
      </c>
      <c r="M128" s="30">
        <v>18996</v>
      </c>
      <c r="N128" s="61"/>
    </row>
    <row r="129" spans="1:14" ht="12.75" customHeight="1" x14ac:dyDescent="0.2">
      <c r="A129" s="75" t="s">
        <v>254</v>
      </c>
      <c r="B129" s="30">
        <v>104.97</v>
      </c>
      <c r="C129" s="30"/>
      <c r="H129" s="59" t="str">
        <f t="shared" si="1"/>
        <v>1st Pay Period ending 8/11/2022</v>
      </c>
      <c r="M129" s="30">
        <v>18895</v>
      </c>
      <c r="N129" s="61"/>
    </row>
    <row r="130" spans="1:14" ht="12.75" customHeight="1" x14ac:dyDescent="0.2">
      <c r="A130" s="75" t="s">
        <v>254</v>
      </c>
      <c r="B130" s="30">
        <v>289.55</v>
      </c>
      <c r="C130" s="30"/>
      <c r="H130" s="59" t="str">
        <f t="shared" si="1"/>
        <v>1st Pay Period ending 8/11/2022</v>
      </c>
      <c r="M130" s="30">
        <v>18898</v>
      </c>
      <c r="N130" s="61"/>
    </row>
    <row r="131" spans="1:14" ht="12.75" customHeight="1" x14ac:dyDescent="0.2">
      <c r="A131" s="75" t="s">
        <v>255</v>
      </c>
      <c r="B131" s="30">
        <v>75.87</v>
      </c>
      <c r="C131" s="30"/>
      <c r="H131" s="59" t="str">
        <f t="shared" ref="H131:H194" si="2">$K$1</f>
        <v>1st Pay Period ending 8/11/2022</v>
      </c>
      <c r="M131" s="30">
        <v>18791</v>
      </c>
      <c r="N131" s="61"/>
    </row>
    <row r="132" spans="1:14" ht="12.75" customHeight="1" x14ac:dyDescent="0.2">
      <c r="A132" s="75" t="s">
        <v>256</v>
      </c>
      <c r="B132" s="30">
        <v>211.84</v>
      </c>
      <c r="C132" s="30"/>
      <c r="H132" s="59" t="str">
        <f t="shared" si="2"/>
        <v>1st Pay Period ending 8/11/2022</v>
      </c>
      <c r="M132" s="30">
        <v>18561</v>
      </c>
      <c r="N132" s="61"/>
    </row>
    <row r="133" spans="1:14" ht="12.75" customHeight="1" x14ac:dyDescent="0.2">
      <c r="A133" s="75" t="s">
        <v>256</v>
      </c>
      <c r="B133" s="30">
        <v>71.27</v>
      </c>
      <c r="C133" s="30"/>
      <c r="H133" s="59" t="str">
        <f t="shared" si="2"/>
        <v>1st Pay Period ending 8/11/2022</v>
      </c>
      <c r="M133" s="30">
        <v>18953</v>
      </c>
      <c r="N133" s="61"/>
    </row>
    <row r="134" spans="1:14" ht="12.75" customHeight="1" x14ac:dyDescent="0.2">
      <c r="A134" s="75" t="s">
        <v>257</v>
      </c>
      <c r="B134" s="30">
        <v>6.9</v>
      </c>
      <c r="C134" s="30"/>
      <c r="H134" s="59" t="str">
        <f t="shared" si="2"/>
        <v>1st Pay Period ending 8/11/2022</v>
      </c>
      <c r="M134" s="30">
        <v>156</v>
      </c>
      <c r="N134" s="61"/>
    </row>
    <row r="135" spans="1:14" ht="12.75" customHeight="1" x14ac:dyDescent="0.2">
      <c r="A135" s="75" t="s">
        <v>257</v>
      </c>
      <c r="B135" s="30">
        <v>222.49</v>
      </c>
      <c r="C135" s="30"/>
      <c r="H135" s="59" t="str">
        <f t="shared" si="2"/>
        <v>1st Pay Period ending 8/11/2022</v>
      </c>
      <c r="M135" s="30">
        <v>18792</v>
      </c>
      <c r="N135" s="61"/>
    </row>
    <row r="136" spans="1:14" ht="12.75" customHeight="1" x14ac:dyDescent="0.2">
      <c r="A136" s="75" t="s">
        <v>257</v>
      </c>
      <c r="B136" s="30">
        <v>33.65</v>
      </c>
      <c r="C136" s="30"/>
      <c r="H136" s="59" t="str">
        <f t="shared" si="2"/>
        <v>1st Pay Period ending 8/11/2022</v>
      </c>
      <c r="M136" s="30">
        <v>18506</v>
      </c>
      <c r="N136" s="61"/>
    </row>
    <row r="137" spans="1:14" ht="12.75" customHeight="1" x14ac:dyDescent="0.2">
      <c r="A137" s="75" t="s">
        <v>446</v>
      </c>
      <c r="B137" s="30">
        <v>35.04</v>
      </c>
      <c r="C137" s="30"/>
      <c r="H137" s="59" t="str">
        <f t="shared" si="2"/>
        <v>1st Pay Period ending 8/11/2022</v>
      </c>
      <c r="M137" s="30">
        <v>19037</v>
      </c>
      <c r="N137" s="61"/>
    </row>
    <row r="138" spans="1:14" ht="12.75" customHeight="1" x14ac:dyDescent="0.2">
      <c r="A138" s="75" t="s">
        <v>258</v>
      </c>
      <c r="B138" s="30">
        <v>230.77</v>
      </c>
      <c r="C138" s="30"/>
      <c r="H138" s="59" t="str">
        <f t="shared" si="2"/>
        <v>1st Pay Period ending 8/11/2022</v>
      </c>
      <c r="M138" s="30">
        <v>18517</v>
      </c>
      <c r="N138" s="61"/>
    </row>
    <row r="139" spans="1:14" ht="12.75" customHeight="1" x14ac:dyDescent="0.2">
      <c r="A139" s="75" t="s">
        <v>472</v>
      </c>
      <c r="B139" s="30">
        <v>24.15</v>
      </c>
      <c r="C139" s="30"/>
      <c r="H139" s="59" t="str">
        <f t="shared" si="2"/>
        <v>1st Pay Period ending 8/11/2022</v>
      </c>
      <c r="M139" s="30">
        <v>18736</v>
      </c>
      <c r="N139" s="61"/>
    </row>
    <row r="140" spans="1:14" ht="12.75" customHeight="1" x14ac:dyDescent="0.2">
      <c r="A140" s="75" t="s">
        <v>472</v>
      </c>
      <c r="B140" s="30">
        <v>140</v>
      </c>
      <c r="C140" s="30"/>
      <c r="H140" s="59" t="str">
        <f t="shared" si="2"/>
        <v>1st Pay Period ending 8/11/2022</v>
      </c>
      <c r="M140" s="30">
        <v>19014</v>
      </c>
      <c r="N140" s="61"/>
    </row>
    <row r="141" spans="1:14" ht="12.75" customHeight="1" x14ac:dyDescent="0.2">
      <c r="A141" s="75" t="s">
        <v>259</v>
      </c>
      <c r="B141" s="30">
        <v>692.31</v>
      </c>
      <c r="C141" s="30"/>
      <c r="H141" s="59" t="str">
        <f t="shared" si="2"/>
        <v>1st Pay Period ending 8/11/2022</v>
      </c>
      <c r="M141" s="30">
        <v>18920</v>
      </c>
      <c r="N141" s="61"/>
    </row>
    <row r="142" spans="1:14" ht="12.75" customHeight="1" x14ac:dyDescent="0.2">
      <c r="A142" s="75" t="s">
        <v>259</v>
      </c>
      <c r="B142" s="30">
        <v>76.92</v>
      </c>
      <c r="C142" s="30"/>
      <c r="H142" s="59" t="str">
        <f t="shared" si="2"/>
        <v>1st Pay Period ending 8/11/2022</v>
      </c>
      <c r="M142" s="30">
        <v>18997</v>
      </c>
      <c r="N142" s="61"/>
    </row>
    <row r="143" spans="1:14" ht="12.75" customHeight="1" x14ac:dyDescent="0.2">
      <c r="A143" s="75" t="s">
        <v>260</v>
      </c>
      <c r="B143" s="30">
        <v>692.31</v>
      </c>
      <c r="C143" s="30"/>
      <c r="H143" s="59" t="str">
        <f t="shared" si="2"/>
        <v>1st Pay Period ending 8/11/2022</v>
      </c>
      <c r="M143" s="30">
        <v>18948</v>
      </c>
      <c r="N143" s="61"/>
    </row>
    <row r="144" spans="1:14" ht="12.75" customHeight="1" x14ac:dyDescent="0.2">
      <c r="A144" s="75" t="s">
        <v>260</v>
      </c>
      <c r="B144" s="30">
        <v>692.31</v>
      </c>
      <c r="C144" s="30"/>
      <c r="H144" s="59" t="str">
        <f t="shared" si="2"/>
        <v>1st Pay Period ending 8/11/2022</v>
      </c>
      <c r="M144" s="30">
        <v>18716</v>
      </c>
      <c r="N144" s="61"/>
    </row>
    <row r="145" spans="1:14" ht="12.75" customHeight="1" x14ac:dyDescent="0.2">
      <c r="A145" s="75" t="s">
        <v>261</v>
      </c>
      <c r="B145" s="30">
        <v>267.23</v>
      </c>
      <c r="C145" s="30"/>
      <c r="H145" s="59" t="str">
        <f t="shared" si="2"/>
        <v>1st Pay Period ending 8/11/2022</v>
      </c>
      <c r="M145" s="30">
        <v>18969</v>
      </c>
      <c r="N145" s="61"/>
    </row>
    <row r="146" spans="1:14" ht="12.75" customHeight="1" x14ac:dyDescent="0.2">
      <c r="A146" s="75" t="s">
        <v>261</v>
      </c>
      <c r="B146" s="30">
        <v>36.46</v>
      </c>
      <c r="C146" s="30"/>
      <c r="H146" s="59" t="str">
        <f t="shared" si="2"/>
        <v>1st Pay Period ending 8/11/2022</v>
      </c>
      <c r="M146" s="30">
        <v>18862</v>
      </c>
      <c r="N146" s="61"/>
    </row>
    <row r="147" spans="1:14" ht="12.75" customHeight="1" x14ac:dyDescent="0.2">
      <c r="A147" s="75" t="s">
        <v>262</v>
      </c>
      <c r="B147" s="30">
        <v>692.31</v>
      </c>
      <c r="C147" s="30"/>
      <c r="H147" s="59" t="str">
        <f t="shared" si="2"/>
        <v>1st Pay Period ending 8/11/2022</v>
      </c>
      <c r="M147" s="30">
        <v>18886</v>
      </c>
      <c r="N147" s="61"/>
    </row>
    <row r="148" spans="1:14" ht="12.75" customHeight="1" x14ac:dyDescent="0.2">
      <c r="A148" s="75" t="s">
        <v>263</v>
      </c>
      <c r="B148" s="30">
        <v>692.31</v>
      </c>
      <c r="C148" s="30"/>
      <c r="H148" s="59" t="str">
        <f t="shared" si="2"/>
        <v>1st Pay Period ending 8/11/2022</v>
      </c>
      <c r="M148" s="30">
        <v>18853</v>
      </c>
      <c r="N148" s="61"/>
    </row>
    <row r="149" spans="1:14" ht="12.75" customHeight="1" x14ac:dyDescent="0.2">
      <c r="A149" s="75" t="s">
        <v>473</v>
      </c>
      <c r="B149" s="30">
        <v>2828.94</v>
      </c>
      <c r="C149" s="30"/>
      <c r="H149" s="59" t="str">
        <f t="shared" si="2"/>
        <v>1st Pay Period ending 8/11/2022</v>
      </c>
      <c r="M149" s="30">
        <v>18893</v>
      </c>
      <c r="N149" s="61"/>
    </row>
    <row r="150" spans="1:14" ht="12.75" customHeight="1" x14ac:dyDescent="0.2">
      <c r="A150" s="75" t="s">
        <v>264</v>
      </c>
      <c r="B150" s="30">
        <v>36.46</v>
      </c>
      <c r="C150" s="30"/>
      <c r="H150" s="59" t="str">
        <f t="shared" si="2"/>
        <v>1st Pay Period ending 8/11/2022</v>
      </c>
      <c r="M150" s="30">
        <v>18866</v>
      </c>
      <c r="N150" s="61"/>
    </row>
    <row r="151" spans="1:14" ht="12.75" customHeight="1" x14ac:dyDescent="0.2">
      <c r="A151" s="75" t="s">
        <v>264</v>
      </c>
      <c r="B151" s="30">
        <v>117.63</v>
      </c>
      <c r="C151" s="30"/>
      <c r="H151" s="59" t="str">
        <f t="shared" si="2"/>
        <v>1st Pay Period ending 8/11/2022</v>
      </c>
      <c r="M151" s="30">
        <v>18831</v>
      </c>
      <c r="N151" s="61"/>
    </row>
    <row r="152" spans="1:14" ht="12.75" customHeight="1" x14ac:dyDescent="0.2">
      <c r="A152" s="75" t="s">
        <v>264</v>
      </c>
      <c r="B152" s="30">
        <v>242.35</v>
      </c>
      <c r="C152" s="30"/>
      <c r="H152" s="59" t="str">
        <f t="shared" si="2"/>
        <v>1st Pay Period ending 8/11/2022</v>
      </c>
      <c r="M152" s="30">
        <v>18903</v>
      </c>
      <c r="N152" s="61"/>
    </row>
    <row r="153" spans="1:14" ht="12.75" customHeight="1" x14ac:dyDescent="0.2">
      <c r="A153" s="75" t="s">
        <v>264</v>
      </c>
      <c r="B153" s="30">
        <v>1414.26</v>
      </c>
      <c r="C153" s="30"/>
      <c r="H153" s="59" t="str">
        <f t="shared" si="2"/>
        <v>1st Pay Period ending 8/11/2022</v>
      </c>
      <c r="M153" s="30">
        <v>18893</v>
      </c>
      <c r="N153" s="61"/>
    </row>
    <row r="154" spans="1:14" ht="12.75" customHeight="1" x14ac:dyDescent="0.2">
      <c r="A154" s="75" t="s">
        <v>265</v>
      </c>
      <c r="B154" s="30">
        <v>207.31</v>
      </c>
      <c r="C154" s="30"/>
      <c r="H154" s="59" t="str">
        <f t="shared" si="2"/>
        <v>1st Pay Period ending 8/11/2022</v>
      </c>
      <c r="M154" s="30">
        <v>18879</v>
      </c>
      <c r="N154" s="61"/>
    </row>
    <row r="155" spans="1:14" ht="12.75" customHeight="1" x14ac:dyDescent="0.2">
      <c r="A155" s="75" t="s">
        <v>265</v>
      </c>
      <c r="B155" s="30">
        <v>36.46</v>
      </c>
      <c r="C155" s="30"/>
      <c r="H155" s="59" t="str">
        <f t="shared" si="2"/>
        <v>1st Pay Period ending 8/11/2022</v>
      </c>
      <c r="M155" s="30">
        <v>18631</v>
      </c>
      <c r="N155" s="61"/>
    </row>
    <row r="156" spans="1:14" ht="12.75" customHeight="1" x14ac:dyDescent="0.2">
      <c r="A156" s="75" t="s">
        <v>266</v>
      </c>
      <c r="B156" s="30">
        <v>355.7</v>
      </c>
      <c r="C156" s="30"/>
      <c r="H156" s="59" t="str">
        <f t="shared" si="2"/>
        <v>1st Pay Period ending 8/11/2022</v>
      </c>
      <c r="M156" s="30">
        <v>19013</v>
      </c>
      <c r="N156" s="61"/>
    </row>
    <row r="157" spans="1:14" ht="12.75" customHeight="1" x14ac:dyDescent="0.2">
      <c r="A157" s="75" t="s">
        <v>267</v>
      </c>
      <c r="B157" s="30">
        <v>36.46</v>
      </c>
      <c r="C157" s="30"/>
      <c r="H157" s="59" t="str">
        <f t="shared" si="2"/>
        <v>1st Pay Period ending 8/11/2022</v>
      </c>
      <c r="M157" s="30">
        <v>18911</v>
      </c>
      <c r="N157" s="61"/>
    </row>
    <row r="158" spans="1:14" ht="12.75" customHeight="1" x14ac:dyDescent="0.2">
      <c r="A158" s="75" t="s">
        <v>267</v>
      </c>
      <c r="B158" s="30">
        <v>55.59</v>
      </c>
      <c r="C158" s="30"/>
      <c r="H158" s="59" t="str">
        <f t="shared" si="2"/>
        <v>1st Pay Period ending 8/11/2022</v>
      </c>
      <c r="M158" s="30">
        <v>18960</v>
      </c>
      <c r="N158" s="61"/>
    </row>
    <row r="159" spans="1:14" ht="12.75" customHeight="1" x14ac:dyDescent="0.2">
      <c r="A159" s="30" t="s">
        <v>268</v>
      </c>
      <c r="B159" s="30">
        <v>311.11</v>
      </c>
      <c r="C159" s="30"/>
      <c r="H159" s="59" t="str">
        <f t="shared" si="2"/>
        <v>1st Pay Period ending 8/11/2022</v>
      </c>
      <c r="M159" s="30">
        <v>145</v>
      </c>
      <c r="N159" s="61"/>
    </row>
    <row r="160" spans="1:14" ht="12.75" customHeight="1" x14ac:dyDescent="0.2">
      <c r="A160" s="75" t="s">
        <v>268</v>
      </c>
      <c r="B160" s="30">
        <v>264.66000000000003</v>
      </c>
      <c r="C160" s="30"/>
      <c r="H160" s="59" t="str">
        <f t="shared" si="2"/>
        <v>1st Pay Period ending 8/11/2022</v>
      </c>
      <c r="M160" s="30">
        <v>18961</v>
      </c>
      <c r="N160" s="61"/>
    </row>
    <row r="161" spans="1:14" ht="12.75" customHeight="1" x14ac:dyDescent="0.2">
      <c r="A161" s="75" t="s">
        <v>268</v>
      </c>
      <c r="B161" s="30">
        <v>27.08</v>
      </c>
      <c r="C161" s="30"/>
      <c r="H161" s="59" t="str">
        <f t="shared" si="2"/>
        <v>1st Pay Period ending 8/11/2022</v>
      </c>
      <c r="M161" s="30">
        <v>11229</v>
      </c>
      <c r="N161" s="61"/>
    </row>
    <row r="162" spans="1:14" ht="12.75" customHeight="1" x14ac:dyDescent="0.2">
      <c r="A162" s="75" t="s">
        <v>269</v>
      </c>
      <c r="B162" s="30">
        <v>230.77</v>
      </c>
      <c r="C162" s="30"/>
      <c r="H162" s="59" t="str">
        <f t="shared" si="2"/>
        <v>1st Pay Period ending 8/11/2022</v>
      </c>
      <c r="M162" s="30">
        <v>18962</v>
      </c>
      <c r="N162" s="61"/>
    </row>
    <row r="163" spans="1:14" ht="12.75" customHeight="1" x14ac:dyDescent="0.2">
      <c r="A163" s="75" t="s">
        <v>269</v>
      </c>
      <c r="B163" s="30">
        <v>294.07</v>
      </c>
      <c r="C163" s="30"/>
      <c r="H163" s="59" t="str">
        <f t="shared" si="2"/>
        <v>1st Pay Period ending 8/11/2022</v>
      </c>
      <c r="M163" s="30">
        <v>19006</v>
      </c>
      <c r="N163" s="61"/>
    </row>
    <row r="164" spans="1:14" ht="12.75" customHeight="1" x14ac:dyDescent="0.2">
      <c r="A164" s="75" t="s">
        <v>269</v>
      </c>
      <c r="B164" s="30">
        <v>36.46</v>
      </c>
      <c r="C164" s="30"/>
      <c r="H164" s="59" t="str">
        <f t="shared" si="2"/>
        <v>1st Pay Period ending 8/11/2022</v>
      </c>
      <c r="M164" s="30">
        <v>18974</v>
      </c>
      <c r="N164" s="61"/>
    </row>
    <row r="165" spans="1:14" ht="12.75" customHeight="1" x14ac:dyDescent="0.2">
      <c r="A165" s="75" t="s">
        <v>269</v>
      </c>
      <c r="B165" s="30">
        <v>29.41</v>
      </c>
      <c r="C165" s="30"/>
      <c r="H165" s="59" t="str">
        <f t="shared" si="2"/>
        <v>1st Pay Period ending 8/11/2022</v>
      </c>
      <c r="M165" s="30">
        <v>19007</v>
      </c>
      <c r="N165" s="61"/>
    </row>
    <row r="166" spans="1:14" ht="12.75" customHeight="1" x14ac:dyDescent="0.2">
      <c r="A166" s="75" t="s">
        <v>270</v>
      </c>
      <c r="B166" s="30">
        <v>576.91999999999996</v>
      </c>
      <c r="C166" s="30"/>
      <c r="H166" s="59" t="str">
        <f t="shared" si="2"/>
        <v>1st Pay Period ending 8/11/2022</v>
      </c>
      <c r="M166" s="30">
        <v>19034</v>
      </c>
      <c r="N166" s="61"/>
    </row>
    <row r="167" spans="1:14" ht="12.75" customHeight="1" x14ac:dyDescent="0.2">
      <c r="A167" s="75" t="s">
        <v>270</v>
      </c>
      <c r="B167" s="30">
        <v>846.15</v>
      </c>
      <c r="C167" s="30"/>
      <c r="H167" s="59" t="str">
        <f t="shared" si="2"/>
        <v>1st Pay Period ending 8/11/2022</v>
      </c>
      <c r="M167" s="30">
        <v>44705</v>
      </c>
      <c r="N167" s="61"/>
    </row>
    <row r="168" spans="1:14" ht="12.75" customHeight="1" x14ac:dyDescent="0.2">
      <c r="A168" s="75" t="s">
        <v>271</v>
      </c>
      <c r="B168" s="30">
        <v>96.6</v>
      </c>
      <c r="C168" s="30"/>
      <c r="H168" s="59" t="str">
        <f t="shared" si="2"/>
        <v>1st Pay Period ending 8/11/2022</v>
      </c>
      <c r="M168" s="30">
        <v>18887</v>
      </c>
      <c r="N168" s="61"/>
    </row>
    <row r="169" spans="1:14" ht="12.75" customHeight="1" x14ac:dyDescent="0.2">
      <c r="A169" s="75" t="s">
        <v>271</v>
      </c>
      <c r="B169" s="30">
        <v>128.80000000000001</v>
      </c>
      <c r="C169" s="30"/>
      <c r="H169" s="59" t="str">
        <f t="shared" si="2"/>
        <v>1st Pay Period ending 8/11/2022</v>
      </c>
      <c r="M169" s="30">
        <v>18949</v>
      </c>
      <c r="N169" s="61"/>
    </row>
    <row r="170" spans="1:14" ht="12.75" customHeight="1" x14ac:dyDescent="0.2">
      <c r="A170" s="75" t="s">
        <v>271</v>
      </c>
      <c r="B170" s="30">
        <v>32.200000000000003</v>
      </c>
      <c r="C170" s="30"/>
      <c r="H170" s="59" t="str">
        <f t="shared" si="2"/>
        <v>1st Pay Period ending 8/11/2022</v>
      </c>
      <c r="M170" s="30">
        <v>18827</v>
      </c>
      <c r="N170" s="61"/>
    </row>
    <row r="171" spans="1:14" ht="12.75" customHeight="1" x14ac:dyDescent="0.2">
      <c r="A171" s="75" t="s">
        <v>271</v>
      </c>
      <c r="B171" s="30">
        <v>352.71</v>
      </c>
      <c r="C171" s="30"/>
      <c r="H171" s="59" t="str">
        <f t="shared" si="2"/>
        <v>1st Pay Period ending 8/11/2022</v>
      </c>
      <c r="M171" s="30">
        <v>18901</v>
      </c>
      <c r="N171" s="61"/>
    </row>
    <row r="172" spans="1:14" ht="12.75" customHeight="1" x14ac:dyDescent="0.2">
      <c r="A172" s="75" t="s">
        <v>271</v>
      </c>
      <c r="B172" s="30">
        <v>315.75</v>
      </c>
      <c r="C172" s="30"/>
      <c r="H172" s="59" t="str">
        <f t="shared" si="2"/>
        <v>1st Pay Period ending 8/11/2022</v>
      </c>
      <c r="M172" s="30">
        <v>18918</v>
      </c>
      <c r="N172" s="61"/>
    </row>
    <row r="173" spans="1:14" ht="12.75" customHeight="1" x14ac:dyDescent="0.2">
      <c r="A173" s="75" t="s">
        <v>271</v>
      </c>
      <c r="B173" s="30">
        <v>241.94</v>
      </c>
      <c r="C173" s="30"/>
      <c r="H173" s="59" t="str">
        <f t="shared" si="2"/>
        <v>1st Pay Period ending 8/11/2022</v>
      </c>
      <c r="M173" s="30">
        <v>18979</v>
      </c>
      <c r="N173" s="61"/>
    </row>
    <row r="174" spans="1:14" ht="12.75" customHeight="1" x14ac:dyDescent="0.2">
      <c r="A174" s="75" t="s">
        <v>474</v>
      </c>
      <c r="B174" s="30">
        <v>48.3</v>
      </c>
      <c r="C174" s="30"/>
      <c r="H174" s="59" t="str">
        <f t="shared" si="2"/>
        <v>1st Pay Period ending 8/11/2022</v>
      </c>
      <c r="M174" s="30">
        <v>18989</v>
      </c>
      <c r="N174" s="61"/>
    </row>
    <row r="175" spans="1:14" ht="12.75" customHeight="1" x14ac:dyDescent="0.2">
      <c r="A175" s="75" t="s">
        <v>475</v>
      </c>
      <c r="B175" s="30">
        <v>72.45</v>
      </c>
      <c r="C175" s="30"/>
      <c r="H175" s="59" t="str">
        <f t="shared" si="2"/>
        <v>1st Pay Period ending 8/11/2022</v>
      </c>
      <c r="M175" s="30">
        <v>18736</v>
      </c>
      <c r="N175" s="61"/>
    </row>
    <row r="176" spans="1:14" ht="12.75" customHeight="1" x14ac:dyDescent="0.2">
      <c r="A176" s="75" t="s">
        <v>273</v>
      </c>
      <c r="B176" s="30">
        <v>248.44</v>
      </c>
      <c r="C176" s="30"/>
      <c r="H176" s="59" t="str">
        <f t="shared" si="2"/>
        <v>1st Pay Period ending 8/11/2022</v>
      </c>
      <c r="M176" s="30">
        <v>18932</v>
      </c>
      <c r="N176" s="61"/>
    </row>
    <row r="177" spans="1:14" ht="12.75" customHeight="1" x14ac:dyDescent="0.2">
      <c r="A177" s="75" t="s">
        <v>273</v>
      </c>
      <c r="B177" s="80">
        <v>96.6</v>
      </c>
      <c r="C177" s="80"/>
      <c r="H177" s="59" t="str">
        <f t="shared" si="2"/>
        <v>1st Pay Period ending 8/11/2022</v>
      </c>
      <c r="M177" s="30">
        <v>19028</v>
      </c>
      <c r="N177" s="61"/>
    </row>
    <row r="178" spans="1:14" ht="12.75" customHeight="1" x14ac:dyDescent="0.2">
      <c r="A178" s="75" t="s">
        <v>273</v>
      </c>
      <c r="B178" s="30">
        <v>96.6</v>
      </c>
      <c r="C178" s="30"/>
      <c r="H178" s="59" t="str">
        <f t="shared" si="2"/>
        <v>1st Pay Period ending 8/11/2022</v>
      </c>
      <c r="M178" s="30">
        <v>18829</v>
      </c>
      <c r="N178" s="61"/>
    </row>
    <row r="179" spans="1:14" ht="12.75" customHeight="1" x14ac:dyDescent="0.2">
      <c r="A179" s="75" t="s">
        <v>273</v>
      </c>
      <c r="B179" s="30">
        <v>48.3</v>
      </c>
      <c r="C179" s="30"/>
      <c r="H179" s="59" t="str">
        <f t="shared" si="2"/>
        <v>1st Pay Period ending 8/11/2022</v>
      </c>
      <c r="M179" s="30">
        <v>19015</v>
      </c>
      <c r="N179" s="61"/>
    </row>
    <row r="180" spans="1:14" ht="12.75" customHeight="1" x14ac:dyDescent="0.2">
      <c r="A180" s="75" t="s">
        <v>273</v>
      </c>
      <c r="B180" s="30">
        <v>407.8</v>
      </c>
      <c r="C180" s="30"/>
      <c r="H180" s="59" t="str">
        <f t="shared" si="2"/>
        <v>1st Pay Period ending 8/11/2022</v>
      </c>
      <c r="M180" s="30">
        <v>19030</v>
      </c>
      <c r="N180" s="61"/>
    </row>
    <row r="181" spans="1:14" ht="12.75" customHeight="1" x14ac:dyDescent="0.2">
      <c r="A181" s="75" t="s">
        <v>273</v>
      </c>
      <c r="B181" s="30">
        <v>64.400000000000006</v>
      </c>
      <c r="C181" s="30"/>
      <c r="H181" s="59" t="str">
        <f t="shared" si="2"/>
        <v>1st Pay Period ending 8/11/2022</v>
      </c>
      <c r="M181" s="30">
        <v>19029</v>
      </c>
      <c r="N181" s="61"/>
    </row>
    <row r="182" spans="1:14" ht="12.75" customHeight="1" x14ac:dyDescent="0.2">
      <c r="A182" s="75" t="s">
        <v>273</v>
      </c>
      <c r="B182" s="30">
        <v>80.5</v>
      </c>
      <c r="C182" s="30"/>
      <c r="H182" s="59" t="str">
        <f t="shared" si="2"/>
        <v>1st Pay Period ending 8/11/2022</v>
      </c>
      <c r="M182" s="30">
        <v>19011</v>
      </c>
      <c r="N182" s="61"/>
    </row>
    <row r="183" spans="1:14" ht="12.75" customHeight="1" x14ac:dyDescent="0.2">
      <c r="A183" s="75" t="s">
        <v>273</v>
      </c>
      <c r="B183" s="30">
        <v>80.5</v>
      </c>
      <c r="C183" s="30"/>
      <c r="H183" s="59" t="str">
        <f t="shared" si="2"/>
        <v>1st Pay Period ending 8/11/2022</v>
      </c>
      <c r="M183" s="30">
        <v>19012</v>
      </c>
      <c r="N183" s="61"/>
    </row>
    <row r="184" spans="1:14" ht="12.75" customHeight="1" x14ac:dyDescent="0.2">
      <c r="A184" s="75" t="s">
        <v>273</v>
      </c>
      <c r="B184" s="30">
        <v>48.3</v>
      </c>
      <c r="C184" s="30"/>
      <c r="H184" s="59" t="str">
        <f t="shared" si="2"/>
        <v>1st Pay Period ending 8/11/2022</v>
      </c>
      <c r="M184" s="30">
        <v>19017</v>
      </c>
      <c r="N184" s="61"/>
    </row>
    <row r="185" spans="1:14" ht="12.75" customHeight="1" x14ac:dyDescent="0.2">
      <c r="A185" s="75" t="s">
        <v>273</v>
      </c>
      <c r="B185" s="30">
        <v>96.6</v>
      </c>
      <c r="C185" s="30"/>
      <c r="H185" s="59" t="str">
        <f t="shared" si="2"/>
        <v>1st Pay Period ending 8/11/2022</v>
      </c>
      <c r="M185" s="30">
        <v>18983</v>
      </c>
      <c r="N185" s="61"/>
    </row>
    <row r="186" spans="1:14" ht="12.75" customHeight="1" x14ac:dyDescent="0.2">
      <c r="A186" s="75" t="s">
        <v>273</v>
      </c>
      <c r="B186" s="30">
        <v>64.400000000000006</v>
      </c>
      <c r="C186" s="30"/>
      <c r="H186" s="59" t="str">
        <f t="shared" si="2"/>
        <v>1st Pay Period ending 8/11/2022</v>
      </c>
      <c r="M186" s="30">
        <v>19009</v>
      </c>
      <c r="N186" s="61"/>
    </row>
    <row r="187" spans="1:14" ht="12.75" customHeight="1" x14ac:dyDescent="0.2">
      <c r="A187" s="75" t="s">
        <v>273</v>
      </c>
      <c r="B187" s="30">
        <v>48.3</v>
      </c>
      <c r="C187" s="30"/>
      <c r="H187" s="59" t="str">
        <f t="shared" si="2"/>
        <v>1st Pay Period ending 8/11/2022</v>
      </c>
      <c r="M187" s="30">
        <v>19019</v>
      </c>
      <c r="N187" s="61"/>
    </row>
    <row r="188" spans="1:14" ht="12.75" customHeight="1" x14ac:dyDescent="0.2">
      <c r="A188" s="75" t="s">
        <v>274</v>
      </c>
      <c r="B188" s="30">
        <v>692.31</v>
      </c>
      <c r="C188" s="30"/>
      <c r="H188" s="59" t="str">
        <f t="shared" si="2"/>
        <v>1st Pay Period ending 8/11/2022</v>
      </c>
      <c r="M188" s="30">
        <v>18998</v>
      </c>
      <c r="N188" s="61"/>
    </row>
    <row r="189" spans="1:14" ht="12.75" customHeight="1" x14ac:dyDescent="0.2">
      <c r="A189" s="75" t="s">
        <v>275</v>
      </c>
      <c r="B189" s="30">
        <v>36.46</v>
      </c>
      <c r="C189" s="30"/>
      <c r="H189" s="59" t="str">
        <f t="shared" si="2"/>
        <v>1st Pay Period ending 8/11/2022</v>
      </c>
      <c r="M189" s="30">
        <v>18649</v>
      </c>
      <c r="N189" s="61"/>
    </row>
    <row r="190" spans="1:14" ht="12.75" customHeight="1" x14ac:dyDescent="0.2">
      <c r="A190" s="75" t="s">
        <v>476</v>
      </c>
      <c r="B190" s="30">
        <v>16.100000000000001</v>
      </c>
      <c r="C190" s="30"/>
      <c r="H190" s="59" t="str">
        <f t="shared" si="2"/>
        <v>1st Pay Period ending 8/11/2022</v>
      </c>
      <c r="M190" s="30">
        <v>18904</v>
      </c>
      <c r="N190" s="61"/>
    </row>
    <row r="191" spans="1:14" ht="12.75" customHeight="1" x14ac:dyDescent="0.2">
      <c r="A191" s="75" t="s">
        <v>276</v>
      </c>
      <c r="B191" s="30">
        <v>16.100000000000001</v>
      </c>
      <c r="C191" s="30"/>
      <c r="H191" s="59" t="str">
        <f t="shared" si="2"/>
        <v>1st Pay Period ending 8/11/2022</v>
      </c>
      <c r="M191" s="30">
        <v>18703</v>
      </c>
      <c r="N191" s="61"/>
    </row>
    <row r="192" spans="1:14" ht="12.75" customHeight="1" x14ac:dyDescent="0.2">
      <c r="A192" s="75" t="s">
        <v>276</v>
      </c>
      <c r="B192" s="30">
        <v>36.46</v>
      </c>
      <c r="C192" s="30"/>
      <c r="H192" s="59" t="str">
        <f t="shared" si="2"/>
        <v>1st Pay Period ending 8/11/2022</v>
      </c>
      <c r="M192" s="30">
        <v>18858</v>
      </c>
      <c r="N192" s="61"/>
    </row>
    <row r="193" spans="1:14" ht="12.75" customHeight="1" x14ac:dyDescent="0.2">
      <c r="A193" s="75" t="s">
        <v>276</v>
      </c>
      <c r="B193" s="30">
        <v>168.19</v>
      </c>
      <c r="C193" s="30"/>
      <c r="H193" s="59" t="str">
        <f t="shared" si="2"/>
        <v>1st Pay Period ending 8/11/2022</v>
      </c>
      <c r="M193" s="30">
        <v>19023</v>
      </c>
      <c r="N193" s="61"/>
    </row>
    <row r="194" spans="1:14" ht="12.75" customHeight="1" x14ac:dyDescent="0.2">
      <c r="A194" s="75" t="s">
        <v>276</v>
      </c>
      <c r="B194" s="30">
        <v>243.73</v>
      </c>
      <c r="C194" s="30"/>
      <c r="H194" s="59" t="str">
        <f t="shared" si="2"/>
        <v>1st Pay Period ending 8/11/2022</v>
      </c>
      <c r="M194" s="30">
        <v>18986</v>
      </c>
      <c r="N194" s="61"/>
    </row>
    <row r="195" spans="1:14" ht="12.75" customHeight="1" x14ac:dyDescent="0.2">
      <c r="A195" s="75" t="s">
        <v>276</v>
      </c>
      <c r="B195" s="30">
        <v>267.22000000000003</v>
      </c>
      <c r="C195" s="30"/>
      <c r="H195" s="59" t="str">
        <f t="shared" ref="H195:H258" si="3">$K$1</f>
        <v>1st Pay Period ending 8/11/2022</v>
      </c>
      <c r="M195" s="30">
        <v>18713</v>
      </c>
      <c r="N195" s="61"/>
    </row>
    <row r="196" spans="1:14" ht="12.75" customHeight="1" x14ac:dyDescent="0.2">
      <c r="A196" s="75" t="s">
        <v>276</v>
      </c>
      <c r="B196" s="30">
        <v>162.49</v>
      </c>
      <c r="C196" s="30"/>
      <c r="H196" s="59" t="str">
        <f t="shared" si="3"/>
        <v>1st Pay Period ending 8/11/2022</v>
      </c>
      <c r="M196" s="30">
        <v>19039</v>
      </c>
      <c r="N196" s="61"/>
    </row>
    <row r="197" spans="1:14" ht="12.75" customHeight="1" x14ac:dyDescent="0.2">
      <c r="A197" s="75" t="s">
        <v>276</v>
      </c>
      <c r="B197" s="30">
        <v>117.63</v>
      </c>
      <c r="C197" s="30"/>
      <c r="H197" s="59" t="str">
        <f t="shared" si="3"/>
        <v>1st Pay Period ending 8/11/2022</v>
      </c>
      <c r="M197" s="30">
        <v>18942</v>
      </c>
      <c r="N197" s="61"/>
    </row>
    <row r="198" spans="1:14" ht="12.75" customHeight="1" x14ac:dyDescent="0.2">
      <c r="A198" s="75" t="s">
        <v>276</v>
      </c>
      <c r="B198" s="30">
        <v>96.01</v>
      </c>
      <c r="C198" s="30"/>
      <c r="H198" s="59" t="str">
        <f t="shared" si="3"/>
        <v>1st Pay Period ending 8/11/2022</v>
      </c>
      <c r="M198" s="30">
        <v>18917</v>
      </c>
      <c r="N198" s="61"/>
    </row>
    <row r="199" spans="1:14" ht="12.75" customHeight="1" x14ac:dyDescent="0.2">
      <c r="A199" s="75" t="s">
        <v>276</v>
      </c>
      <c r="B199" s="30">
        <v>36.46</v>
      </c>
      <c r="C199" s="30"/>
      <c r="H199" s="59" t="str">
        <f t="shared" si="3"/>
        <v>1st Pay Period ending 8/11/2022</v>
      </c>
      <c r="M199" s="30">
        <v>18850</v>
      </c>
      <c r="N199" s="61"/>
    </row>
    <row r="200" spans="1:14" ht="12.75" customHeight="1" x14ac:dyDescent="0.2">
      <c r="A200" s="75" t="s">
        <v>277</v>
      </c>
      <c r="B200" s="30">
        <v>692.31</v>
      </c>
      <c r="C200" s="30"/>
      <c r="H200" s="59" t="str">
        <f t="shared" si="3"/>
        <v>1st Pay Period ending 8/11/2022</v>
      </c>
      <c r="M200" s="30">
        <v>19031</v>
      </c>
      <c r="N200" s="61"/>
    </row>
    <row r="201" spans="1:14" ht="12.75" customHeight="1" x14ac:dyDescent="0.2">
      <c r="A201" s="75" t="s">
        <v>278</v>
      </c>
      <c r="B201" s="30">
        <v>36.46</v>
      </c>
      <c r="C201" s="30"/>
      <c r="H201" s="59" t="str">
        <f t="shared" si="3"/>
        <v>1st Pay Period ending 8/11/2022</v>
      </c>
      <c r="M201" s="30">
        <v>18442</v>
      </c>
      <c r="N201" s="61"/>
    </row>
    <row r="202" spans="1:14" ht="12.75" customHeight="1" x14ac:dyDescent="0.2">
      <c r="A202" s="75" t="s">
        <v>279</v>
      </c>
      <c r="B202" s="30">
        <v>36.46</v>
      </c>
      <c r="C202" s="30"/>
      <c r="H202" s="59" t="str">
        <f t="shared" si="3"/>
        <v>1st Pay Period ending 8/11/2022</v>
      </c>
      <c r="M202" s="30">
        <v>18823</v>
      </c>
      <c r="N202" s="61"/>
    </row>
    <row r="203" spans="1:14" ht="12.75" customHeight="1" x14ac:dyDescent="0.2">
      <c r="A203" s="75" t="s">
        <v>279</v>
      </c>
      <c r="B203" s="30">
        <v>36.46</v>
      </c>
      <c r="C203" s="30"/>
      <c r="H203" s="59" t="str">
        <f t="shared" si="3"/>
        <v>1st Pay Period ending 8/11/2022</v>
      </c>
      <c r="M203" s="30">
        <v>261</v>
      </c>
      <c r="N203" s="61"/>
    </row>
    <row r="204" spans="1:14" ht="12.75" customHeight="1" x14ac:dyDescent="0.2">
      <c r="A204" s="75" t="s">
        <v>477</v>
      </c>
      <c r="B204" s="80">
        <v>32.200000000000003</v>
      </c>
      <c r="C204" s="80"/>
      <c r="H204" s="59" t="str">
        <f t="shared" si="3"/>
        <v>1st Pay Period ending 8/11/2022</v>
      </c>
      <c r="M204" s="30">
        <v>18792</v>
      </c>
      <c r="N204" s="61"/>
    </row>
    <row r="205" spans="1:14" ht="12.75" customHeight="1" x14ac:dyDescent="0.2">
      <c r="A205" s="75" t="s">
        <v>280</v>
      </c>
      <c r="B205" s="30">
        <v>692.31</v>
      </c>
      <c r="C205" s="30"/>
      <c r="H205" s="59" t="str">
        <f t="shared" si="3"/>
        <v>1st Pay Period ending 8/11/2022</v>
      </c>
      <c r="M205" s="30">
        <v>18876</v>
      </c>
      <c r="N205" s="61"/>
    </row>
    <row r="206" spans="1:14" ht="12.75" customHeight="1" x14ac:dyDescent="0.2">
      <c r="A206" s="75" t="s">
        <v>281</v>
      </c>
      <c r="B206" s="30">
        <v>165</v>
      </c>
      <c r="C206" s="30"/>
      <c r="H206" s="59" t="str">
        <f t="shared" si="3"/>
        <v>1st Pay Period ending 8/11/2022</v>
      </c>
      <c r="M206" s="30">
        <v>18726</v>
      </c>
      <c r="N206" s="61"/>
    </row>
    <row r="207" spans="1:14" ht="12.75" customHeight="1" x14ac:dyDescent="0.2">
      <c r="A207" s="75" t="s">
        <v>282</v>
      </c>
      <c r="B207" s="30">
        <v>300</v>
      </c>
      <c r="C207" s="30"/>
      <c r="H207" s="59" t="str">
        <f t="shared" si="3"/>
        <v>1st Pay Period ending 8/11/2022</v>
      </c>
      <c r="M207" s="30">
        <v>18946</v>
      </c>
      <c r="N207" s="61"/>
    </row>
    <row r="208" spans="1:14" ht="12.75" customHeight="1" x14ac:dyDescent="0.2">
      <c r="A208" s="75" t="s">
        <v>283</v>
      </c>
      <c r="B208" s="30">
        <v>75</v>
      </c>
      <c r="C208" s="30"/>
      <c r="H208" s="59" t="str">
        <f t="shared" si="3"/>
        <v>1st Pay Period ending 8/11/2022</v>
      </c>
      <c r="M208" s="30">
        <v>220</v>
      </c>
      <c r="N208" s="61"/>
    </row>
    <row r="209" spans="1:14" ht="12.75" customHeight="1" x14ac:dyDescent="0.2">
      <c r="A209" s="75" t="s">
        <v>284</v>
      </c>
      <c r="B209" s="30">
        <v>400</v>
      </c>
      <c r="C209" s="30"/>
      <c r="H209" s="59" t="str">
        <f t="shared" si="3"/>
        <v>1st Pay Period ending 8/11/2022</v>
      </c>
      <c r="M209" s="30">
        <v>18968</v>
      </c>
      <c r="N209" s="61"/>
    </row>
    <row r="210" spans="1:14" ht="12.75" customHeight="1" x14ac:dyDescent="0.2">
      <c r="A210" s="75" t="s">
        <v>284</v>
      </c>
      <c r="B210" s="30">
        <v>780</v>
      </c>
      <c r="C210" s="30"/>
      <c r="H210" s="59" t="str">
        <f t="shared" si="3"/>
        <v>1st Pay Period ending 8/11/2022</v>
      </c>
      <c r="M210" s="30">
        <v>18550</v>
      </c>
      <c r="N210" s="61"/>
    </row>
    <row r="211" spans="1:14" ht="12.75" customHeight="1" x14ac:dyDescent="0.2">
      <c r="A211" s="75" t="s">
        <v>293</v>
      </c>
      <c r="B211" s="30">
        <v>860</v>
      </c>
      <c r="C211" s="30"/>
      <c r="H211" s="59" t="str">
        <f t="shared" si="3"/>
        <v>1st Pay Period ending 8/11/2022</v>
      </c>
      <c r="M211" s="30">
        <v>18957</v>
      </c>
      <c r="N211" s="61"/>
    </row>
    <row r="212" spans="1:14" ht="12.75" customHeight="1" x14ac:dyDescent="0.2">
      <c r="A212" s="75" t="s">
        <v>285</v>
      </c>
      <c r="B212" s="30">
        <v>150</v>
      </c>
      <c r="C212" s="30"/>
      <c r="H212" s="59" t="str">
        <f t="shared" si="3"/>
        <v>1st Pay Period ending 8/11/2022</v>
      </c>
      <c r="M212" s="30">
        <v>261</v>
      </c>
      <c r="N212" s="61"/>
    </row>
    <row r="213" spans="1:14" ht="12.75" customHeight="1" x14ac:dyDescent="0.2">
      <c r="A213" s="75" t="s">
        <v>281</v>
      </c>
      <c r="B213" s="30">
        <v>437.55</v>
      </c>
      <c r="C213" s="30"/>
      <c r="H213" s="59" t="str">
        <f t="shared" si="3"/>
        <v>1st Pay Period ending 8/11/2022</v>
      </c>
      <c r="M213" s="30">
        <v>18647</v>
      </c>
      <c r="N213" s="61"/>
    </row>
    <row r="214" spans="1:14" ht="12.75" customHeight="1" x14ac:dyDescent="0.2">
      <c r="A214" s="75" t="s">
        <v>281</v>
      </c>
      <c r="B214" s="30">
        <v>444.23</v>
      </c>
      <c r="C214" s="30"/>
      <c r="H214" s="59" t="str">
        <f t="shared" si="3"/>
        <v>1st Pay Period ending 8/11/2022</v>
      </c>
      <c r="M214" s="30">
        <v>18871</v>
      </c>
      <c r="N214" s="61"/>
    </row>
    <row r="215" spans="1:14" ht="12.75" customHeight="1" x14ac:dyDescent="0.2">
      <c r="A215" s="75" t="s">
        <v>281</v>
      </c>
      <c r="B215" s="30">
        <v>565.39</v>
      </c>
      <c r="C215" s="30"/>
      <c r="H215" s="59" t="str">
        <f t="shared" si="3"/>
        <v>1st Pay Period ending 8/11/2022</v>
      </c>
      <c r="M215" s="30">
        <v>18517</v>
      </c>
      <c r="N215" s="61"/>
    </row>
    <row r="216" spans="1:14" ht="12.75" customHeight="1" x14ac:dyDescent="0.2">
      <c r="A216" s="75" t="s">
        <v>281</v>
      </c>
      <c r="B216" s="30">
        <v>343.27</v>
      </c>
      <c r="C216" s="30"/>
      <c r="H216" s="59" t="str">
        <f t="shared" si="3"/>
        <v>1st Pay Period ending 8/11/2022</v>
      </c>
      <c r="M216" s="30">
        <v>18726</v>
      </c>
      <c r="N216" s="61"/>
    </row>
    <row r="217" spans="1:14" ht="12.75" customHeight="1" x14ac:dyDescent="0.2">
      <c r="A217" s="75" t="s">
        <v>286</v>
      </c>
      <c r="B217" s="30">
        <v>403.85</v>
      </c>
      <c r="C217" s="30"/>
      <c r="H217" s="59" t="str">
        <f t="shared" si="3"/>
        <v>1st Pay Period ending 8/11/2022</v>
      </c>
      <c r="M217" s="30">
        <v>152</v>
      </c>
      <c r="N217" s="61"/>
    </row>
    <row r="218" spans="1:14" ht="12.75" customHeight="1" x14ac:dyDescent="0.2">
      <c r="A218" s="75" t="s">
        <v>287</v>
      </c>
      <c r="B218" s="30">
        <v>61.46</v>
      </c>
      <c r="C218" s="30"/>
      <c r="H218" s="59" t="str">
        <f t="shared" si="3"/>
        <v>1st Pay Period ending 8/11/2022</v>
      </c>
      <c r="M218" s="30">
        <v>18736</v>
      </c>
      <c r="N218" s="61"/>
    </row>
    <row r="219" spans="1:14" ht="12.75" customHeight="1" x14ac:dyDescent="0.2">
      <c r="A219" s="75" t="s">
        <v>287</v>
      </c>
      <c r="B219" s="30">
        <v>262.5</v>
      </c>
      <c r="C219" s="30"/>
      <c r="H219" s="59" t="str">
        <f t="shared" si="3"/>
        <v>1st Pay Period ending 8/11/2022</v>
      </c>
      <c r="M219" s="30">
        <v>19014</v>
      </c>
      <c r="N219" s="61"/>
    </row>
    <row r="220" spans="1:14" ht="12.75" customHeight="1" x14ac:dyDescent="0.2">
      <c r="A220" s="75" t="s">
        <v>282</v>
      </c>
      <c r="B220" s="30">
        <v>282.69</v>
      </c>
      <c r="C220" s="30"/>
      <c r="H220" s="59" t="str">
        <f t="shared" si="3"/>
        <v>1st Pay Period ending 8/11/2022</v>
      </c>
      <c r="M220" s="30">
        <v>18988</v>
      </c>
      <c r="N220" s="61"/>
    </row>
    <row r="221" spans="1:14" ht="12.75" customHeight="1" x14ac:dyDescent="0.2">
      <c r="A221" s="75" t="s">
        <v>282</v>
      </c>
      <c r="B221" s="30">
        <v>242.31</v>
      </c>
      <c r="C221" s="30"/>
      <c r="H221" s="59" t="str">
        <f t="shared" si="3"/>
        <v>1st Pay Period ending 8/11/2022</v>
      </c>
      <c r="M221" s="30">
        <v>18995</v>
      </c>
      <c r="N221" s="61"/>
    </row>
    <row r="222" spans="1:14" ht="12.75" customHeight="1" x14ac:dyDescent="0.2">
      <c r="A222" s="75" t="s">
        <v>282</v>
      </c>
      <c r="B222" s="30">
        <v>253.51</v>
      </c>
      <c r="C222" s="30"/>
      <c r="H222" s="59" t="str">
        <f t="shared" si="3"/>
        <v>1st Pay Period ending 8/11/2022</v>
      </c>
      <c r="M222" s="30">
        <v>18946</v>
      </c>
      <c r="N222" s="61"/>
    </row>
    <row r="223" spans="1:14" ht="12.75" customHeight="1" x14ac:dyDescent="0.2">
      <c r="A223" s="75" t="s">
        <v>282</v>
      </c>
      <c r="B223" s="30">
        <v>88.85</v>
      </c>
      <c r="C223" s="30"/>
      <c r="H223" s="59" t="str">
        <f t="shared" si="3"/>
        <v>1st Pay Period ending 8/11/2022</v>
      </c>
      <c r="M223" s="30">
        <v>18997</v>
      </c>
      <c r="N223" s="61"/>
    </row>
    <row r="224" spans="1:14" ht="12.75" customHeight="1" x14ac:dyDescent="0.2">
      <c r="A224" s="75" t="s">
        <v>282</v>
      </c>
      <c r="B224" s="30">
        <v>323.08</v>
      </c>
      <c r="C224" s="30"/>
      <c r="H224" s="59" t="str">
        <f t="shared" si="3"/>
        <v>1st Pay Period ending 8/11/2022</v>
      </c>
      <c r="M224" s="30">
        <v>18987</v>
      </c>
      <c r="N224" s="61"/>
    </row>
    <row r="225" spans="1:14" ht="12.75" customHeight="1" x14ac:dyDescent="0.2">
      <c r="A225" s="75" t="s">
        <v>282</v>
      </c>
      <c r="B225" s="30">
        <v>294.81</v>
      </c>
      <c r="C225" s="30"/>
      <c r="H225" s="59" t="str">
        <f t="shared" si="3"/>
        <v>1st Pay Period ending 8/11/2022</v>
      </c>
      <c r="M225" s="30">
        <v>18721</v>
      </c>
      <c r="N225" s="61"/>
    </row>
    <row r="226" spans="1:14" ht="12.75" customHeight="1" x14ac:dyDescent="0.2">
      <c r="A226" s="75" t="s">
        <v>282</v>
      </c>
      <c r="B226" s="30">
        <v>500.77</v>
      </c>
      <c r="C226" s="30"/>
      <c r="H226" s="59" t="str">
        <f t="shared" si="3"/>
        <v>1st Pay Period ending 8/11/2022</v>
      </c>
      <c r="M226" s="30">
        <v>18920</v>
      </c>
      <c r="N226" s="61"/>
    </row>
    <row r="227" spans="1:14" ht="12.75" customHeight="1" x14ac:dyDescent="0.2">
      <c r="A227" s="75" t="s">
        <v>283</v>
      </c>
      <c r="B227" s="30">
        <v>337.9</v>
      </c>
      <c r="C227" s="30"/>
      <c r="H227" s="59" t="str">
        <f t="shared" si="3"/>
        <v>1st Pay Period ending 8/11/2022</v>
      </c>
      <c r="M227" s="30">
        <v>220</v>
      </c>
      <c r="N227" s="61"/>
    </row>
    <row r="228" spans="1:14" ht="12.75" customHeight="1" x14ac:dyDescent="0.2">
      <c r="A228" s="75" t="s">
        <v>288</v>
      </c>
      <c r="B228" s="30">
        <v>565.39</v>
      </c>
      <c r="C228" s="30"/>
      <c r="H228" s="59" t="str">
        <f t="shared" si="3"/>
        <v>1st Pay Period ending 8/11/2022</v>
      </c>
      <c r="M228" s="30">
        <v>18716</v>
      </c>
      <c r="N228" s="61"/>
    </row>
    <row r="229" spans="1:14" ht="12.75" customHeight="1" x14ac:dyDescent="0.2">
      <c r="A229" s="75" t="s">
        <v>288</v>
      </c>
      <c r="B229" s="30">
        <v>274.62</v>
      </c>
      <c r="C229" s="30"/>
      <c r="H229" s="59" t="str">
        <f t="shared" si="3"/>
        <v>1st Pay Period ending 8/11/2022</v>
      </c>
      <c r="M229" s="30">
        <v>18948</v>
      </c>
      <c r="N229" s="61"/>
    </row>
    <row r="230" spans="1:14" ht="12.75" customHeight="1" x14ac:dyDescent="0.2">
      <c r="A230" s="75" t="s">
        <v>290</v>
      </c>
      <c r="B230" s="30">
        <v>274.62</v>
      </c>
      <c r="C230" s="30"/>
      <c r="H230" s="59" t="str">
        <f t="shared" si="3"/>
        <v>1st Pay Period ending 8/11/2022</v>
      </c>
      <c r="M230" s="30">
        <v>18862</v>
      </c>
      <c r="N230" s="61"/>
    </row>
    <row r="231" spans="1:14" ht="12.75" customHeight="1" x14ac:dyDescent="0.2">
      <c r="A231" s="75" t="s">
        <v>290</v>
      </c>
      <c r="B231" s="30">
        <v>565.38</v>
      </c>
      <c r="C231" s="30"/>
      <c r="H231" s="59" t="str">
        <f t="shared" si="3"/>
        <v>1st Pay Period ending 8/11/2022</v>
      </c>
      <c r="M231" s="30">
        <v>18969</v>
      </c>
      <c r="N231" s="61"/>
    </row>
    <row r="232" spans="1:14" ht="12.75" customHeight="1" x14ac:dyDescent="0.2">
      <c r="A232" s="75" t="s">
        <v>291</v>
      </c>
      <c r="B232" s="30">
        <v>857.42</v>
      </c>
      <c r="C232" s="30"/>
      <c r="H232" s="59" t="str">
        <f t="shared" si="3"/>
        <v>1st Pay Period ending 8/11/2022</v>
      </c>
      <c r="M232" s="30">
        <v>18886</v>
      </c>
      <c r="N232" s="61"/>
    </row>
    <row r="233" spans="1:14" ht="12.75" customHeight="1" x14ac:dyDescent="0.2">
      <c r="A233" s="75" t="s">
        <v>284</v>
      </c>
      <c r="B233" s="30">
        <v>282.69</v>
      </c>
      <c r="C233" s="30"/>
      <c r="H233" s="59" t="str">
        <f t="shared" si="3"/>
        <v>1st Pay Period ending 8/11/2022</v>
      </c>
      <c r="M233" s="30">
        <v>18968</v>
      </c>
      <c r="N233" s="61"/>
    </row>
    <row r="234" spans="1:14" ht="12.75" customHeight="1" x14ac:dyDescent="0.2">
      <c r="A234" s="75" t="s">
        <v>284</v>
      </c>
      <c r="B234" s="30">
        <v>234.23</v>
      </c>
      <c r="C234" s="30"/>
      <c r="H234" s="59" t="str">
        <f t="shared" si="3"/>
        <v>1st Pay Period ending 8/11/2022</v>
      </c>
      <c r="M234" s="30">
        <v>19022</v>
      </c>
      <c r="N234" s="61"/>
    </row>
    <row r="235" spans="1:14" ht="12.75" customHeight="1" x14ac:dyDescent="0.2">
      <c r="A235" s="75" t="s">
        <v>284</v>
      </c>
      <c r="B235" s="30">
        <v>637.4</v>
      </c>
      <c r="C235" s="30"/>
      <c r="H235" s="59" t="str">
        <f t="shared" si="3"/>
        <v>1st Pay Period ending 8/11/2022</v>
      </c>
      <c r="M235" s="30">
        <v>18853</v>
      </c>
      <c r="N235" s="61"/>
    </row>
    <row r="236" spans="1:14" ht="12.75" customHeight="1" x14ac:dyDescent="0.2">
      <c r="A236" s="75" t="s">
        <v>284</v>
      </c>
      <c r="B236" s="30">
        <v>343.27</v>
      </c>
      <c r="C236" s="30"/>
      <c r="H236" s="59" t="str">
        <f t="shared" si="3"/>
        <v>1st Pay Period ending 8/11/2022</v>
      </c>
      <c r="M236" s="30">
        <v>18741</v>
      </c>
      <c r="N236" s="61"/>
    </row>
    <row r="237" spans="1:14" ht="12.75" customHeight="1" x14ac:dyDescent="0.2">
      <c r="A237" s="75" t="s">
        <v>284</v>
      </c>
      <c r="B237" s="30">
        <v>327.12</v>
      </c>
      <c r="C237" s="30"/>
      <c r="H237" s="59" t="str">
        <f t="shared" si="3"/>
        <v>1st Pay Period ending 8/11/2022</v>
      </c>
      <c r="M237" s="30">
        <v>19003</v>
      </c>
      <c r="N237" s="61"/>
    </row>
    <row r="238" spans="1:14" ht="12.75" customHeight="1" x14ac:dyDescent="0.2">
      <c r="A238" s="75" t="s">
        <v>284</v>
      </c>
      <c r="B238" s="30">
        <v>272.56</v>
      </c>
      <c r="C238" s="30"/>
      <c r="H238" s="59" t="str">
        <f t="shared" si="3"/>
        <v>1st Pay Period ending 8/11/2022</v>
      </c>
      <c r="M238" s="30">
        <v>18550</v>
      </c>
      <c r="N238" s="61"/>
    </row>
    <row r="239" spans="1:14" ht="12.75" customHeight="1" x14ac:dyDescent="0.2">
      <c r="A239" s="75" t="s">
        <v>284</v>
      </c>
      <c r="B239" s="30">
        <v>262.5</v>
      </c>
      <c r="C239" s="30"/>
      <c r="H239" s="59" t="str">
        <f t="shared" si="3"/>
        <v>1st Pay Period ending 8/11/2022</v>
      </c>
      <c r="M239" s="30">
        <v>19025</v>
      </c>
      <c r="N239" s="61"/>
    </row>
    <row r="240" spans="1:14" ht="12.75" customHeight="1" x14ac:dyDescent="0.2">
      <c r="A240" s="75" t="s">
        <v>292</v>
      </c>
      <c r="B240" s="30">
        <v>269.19</v>
      </c>
      <c r="C240" s="30"/>
      <c r="H240" s="59" t="str">
        <f t="shared" si="3"/>
        <v>1st Pay Period ending 8/11/2022</v>
      </c>
      <c r="M240" s="30">
        <v>18836</v>
      </c>
      <c r="N240" s="61"/>
    </row>
    <row r="241" spans="1:14" ht="12.75" customHeight="1" x14ac:dyDescent="0.2">
      <c r="A241" s="75" t="s">
        <v>292</v>
      </c>
      <c r="B241" s="30">
        <v>266.14</v>
      </c>
      <c r="C241" s="30"/>
      <c r="H241" s="59" t="str">
        <f t="shared" si="3"/>
        <v>1st Pay Period ending 8/11/2022</v>
      </c>
      <c r="M241" s="30">
        <v>18619</v>
      </c>
      <c r="N241" s="61"/>
    </row>
    <row r="242" spans="1:14" ht="12.75" customHeight="1" x14ac:dyDescent="0.2">
      <c r="A242" s="75" t="s">
        <v>457</v>
      </c>
      <c r="B242" s="30">
        <v>131.78</v>
      </c>
      <c r="C242" s="30"/>
      <c r="H242" s="59" t="str">
        <f t="shared" si="3"/>
        <v>1st Pay Period ending 8/11/2022</v>
      </c>
      <c r="M242" s="30">
        <v>19040</v>
      </c>
      <c r="N242" s="61"/>
    </row>
    <row r="243" spans="1:14" ht="12.75" customHeight="1" x14ac:dyDescent="0.2">
      <c r="A243" s="75" t="s">
        <v>457</v>
      </c>
      <c r="B243" s="30">
        <v>394.78</v>
      </c>
      <c r="C243" s="30"/>
      <c r="H243" s="59" t="str">
        <f t="shared" si="3"/>
        <v>1st Pay Period ending 8/11/2022</v>
      </c>
      <c r="M243" s="30">
        <v>18893</v>
      </c>
      <c r="N243" s="61"/>
    </row>
    <row r="244" spans="1:14" ht="12.75" customHeight="1" x14ac:dyDescent="0.2">
      <c r="A244" s="75" t="s">
        <v>293</v>
      </c>
      <c r="B244" s="30">
        <v>261.17</v>
      </c>
      <c r="C244" s="30"/>
      <c r="H244" s="59" t="str">
        <f t="shared" si="3"/>
        <v>1st Pay Period ending 8/11/2022</v>
      </c>
      <c r="M244" s="30">
        <v>18903</v>
      </c>
      <c r="N244" s="61"/>
    </row>
    <row r="245" spans="1:14" ht="12.75" customHeight="1" x14ac:dyDescent="0.2">
      <c r="A245" s="75" t="s">
        <v>293</v>
      </c>
      <c r="B245" s="30">
        <v>197.36</v>
      </c>
      <c r="C245" s="30"/>
      <c r="H245" s="59" t="str">
        <f t="shared" si="3"/>
        <v>1st Pay Period ending 8/11/2022</v>
      </c>
      <c r="M245" s="30">
        <v>18893</v>
      </c>
      <c r="N245" s="61"/>
    </row>
    <row r="246" spans="1:14" ht="12.75" customHeight="1" x14ac:dyDescent="0.2">
      <c r="A246" s="75" t="s">
        <v>293</v>
      </c>
      <c r="B246" s="30">
        <v>259.29000000000002</v>
      </c>
      <c r="C246" s="30"/>
      <c r="H246" s="59" t="str">
        <f t="shared" si="3"/>
        <v>1st Pay Period ending 8/11/2022</v>
      </c>
      <c r="M246" s="30">
        <v>18589</v>
      </c>
      <c r="N246" s="61"/>
    </row>
    <row r="247" spans="1:14" ht="12.75" customHeight="1" x14ac:dyDescent="0.2">
      <c r="A247" s="75" t="s">
        <v>293</v>
      </c>
      <c r="B247" s="30">
        <v>178.72</v>
      </c>
      <c r="C247" s="30"/>
      <c r="H247" s="59" t="str">
        <f t="shared" si="3"/>
        <v>1st Pay Period ending 8/11/2022</v>
      </c>
      <c r="M247" s="30">
        <v>18831</v>
      </c>
      <c r="N247" s="61"/>
    </row>
    <row r="248" spans="1:14" ht="12.75" customHeight="1" x14ac:dyDescent="0.2">
      <c r="A248" s="75" t="s">
        <v>293</v>
      </c>
      <c r="B248" s="30">
        <v>193.59</v>
      </c>
      <c r="C248" s="30"/>
      <c r="H248" s="59" t="str">
        <f t="shared" si="3"/>
        <v>1st Pay Period ending 8/11/2022</v>
      </c>
      <c r="M248" s="30">
        <v>18891</v>
      </c>
      <c r="N248" s="61"/>
    </row>
    <row r="249" spans="1:14" ht="12.75" customHeight="1" x14ac:dyDescent="0.2">
      <c r="A249" s="75" t="s">
        <v>293</v>
      </c>
      <c r="B249" s="30">
        <v>263.82</v>
      </c>
      <c r="C249" s="30"/>
      <c r="H249" s="59" t="str">
        <f t="shared" si="3"/>
        <v>1st Pay Period ending 8/11/2022</v>
      </c>
      <c r="M249" s="30">
        <v>18866</v>
      </c>
      <c r="N249" s="61"/>
    </row>
    <row r="250" spans="1:14" ht="12.75" customHeight="1" x14ac:dyDescent="0.2">
      <c r="A250" s="75" t="s">
        <v>293</v>
      </c>
      <c r="B250" s="30">
        <v>272.01</v>
      </c>
      <c r="C250" s="30"/>
      <c r="H250" s="59" t="str">
        <f t="shared" si="3"/>
        <v>1st Pay Period ending 8/11/2022</v>
      </c>
      <c r="M250" s="30">
        <v>18957</v>
      </c>
      <c r="N250" s="61"/>
    </row>
    <row r="251" spans="1:14" ht="12.75" customHeight="1" x14ac:dyDescent="0.2">
      <c r="A251" s="75" t="s">
        <v>294</v>
      </c>
      <c r="B251" s="30">
        <v>149.85</v>
      </c>
      <c r="C251" s="30"/>
      <c r="H251" s="59" t="str">
        <f t="shared" si="3"/>
        <v>1st Pay Period ending 8/11/2022</v>
      </c>
      <c r="M251" s="30">
        <v>18631</v>
      </c>
      <c r="N251" s="61"/>
    </row>
    <row r="252" spans="1:14" ht="12.75" customHeight="1" x14ac:dyDescent="0.2">
      <c r="A252" s="75" t="s">
        <v>294</v>
      </c>
      <c r="B252" s="30">
        <v>113.93</v>
      </c>
      <c r="C252" s="30"/>
      <c r="H252" s="59" t="str">
        <f t="shared" si="3"/>
        <v>1st Pay Period ending 8/11/2022</v>
      </c>
      <c r="M252" s="30">
        <v>18</v>
      </c>
      <c r="N252" s="61"/>
    </row>
    <row r="253" spans="1:14" ht="12.75" customHeight="1" x14ac:dyDescent="0.2">
      <c r="A253" s="75" t="s">
        <v>294</v>
      </c>
      <c r="B253" s="30">
        <v>235.93</v>
      </c>
      <c r="C253" s="30"/>
      <c r="H253" s="59" t="str">
        <f t="shared" si="3"/>
        <v>1st Pay Period ending 8/11/2022</v>
      </c>
      <c r="M253" s="30">
        <v>18879</v>
      </c>
      <c r="N253" s="61"/>
    </row>
    <row r="254" spans="1:14" ht="12.75" customHeight="1" x14ac:dyDescent="0.2">
      <c r="A254" s="75" t="s">
        <v>294</v>
      </c>
      <c r="B254" s="30">
        <v>323.08</v>
      </c>
      <c r="C254" s="30"/>
      <c r="H254" s="59" t="str">
        <f t="shared" si="3"/>
        <v>1st Pay Period ending 8/11/2022</v>
      </c>
      <c r="M254" s="30">
        <v>18954</v>
      </c>
      <c r="N254" s="61"/>
    </row>
    <row r="255" spans="1:14" ht="12.75" customHeight="1" x14ac:dyDescent="0.2">
      <c r="A255" s="75" t="s">
        <v>295</v>
      </c>
      <c r="B255" s="30">
        <v>304.33999999999997</v>
      </c>
      <c r="C255" s="30"/>
      <c r="H255" s="59" t="str">
        <f t="shared" si="3"/>
        <v>1st Pay Period ending 8/11/2022</v>
      </c>
      <c r="M255" s="30">
        <v>19013</v>
      </c>
      <c r="N255" s="61"/>
    </row>
    <row r="256" spans="1:14" ht="12.75" customHeight="1" x14ac:dyDescent="0.2">
      <c r="A256" s="75" t="s">
        <v>295</v>
      </c>
      <c r="B256" s="30">
        <v>207.81</v>
      </c>
      <c r="C256" s="30"/>
      <c r="H256" s="59" t="str">
        <f t="shared" si="3"/>
        <v>1st Pay Period ending 8/11/2022</v>
      </c>
      <c r="M256" s="30">
        <v>18630</v>
      </c>
      <c r="N256" s="61"/>
    </row>
    <row r="257" spans="1:14" ht="12.75" customHeight="1" x14ac:dyDescent="0.2">
      <c r="A257" s="75" t="s">
        <v>296</v>
      </c>
      <c r="B257" s="30">
        <v>544.01</v>
      </c>
      <c r="C257" s="30"/>
      <c r="H257" s="59" t="str">
        <f t="shared" si="3"/>
        <v>1st Pay Period ending 8/11/2022</v>
      </c>
      <c r="M257" s="30">
        <v>18781</v>
      </c>
      <c r="N257" s="61"/>
    </row>
    <row r="258" spans="1:14" ht="12.75" customHeight="1" x14ac:dyDescent="0.2">
      <c r="A258" s="75" t="s">
        <v>296</v>
      </c>
      <c r="B258" s="30">
        <v>848.08</v>
      </c>
      <c r="C258" s="30"/>
      <c r="H258" s="59" t="str">
        <f t="shared" si="3"/>
        <v>1st Pay Period ending 8/11/2022</v>
      </c>
      <c r="M258" s="30">
        <v>18559</v>
      </c>
      <c r="N258" s="61"/>
    </row>
    <row r="259" spans="1:14" ht="12.75" customHeight="1" x14ac:dyDescent="0.2">
      <c r="A259" s="75" t="s">
        <v>296</v>
      </c>
      <c r="B259" s="30">
        <v>480.87</v>
      </c>
      <c r="C259" s="30"/>
      <c r="H259" s="59" t="str">
        <f t="shared" ref="H259:H322" si="4">$K$1</f>
        <v>1st Pay Period ending 8/11/2022</v>
      </c>
      <c r="M259" s="30">
        <v>18687</v>
      </c>
      <c r="N259" s="61"/>
    </row>
    <row r="260" spans="1:14" ht="12.75" customHeight="1" x14ac:dyDescent="0.2">
      <c r="A260" s="75" t="s">
        <v>296</v>
      </c>
      <c r="B260" s="30">
        <v>235.71</v>
      </c>
      <c r="C260" s="30"/>
      <c r="H260" s="59" t="str">
        <f t="shared" si="4"/>
        <v>1st Pay Period ending 8/11/2022</v>
      </c>
      <c r="M260" s="30">
        <v>18733</v>
      </c>
      <c r="N260" s="61"/>
    </row>
    <row r="261" spans="1:14" ht="12.75" customHeight="1" x14ac:dyDescent="0.2">
      <c r="A261" s="75" t="s">
        <v>296</v>
      </c>
      <c r="B261" s="30">
        <v>99.27</v>
      </c>
      <c r="C261" s="30"/>
      <c r="H261" s="59" t="str">
        <f t="shared" si="4"/>
        <v>1st Pay Period ending 8/11/2022</v>
      </c>
      <c r="M261" s="30">
        <v>18960</v>
      </c>
      <c r="N261" s="61"/>
    </row>
    <row r="262" spans="1:14" ht="12.75" customHeight="1" x14ac:dyDescent="0.2">
      <c r="A262" s="75" t="s">
        <v>296</v>
      </c>
      <c r="B262" s="30">
        <v>250.17</v>
      </c>
      <c r="C262" s="30"/>
      <c r="H262" s="59" t="str">
        <f t="shared" si="4"/>
        <v>1st Pay Period ending 8/11/2022</v>
      </c>
      <c r="M262" s="30">
        <v>18659</v>
      </c>
      <c r="N262" s="61"/>
    </row>
    <row r="263" spans="1:14" ht="12.75" customHeight="1" x14ac:dyDescent="0.2">
      <c r="A263" s="75" t="s">
        <v>296</v>
      </c>
      <c r="B263" s="30">
        <v>266.64999999999998</v>
      </c>
      <c r="C263" s="30"/>
      <c r="H263" s="59" t="str">
        <f t="shared" si="4"/>
        <v>1st Pay Period ending 8/11/2022</v>
      </c>
      <c r="M263" s="30">
        <v>18911</v>
      </c>
      <c r="N263" s="61"/>
    </row>
    <row r="264" spans="1:14" ht="12.75" customHeight="1" x14ac:dyDescent="0.2">
      <c r="A264" s="75" t="s">
        <v>296</v>
      </c>
      <c r="B264" s="30">
        <v>204.44</v>
      </c>
      <c r="C264" s="30"/>
      <c r="H264" s="59" t="str">
        <f t="shared" si="4"/>
        <v>1st Pay Period ending 8/11/2022</v>
      </c>
      <c r="M264" s="30">
        <v>18892</v>
      </c>
      <c r="N264" s="61"/>
    </row>
    <row r="265" spans="1:14" ht="12.75" customHeight="1" x14ac:dyDescent="0.2">
      <c r="A265" s="75" t="s">
        <v>296</v>
      </c>
      <c r="B265" s="30">
        <v>191.08</v>
      </c>
      <c r="C265" s="30"/>
      <c r="H265" s="59" t="str">
        <f t="shared" si="4"/>
        <v>1st Pay Period ending 8/11/2022</v>
      </c>
      <c r="M265" s="30">
        <v>19033</v>
      </c>
      <c r="N265" s="61"/>
    </row>
    <row r="266" spans="1:14" ht="12.75" customHeight="1" x14ac:dyDescent="0.2">
      <c r="A266" s="75" t="s">
        <v>296</v>
      </c>
      <c r="B266" s="30">
        <v>141.55000000000001</v>
      </c>
      <c r="C266" s="30"/>
      <c r="H266" s="59" t="str">
        <f t="shared" si="4"/>
        <v>1st Pay Period ending 8/11/2022</v>
      </c>
      <c r="M266" s="30">
        <v>18894</v>
      </c>
      <c r="N266" s="61"/>
    </row>
    <row r="267" spans="1:14" ht="12.75" customHeight="1" x14ac:dyDescent="0.2">
      <c r="A267" s="75" t="s">
        <v>296</v>
      </c>
      <c r="B267" s="30">
        <v>272.01</v>
      </c>
      <c r="C267" s="30"/>
      <c r="H267" s="59" t="str">
        <f t="shared" si="4"/>
        <v>1st Pay Period ending 8/11/2022</v>
      </c>
      <c r="M267" s="30">
        <v>18967</v>
      </c>
      <c r="N267" s="61"/>
    </row>
    <row r="268" spans="1:14" ht="12.75" customHeight="1" x14ac:dyDescent="0.2">
      <c r="A268" s="75" t="s">
        <v>297</v>
      </c>
      <c r="B268" s="30">
        <v>114.82</v>
      </c>
      <c r="C268" s="30"/>
      <c r="H268" s="59" t="str">
        <f t="shared" si="4"/>
        <v>1st Pay Period ending 8/11/2022</v>
      </c>
      <c r="M268" s="30">
        <v>141</v>
      </c>
      <c r="N268" s="61"/>
    </row>
    <row r="269" spans="1:14" ht="12.75" customHeight="1" x14ac:dyDescent="0.2">
      <c r="A269" s="75" t="s">
        <v>297</v>
      </c>
      <c r="B269" s="30">
        <v>235.87</v>
      </c>
      <c r="C269" s="30"/>
      <c r="H269" s="59" t="str">
        <f t="shared" si="4"/>
        <v>1st Pay Period ending 8/11/2022</v>
      </c>
      <c r="M269" s="30">
        <v>18961</v>
      </c>
      <c r="N269" s="61"/>
    </row>
    <row r="270" spans="1:14" ht="12.75" customHeight="1" x14ac:dyDescent="0.2">
      <c r="A270" s="75" t="s">
        <v>297</v>
      </c>
      <c r="B270" s="30">
        <v>60.28</v>
      </c>
      <c r="C270" s="30"/>
      <c r="H270" s="59" t="str">
        <f t="shared" si="4"/>
        <v>1st Pay Period ending 8/11/2022</v>
      </c>
      <c r="M270" s="30">
        <v>11229</v>
      </c>
      <c r="N270" s="61"/>
    </row>
    <row r="271" spans="1:14" ht="12.75" customHeight="1" x14ac:dyDescent="0.2">
      <c r="A271" s="75" t="s">
        <v>297</v>
      </c>
      <c r="B271" s="30">
        <v>252.83</v>
      </c>
      <c r="C271" s="30"/>
      <c r="H271" s="59" t="str">
        <f t="shared" si="4"/>
        <v>1st Pay Period ending 8/11/2022</v>
      </c>
      <c r="M271" s="30">
        <v>145</v>
      </c>
      <c r="N271" s="61"/>
    </row>
    <row r="272" spans="1:14" ht="12.75" customHeight="1" x14ac:dyDescent="0.2">
      <c r="A272" s="75" t="s">
        <v>298</v>
      </c>
      <c r="B272" s="30">
        <v>209.44</v>
      </c>
      <c r="C272" s="30"/>
      <c r="H272" s="59" t="str">
        <f t="shared" si="4"/>
        <v>1st Pay Period ending 8/11/2022</v>
      </c>
      <c r="M272" s="30">
        <v>19035</v>
      </c>
      <c r="N272" s="61"/>
    </row>
    <row r="273" spans="1:14" ht="12.75" customHeight="1" x14ac:dyDescent="0.2">
      <c r="A273" s="75" t="s">
        <v>298</v>
      </c>
      <c r="B273" s="30">
        <v>306.43</v>
      </c>
      <c r="C273" s="30"/>
      <c r="H273" s="59" t="str">
        <f t="shared" si="4"/>
        <v>1st Pay Period ending 8/11/2022</v>
      </c>
      <c r="M273" s="30">
        <v>18974</v>
      </c>
      <c r="N273" s="61"/>
    </row>
    <row r="274" spans="1:14" ht="12.75" customHeight="1" x14ac:dyDescent="0.2">
      <c r="A274" s="75" t="s">
        <v>298</v>
      </c>
      <c r="B274" s="30">
        <v>231.71</v>
      </c>
      <c r="C274" s="30"/>
      <c r="H274" s="59" t="str">
        <f t="shared" si="4"/>
        <v>1st Pay Period ending 8/11/2022</v>
      </c>
      <c r="M274" s="30">
        <v>19007</v>
      </c>
      <c r="N274" s="61"/>
    </row>
    <row r="275" spans="1:14" ht="12.75" customHeight="1" x14ac:dyDescent="0.2">
      <c r="A275" s="75" t="s">
        <v>298</v>
      </c>
      <c r="B275" s="30">
        <v>235.48</v>
      </c>
      <c r="C275" s="30"/>
      <c r="H275" s="59" t="str">
        <f t="shared" si="4"/>
        <v>1st Pay Period ending 8/11/2022</v>
      </c>
      <c r="M275" s="30">
        <v>18999</v>
      </c>
      <c r="N275" s="61"/>
    </row>
    <row r="276" spans="1:14" ht="12.75" customHeight="1" x14ac:dyDescent="0.2">
      <c r="A276" s="75" t="s">
        <v>298</v>
      </c>
      <c r="B276" s="30">
        <v>124.69</v>
      </c>
      <c r="C276" s="30"/>
      <c r="H276" s="59" t="str">
        <f t="shared" si="4"/>
        <v>1st Pay Period ending 8/11/2022</v>
      </c>
      <c r="M276" s="30">
        <v>19032</v>
      </c>
      <c r="N276" s="61"/>
    </row>
    <row r="277" spans="1:14" ht="12.75" customHeight="1" x14ac:dyDescent="0.2">
      <c r="A277" s="75" t="s">
        <v>298</v>
      </c>
      <c r="B277" s="30">
        <v>238.97</v>
      </c>
      <c r="C277" s="30"/>
      <c r="H277" s="59" t="str">
        <f t="shared" si="4"/>
        <v>1st Pay Period ending 8/11/2022</v>
      </c>
      <c r="M277" s="30">
        <v>19006</v>
      </c>
      <c r="N277" s="61"/>
    </row>
    <row r="278" spans="1:14" ht="12.75" customHeight="1" x14ac:dyDescent="0.2">
      <c r="A278" s="75" t="s">
        <v>298</v>
      </c>
      <c r="B278" s="30">
        <v>525</v>
      </c>
      <c r="C278" s="30"/>
      <c r="H278" s="59" t="str">
        <f t="shared" si="4"/>
        <v>1st Pay Period ending 8/11/2022</v>
      </c>
      <c r="M278" s="30">
        <v>18962</v>
      </c>
      <c r="N278" s="61"/>
    </row>
    <row r="279" spans="1:14" ht="12.75" customHeight="1" x14ac:dyDescent="0.2">
      <c r="A279" s="75" t="s">
        <v>298</v>
      </c>
      <c r="B279" s="30">
        <v>166.25</v>
      </c>
      <c r="C279" s="30"/>
      <c r="H279" s="59" t="str">
        <f t="shared" si="4"/>
        <v>1st Pay Period ending 8/11/2022</v>
      </c>
      <c r="M279" s="30">
        <v>19016</v>
      </c>
      <c r="N279" s="61"/>
    </row>
    <row r="280" spans="1:14" ht="12.75" customHeight="1" x14ac:dyDescent="0.2">
      <c r="A280" s="75" t="s">
        <v>298</v>
      </c>
      <c r="B280" s="30">
        <v>174.47</v>
      </c>
      <c r="C280" s="30"/>
      <c r="H280" s="59" t="str">
        <f t="shared" si="4"/>
        <v>1st Pay Period ending 8/11/2022</v>
      </c>
      <c r="M280" s="30">
        <v>18973</v>
      </c>
      <c r="N280" s="61"/>
    </row>
    <row r="281" spans="1:14" ht="12.75" customHeight="1" x14ac:dyDescent="0.2">
      <c r="A281" s="75" t="s">
        <v>298</v>
      </c>
      <c r="B281" s="30">
        <v>124.69</v>
      </c>
      <c r="C281" s="30"/>
      <c r="H281" s="59" t="str">
        <f t="shared" si="4"/>
        <v>1st Pay Period ending 8/11/2022</v>
      </c>
      <c r="M281" s="30">
        <v>19026</v>
      </c>
      <c r="N281" s="61"/>
    </row>
    <row r="282" spans="1:14" ht="12.75" customHeight="1" x14ac:dyDescent="0.2">
      <c r="A282" s="75" t="s">
        <v>299</v>
      </c>
      <c r="B282" s="30">
        <v>207.81</v>
      </c>
      <c r="C282" s="30"/>
      <c r="H282" s="59" t="str">
        <f t="shared" si="4"/>
        <v>1st Pay Period ending 8/11/2022</v>
      </c>
      <c r="M282" s="30">
        <v>18980</v>
      </c>
      <c r="N282" s="61"/>
    </row>
    <row r="283" spans="1:14" ht="12.75" customHeight="1" x14ac:dyDescent="0.2">
      <c r="A283" s="75" t="s">
        <v>299</v>
      </c>
      <c r="B283" s="30">
        <v>207.81</v>
      </c>
      <c r="C283" s="30"/>
      <c r="H283" s="59" t="str">
        <f t="shared" si="4"/>
        <v>1st Pay Period ending 8/11/2022</v>
      </c>
      <c r="M283" s="30">
        <v>19021</v>
      </c>
      <c r="N283" s="61"/>
    </row>
    <row r="284" spans="1:14" ht="12.75" customHeight="1" x14ac:dyDescent="0.2">
      <c r="A284" s="75" t="s">
        <v>299</v>
      </c>
      <c r="B284" s="30">
        <v>181.51</v>
      </c>
      <c r="C284" s="30"/>
      <c r="H284" s="59" t="str">
        <f t="shared" si="4"/>
        <v>1st Pay Period ending 8/11/2022</v>
      </c>
      <c r="M284" s="30">
        <v>19027</v>
      </c>
      <c r="N284" s="61"/>
    </row>
    <row r="285" spans="1:14" ht="12.75" customHeight="1" x14ac:dyDescent="0.2">
      <c r="A285" s="75" t="s">
        <v>299</v>
      </c>
      <c r="B285" s="30">
        <v>343.27</v>
      </c>
      <c r="C285" s="30"/>
      <c r="H285" s="59" t="str">
        <f t="shared" si="4"/>
        <v>1st Pay Period ending 8/11/2022</v>
      </c>
      <c r="M285" s="30">
        <v>19038</v>
      </c>
      <c r="N285" s="61"/>
    </row>
    <row r="286" spans="1:14" ht="12.75" customHeight="1" x14ac:dyDescent="0.2">
      <c r="A286" s="75" t="s">
        <v>300</v>
      </c>
      <c r="B286" s="30">
        <v>332.07</v>
      </c>
      <c r="C286" s="30"/>
      <c r="H286" s="59" t="str">
        <f t="shared" si="4"/>
        <v>1st Pay Period ending 8/11/2022</v>
      </c>
      <c r="M286" s="30">
        <v>18581</v>
      </c>
      <c r="N286" s="61"/>
    </row>
    <row r="287" spans="1:14" ht="12.75" customHeight="1" x14ac:dyDescent="0.2">
      <c r="A287" s="75" t="s">
        <v>301</v>
      </c>
      <c r="B287" s="30">
        <v>565.38</v>
      </c>
      <c r="C287" s="30"/>
      <c r="H287" s="59" t="str">
        <f t="shared" si="4"/>
        <v>1st Pay Period ending 8/11/2022</v>
      </c>
      <c r="M287" s="30">
        <v>44705</v>
      </c>
      <c r="N287" s="61"/>
    </row>
    <row r="288" spans="1:14" ht="12.75" customHeight="1" x14ac:dyDescent="0.2">
      <c r="A288" s="75" t="s">
        <v>301</v>
      </c>
      <c r="B288" s="30">
        <v>262.5</v>
      </c>
      <c r="C288" s="30"/>
      <c r="H288" s="59" t="str">
        <f t="shared" si="4"/>
        <v>1st Pay Period ending 8/11/2022</v>
      </c>
      <c r="M288" s="30">
        <v>19034</v>
      </c>
      <c r="N288" s="61"/>
    </row>
    <row r="289" spans="1:14" ht="12.75" customHeight="1" x14ac:dyDescent="0.2">
      <c r="A289" s="75" t="s">
        <v>302</v>
      </c>
      <c r="B289" s="30">
        <v>242.31</v>
      </c>
      <c r="C289" s="30"/>
      <c r="H289" s="59" t="str">
        <f t="shared" si="4"/>
        <v>1st Pay Period ending 8/11/2022</v>
      </c>
      <c r="M289" s="30">
        <v>18805</v>
      </c>
      <c r="N289" s="61"/>
    </row>
    <row r="290" spans="1:14" ht="12.75" customHeight="1" x14ac:dyDescent="0.2">
      <c r="A290" s="75" t="s">
        <v>302</v>
      </c>
      <c r="B290" s="30">
        <v>242.31</v>
      </c>
      <c r="C290" s="30"/>
      <c r="H290" s="59" t="str">
        <f t="shared" si="4"/>
        <v>1st Pay Period ending 8/11/2022</v>
      </c>
      <c r="M290" s="30">
        <v>18982</v>
      </c>
      <c r="N290" s="61"/>
    </row>
    <row r="291" spans="1:14" ht="12.75" customHeight="1" x14ac:dyDescent="0.2">
      <c r="A291" s="75" t="s">
        <v>303</v>
      </c>
      <c r="B291" s="30">
        <v>192.07</v>
      </c>
      <c r="C291" s="30"/>
      <c r="H291" s="59" t="str">
        <f t="shared" si="4"/>
        <v>1st Pay Period ending 8/11/2022</v>
      </c>
      <c r="M291" s="30">
        <v>302</v>
      </c>
      <c r="N291" s="61"/>
    </row>
    <row r="292" spans="1:14" ht="12.75" customHeight="1" x14ac:dyDescent="0.2">
      <c r="A292" s="75" t="s">
        <v>303</v>
      </c>
      <c r="B292" s="30">
        <v>259.95999999999998</v>
      </c>
      <c r="C292" s="30"/>
      <c r="H292" s="59" t="str">
        <f t="shared" si="4"/>
        <v>1st Pay Period ending 8/11/2022</v>
      </c>
      <c r="M292" s="30">
        <v>266</v>
      </c>
      <c r="N292" s="61"/>
    </row>
    <row r="293" spans="1:14" ht="12.75" customHeight="1" x14ac:dyDescent="0.2">
      <c r="A293" s="75" t="s">
        <v>303</v>
      </c>
      <c r="B293" s="30">
        <v>226.15</v>
      </c>
      <c r="C293" s="30"/>
      <c r="H293" s="59" t="str">
        <f t="shared" si="4"/>
        <v>1st Pay Period ending 8/11/2022</v>
      </c>
      <c r="M293" s="30">
        <v>18841</v>
      </c>
      <c r="N293" s="61"/>
    </row>
    <row r="294" spans="1:14" ht="12.75" customHeight="1" x14ac:dyDescent="0.2">
      <c r="A294" s="75" t="s">
        <v>304</v>
      </c>
      <c r="B294" s="30">
        <v>210.88</v>
      </c>
      <c r="C294" s="30"/>
      <c r="H294" s="59" t="str">
        <f t="shared" si="4"/>
        <v>1st Pay Period ending 8/11/2022</v>
      </c>
      <c r="M294" s="30">
        <v>18979</v>
      </c>
      <c r="N294" s="61"/>
    </row>
    <row r="295" spans="1:14" ht="12.75" customHeight="1" x14ac:dyDescent="0.2">
      <c r="A295" s="75" t="s">
        <v>304</v>
      </c>
      <c r="B295" s="30">
        <v>201.52</v>
      </c>
      <c r="C295" s="30"/>
      <c r="H295" s="59" t="str">
        <f t="shared" si="4"/>
        <v>1st Pay Period ending 8/11/2022</v>
      </c>
      <c r="M295" s="30">
        <v>18887</v>
      </c>
      <c r="N295" s="61"/>
    </row>
    <row r="296" spans="1:14" ht="12.75" customHeight="1" x14ac:dyDescent="0.2">
      <c r="A296" s="75" t="s">
        <v>304</v>
      </c>
      <c r="B296" s="30">
        <v>204.9</v>
      </c>
      <c r="C296" s="30"/>
      <c r="H296" s="59" t="str">
        <f t="shared" si="4"/>
        <v>1st Pay Period ending 8/11/2022</v>
      </c>
      <c r="M296" s="30">
        <v>18949</v>
      </c>
      <c r="N296" s="61"/>
    </row>
    <row r="297" spans="1:14" ht="12.75" customHeight="1" x14ac:dyDescent="0.2">
      <c r="A297" s="75" t="s">
        <v>304</v>
      </c>
      <c r="B297" s="30">
        <v>250.83</v>
      </c>
      <c r="C297" s="30"/>
      <c r="H297" s="59" t="str">
        <f t="shared" si="4"/>
        <v>1st Pay Period ending 8/11/2022</v>
      </c>
      <c r="M297" s="30">
        <v>18827</v>
      </c>
      <c r="N297" s="61"/>
    </row>
    <row r="298" spans="1:14" ht="12.75" customHeight="1" x14ac:dyDescent="0.2">
      <c r="A298" s="75" t="s">
        <v>304</v>
      </c>
      <c r="B298" s="30">
        <v>100.72</v>
      </c>
      <c r="C298" s="30"/>
      <c r="H298" s="59" t="str">
        <f t="shared" si="4"/>
        <v>1st Pay Period ending 8/11/2022</v>
      </c>
      <c r="M298" s="30">
        <v>134</v>
      </c>
      <c r="N298" s="61"/>
    </row>
    <row r="299" spans="1:14" ht="12.75" customHeight="1" x14ac:dyDescent="0.2">
      <c r="A299" s="75" t="s">
        <v>304</v>
      </c>
      <c r="B299" s="30">
        <v>363.46</v>
      </c>
      <c r="C299" s="30"/>
      <c r="H299" s="59" t="str">
        <f t="shared" si="4"/>
        <v>1st Pay Period ending 8/11/2022</v>
      </c>
      <c r="M299" s="30">
        <v>18626</v>
      </c>
      <c r="N299" s="61"/>
    </row>
    <row r="300" spans="1:14" ht="12.75" customHeight="1" x14ac:dyDescent="0.2">
      <c r="A300" s="75" t="s">
        <v>304</v>
      </c>
      <c r="B300" s="30">
        <v>249.55</v>
      </c>
      <c r="C300" s="30"/>
      <c r="H300" s="59" t="str">
        <f t="shared" si="4"/>
        <v>1st Pay Period ending 8/11/2022</v>
      </c>
      <c r="M300" s="30">
        <v>18901</v>
      </c>
      <c r="N300" s="61"/>
    </row>
    <row r="301" spans="1:14" ht="12.75" customHeight="1" x14ac:dyDescent="0.2">
      <c r="A301" s="75" t="s">
        <v>304</v>
      </c>
      <c r="B301" s="30">
        <v>228.59</v>
      </c>
      <c r="C301" s="30"/>
      <c r="H301" s="59" t="str">
        <f t="shared" si="4"/>
        <v>1st Pay Period ending 8/11/2022</v>
      </c>
      <c r="M301" s="30">
        <v>18797</v>
      </c>
      <c r="N301" s="61"/>
    </row>
    <row r="302" spans="1:14" ht="12.75" customHeight="1" x14ac:dyDescent="0.2">
      <c r="A302" s="75" t="s">
        <v>304</v>
      </c>
      <c r="B302" s="30">
        <v>100.89</v>
      </c>
      <c r="C302" s="30"/>
      <c r="H302" s="59" t="str">
        <f t="shared" si="4"/>
        <v>1st Pay Period ending 8/11/2022</v>
      </c>
      <c r="M302" s="30">
        <v>18929</v>
      </c>
      <c r="N302" s="61"/>
    </row>
    <row r="303" spans="1:14" ht="12.75" customHeight="1" x14ac:dyDescent="0.2">
      <c r="A303" s="75" t="s">
        <v>304</v>
      </c>
      <c r="B303" s="30">
        <v>227.63</v>
      </c>
      <c r="C303" s="30"/>
      <c r="H303" s="59" t="str">
        <f t="shared" si="4"/>
        <v>1st Pay Period ending 8/11/2022</v>
      </c>
      <c r="M303" s="30">
        <v>18822</v>
      </c>
      <c r="N303" s="61"/>
    </row>
    <row r="304" spans="1:14" ht="12.75" customHeight="1" x14ac:dyDescent="0.2">
      <c r="A304" s="75" t="s">
        <v>304</v>
      </c>
      <c r="B304" s="30">
        <v>261.98</v>
      </c>
      <c r="C304" s="30"/>
      <c r="H304" s="59" t="str">
        <f t="shared" si="4"/>
        <v>1st Pay Period ending 8/11/2022</v>
      </c>
      <c r="M304" s="30">
        <v>18918</v>
      </c>
      <c r="N304" s="61"/>
    </row>
    <row r="305" spans="1:14" ht="12.75" customHeight="1" x14ac:dyDescent="0.2">
      <c r="A305" s="75" t="s">
        <v>306</v>
      </c>
      <c r="B305" s="30">
        <v>205.97</v>
      </c>
      <c r="C305" s="30"/>
      <c r="H305" s="59" t="str">
        <f t="shared" si="4"/>
        <v>1st Pay Period ending 8/11/2022</v>
      </c>
      <c r="M305" s="30">
        <v>18989</v>
      </c>
      <c r="N305" s="61"/>
    </row>
    <row r="306" spans="1:14" ht="12.75" customHeight="1" x14ac:dyDescent="0.2">
      <c r="A306" s="75" t="s">
        <v>307</v>
      </c>
      <c r="B306" s="30">
        <v>184.34</v>
      </c>
      <c r="C306" s="30"/>
      <c r="H306" s="59" t="str">
        <f t="shared" si="4"/>
        <v>1st Pay Period ending 8/11/2022</v>
      </c>
      <c r="M306" s="30">
        <v>18736</v>
      </c>
      <c r="N306" s="61"/>
    </row>
    <row r="307" spans="1:14" ht="12.75" customHeight="1" x14ac:dyDescent="0.2">
      <c r="A307" s="75" t="s">
        <v>308</v>
      </c>
      <c r="B307" s="30">
        <v>245.62</v>
      </c>
      <c r="C307" s="30"/>
      <c r="H307" s="59" t="str">
        <f t="shared" si="4"/>
        <v>1st Pay Period ending 8/11/2022</v>
      </c>
      <c r="M307" s="30">
        <v>18829</v>
      </c>
      <c r="N307" s="61"/>
    </row>
    <row r="308" spans="1:14" ht="12.75" customHeight="1" x14ac:dyDescent="0.2">
      <c r="A308" s="75" t="s">
        <v>308</v>
      </c>
      <c r="B308" s="30">
        <v>199.88</v>
      </c>
      <c r="C308" s="30"/>
      <c r="H308" s="59" t="str">
        <f t="shared" si="4"/>
        <v>1st Pay Period ending 8/11/2022</v>
      </c>
      <c r="M308" s="30">
        <v>19028</v>
      </c>
      <c r="N308" s="61"/>
    </row>
    <row r="309" spans="1:14" ht="12.75" customHeight="1" x14ac:dyDescent="0.2">
      <c r="A309" s="75" t="s">
        <v>308</v>
      </c>
      <c r="B309" s="30">
        <v>216.13</v>
      </c>
      <c r="C309" s="30"/>
      <c r="H309" s="59" t="str">
        <f t="shared" si="4"/>
        <v>1st Pay Period ending 8/11/2022</v>
      </c>
      <c r="M309" s="30">
        <v>19030</v>
      </c>
      <c r="N309" s="61"/>
    </row>
    <row r="310" spans="1:14" ht="12.75" customHeight="1" x14ac:dyDescent="0.2">
      <c r="A310" s="30" t="s">
        <v>308</v>
      </c>
      <c r="B310" s="30">
        <v>217.28</v>
      </c>
      <c r="C310" s="30"/>
      <c r="H310" s="59" t="str">
        <f t="shared" si="4"/>
        <v>1st Pay Period ending 8/11/2022</v>
      </c>
      <c r="M310" s="30">
        <v>19029</v>
      </c>
      <c r="N310" s="61"/>
    </row>
    <row r="311" spans="1:14" ht="12.75" customHeight="1" x14ac:dyDescent="0.2">
      <c r="A311" s="30" t="s">
        <v>308</v>
      </c>
      <c r="B311" s="30">
        <v>125.34</v>
      </c>
      <c r="C311" s="30"/>
      <c r="H311" s="59" t="str">
        <f t="shared" si="4"/>
        <v>1st Pay Period ending 8/11/2022</v>
      </c>
      <c r="M311" s="30">
        <v>19008</v>
      </c>
      <c r="N311" s="61"/>
    </row>
    <row r="312" spans="1:14" ht="12.75" customHeight="1" x14ac:dyDescent="0.2">
      <c r="A312" s="30" t="s">
        <v>308</v>
      </c>
      <c r="B312" s="30">
        <v>199.83</v>
      </c>
      <c r="C312" s="30"/>
      <c r="H312" s="59" t="str">
        <f t="shared" si="4"/>
        <v>1st Pay Period ending 8/11/2022</v>
      </c>
      <c r="M312" s="30">
        <v>19011</v>
      </c>
      <c r="N312" s="61"/>
    </row>
    <row r="313" spans="1:14" ht="12.75" customHeight="1" x14ac:dyDescent="0.2">
      <c r="A313" s="30" t="s">
        <v>308</v>
      </c>
      <c r="B313" s="30">
        <v>202.23</v>
      </c>
      <c r="C313" s="30"/>
      <c r="H313" s="59" t="str">
        <f t="shared" si="4"/>
        <v>1st Pay Period ending 8/11/2022</v>
      </c>
      <c r="M313" s="30">
        <v>19017</v>
      </c>
      <c r="N313" s="61"/>
    </row>
    <row r="314" spans="1:14" ht="12.75" customHeight="1" x14ac:dyDescent="0.2">
      <c r="A314" s="30" t="s">
        <v>308</v>
      </c>
      <c r="B314" s="30">
        <v>210.67</v>
      </c>
      <c r="C314" s="30"/>
      <c r="H314" s="59" t="str">
        <f t="shared" si="4"/>
        <v>1st Pay Period ending 8/11/2022</v>
      </c>
      <c r="M314" s="30">
        <v>19012</v>
      </c>
      <c r="N314" s="61"/>
    </row>
    <row r="315" spans="1:14" ht="12.75" customHeight="1" x14ac:dyDescent="0.2">
      <c r="A315" s="30" t="s">
        <v>308</v>
      </c>
      <c r="B315" s="30">
        <v>235.66</v>
      </c>
      <c r="C315" s="30"/>
      <c r="H315" s="59" t="str">
        <f t="shared" si="4"/>
        <v>1st Pay Period ending 8/11/2022</v>
      </c>
      <c r="M315" s="30">
        <v>18607</v>
      </c>
      <c r="N315" s="61"/>
    </row>
    <row r="316" spans="1:14" ht="12.75" customHeight="1" x14ac:dyDescent="0.2">
      <c r="A316" s="30" t="s">
        <v>308</v>
      </c>
      <c r="B316" s="30">
        <v>262</v>
      </c>
      <c r="C316" s="30"/>
      <c r="H316" s="59" t="str">
        <f t="shared" si="4"/>
        <v>1st Pay Period ending 8/11/2022</v>
      </c>
      <c r="M316" s="30">
        <v>18932</v>
      </c>
      <c r="N316" s="61"/>
    </row>
    <row r="317" spans="1:14" ht="12.75" customHeight="1" x14ac:dyDescent="0.2">
      <c r="A317" s="30" t="s">
        <v>308</v>
      </c>
      <c r="B317" s="30">
        <v>179.33</v>
      </c>
      <c r="C317" s="30"/>
      <c r="H317" s="59" t="str">
        <f t="shared" si="4"/>
        <v>1st Pay Period ending 8/11/2022</v>
      </c>
      <c r="M317" s="30">
        <v>18923</v>
      </c>
      <c r="N317" s="61"/>
    </row>
    <row r="318" spans="1:14" ht="12.75" customHeight="1" x14ac:dyDescent="0.2">
      <c r="A318" s="30" t="s">
        <v>308</v>
      </c>
      <c r="B318">
        <v>185.03</v>
      </c>
      <c r="C318"/>
      <c r="H318" s="59" t="str">
        <f t="shared" si="4"/>
        <v>1st Pay Period ending 8/11/2022</v>
      </c>
      <c r="M318">
        <v>18679</v>
      </c>
      <c r="N318" s="61"/>
    </row>
    <row r="319" spans="1:14" ht="12.75" customHeight="1" x14ac:dyDescent="0.2">
      <c r="A319" s="30" t="s">
        <v>308</v>
      </c>
      <c r="B319">
        <v>220.66</v>
      </c>
      <c r="C319"/>
      <c r="H319" s="59" t="str">
        <f t="shared" si="4"/>
        <v>1st Pay Period ending 8/11/2022</v>
      </c>
      <c r="M319">
        <v>18983</v>
      </c>
      <c r="N319" s="61"/>
    </row>
    <row r="320" spans="1:14" ht="12.75" customHeight="1" x14ac:dyDescent="0.2">
      <c r="A320" s="30" t="s">
        <v>308</v>
      </c>
      <c r="B320">
        <v>215.59</v>
      </c>
      <c r="C320"/>
      <c r="H320" s="59" t="str">
        <f t="shared" si="4"/>
        <v>1st Pay Period ending 8/11/2022</v>
      </c>
      <c r="M320">
        <v>19019</v>
      </c>
      <c r="N320" s="61"/>
    </row>
    <row r="321" spans="1:14" ht="12.75" customHeight="1" x14ac:dyDescent="0.2">
      <c r="A321" s="30" t="s">
        <v>308</v>
      </c>
      <c r="B321">
        <v>216.39</v>
      </c>
      <c r="C321"/>
      <c r="H321" s="59" t="str">
        <f t="shared" si="4"/>
        <v>1st Pay Period ending 8/11/2022</v>
      </c>
      <c r="M321">
        <v>19009</v>
      </c>
      <c r="N321" s="61"/>
    </row>
    <row r="322" spans="1:14" ht="12.75" customHeight="1" x14ac:dyDescent="0.2">
      <c r="A322" s="30" t="s">
        <v>308</v>
      </c>
      <c r="B322">
        <v>214.83</v>
      </c>
      <c r="C322"/>
      <c r="H322" s="59" t="str">
        <f t="shared" si="4"/>
        <v>1st Pay Period ending 8/11/2022</v>
      </c>
      <c r="M322">
        <v>19015</v>
      </c>
      <c r="N322" s="61"/>
    </row>
    <row r="323" spans="1:14" ht="12.75" customHeight="1" x14ac:dyDescent="0.2">
      <c r="A323" s="30" t="s">
        <v>309</v>
      </c>
      <c r="B323">
        <v>302.89</v>
      </c>
      <c r="C323"/>
      <c r="H323" s="59" t="str">
        <f t="shared" ref="H323:H386" si="5">$K$1</f>
        <v>1st Pay Period ending 8/11/2022</v>
      </c>
      <c r="M323">
        <v>18998</v>
      </c>
      <c r="N323" s="61"/>
    </row>
    <row r="324" spans="1:14" ht="12.75" customHeight="1" x14ac:dyDescent="0.2">
      <c r="A324" s="30" t="s">
        <v>310</v>
      </c>
      <c r="B324">
        <v>310.76</v>
      </c>
      <c r="C324"/>
      <c r="H324" s="59" t="str">
        <f t="shared" si="5"/>
        <v>1st Pay Period ending 8/11/2022</v>
      </c>
      <c r="M324">
        <v>115</v>
      </c>
      <c r="N324" s="61"/>
    </row>
    <row r="325" spans="1:14" ht="12.75" customHeight="1" x14ac:dyDescent="0.2">
      <c r="A325" s="30" t="s">
        <v>311</v>
      </c>
      <c r="B325">
        <v>323.08</v>
      </c>
      <c r="C325"/>
      <c r="H325" s="59" t="str">
        <f t="shared" si="5"/>
        <v>1st Pay Period ending 8/11/2022</v>
      </c>
      <c r="M325">
        <v>18649</v>
      </c>
      <c r="N325" s="61"/>
    </row>
    <row r="326" spans="1:14" ht="12.75" customHeight="1" x14ac:dyDescent="0.2">
      <c r="A326" s="30" t="s">
        <v>311</v>
      </c>
      <c r="B326">
        <v>214.44</v>
      </c>
      <c r="C326"/>
      <c r="H326" s="59" t="str">
        <f t="shared" si="5"/>
        <v>1st Pay Period ending 8/11/2022</v>
      </c>
      <c r="M326">
        <v>19020</v>
      </c>
      <c r="N326" s="61"/>
    </row>
    <row r="327" spans="1:14" ht="12.75" customHeight="1" x14ac:dyDescent="0.2">
      <c r="A327" s="30" t="s">
        <v>312</v>
      </c>
      <c r="B327">
        <v>127.59</v>
      </c>
      <c r="C327"/>
      <c r="H327" s="59" t="str">
        <f t="shared" si="5"/>
        <v>1st Pay Period ending 8/11/2022</v>
      </c>
      <c r="M327">
        <v>18839</v>
      </c>
      <c r="N327" s="61"/>
    </row>
    <row r="328" spans="1:14" ht="12.75" customHeight="1" x14ac:dyDescent="0.2">
      <c r="A328" s="30" t="s">
        <v>312</v>
      </c>
      <c r="B328">
        <v>312.76</v>
      </c>
      <c r="C328"/>
      <c r="H328" s="59" t="str">
        <f t="shared" si="5"/>
        <v>1st Pay Period ending 8/11/2022</v>
      </c>
      <c r="M328">
        <v>18904</v>
      </c>
      <c r="N328" s="61"/>
    </row>
    <row r="329" spans="1:14" ht="12.75" customHeight="1" x14ac:dyDescent="0.2">
      <c r="A329" s="30" t="s">
        <v>313</v>
      </c>
      <c r="B329">
        <v>196.36</v>
      </c>
      <c r="C329"/>
      <c r="H329" s="59" t="str">
        <f t="shared" si="5"/>
        <v>1st Pay Period ending 8/11/2022</v>
      </c>
      <c r="M329">
        <v>18650</v>
      </c>
      <c r="N329" s="61"/>
    </row>
    <row r="330" spans="1:14" ht="12.75" customHeight="1" x14ac:dyDescent="0.2">
      <c r="A330" s="30" t="s">
        <v>314</v>
      </c>
      <c r="B330">
        <v>206.87</v>
      </c>
      <c r="C330"/>
      <c r="H330" s="59" t="str">
        <f t="shared" si="5"/>
        <v>1st Pay Period ending 8/11/2022</v>
      </c>
      <c r="M330">
        <v>19039</v>
      </c>
      <c r="N330" s="61"/>
    </row>
    <row r="331" spans="1:14" ht="12.75" customHeight="1" x14ac:dyDescent="0.2">
      <c r="A331" s="30" t="s">
        <v>314</v>
      </c>
      <c r="B331">
        <v>331.2</v>
      </c>
      <c r="C331"/>
      <c r="H331" s="59" t="str">
        <f t="shared" si="5"/>
        <v>1st Pay Period ending 8/11/2022</v>
      </c>
      <c r="M331">
        <v>18713</v>
      </c>
      <c r="N331" s="61"/>
    </row>
    <row r="332" spans="1:14" ht="12.75" customHeight="1" x14ac:dyDescent="0.2">
      <c r="A332" s="30" t="s">
        <v>314</v>
      </c>
      <c r="B332">
        <v>125.74</v>
      </c>
      <c r="C332"/>
      <c r="H332" s="59" t="str">
        <f t="shared" si="5"/>
        <v>1st Pay Period ending 8/11/2022</v>
      </c>
      <c r="M332">
        <v>18924</v>
      </c>
      <c r="N332" s="61"/>
    </row>
    <row r="333" spans="1:14" ht="12.75" customHeight="1" x14ac:dyDescent="0.2">
      <c r="A333" s="15" t="s">
        <v>314</v>
      </c>
      <c r="B333">
        <v>246.68</v>
      </c>
      <c r="C333"/>
      <c r="H333" s="59" t="str">
        <f t="shared" si="5"/>
        <v>1st Pay Period ending 8/11/2022</v>
      </c>
      <c r="M333">
        <v>18646</v>
      </c>
      <c r="N333" s="61"/>
    </row>
    <row r="334" spans="1:14" ht="12.75" customHeight="1" x14ac:dyDescent="0.2">
      <c r="A334" s="15" t="s">
        <v>314</v>
      </c>
      <c r="B334">
        <v>50.89</v>
      </c>
      <c r="C334"/>
      <c r="H334" s="59" t="str">
        <f t="shared" si="5"/>
        <v>1st Pay Period ending 8/11/2022</v>
      </c>
      <c r="M334">
        <v>18917</v>
      </c>
      <c r="N334" s="61"/>
    </row>
    <row r="335" spans="1:14" ht="12.75" customHeight="1" x14ac:dyDescent="0.2">
      <c r="A335" s="15" t="s">
        <v>314</v>
      </c>
      <c r="B335">
        <v>256.45999999999998</v>
      </c>
      <c r="C335"/>
      <c r="H335" s="59" t="str">
        <f t="shared" si="5"/>
        <v>1st Pay Period ending 8/11/2022</v>
      </c>
      <c r="M335">
        <v>18942</v>
      </c>
      <c r="N335" s="61"/>
    </row>
    <row r="336" spans="1:14" ht="12.75" customHeight="1" x14ac:dyDescent="0.2">
      <c r="A336" s="81" t="s">
        <v>314</v>
      </c>
      <c r="B336">
        <v>189.94</v>
      </c>
      <c r="C336"/>
      <c r="H336" s="59" t="str">
        <f t="shared" si="5"/>
        <v>1st Pay Period ending 8/11/2022</v>
      </c>
      <c r="M336">
        <v>18990</v>
      </c>
      <c r="N336" s="61"/>
    </row>
    <row r="337" spans="1:14" ht="12.75" customHeight="1" x14ac:dyDescent="0.2">
      <c r="A337" s="15" t="s">
        <v>314</v>
      </c>
      <c r="B337">
        <v>89.14</v>
      </c>
      <c r="C337"/>
      <c r="H337" s="59" t="str">
        <f t="shared" si="5"/>
        <v>1st Pay Period ending 8/11/2022</v>
      </c>
      <c r="M337">
        <v>19023</v>
      </c>
      <c r="N337" s="61"/>
    </row>
    <row r="338" spans="1:14" ht="12.75" customHeight="1" x14ac:dyDescent="0.2">
      <c r="A338" s="15" t="s">
        <v>314</v>
      </c>
      <c r="B338">
        <v>255.02</v>
      </c>
      <c r="C338"/>
      <c r="H338" s="59" t="str">
        <f t="shared" si="5"/>
        <v>1st Pay Period ending 8/11/2022</v>
      </c>
      <c r="M338">
        <v>18703</v>
      </c>
      <c r="N338" s="61"/>
    </row>
    <row r="339" spans="1:14" ht="12.75" customHeight="1" x14ac:dyDescent="0.2">
      <c r="A339" s="15" t="s">
        <v>314</v>
      </c>
      <c r="B339">
        <v>556.45000000000005</v>
      </c>
      <c r="C339"/>
      <c r="H339" s="59" t="str">
        <f t="shared" si="5"/>
        <v>1st Pay Period ending 8/11/2022</v>
      </c>
      <c r="M339">
        <v>18850</v>
      </c>
      <c r="N339" s="61"/>
    </row>
    <row r="340" spans="1:14" ht="12.75" customHeight="1" x14ac:dyDescent="0.2">
      <c r="A340" s="15" t="s">
        <v>314</v>
      </c>
      <c r="B340">
        <v>210.58</v>
      </c>
      <c r="C340"/>
      <c r="H340" s="59" t="str">
        <f t="shared" si="5"/>
        <v>1st Pay Period ending 8/11/2022</v>
      </c>
      <c r="M340">
        <v>18986</v>
      </c>
      <c r="N340" s="61"/>
    </row>
    <row r="341" spans="1:14" ht="12.75" customHeight="1" x14ac:dyDescent="0.2">
      <c r="A341" s="15" t="s">
        <v>315</v>
      </c>
      <c r="B341">
        <v>184.61</v>
      </c>
      <c r="C341"/>
      <c r="H341" s="59" t="str">
        <f t="shared" si="5"/>
        <v>1st Pay Period ending 8/11/2022</v>
      </c>
      <c r="M341">
        <v>18970</v>
      </c>
      <c r="N341" s="61"/>
    </row>
    <row r="342" spans="1:14" ht="12.75" customHeight="1" x14ac:dyDescent="0.2">
      <c r="A342" s="15" t="s">
        <v>316</v>
      </c>
      <c r="B342">
        <v>230.19</v>
      </c>
      <c r="C342"/>
      <c r="H342" s="59" t="str">
        <f t="shared" si="5"/>
        <v>1st Pay Period ending 8/11/2022</v>
      </c>
      <c r="M342">
        <v>18976</v>
      </c>
      <c r="N342" s="61"/>
    </row>
    <row r="343" spans="1:14" ht="12.75" customHeight="1" x14ac:dyDescent="0.2">
      <c r="A343" s="15" t="s">
        <v>316</v>
      </c>
      <c r="B343">
        <v>343.27</v>
      </c>
      <c r="C343"/>
      <c r="H343" s="59" t="str">
        <f t="shared" si="5"/>
        <v>1st Pay Period ending 8/11/2022</v>
      </c>
      <c r="M343">
        <v>19031</v>
      </c>
      <c r="N343" s="61"/>
    </row>
    <row r="344" spans="1:14" ht="12.75" customHeight="1" x14ac:dyDescent="0.2">
      <c r="A344" s="15" t="s">
        <v>317</v>
      </c>
      <c r="B344">
        <v>266.54000000000002</v>
      </c>
      <c r="C344"/>
      <c r="H344" s="59" t="str">
        <f t="shared" si="5"/>
        <v>1st Pay Period ending 8/11/2022</v>
      </c>
      <c r="M344">
        <v>18442</v>
      </c>
      <c r="N344" s="61"/>
    </row>
    <row r="345" spans="1:14" ht="12.75" customHeight="1" x14ac:dyDescent="0.2">
      <c r="A345" s="15" t="s">
        <v>285</v>
      </c>
      <c r="B345">
        <v>158.53</v>
      </c>
      <c r="C345"/>
      <c r="H345" s="59" t="str">
        <f t="shared" si="5"/>
        <v>1st Pay Period ending 8/11/2022</v>
      </c>
      <c r="M345">
        <v>18996</v>
      </c>
      <c r="N345" s="61"/>
    </row>
    <row r="346" spans="1:14" ht="12.75" customHeight="1" x14ac:dyDescent="0.2">
      <c r="A346" s="15" t="s">
        <v>285</v>
      </c>
      <c r="B346">
        <v>125.14</v>
      </c>
      <c r="C346"/>
      <c r="H346" s="59" t="str">
        <f t="shared" si="5"/>
        <v>1st Pay Period ending 8/11/2022</v>
      </c>
      <c r="M346">
        <v>18634</v>
      </c>
      <c r="N346" s="61"/>
    </row>
    <row r="347" spans="1:14" ht="12.75" customHeight="1" x14ac:dyDescent="0.2">
      <c r="A347" s="15" t="s">
        <v>285</v>
      </c>
      <c r="B347">
        <v>188.12</v>
      </c>
      <c r="C347"/>
      <c r="H347" s="59" t="str">
        <f t="shared" si="5"/>
        <v>1st Pay Period ending 8/11/2022</v>
      </c>
      <c r="M347">
        <v>18898</v>
      </c>
      <c r="N347" s="61"/>
    </row>
    <row r="348" spans="1:14" ht="12.75" customHeight="1" x14ac:dyDescent="0.2">
      <c r="A348" s="15" t="s">
        <v>285</v>
      </c>
      <c r="B348">
        <v>146.56</v>
      </c>
      <c r="C348"/>
      <c r="H348" s="59" t="str">
        <f t="shared" si="5"/>
        <v>1st Pay Period ending 8/11/2022</v>
      </c>
      <c r="M348">
        <v>18927</v>
      </c>
      <c r="N348" s="61"/>
    </row>
    <row r="349" spans="1:14" ht="12.75" customHeight="1" x14ac:dyDescent="0.2">
      <c r="A349" s="15" t="s">
        <v>285</v>
      </c>
      <c r="B349">
        <v>323.08</v>
      </c>
      <c r="C349"/>
      <c r="H349" s="59" t="str">
        <f t="shared" si="5"/>
        <v>1st Pay Period ending 8/11/2022</v>
      </c>
      <c r="M349">
        <v>261</v>
      </c>
      <c r="N349" s="61"/>
    </row>
    <row r="350" spans="1:14" ht="12.75" customHeight="1" x14ac:dyDescent="0.2">
      <c r="A350" s="15" t="s">
        <v>285</v>
      </c>
      <c r="B350">
        <v>162.81</v>
      </c>
      <c r="C350"/>
      <c r="H350" s="59" t="str">
        <f t="shared" si="5"/>
        <v>1st Pay Period ending 8/11/2022</v>
      </c>
      <c r="M350">
        <v>18895</v>
      </c>
      <c r="N350" s="61"/>
    </row>
    <row r="351" spans="1:14" ht="12.75" customHeight="1" x14ac:dyDescent="0.2">
      <c r="A351" s="15" t="s">
        <v>285</v>
      </c>
      <c r="B351">
        <v>253.46</v>
      </c>
      <c r="C351"/>
      <c r="H351" s="59" t="str">
        <f t="shared" si="5"/>
        <v>1st Pay Period ending 8/11/2022</v>
      </c>
      <c r="M351">
        <v>18823</v>
      </c>
      <c r="N351" s="61"/>
    </row>
    <row r="352" spans="1:14" ht="12.75" customHeight="1" x14ac:dyDescent="0.2">
      <c r="A352" s="15" t="s">
        <v>318</v>
      </c>
      <c r="B352">
        <v>254.67</v>
      </c>
      <c r="C352"/>
      <c r="H352" s="59" t="str">
        <f t="shared" si="5"/>
        <v>1st Pay Period ending 8/11/2022</v>
      </c>
      <c r="M352">
        <v>18791</v>
      </c>
      <c r="N352" s="61"/>
    </row>
    <row r="353" spans="1:14" ht="12.75" customHeight="1" x14ac:dyDescent="0.2">
      <c r="A353" s="15" t="s">
        <v>319</v>
      </c>
      <c r="B353">
        <v>266.64999999999998</v>
      </c>
      <c r="C353"/>
      <c r="H353" s="59" t="str">
        <f t="shared" si="5"/>
        <v>1st Pay Period ending 8/11/2022</v>
      </c>
      <c r="M353">
        <v>18561</v>
      </c>
      <c r="N353" s="61"/>
    </row>
    <row r="354" spans="1:14" ht="12.75" customHeight="1" x14ac:dyDescent="0.2">
      <c r="A354" s="15" t="s">
        <v>319</v>
      </c>
      <c r="B354">
        <v>191.2</v>
      </c>
      <c r="C354"/>
      <c r="H354" s="59" t="str">
        <f t="shared" si="5"/>
        <v>1st Pay Period ending 8/11/2022</v>
      </c>
      <c r="M354">
        <v>18953</v>
      </c>
      <c r="N354" s="61"/>
    </row>
    <row r="355" spans="1:14" ht="12.75" customHeight="1" x14ac:dyDescent="0.2">
      <c r="A355" s="15" t="s">
        <v>320</v>
      </c>
      <c r="B355">
        <v>58.5</v>
      </c>
      <c r="C355"/>
      <c r="H355" s="59" t="str">
        <f t="shared" si="5"/>
        <v>1st Pay Period ending 8/11/2022</v>
      </c>
      <c r="M355">
        <v>156</v>
      </c>
      <c r="N355" s="61"/>
    </row>
    <row r="356" spans="1:14" ht="12.75" customHeight="1" x14ac:dyDescent="0.2">
      <c r="A356" s="15" t="s">
        <v>320</v>
      </c>
      <c r="B356">
        <v>74.430000000000007</v>
      </c>
      <c r="C356"/>
      <c r="H356" s="59" t="str">
        <f t="shared" si="5"/>
        <v>1st Pay Period ending 8/11/2022</v>
      </c>
      <c r="M356">
        <v>18506</v>
      </c>
      <c r="N356" s="61"/>
    </row>
    <row r="357" spans="1:14" ht="12.75" customHeight="1" x14ac:dyDescent="0.2">
      <c r="A357" s="15" t="s">
        <v>320</v>
      </c>
      <c r="B357">
        <v>209</v>
      </c>
      <c r="C357"/>
      <c r="H357" s="59" t="str">
        <f t="shared" si="5"/>
        <v>1st Pay Period ending 8/11/2022</v>
      </c>
      <c r="M357">
        <v>18792</v>
      </c>
      <c r="N357" s="61"/>
    </row>
    <row r="358" spans="1:14" ht="12.75" customHeight="1" x14ac:dyDescent="0.2">
      <c r="A358" s="15" t="s">
        <v>447</v>
      </c>
      <c r="B358">
        <v>66.48</v>
      </c>
      <c r="C358"/>
      <c r="H358" s="59" t="str">
        <f t="shared" si="5"/>
        <v>1st Pay Period ending 8/11/2022</v>
      </c>
      <c r="M358">
        <v>19037</v>
      </c>
      <c r="N358" s="61"/>
    </row>
    <row r="359" spans="1:14" ht="12.75" customHeight="1" x14ac:dyDescent="0.2">
      <c r="A359" s="15" t="s">
        <v>321</v>
      </c>
      <c r="B359">
        <v>302.89</v>
      </c>
      <c r="C359"/>
      <c r="H359" s="59" t="str">
        <f t="shared" si="5"/>
        <v>1st Pay Period ending 8/11/2022</v>
      </c>
      <c r="M359">
        <v>18876</v>
      </c>
      <c r="N359" s="61"/>
    </row>
    <row r="360" spans="1:14" ht="12.75" customHeight="1" x14ac:dyDescent="0.2">
      <c r="A360" s="15" t="s">
        <v>322</v>
      </c>
      <c r="B360">
        <v>4230.78</v>
      </c>
      <c r="C360"/>
      <c r="H360" s="59" t="str">
        <f t="shared" si="5"/>
        <v>1st Pay Period ending 8/11/2022</v>
      </c>
      <c r="M360">
        <v>18871</v>
      </c>
      <c r="N360" s="61"/>
    </row>
    <row r="361" spans="1:14" ht="12.75" customHeight="1" x14ac:dyDescent="0.2">
      <c r="A361" s="15" t="s">
        <v>322</v>
      </c>
      <c r="B361">
        <v>5384.62</v>
      </c>
      <c r="C361"/>
      <c r="H361" s="59" t="str">
        <f t="shared" si="5"/>
        <v>1st Pay Period ending 8/11/2022</v>
      </c>
      <c r="M361">
        <v>18517</v>
      </c>
      <c r="N361" s="61"/>
    </row>
    <row r="362" spans="1:14" ht="12.75" customHeight="1" x14ac:dyDescent="0.2">
      <c r="A362" s="15" t="s">
        <v>322</v>
      </c>
      <c r="B362">
        <v>2450.38</v>
      </c>
      <c r="C362"/>
      <c r="H362" s="59" t="str">
        <f t="shared" si="5"/>
        <v>1st Pay Period ending 8/11/2022</v>
      </c>
      <c r="M362">
        <v>18726</v>
      </c>
      <c r="N362" s="61"/>
    </row>
    <row r="363" spans="1:14" ht="12.75" customHeight="1" x14ac:dyDescent="0.2">
      <c r="A363" s="15" t="s">
        <v>322</v>
      </c>
      <c r="B363">
        <v>4167.12</v>
      </c>
      <c r="C363"/>
      <c r="H363" s="59" t="str">
        <f t="shared" si="5"/>
        <v>1st Pay Period ending 8/11/2022</v>
      </c>
      <c r="M363">
        <v>18647</v>
      </c>
      <c r="N363" s="61"/>
    </row>
    <row r="364" spans="1:14" ht="12.75" customHeight="1" x14ac:dyDescent="0.2">
      <c r="A364" s="15" t="s">
        <v>323</v>
      </c>
      <c r="B364">
        <v>3076.93</v>
      </c>
      <c r="C364"/>
      <c r="H364" s="59" t="str">
        <f t="shared" si="5"/>
        <v>1st Pay Period ending 8/11/2022</v>
      </c>
      <c r="M364">
        <v>152</v>
      </c>
      <c r="N364" s="61"/>
    </row>
    <row r="365" spans="1:14" ht="12.75" customHeight="1" x14ac:dyDescent="0.2">
      <c r="A365" s="15" t="s">
        <v>324</v>
      </c>
      <c r="B365">
        <v>2500</v>
      </c>
      <c r="C365"/>
      <c r="H365" s="59" t="str">
        <f t="shared" si="5"/>
        <v>1st Pay Period ending 8/11/2022</v>
      </c>
      <c r="M365">
        <v>19014</v>
      </c>
      <c r="N365" s="61"/>
    </row>
    <row r="366" spans="1:14" ht="12.75" customHeight="1" x14ac:dyDescent="0.2">
      <c r="A366" s="15" t="s">
        <v>324</v>
      </c>
      <c r="B366">
        <v>500.22</v>
      </c>
      <c r="C366"/>
      <c r="H366" s="59" t="str">
        <f t="shared" si="5"/>
        <v>1st Pay Period ending 8/11/2022</v>
      </c>
      <c r="M366">
        <v>18736</v>
      </c>
      <c r="N366" s="61"/>
    </row>
    <row r="367" spans="1:14" ht="12.75" customHeight="1" x14ac:dyDescent="0.2">
      <c r="A367" s="15" t="s">
        <v>325</v>
      </c>
      <c r="B367">
        <v>3076.93</v>
      </c>
      <c r="C367"/>
      <c r="H367" s="59" t="str">
        <f t="shared" si="5"/>
        <v>1st Pay Period ending 8/11/2022</v>
      </c>
      <c r="M367">
        <v>18987</v>
      </c>
      <c r="N367" s="61"/>
    </row>
    <row r="368" spans="1:14" ht="12.75" customHeight="1" x14ac:dyDescent="0.2">
      <c r="A368" s="15" t="s">
        <v>325</v>
      </c>
      <c r="B368">
        <v>2423.08</v>
      </c>
      <c r="C368"/>
      <c r="H368" s="59" t="str">
        <f t="shared" si="5"/>
        <v>1st Pay Period ending 8/11/2022</v>
      </c>
      <c r="M368">
        <v>18988</v>
      </c>
      <c r="N368" s="61"/>
    </row>
    <row r="369" spans="1:14" ht="12.75" customHeight="1" x14ac:dyDescent="0.2">
      <c r="A369" s="15" t="s">
        <v>325</v>
      </c>
      <c r="B369">
        <v>2307.69</v>
      </c>
      <c r="C369"/>
      <c r="H369" s="59" t="str">
        <f t="shared" si="5"/>
        <v>1st Pay Period ending 8/11/2022</v>
      </c>
      <c r="M369">
        <v>18995</v>
      </c>
      <c r="N369" s="61"/>
    </row>
    <row r="370" spans="1:14" ht="12.75" customHeight="1" x14ac:dyDescent="0.2">
      <c r="A370" s="15" t="s">
        <v>325</v>
      </c>
      <c r="B370">
        <v>4769.2299999999996</v>
      </c>
      <c r="C370"/>
      <c r="H370" s="59" t="str">
        <f t="shared" si="5"/>
        <v>1st Pay Period ending 8/11/2022</v>
      </c>
      <c r="M370">
        <v>18920</v>
      </c>
      <c r="N370" s="61"/>
    </row>
    <row r="371" spans="1:14" ht="12.75" customHeight="1" x14ac:dyDescent="0.2">
      <c r="A371" s="15" t="s">
        <v>325</v>
      </c>
      <c r="B371">
        <v>846.15</v>
      </c>
      <c r="C371"/>
      <c r="H371" s="59" t="str">
        <f t="shared" si="5"/>
        <v>1st Pay Period ending 8/11/2022</v>
      </c>
      <c r="M371">
        <v>18997</v>
      </c>
      <c r="N371" s="61"/>
    </row>
    <row r="372" spans="1:14" ht="12.75" customHeight="1" x14ac:dyDescent="0.2">
      <c r="A372" s="15" t="s">
        <v>325</v>
      </c>
      <c r="B372">
        <v>2807.7</v>
      </c>
      <c r="C372"/>
      <c r="H372" s="59" t="str">
        <f t="shared" si="5"/>
        <v>1st Pay Period ending 8/11/2022</v>
      </c>
      <c r="M372">
        <v>18721</v>
      </c>
      <c r="N372" s="61"/>
    </row>
    <row r="373" spans="1:14" ht="12.75" customHeight="1" x14ac:dyDescent="0.2">
      <c r="A373" s="15" t="s">
        <v>325</v>
      </c>
      <c r="B373">
        <v>2114.42</v>
      </c>
      <c r="C373"/>
      <c r="H373" s="59" t="str">
        <f t="shared" si="5"/>
        <v>1st Pay Period ending 8/11/2022</v>
      </c>
      <c r="M373">
        <v>18946</v>
      </c>
      <c r="N373" s="61"/>
    </row>
    <row r="374" spans="1:14" ht="12.75" customHeight="1" x14ac:dyDescent="0.2">
      <c r="A374" s="15" t="s">
        <v>326</v>
      </c>
      <c r="B374">
        <v>2177.67</v>
      </c>
      <c r="C374"/>
      <c r="H374" s="59" t="str">
        <f t="shared" si="5"/>
        <v>1st Pay Period ending 8/11/2022</v>
      </c>
      <c r="M374">
        <v>220</v>
      </c>
      <c r="N374" s="61"/>
    </row>
    <row r="375" spans="1:14" ht="12.75" customHeight="1" x14ac:dyDescent="0.2">
      <c r="A375" s="15" t="s">
        <v>327</v>
      </c>
      <c r="B375">
        <v>1569.23</v>
      </c>
      <c r="C375"/>
      <c r="H375" s="59" t="str">
        <f t="shared" si="5"/>
        <v>1st Pay Period ending 8/11/2022</v>
      </c>
      <c r="M375">
        <v>18948</v>
      </c>
      <c r="N375" s="61"/>
    </row>
    <row r="376" spans="1:14" ht="12.75" customHeight="1" x14ac:dyDescent="0.2">
      <c r="A376" s="15" t="s">
        <v>327</v>
      </c>
      <c r="B376">
        <v>5384.62</v>
      </c>
      <c r="C376"/>
      <c r="H376" s="59" t="str">
        <f t="shared" si="5"/>
        <v>1st Pay Period ending 8/11/2022</v>
      </c>
      <c r="M376">
        <v>18716</v>
      </c>
      <c r="N376" s="61"/>
    </row>
    <row r="377" spans="1:14" ht="12.75" customHeight="1" x14ac:dyDescent="0.2">
      <c r="A377" s="15" t="s">
        <v>329</v>
      </c>
      <c r="B377">
        <v>5384.61</v>
      </c>
      <c r="C377"/>
      <c r="H377" s="59" t="str">
        <f t="shared" si="5"/>
        <v>1st Pay Period ending 8/11/2022</v>
      </c>
      <c r="M377">
        <v>18969</v>
      </c>
      <c r="N377" s="61"/>
    </row>
    <row r="378" spans="1:14" ht="12.75" customHeight="1" x14ac:dyDescent="0.2">
      <c r="A378" s="15" t="s">
        <v>329</v>
      </c>
      <c r="B378">
        <v>2615.39</v>
      </c>
      <c r="C378"/>
      <c r="H378" s="59" t="str">
        <f t="shared" si="5"/>
        <v>1st Pay Period ending 8/11/2022</v>
      </c>
      <c r="M378">
        <v>18862</v>
      </c>
      <c r="N378" s="61"/>
    </row>
    <row r="379" spans="1:14" ht="12.75" customHeight="1" x14ac:dyDescent="0.2">
      <c r="A379" s="15" t="s">
        <v>330</v>
      </c>
      <c r="B379">
        <v>8165.89</v>
      </c>
      <c r="C379"/>
      <c r="H379" s="59" t="str">
        <f t="shared" si="5"/>
        <v>1st Pay Period ending 8/11/2022</v>
      </c>
      <c r="M379">
        <v>18886</v>
      </c>
      <c r="N379" s="61"/>
    </row>
    <row r="380" spans="1:14" ht="12.75" customHeight="1" x14ac:dyDescent="0.2">
      <c r="A380" s="15" t="s">
        <v>331</v>
      </c>
      <c r="B380">
        <v>1436.71</v>
      </c>
      <c r="C380"/>
      <c r="H380" s="59" t="str">
        <f t="shared" si="5"/>
        <v>1st Pay Period ending 8/11/2022</v>
      </c>
      <c r="M380">
        <v>18550</v>
      </c>
      <c r="N380" s="61"/>
    </row>
    <row r="381" spans="1:14" ht="12.75" customHeight="1" x14ac:dyDescent="0.2">
      <c r="A381" s="15" t="s">
        <v>331</v>
      </c>
      <c r="B381">
        <v>2292.31</v>
      </c>
      <c r="C381"/>
      <c r="H381" s="59" t="str">
        <f t="shared" si="5"/>
        <v>1st Pay Period ending 8/11/2022</v>
      </c>
      <c r="M381">
        <v>18968</v>
      </c>
      <c r="N381" s="61"/>
    </row>
    <row r="382" spans="1:14" ht="12.75" customHeight="1" x14ac:dyDescent="0.2">
      <c r="A382" s="15" t="s">
        <v>331</v>
      </c>
      <c r="B382">
        <v>5463.43</v>
      </c>
      <c r="C382"/>
      <c r="H382" s="59" t="str">
        <f t="shared" si="5"/>
        <v>1st Pay Period ending 8/11/2022</v>
      </c>
      <c r="M382">
        <v>18853</v>
      </c>
      <c r="N382" s="61"/>
    </row>
    <row r="383" spans="1:14" ht="12.75" customHeight="1" x14ac:dyDescent="0.2">
      <c r="A383" s="15" t="s">
        <v>331</v>
      </c>
      <c r="B383">
        <v>2500</v>
      </c>
      <c r="C383"/>
      <c r="H383" s="59" t="str">
        <f t="shared" si="5"/>
        <v>1st Pay Period ending 8/11/2022</v>
      </c>
      <c r="M383">
        <v>19025</v>
      </c>
      <c r="N383" s="61"/>
    </row>
    <row r="384" spans="1:14" ht="12.75" customHeight="1" x14ac:dyDescent="0.2">
      <c r="A384" s="15" t="s">
        <v>331</v>
      </c>
      <c r="B384">
        <v>892.32</v>
      </c>
      <c r="C384"/>
      <c r="H384" s="59" t="str">
        <f t="shared" si="5"/>
        <v>1st Pay Period ending 8/11/2022</v>
      </c>
      <c r="M384">
        <v>19022</v>
      </c>
      <c r="N384" s="61"/>
    </row>
    <row r="385" spans="1:14" ht="12.75" customHeight="1" x14ac:dyDescent="0.2">
      <c r="A385" s="15" t="s">
        <v>331</v>
      </c>
      <c r="B385">
        <v>2803.85</v>
      </c>
      <c r="C385"/>
      <c r="H385" s="59" t="str">
        <f t="shared" si="5"/>
        <v>1st Pay Period ending 8/11/2022</v>
      </c>
      <c r="M385">
        <v>19003</v>
      </c>
      <c r="N385" s="61"/>
    </row>
    <row r="386" spans="1:14" ht="12.75" customHeight="1" x14ac:dyDescent="0.2">
      <c r="A386" s="15" t="s">
        <v>331</v>
      </c>
      <c r="B386">
        <v>2615.38</v>
      </c>
      <c r="C386"/>
      <c r="H386" s="59" t="str">
        <f t="shared" si="5"/>
        <v>1st Pay Period ending 8/11/2022</v>
      </c>
      <c r="M386">
        <v>18741</v>
      </c>
      <c r="N386" s="61"/>
    </row>
    <row r="387" spans="1:14" ht="12.75" customHeight="1" x14ac:dyDescent="0.2">
      <c r="A387" s="15" t="s">
        <v>332</v>
      </c>
      <c r="B387">
        <v>2534.62</v>
      </c>
      <c r="C387"/>
      <c r="H387" s="59" t="str">
        <f t="shared" ref="H387:H450" si="6">$K$1</f>
        <v>1st Pay Period ending 8/11/2022</v>
      </c>
      <c r="M387">
        <v>18619</v>
      </c>
      <c r="N387" s="61"/>
    </row>
    <row r="388" spans="1:14" ht="12.75" customHeight="1" x14ac:dyDescent="0.2">
      <c r="A388" s="15" t="s">
        <v>332</v>
      </c>
      <c r="B388">
        <v>2563.6999999999998</v>
      </c>
      <c r="C388"/>
      <c r="H388" s="59" t="str">
        <f t="shared" si="6"/>
        <v>1st Pay Period ending 8/11/2022</v>
      </c>
      <c r="M388">
        <v>18836</v>
      </c>
      <c r="N388" s="61"/>
    </row>
    <row r="389" spans="1:14" ht="12.75" customHeight="1" x14ac:dyDescent="0.2">
      <c r="A389" s="15" t="s">
        <v>458</v>
      </c>
      <c r="B389">
        <v>1255.06</v>
      </c>
      <c r="C389"/>
      <c r="H389" s="59" t="str">
        <f t="shared" si="6"/>
        <v>1st Pay Period ending 8/11/2022</v>
      </c>
      <c r="M389">
        <v>19040</v>
      </c>
      <c r="N389" s="61"/>
    </row>
    <row r="390" spans="1:14" ht="12.75" customHeight="1" x14ac:dyDescent="0.2">
      <c r="A390" s="15" t="s">
        <v>458</v>
      </c>
      <c r="B390">
        <v>930.89</v>
      </c>
      <c r="C390"/>
      <c r="H390" s="59" t="str">
        <f t="shared" si="6"/>
        <v>1st Pay Period ending 8/11/2022</v>
      </c>
      <c r="M390">
        <v>18893</v>
      </c>
      <c r="N390" s="61"/>
    </row>
    <row r="391" spans="1:14" ht="12.75" customHeight="1" x14ac:dyDescent="0.2">
      <c r="A391" s="15" t="s">
        <v>333</v>
      </c>
      <c r="B391">
        <v>1568.36</v>
      </c>
      <c r="C391"/>
      <c r="H391" s="59" t="str">
        <f t="shared" si="6"/>
        <v>1st Pay Period ending 8/11/2022</v>
      </c>
      <c r="M391">
        <v>18831</v>
      </c>
      <c r="N391" s="61"/>
    </row>
    <row r="392" spans="1:14" ht="12.75" customHeight="1" x14ac:dyDescent="0.2">
      <c r="A392" s="15" t="s">
        <v>333</v>
      </c>
      <c r="B392">
        <v>1826.26</v>
      </c>
      <c r="C392"/>
      <c r="H392" s="59" t="str">
        <f t="shared" si="6"/>
        <v>1st Pay Period ending 8/11/2022</v>
      </c>
      <c r="M392">
        <v>18891</v>
      </c>
      <c r="N392" s="61"/>
    </row>
    <row r="393" spans="1:14" ht="12.75" customHeight="1" x14ac:dyDescent="0.2">
      <c r="A393" s="15" t="s">
        <v>333</v>
      </c>
      <c r="B393">
        <v>1706.09</v>
      </c>
      <c r="C393"/>
      <c r="H393" s="59" t="str">
        <f t="shared" si="6"/>
        <v>1st Pay Period ending 8/11/2022</v>
      </c>
      <c r="M393">
        <v>18957</v>
      </c>
      <c r="N393" s="61"/>
    </row>
    <row r="394" spans="1:14" ht="12.75" customHeight="1" x14ac:dyDescent="0.2">
      <c r="A394" s="15" t="s">
        <v>333</v>
      </c>
      <c r="B394">
        <v>2221.5100000000002</v>
      </c>
      <c r="C394"/>
      <c r="H394" s="59" t="str">
        <f t="shared" si="6"/>
        <v>1st Pay Period ending 8/11/2022</v>
      </c>
      <c r="M394">
        <v>18903</v>
      </c>
      <c r="N394" s="61"/>
    </row>
    <row r="395" spans="1:14" ht="12.75" customHeight="1" x14ac:dyDescent="0.2">
      <c r="A395" s="15" t="s">
        <v>333</v>
      </c>
      <c r="B395">
        <v>465.37</v>
      </c>
      <c r="C395"/>
      <c r="H395" s="59" t="str">
        <f t="shared" si="6"/>
        <v>1st Pay Period ending 8/11/2022</v>
      </c>
      <c r="M395">
        <v>18893</v>
      </c>
      <c r="N395" s="61"/>
    </row>
    <row r="396" spans="1:14" ht="12.75" customHeight="1" x14ac:dyDescent="0.2">
      <c r="A396" s="15" t="s">
        <v>333</v>
      </c>
      <c r="B396">
        <v>2001.37</v>
      </c>
      <c r="C396"/>
      <c r="H396" s="59" t="str">
        <f t="shared" si="6"/>
        <v>1st Pay Period ending 8/11/2022</v>
      </c>
      <c r="M396">
        <v>18589</v>
      </c>
      <c r="N396" s="61"/>
    </row>
    <row r="397" spans="1:14" ht="12.75" customHeight="1" x14ac:dyDescent="0.2">
      <c r="A397" s="15" t="s">
        <v>333</v>
      </c>
      <c r="B397">
        <v>2488.86</v>
      </c>
      <c r="C397"/>
      <c r="H397" s="59" t="str">
        <f t="shared" si="6"/>
        <v>1st Pay Period ending 8/11/2022</v>
      </c>
      <c r="M397">
        <v>18866</v>
      </c>
      <c r="N397" s="61"/>
    </row>
    <row r="398" spans="1:14" ht="12.75" customHeight="1" x14ac:dyDescent="0.2">
      <c r="A398" s="15" t="s">
        <v>334</v>
      </c>
      <c r="B398">
        <v>3076.92</v>
      </c>
      <c r="C398"/>
      <c r="H398" s="59" t="str">
        <f t="shared" si="6"/>
        <v>1st Pay Period ending 8/11/2022</v>
      </c>
      <c r="M398">
        <v>18954</v>
      </c>
      <c r="N398" s="61"/>
    </row>
    <row r="399" spans="1:14" ht="12.75" customHeight="1" x14ac:dyDescent="0.2">
      <c r="A399" s="15" t="s">
        <v>334</v>
      </c>
      <c r="B399">
        <v>2054.5500000000002</v>
      </c>
      <c r="C399"/>
      <c r="H399" s="59" t="str">
        <f t="shared" si="6"/>
        <v>1st Pay Period ending 8/11/2022</v>
      </c>
      <c r="M399">
        <v>18879</v>
      </c>
      <c r="N399" s="61"/>
    </row>
    <row r="400" spans="1:14" ht="12.75" customHeight="1" x14ac:dyDescent="0.2">
      <c r="A400" s="15" t="s">
        <v>334</v>
      </c>
      <c r="B400">
        <v>1413.69</v>
      </c>
      <c r="C400"/>
      <c r="H400" s="59" t="str">
        <f t="shared" si="6"/>
        <v>1st Pay Period ending 8/11/2022</v>
      </c>
      <c r="M400">
        <v>18631</v>
      </c>
      <c r="N400" s="61"/>
    </row>
    <row r="401" spans="1:14" ht="12.75" customHeight="1" x14ac:dyDescent="0.2">
      <c r="A401" s="15" t="s">
        <v>334</v>
      </c>
      <c r="B401">
        <v>1074.81</v>
      </c>
      <c r="C401"/>
      <c r="H401" s="59" t="str">
        <f t="shared" si="6"/>
        <v>1st Pay Period ending 8/11/2022</v>
      </c>
      <c r="M401">
        <v>18</v>
      </c>
      <c r="N401" s="61"/>
    </row>
    <row r="402" spans="1:14" ht="12.75" customHeight="1" x14ac:dyDescent="0.2">
      <c r="A402" s="15" t="s">
        <v>335</v>
      </c>
      <c r="B402">
        <v>2515.5500000000002</v>
      </c>
      <c r="C402"/>
      <c r="H402" s="59" t="str">
        <f t="shared" si="6"/>
        <v>1st Pay Period ending 8/11/2022</v>
      </c>
      <c r="M402">
        <v>19013</v>
      </c>
      <c r="N402" s="61"/>
    </row>
    <row r="403" spans="1:14" ht="12.75" customHeight="1" x14ac:dyDescent="0.2">
      <c r="A403" s="15" t="s">
        <v>335</v>
      </c>
      <c r="B403">
        <v>1764.41</v>
      </c>
      <c r="C403"/>
      <c r="H403" s="59" t="str">
        <f t="shared" si="6"/>
        <v>1st Pay Period ending 8/11/2022</v>
      </c>
      <c r="M403">
        <v>18630</v>
      </c>
      <c r="N403" s="61"/>
    </row>
    <row r="404" spans="1:14" ht="12.75" customHeight="1" x14ac:dyDescent="0.2">
      <c r="A404" s="15" t="s">
        <v>336</v>
      </c>
      <c r="B404">
        <v>3634.62</v>
      </c>
      <c r="C404"/>
      <c r="H404" s="59" t="str">
        <f t="shared" si="6"/>
        <v>1st Pay Period ending 8/11/2022</v>
      </c>
      <c r="M404">
        <v>18559</v>
      </c>
      <c r="N404" s="61"/>
    </row>
    <row r="405" spans="1:14" ht="12.75" customHeight="1" x14ac:dyDescent="0.2">
      <c r="A405" s="15" t="s">
        <v>336</v>
      </c>
      <c r="B405">
        <v>880.92</v>
      </c>
      <c r="C405"/>
      <c r="H405" s="59" t="str">
        <f t="shared" si="6"/>
        <v>1st Pay Period ending 8/11/2022</v>
      </c>
      <c r="M405">
        <v>18960</v>
      </c>
      <c r="N405" s="61"/>
    </row>
    <row r="406" spans="1:14" ht="12.75" customHeight="1" x14ac:dyDescent="0.2">
      <c r="A406" s="15" t="s">
        <v>336</v>
      </c>
      <c r="B406">
        <v>1335.3</v>
      </c>
      <c r="C406"/>
      <c r="H406" s="59" t="str">
        <f t="shared" si="6"/>
        <v>1st Pay Period ending 8/11/2022</v>
      </c>
      <c r="M406">
        <v>18894</v>
      </c>
      <c r="N406" s="61"/>
    </row>
    <row r="407" spans="1:14" ht="12.75" customHeight="1" x14ac:dyDescent="0.2">
      <c r="A407" s="15" t="s">
        <v>336</v>
      </c>
      <c r="B407">
        <v>2566.09</v>
      </c>
      <c r="C407"/>
      <c r="H407" s="59" t="str">
        <f t="shared" si="6"/>
        <v>1st Pay Period ending 8/11/2022</v>
      </c>
      <c r="M407">
        <v>18967</v>
      </c>
      <c r="N407" s="61"/>
    </row>
    <row r="408" spans="1:14" ht="12.75" customHeight="1" x14ac:dyDescent="0.2">
      <c r="A408" s="15" t="s">
        <v>336</v>
      </c>
      <c r="B408">
        <v>2515.5500000000002</v>
      </c>
      <c r="C408"/>
      <c r="H408" s="59" t="str">
        <f t="shared" si="6"/>
        <v>1st Pay Period ending 8/11/2022</v>
      </c>
      <c r="M408">
        <v>18911</v>
      </c>
      <c r="N408" s="61"/>
    </row>
    <row r="409" spans="1:14" ht="12.75" customHeight="1" x14ac:dyDescent="0.2">
      <c r="A409" s="15" t="s">
        <v>336</v>
      </c>
      <c r="B409">
        <v>2223.7399999999998</v>
      </c>
      <c r="C409"/>
      <c r="H409" s="59" t="str">
        <f t="shared" si="6"/>
        <v>1st Pay Period ending 8/11/2022</v>
      </c>
      <c r="M409">
        <v>18733</v>
      </c>
      <c r="N409" s="61"/>
    </row>
    <row r="410" spans="1:14" ht="12.75" customHeight="1" x14ac:dyDescent="0.2">
      <c r="A410" s="15" t="s">
        <v>336</v>
      </c>
      <c r="B410">
        <v>2309.48</v>
      </c>
      <c r="C410"/>
      <c r="H410" s="59" t="str">
        <f t="shared" si="6"/>
        <v>1st Pay Period ending 8/11/2022</v>
      </c>
      <c r="M410">
        <v>18781</v>
      </c>
      <c r="N410" s="61"/>
    </row>
    <row r="411" spans="1:14" ht="12.75" customHeight="1" x14ac:dyDescent="0.2">
      <c r="A411" s="15" t="s">
        <v>336</v>
      </c>
      <c r="B411">
        <v>2268.2600000000002</v>
      </c>
      <c r="C411"/>
      <c r="H411" s="59" t="str">
        <f t="shared" si="6"/>
        <v>1st Pay Period ending 8/11/2022</v>
      </c>
      <c r="M411">
        <v>18687</v>
      </c>
      <c r="N411" s="61"/>
    </row>
    <row r="412" spans="1:14" ht="12.75" customHeight="1" x14ac:dyDescent="0.2">
      <c r="A412" s="15" t="s">
        <v>336</v>
      </c>
      <c r="B412">
        <v>2123.8200000000002</v>
      </c>
      <c r="C412"/>
      <c r="H412" s="59" t="str">
        <f t="shared" si="6"/>
        <v>1st Pay Period ending 8/11/2022</v>
      </c>
      <c r="M412">
        <v>18659</v>
      </c>
      <c r="N412" s="61"/>
    </row>
    <row r="413" spans="1:14" ht="12.75" customHeight="1" x14ac:dyDescent="0.2">
      <c r="A413" s="15" t="s">
        <v>336</v>
      </c>
      <c r="B413">
        <v>1928.7</v>
      </c>
      <c r="C413"/>
      <c r="H413" s="59" t="str">
        <f t="shared" si="6"/>
        <v>1st Pay Period ending 8/11/2022</v>
      </c>
      <c r="M413">
        <v>18892</v>
      </c>
      <c r="N413" s="61"/>
    </row>
    <row r="414" spans="1:14" ht="12.75" customHeight="1" x14ac:dyDescent="0.2">
      <c r="A414" s="15" t="s">
        <v>336</v>
      </c>
      <c r="B414">
        <v>1622.08</v>
      </c>
      <c r="C414"/>
      <c r="H414" s="59" t="str">
        <f t="shared" si="6"/>
        <v>1st Pay Period ending 8/11/2022</v>
      </c>
      <c r="M414">
        <v>19033</v>
      </c>
      <c r="N414" s="61"/>
    </row>
    <row r="415" spans="1:14" ht="12.75" customHeight="1" x14ac:dyDescent="0.2">
      <c r="A415" s="15" t="s">
        <v>337</v>
      </c>
      <c r="B415">
        <v>1764.41</v>
      </c>
      <c r="C415"/>
      <c r="H415" s="59" t="str">
        <f t="shared" si="6"/>
        <v>1st Pay Period ending 8/11/2022</v>
      </c>
      <c r="M415">
        <v>18961</v>
      </c>
      <c r="N415" s="61"/>
    </row>
    <row r="416" spans="1:14" ht="12.75" customHeight="1" x14ac:dyDescent="0.2">
      <c r="A416" s="15" t="s">
        <v>337</v>
      </c>
      <c r="B416">
        <v>2074.06</v>
      </c>
      <c r="C416"/>
      <c r="H416" s="59" t="str">
        <f t="shared" si="6"/>
        <v>1st Pay Period ending 8/11/2022</v>
      </c>
      <c r="M416">
        <v>145</v>
      </c>
      <c r="N416" s="61"/>
    </row>
    <row r="417" spans="1:14" ht="12.75" customHeight="1" x14ac:dyDescent="0.2">
      <c r="A417" s="15" t="s">
        <v>337</v>
      </c>
      <c r="B417">
        <v>722.16</v>
      </c>
      <c r="C417"/>
      <c r="H417" s="59" t="str">
        <f t="shared" si="6"/>
        <v>1st Pay Period ending 8/11/2022</v>
      </c>
      <c r="M417">
        <v>141</v>
      </c>
      <c r="N417" s="61"/>
    </row>
    <row r="418" spans="1:14" ht="12.75" customHeight="1" x14ac:dyDescent="0.2">
      <c r="A418" s="15" t="s">
        <v>337</v>
      </c>
      <c r="B418">
        <v>242.3</v>
      </c>
      <c r="C418"/>
      <c r="H418" s="59" t="str">
        <f t="shared" si="6"/>
        <v>1st Pay Period ending 8/11/2022</v>
      </c>
      <c r="M418">
        <v>11229</v>
      </c>
      <c r="N418" s="61"/>
    </row>
    <row r="419" spans="1:14" ht="12.75" customHeight="1" x14ac:dyDescent="0.2">
      <c r="A419" s="15" t="s">
        <v>338</v>
      </c>
      <c r="B419">
        <v>1975.81</v>
      </c>
      <c r="C419"/>
      <c r="H419" s="59" t="str">
        <f t="shared" si="6"/>
        <v>1st Pay Period ending 8/11/2022</v>
      </c>
      <c r="M419">
        <v>19035</v>
      </c>
      <c r="N419" s="61"/>
    </row>
    <row r="420" spans="1:14" ht="12.75" customHeight="1" x14ac:dyDescent="0.2">
      <c r="A420" s="15" t="s">
        <v>338</v>
      </c>
      <c r="B420">
        <v>1176.27</v>
      </c>
      <c r="C420"/>
      <c r="H420" s="59" t="str">
        <f t="shared" si="6"/>
        <v>1st Pay Period ending 8/11/2022</v>
      </c>
      <c r="M420">
        <v>19026</v>
      </c>
      <c r="N420" s="61"/>
    </row>
    <row r="421" spans="1:14" ht="12.75" customHeight="1" x14ac:dyDescent="0.2">
      <c r="A421" s="15" t="s">
        <v>338</v>
      </c>
      <c r="B421">
        <v>1960.45</v>
      </c>
      <c r="C421"/>
      <c r="H421" s="59" t="str">
        <f t="shared" si="6"/>
        <v>1st Pay Period ending 8/11/2022</v>
      </c>
      <c r="M421">
        <v>19006</v>
      </c>
      <c r="N421" s="61"/>
    </row>
    <row r="422" spans="1:14" ht="12.75" customHeight="1" x14ac:dyDescent="0.2">
      <c r="A422" s="15" t="s">
        <v>338</v>
      </c>
      <c r="B422">
        <v>1645.88</v>
      </c>
      <c r="C422"/>
      <c r="H422" s="59" t="str">
        <f t="shared" si="6"/>
        <v>1st Pay Period ending 8/11/2022</v>
      </c>
      <c r="M422">
        <v>18973</v>
      </c>
      <c r="N422" s="61"/>
    </row>
    <row r="423" spans="1:14" ht="12.75" customHeight="1" x14ac:dyDescent="0.2">
      <c r="A423" s="15" t="s">
        <v>338</v>
      </c>
      <c r="B423">
        <v>2890.85</v>
      </c>
      <c r="C423"/>
      <c r="H423" s="59" t="str">
        <f t="shared" si="6"/>
        <v>1st Pay Period ending 8/11/2022</v>
      </c>
      <c r="M423">
        <v>18974</v>
      </c>
      <c r="N423" s="61"/>
    </row>
    <row r="424" spans="1:14" ht="12.75" customHeight="1" x14ac:dyDescent="0.2">
      <c r="A424" s="15" t="s">
        <v>338</v>
      </c>
      <c r="B424">
        <v>2104.91</v>
      </c>
      <c r="C424"/>
      <c r="H424" s="59" t="str">
        <f t="shared" si="6"/>
        <v>1st Pay Period ending 8/11/2022</v>
      </c>
      <c r="M424">
        <v>19007</v>
      </c>
      <c r="N424" s="61"/>
    </row>
    <row r="425" spans="1:14" ht="12.75" customHeight="1" x14ac:dyDescent="0.2">
      <c r="A425" s="15" t="s">
        <v>338</v>
      </c>
      <c r="B425">
        <v>2221.5100000000002</v>
      </c>
      <c r="C425"/>
      <c r="H425" s="59" t="str">
        <f t="shared" si="6"/>
        <v>1st Pay Period ending 8/11/2022</v>
      </c>
      <c r="M425">
        <v>18999</v>
      </c>
      <c r="N425" s="61"/>
    </row>
    <row r="426" spans="1:14" ht="12.75" customHeight="1" x14ac:dyDescent="0.2">
      <c r="A426" s="15" t="s">
        <v>338</v>
      </c>
      <c r="B426">
        <v>5000</v>
      </c>
      <c r="C426"/>
      <c r="H426" s="59" t="str">
        <f t="shared" si="6"/>
        <v>1st Pay Period ending 8/11/2022</v>
      </c>
      <c r="M426">
        <v>18962</v>
      </c>
      <c r="N426" s="61"/>
    </row>
    <row r="427" spans="1:14" ht="12.75" customHeight="1" x14ac:dyDescent="0.2">
      <c r="A427" s="15" t="s">
        <v>338</v>
      </c>
      <c r="B427">
        <v>980.23</v>
      </c>
      <c r="C427"/>
      <c r="H427" s="59" t="str">
        <f t="shared" si="6"/>
        <v>1st Pay Period ending 8/11/2022</v>
      </c>
      <c r="M427">
        <v>19032</v>
      </c>
      <c r="N427" s="61"/>
    </row>
    <row r="428" spans="1:14" ht="12.75" customHeight="1" x14ac:dyDescent="0.2">
      <c r="A428" s="15" t="s">
        <v>338</v>
      </c>
      <c r="B428">
        <v>1568.37</v>
      </c>
      <c r="C428"/>
      <c r="H428" s="59" t="str">
        <f t="shared" si="6"/>
        <v>1st Pay Period ending 8/11/2022</v>
      </c>
      <c r="M428">
        <v>19016</v>
      </c>
      <c r="N428" s="61"/>
    </row>
    <row r="429" spans="1:14" ht="12.75" customHeight="1" x14ac:dyDescent="0.2">
      <c r="A429" s="15" t="s">
        <v>339</v>
      </c>
      <c r="B429">
        <v>1712.38</v>
      </c>
      <c r="C429"/>
      <c r="H429" s="59" t="str">
        <f t="shared" si="6"/>
        <v>1st Pay Period ending 8/11/2022</v>
      </c>
      <c r="M429">
        <v>19027</v>
      </c>
      <c r="N429" s="61"/>
    </row>
    <row r="430" spans="1:14" ht="12.75" customHeight="1" x14ac:dyDescent="0.2">
      <c r="A430" s="15" t="s">
        <v>339</v>
      </c>
      <c r="B430">
        <v>1960.45</v>
      </c>
      <c r="C430"/>
      <c r="H430" s="59" t="str">
        <f t="shared" si="6"/>
        <v>1st Pay Period ending 8/11/2022</v>
      </c>
      <c r="M430">
        <v>19021</v>
      </c>
      <c r="N430" s="61"/>
    </row>
    <row r="431" spans="1:14" ht="12.75" customHeight="1" x14ac:dyDescent="0.2">
      <c r="A431" s="15" t="s">
        <v>339</v>
      </c>
      <c r="B431">
        <v>1960.45</v>
      </c>
      <c r="C431"/>
      <c r="H431" s="59" t="str">
        <f t="shared" si="6"/>
        <v>1st Pay Period ending 8/11/2022</v>
      </c>
      <c r="M431">
        <v>18980</v>
      </c>
      <c r="N431" s="61"/>
    </row>
    <row r="432" spans="1:14" ht="12.75" customHeight="1" x14ac:dyDescent="0.2">
      <c r="A432" s="15" t="s">
        <v>339</v>
      </c>
      <c r="B432">
        <v>2942.31</v>
      </c>
      <c r="C432"/>
      <c r="H432" s="59" t="str">
        <f t="shared" si="6"/>
        <v>1st Pay Period ending 8/11/2022</v>
      </c>
      <c r="M432">
        <v>19038</v>
      </c>
      <c r="N432" s="61"/>
    </row>
    <row r="433" spans="1:14" ht="12.75" customHeight="1" x14ac:dyDescent="0.2">
      <c r="A433" s="15" t="s">
        <v>340</v>
      </c>
      <c r="B433">
        <v>1897.56</v>
      </c>
      <c r="C433"/>
      <c r="H433" s="59" t="str">
        <f t="shared" si="6"/>
        <v>1st Pay Period ending 8/11/2022</v>
      </c>
      <c r="M433">
        <v>18581</v>
      </c>
      <c r="N433" s="61"/>
    </row>
    <row r="434" spans="1:14" ht="12.75" customHeight="1" x14ac:dyDescent="0.2">
      <c r="A434" s="15" t="s">
        <v>341</v>
      </c>
      <c r="B434">
        <v>4562.75</v>
      </c>
      <c r="C434"/>
      <c r="H434" s="59" t="str">
        <f t="shared" si="6"/>
        <v>1st Pay Period ending 8/11/2022</v>
      </c>
      <c r="M434">
        <v>44705</v>
      </c>
      <c r="N434" s="61"/>
    </row>
    <row r="435" spans="1:14" ht="12.75" customHeight="1" x14ac:dyDescent="0.2">
      <c r="A435" s="15" t="s">
        <v>341</v>
      </c>
      <c r="B435">
        <v>2500</v>
      </c>
      <c r="C435"/>
      <c r="H435" s="59" t="str">
        <f t="shared" si="6"/>
        <v>1st Pay Period ending 8/11/2022</v>
      </c>
      <c r="M435">
        <v>19034</v>
      </c>
      <c r="N435" s="61"/>
    </row>
    <row r="436" spans="1:14" ht="12.75" customHeight="1" x14ac:dyDescent="0.2">
      <c r="A436" s="15" t="s">
        <v>342</v>
      </c>
      <c r="B436">
        <v>1846.16</v>
      </c>
      <c r="C436"/>
      <c r="H436" s="59" t="str">
        <f t="shared" si="6"/>
        <v>1st Pay Period ending 8/11/2022</v>
      </c>
      <c r="M436">
        <v>18805</v>
      </c>
      <c r="N436" s="61"/>
    </row>
    <row r="437" spans="1:14" ht="12.75" customHeight="1" x14ac:dyDescent="0.2">
      <c r="A437" s="15" t="s">
        <v>342</v>
      </c>
      <c r="B437">
        <v>2307.6799999999998</v>
      </c>
      <c r="C437"/>
      <c r="H437" s="59" t="str">
        <f t="shared" si="6"/>
        <v>1st Pay Period ending 8/11/2022</v>
      </c>
      <c r="M437">
        <v>18982</v>
      </c>
      <c r="N437" s="61"/>
    </row>
    <row r="438" spans="1:14" ht="12.75" customHeight="1" x14ac:dyDescent="0.2">
      <c r="A438" s="15" t="s">
        <v>343</v>
      </c>
      <c r="B438">
        <v>2153.84</v>
      </c>
      <c r="C438"/>
      <c r="H438" s="59" t="str">
        <f t="shared" si="6"/>
        <v>1st Pay Period ending 8/11/2022</v>
      </c>
      <c r="M438">
        <v>18841</v>
      </c>
      <c r="N438" s="61"/>
    </row>
    <row r="439" spans="1:14" ht="12.75" customHeight="1" x14ac:dyDescent="0.2">
      <c r="A439" s="15" t="s">
        <v>343</v>
      </c>
      <c r="B439">
        <v>1980.64</v>
      </c>
      <c r="C439"/>
      <c r="H439" s="59" t="str">
        <f t="shared" si="6"/>
        <v>1st Pay Period ending 8/11/2022</v>
      </c>
      <c r="M439">
        <v>266</v>
      </c>
      <c r="N439" s="61"/>
    </row>
    <row r="440" spans="1:14" ht="12.75" customHeight="1" x14ac:dyDescent="0.2">
      <c r="A440" s="15" t="s">
        <v>343</v>
      </c>
      <c r="B440">
        <v>685.96</v>
      </c>
      <c r="C440"/>
      <c r="H440" s="59" t="str">
        <f t="shared" si="6"/>
        <v>1st Pay Period ending 8/11/2022</v>
      </c>
      <c r="M440">
        <v>302</v>
      </c>
      <c r="N440" s="61"/>
    </row>
    <row r="441" spans="1:14" ht="12.75" customHeight="1" x14ac:dyDescent="0.2">
      <c r="A441" s="15" t="s">
        <v>344</v>
      </c>
      <c r="B441">
        <v>1951.42</v>
      </c>
      <c r="C441"/>
      <c r="H441" s="59" t="str">
        <f t="shared" si="6"/>
        <v>1st Pay Period ending 8/11/2022</v>
      </c>
      <c r="M441">
        <v>18822</v>
      </c>
      <c r="N441" s="61"/>
    </row>
    <row r="442" spans="1:14" ht="12.75" customHeight="1" x14ac:dyDescent="0.2">
      <c r="A442" s="15" t="s">
        <v>344</v>
      </c>
      <c r="B442">
        <v>951.85</v>
      </c>
      <c r="C442"/>
      <c r="H442" s="59" t="str">
        <f t="shared" si="6"/>
        <v>1st Pay Period ending 8/11/2022</v>
      </c>
      <c r="M442">
        <v>18929</v>
      </c>
      <c r="N442" s="61"/>
    </row>
    <row r="443" spans="1:14" ht="12.75" customHeight="1" x14ac:dyDescent="0.2">
      <c r="A443" s="15" t="s">
        <v>344</v>
      </c>
      <c r="B443">
        <v>1805.4</v>
      </c>
      <c r="C443"/>
      <c r="H443" s="59" t="str">
        <f t="shared" si="6"/>
        <v>1st Pay Period ending 8/11/2022</v>
      </c>
      <c r="M443">
        <v>18887</v>
      </c>
      <c r="N443" s="61"/>
    </row>
    <row r="444" spans="1:14" ht="12.75" customHeight="1" x14ac:dyDescent="0.2">
      <c r="A444" s="15" t="s">
        <v>344</v>
      </c>
      <c r="B444">
        <v>3461.54</v>
      </c>
      <c r="C444"/>
      <c r="H444" s="59" t="str">
        <f t="shared" si="6"/>
        <v>1st Pay Period ending 8/11/2022</v>
      </c>
      <c r="M444">
        <v>18626</v>
      </c>
      <c r="N444" s="61"/>
    </row>
    <row r="445" spans="1:14" ht="12.75" customHeight="1" x14ac:dyDescent="0.2">
      <c r="A445" s="15" t="s">
        <v>344</v>
      </c>
      <c r="B445">
        <v>2156.5100000000002</v>
      </c>
      <c r="C445"/>
      <c r="H445" s="59" t="str">
        <f t="shared" si="6"/>
        <v>1st Pay Period ending 8/11/2022</v>
      </c>
      <c r="M445">
        <v>18797</v>
      </c>
      <c r="N445" s="61"/>
    </row>
    <row r="446" spans="1:14" ht="12.75" customHeight="1" x14ac:dyDescent="0.2">
      <c r="A446" s="15" t="s">
        <v>344</v>
      </c>
      <c r="B446">
        <v>2002.16</v>
      </c>
      <c r="C446"/>
      <c r="H446" s="59" t="str">
        <f t="shared" si="6"/>
        <v>1st Pay Period ending 8/11/2022</v>
      </c>
      <c r="M446">
        <v>18901</v>
      </c>
      <c r="N446" s="61"/>
    </row>
    <row r="447" spans="1:14" ht="12.75" customHeight="1" x14ac:dyDescent="0.2">
      <c r="A447" s="15" t="s">
        <v>344</v>
      </c>
      <c r="B447">
        <v>1805.4</v>
      </c>
      <c r="C447"/>
      <c r="H447" s="59" t="str">
        <f t="shared" si="6"/>
        <v>1st Pay Period ending 8/11/2022</v>
      </c>
      <c r="M447">
        <v>18949</v>
      </c>
      <c r="N447" s="61"/>
    </row>
    <row r="448" spans="1:14" ht="12.75" customHeight="1" x14ac:dyDescent="0.2">
      <c r="A448" s="15" t="s">
        <v>344</v>
      </c>
      <c r="B448">
        <v>950.21</v>
      </c>
      <c r="C448"/>
      <c r="H448" s="59" t="str">
        <f t="shared" si="6"/>
        <v>1st Pay Period ending 8/11/2022</v>
      </c>
      <c r="M448">
        <v>134</v>
      </c>
      <c r="N448" s="61"/>
    </row>
    <row r="449" spans="1:14" ht="12.75" customHeight="1" x14ac:dyDescent="0.2">
      <c r="A449" s="15" t="s">
        <v>344</v>
      </c>
      <c r="B449">
        <v>2156.5100000000002</v>
      </c>
      <c r="C449"/>
      <c r="H449" s="59" t="str">
        <f t="shared" si="6"/>
        <v>1st Pay Period ending 8/11/2022</v>
      </c>
      <c r="M449">
        <v>18918</v>
      </c>
      <c r="N449" s="61"/>
    </row>
    <row r="450" spans="1:14" ht="12.75" customHeight="1" x14ac:dyDescent="0.2">
      <c r="A450" s="15" t="s">
        <v>344</v>
      </c>
      <c r="B450">
        <v>1573.04</v>
      </c>
      <c r="C450"/>
      <c r="H450" s="59" t="str">
        <f t="shared" si="6"/>
        <v>1st Pay Period ending 8/11/2022</v>
      </c>
      <c r="M450">
        <v>18979</v>
      </c>
      <c r="N450" s="61"/>
    </row>
    <row r="451" spans="1:14" ht="12.75" customHeight="1" x14ac:dyDescent="0.2">
      <c r="A451" s="81" t="s">
        <v>344</v>
      </c>
      <c r="B451">
        <v>2334.4899999999998</v>
      </c>
      <c r="C451"/>
      <c r="H451" s="59" t="str">
        <f t="shared" ref="H451:H514" si="7">$K$1</f>
        <v>1st Pay Period ending 8/11/2022</v>
      </c>
      <c r="M451">
        <v>18827</v>
      </c>
      <c r="N451" s="61"/>
    </row>
    <row r="452" spans="1:14" ht="12.75" customHeight="1" x14ac:dyDescent="0.2">
      <c r="A452" s="81" t="s">
        <v>346</v>
      </c>
      <c r="B452">
        <v>1895.27</v>
      </c>
      <c r="C452"/>
      <c r="H452" s="59" t="str">
        <f t="shared" si="7"/>
        <v>1st Pay Period ending 8/11/2022</v>
      </c>
      <c r="M452">
        <v>18989</v>
      </c>
      <c r="N452" s="61"/>
    </row>
    <row r="453" spans="1:14" ht="12.75" customHeight="1" x14ac:dyDescent="0.2">
      <c r="A453" s="15" t="s">
        <v>347</v>
      </c>
      <c r="B453">
        <v>1500.65</v>
      </c>
      <c r="C453"/>
      <c r="H453" s="59" t="str">
        <f t="shared" si="7"/>
        <v>1st Pay Period ending 8/11/2022</v>
      </c>
      <c r="M453">
        <v>18736</v>
      </c>
      <c r="N453" s="61"/>
    </row>
    <row r="454" spans="1:14" ht="12.75" customHeight="1" x14ac:dyDescent="0.2">
      <c r="A454" s="15" t="s">
        <v>348</v>
      </c>
      <c r="B454">
        <v>1182.47</v>
      </c>
      <c r="C454"/>
      <c r="H454" s="59" t="str">
        <f t="shared" si="7"/>
        <v>1st Pay Period ending 8/11/2022</v>
      </c>
      <c r="M454">
        <v>19008</v>
      </c>
      <c r="N454" s="61"/>
    </row>
    <row r="455" spans="1:14" ht="12.75" customHeight="1" x14ac:dyDescent="0.2">
      <c r="A455" s="15" t="s">
        <v>348</v>
      </c>
      <c r="B455">
        <v>1860.02</v>
      </c>
      <c r="C455"/>
      <c r="H455" s="59" t="str">
        <f t="shared" si="7"/>
        <v>1st Pay Period ending 8/11/2022</v>
      </c>
      <c r="M455">
        <v>19017</v>
      </c>
      <c r="N455" s="61"/>
    </row>
    <row r="456" spans="1:14" ht="12.75" customHeight="1" x14ac:dyDescent="0.2">
      <c r="A456" s="15" t="s">
        <v>348</v>
      </c>
      <c r="B456">
        <v>1805.4</v>
      </c>
      <c r="C456"/>
      <c r="H456" s="59" t="str">
        <f t="shared" si="7"/>
        <v>1st Pay Period ending 8/11/2022</v>
      </c>
      <c r="M456">
        <v>19011</v>
      </c>
      <c r="N456" s="61"/>
    </row>
    <row r="457" spans="1:14" ht="12.75" customHeight="1" x14ac:dyDescent="0.2">
      <c r="A457" s="15" t="s">
        <v>348</v>
      </c>
      <c r="B457">
        <v>1883.79</v>
      </c>
      <c r="C457"/>
      <c r="H457" s="59" t="str">
        <f t="shared" si="7"/>
        <v>1st Pay Period ending 8/11/2022</v>
      </c>
      <c r="M457">
        <v>19015</v>
      </c>
      <c r="N457" s="61"/>
    </row>
    <row r="458" spans="1:14" ht="12.75" customHeight="1" x14ac:dyDescent="0.2">
      <c r="A458" s="15" t="s">
        <v>348</v>
      </c>
      <c r="B458">
        <v>2223.2399999999998</v>
      </c>
      <c r="C458"/>
      <c r="H458" s="59" t="str">
        <f t="shared" si="7"/>
        <v>1st Pay Period ending 8/11/2022</v>
      </c>
      <c r="M458">
        <v>18607</v>
      </c>
      <c r="N458" s="61"/>
    </row>
    <row r="459" spans="1:14" ht="12.75" customHeight="1" x14ac:dyDescent="0.2">
      <c r="A459" s="15" t="s">
        <v>348</v>
      </c>
      <c r="B459">
        <v>1907.66</v>
      </c>
      <c r="C459"/>
      <c r="H459" s="59" t="str">
        <f t="shared" si="7"/>
        <v>1st Pay Period ending 8/11/2022</v>
      </c>
      <c r="M459">
        <v>19012</v>
      </c>
      <c r="N459" s="61"/>
    </row>
    <row r="460" spans="1:14" ht="12.75" customHeight="1" x14ac:dyDescent="0.2">
      <c r="A460" s="15" t="s">
        <v>348</v>
      </c>
      <c r="B460">
        <v>1977.63</v>
      </c>
      <c r="C460"/>
      <c r="H460" s="59" t="str">
        <f t="shared" si="7"/>
        <v>1st Pay Period ending 8/11/2022</v>
      </c>
      <c r="M460">
        <v>19009</v>
      </c>
      <c r="N460" s="61"/>
    </row>
    <row r="461" spans="1:14" ht="12.75" customHeight="1" x14ac:dyDescent="0.2">
      <c r="A461" s="15" t="s">
        <v>348</v>
      </c>
      <c r="B461">
        <v>1890.92</v>
      </c>
      <c r="C461"/>
      <c r="H461" s="59" t="str">
        <f t="shared" si="7"/>
        <v>1st Pay Period ending 8/11/2022</v>
      </c>
      <c r="M461">
        <v>19019</v>
      </c>
      <c r="N461" s="61"/>
    </row>
    <row r="462" spans="1:14" ht="12.75" customHeight="1" x14ac:dyDescent="0.2">
      <c r="A462" s="15" t="s">
        <v>348</v>
      </c>
      <c r="B462">
        <v>2221.52</v>
      </c>
      <c r="C462"/>
      <c r="H462" s="59" t="str">
        <f t="shared" si="7"/>
        <v>1st Pay Period ending 8/11/2022</v>
      </c>
      <c r="M462">
        <v>18829</v>
      </c>
      <c r="N462" s="61"/>
    </row>
    <row r="463" spans="1:14" ht="12.75" customHeight="1" x14ac:dyDescent="0.2">
      <c r="A463" s="15" t="s">
        <v>348</v>
      </c>
      <c r="B463">
        <v>1985.94</v>
      </c>
      <c r="C463"/>
      <c r="H463" s="59" t="str">
        <f t="shared" si="7"/>
        <v>1st Pay Period ending 8/11/2022</v>
      </c>
      <c r="M463">
        <v>18983</v>
      </c>
      <c r="N463" s="61"/>
    </row>
    <row r="464" spans="1:14" ht="12.75" customHeight="1" x14ac:dyDescent="0.2">
      <c r="A464" s="15" t="s">
        <v>348</v>
      </c>
      <c r="B464">
        <v>1334.24</v>
      </c>
      <c r="C464"/>
      <c r="H464" s="59" t="str">
        <f t="shared" si="7"/>
        <v>1st Pay Period ending 8/11/2022</v>
      </c>
      <c r="M464">
        <v>18932</v>
      </c>
      <c r="N464" s="61"/>
    </row>
    <row r="465" spans="1:14" ht="12.75" customHeight="1" x14ac:dyDescent="0.2">
      <c r="A465" s="15" t="s">
        <v>348</v>
      </c>
      <c r="B465">
        <v>1789.96</v>
      </c>
      <c r="C465"/>
      <c r="H465" s="59" t="str">
        <f t="shared" si="7"/>
        <v>1st Pay Period ending 8/11/2022</v>
      </c>
      <c r="M465">
        <v>19028</v>
      </c>
      <c r="N465" s="61"/>
    </row>
    <row r="466" spans="1:14" ht="12.75" customHeight="1" x14ac:dyDescent="0.2">
      <c r="A466" s="15" t="s">
        <v>348</v>
      </c>
      <c r="B466">
        <v>1985.94</v>
      </c>
      <c r="C466"/>
      <c r="H466" s="59" t="str">
        <f t="shared" si="7"/>
        <v>1st Pay Period ending 8/11/2022</v>
      </c>
      <c r="M466">
        <v>19029</v>
      </c>
      <c r="N466" s="61"/>
    </row>
    <row r="467" spans="1:14" ht="12.75" customHeight="1" x14ac:dyDescent="0.2">
      <c r="A467" s="15" t="s">
        <v>348</v>
      </c>
      <c r="B467">
        <v>1342.29</v>
      </c>
      <c r="C467"/>
      <c r="H467" s="59" t="str">
        <f t="shared" si="7"/>
        <v>1st Pay Period ending 8/11/2022</v>
      </c>
      <c r="M467">
        <v>18923</v>
      </c>
      <c r="N467" s="61"/>
    </row>
    <row r="468" spans="1:14" ht="12.75" customHeight="1" x14ac:dyDescent="0.2">
      <c r="A468" s="15" t="s">
        <v>348</v>
      </c>
      <c r="B468">
        <v>1745.52</v>
      </c>
      <c r="C468"/>
      <c r="H468" s="59" t="str">
        <f t="shared" si="7"/>
        <v>1st Pay Period ending 8/11/2022</v>
      </c>
      <c r="M468">
        <v>18679</v>
      </c>
      <c r="N468" s="61"/>
    </row>
    <row r="469" spans="1:14" ht="12.75" customHeight="1" x14ac:dyDescent="0.2">
      <c r="A469" s="15" t="s">
        <v>349</v>
      </c>
      <c r="B469">
        <v>1730.77</v>
      </c>
      <c r="C469"/>
      <c r="H469" s="59" t="str">
        <f t="shared" si="7"/>
        <v>1st Pay Period ending 8/11/2022</v>
      </c>
      <c r="M469">
        <v>18998</v>
      </c>
      <c r="N469" s="61"/>
    </row>
    <row r="470" spans="1:14" ht="12.75" customHeight="1" x14ac:dyDescent="0.2">
      <c r="A470" s="15" t="s">
        <v>350</v>
      </c>
      <c r="B470">
        <v>2959.62</v>
      </c>
      <c r="C470"/>
      <c r="H470" s="59" t="str">
        <f t="shared" si="7"/>
        <v>1st Pay Period ending 8/11/2022</v>
      </c>
      <c r="M470">
        <v>115</v>
      </c>
      <c r="N470" s="61"/>
    </row>
    <row r="471" spans="1:14" ht="12.75" customHeight="1" x14ac:dyDescent="0.2">
      <c r="A471" s="15" t="s">
        <v>351</v>
      </c>
      <c r="B471">
        <v>2042.31</v>
      </c>
      <c r="C471"/>
      <c r="H471" s="59" t="str">
        <f t="shared" si="7"/>
        <v>1st Pay Period ending 8/11/2022</v>
      </c>
      <c r="M471">
        <v>19020</v>
      </c>
      <c r="N471" s="61"/>
    </row>
    <row r="472" spans="1:14" ht="12.75" customHeight="1" x14ac:dyDescent="0.2">
      <c r="A472" s="15" t="s">
        <v>351</v>
      </c>
      <c r="B472">
        <v>3076.92</v>
      </c>
      <c r="C472"/>
      <c r="H472" s="59" t="str">
        <f t="shared" si="7"/>
        <v>1st Pay Period ending 8/11/2022</v>
      </c>
      <c r="M472">
        <v>18649</v>
      </c>
      <c r="N472" s="61"/>
    </row>
    <row r="473" spans="1:14" ht="12.75" customHeight="1" x14ac:dyDescent="0.2">
      <c r="A473" s="15" t="s">
        <v>352</v>
      </c>
      <c r="B473">
        <v>1954.43</v>
      </c>
      <c r="C473"/>
      <c r="H473" s="59" t="str">
        <f t="shared" si="7"/>
        <v>1st Pay Period ending 8/11/2022</v>
      </c>
      <c r="M473">
        <v>18904</v>
      </c>
      <c r="N473" s="61"/>
    </row>
    <row r="474" spans="1:14" ht="12.75" customHeight="1" x14ac:dyDescent="0.2">
      <c r="A474" s="15" t="s">
        <v>352</v>
      </c>
      <c r="B474">
        <v>1203.76</v>
      </c>
      <c r="C474"/>
      <c r="H474" s="59" t="str">
        <f t="shared" si="7"/>
        <v>1st Pay Period ending 8/11/2022</v>
      </c>
      <c r="M474">
        <v>18839</v>
      </c>
      <c r="N474" s="61"/>
    </row>
    <row r="475" spans="1:14" ht="12.75" customHeight="1" x14ac:dyDescent="0.2">
      <c r="A475" s="15" t="s">
        <v>353</v>
      </c>
      <c r="B475">
        <v>1387.42</v>
      </c>
      <c r="C475"/>
      <c r="H475" s="59" t="str">
        <f t="shared" si="7"/>
        <v>1st Pay Period ending 8/11/2022</v>
      </c>
      <c r="M475">
        <v>18650</v>
      </c>
      <c r="N475" s="61"/>
    </row>
    <row r="476" spans="1:14" ht="12.75" customHeight="1" x14ac:dyDescent="0.2">
      <c r="A476" s="15" t="s">
        <v>354</v>
      </c>
      <c r="B476">
        <v>3154.33</v>
      </c>
      <c r="C476"/>
      <c r="H476" s="59" t="str">
        <f t="shared" si="7"/>
        <v>1st Pay Period ending 8/11/2022</v>
      </c>
      <c r="M476">
        <v>18713</v>
      </c>
      <c r="N476" s="61"/>
    </row>
    <row r="477" spans="1:14" ht="12.75" customHeight="1" x14ac:dyDescent="0.2">
      <c r="A477" s="15" t="s">
        <v>354</v>
      </c>
      <c r="B477">
        <v>1186.18</v>
      </c>
      <c r="C477"/>
      <c r="H477" s="59" t="str">
        <f t="shared" si="7"/>
        <v>1st Pay Period ending 8/11/2022</v>
      </c>
      <c r="M477">
        <v>18924</v>
      </c>
      <c r="N477" s="61"/>
    </row>
    <row r="478" spans="1:14" ht="12.75" customHeight="1" x14ac:dyDescent="0.2">
      <c r="A478" s="15" t="s">
        <v>354</v>
      </c>
      <c r="B478">
        <v>1742.84</v>
      </c>
      <c r="C478"/>
      <c r="H478" s="59" t="str">
        <f t="shared" si="7"/>
        <v>1st Pay Period ending 8/11/2022</v>
      </c>
      <c r="M478">
        <v>18986</v>
      </c>
      <c r="N478" s="61"/>
    </row>
    <row r="479" spans="1:14" ht="12.75" customHeight="1" x14ac:dyDescent="0.2">
      <c r="A479" s="15" t="s">
        <v>354</v>
      </c>
      <c r="B479">
        <v>1250.32</v>
      </c>
      <c r="C479"/>
      <c r="H479" s="59" t="str">
        <f t="shared" si="7"/>
        <v>1st Pay Period ending 8/11/2022</v>
      </c>
      <c r="M479">
        <v>18990</v>
      </c>
      <c r="N479" s="61"/>
    </row>
    <row r="480" spans="1:14" ht="12.75" customHeight="1" x14ac:dyDescent="0.2">
      <c r="A480" s="81" t="s">
        <v>354</v>
      </c>
      <c r="B480">
        <v>2220.19</v>
      </c>
      <c r="C480"/>
      <c r="H480" s="59" t="str">
        <f t="shared" si="7"/>
        <v>1st Pay Period ending 8/11/2022</v>
      </c>
      <c r="M480">
        <v>18850</v>
      </c>
      <c r="N480" s="61"/>
    </row>
    <row r="481" spans="1:14" ht="12.75" customHeight="1" x14ac:dyDescent="0.2">
      <c r="A481" s="81" t="s">
        <v>354</v>
      </c>
      <c r="B481">
        <v>1789.16</v>
      </c>
      <c r="C481"/>
      <c r="H481" s="59" t="str">
        <f t="shared" si="7"/>
        <v>1st Pay Period ending 8/11/2022</v>
      </c>
      <c r="M481">
        <v>19039</v>
      </c>
      <c r="N481" s="61"/>
    </row>
    <row r="482" spans="1:14" ht="12.75" customHeight="1" x14ac:dyDescent="0.2">
      <c r="A482" s="15" t="s">
        <v>354</v>
      </c>
      <c r="B482">
        <v>2301.81</v>
      </c>
      <c r="C482"/>
      <c r="H482" s="59" t="str">
        <f t="shared" si="7"/>
        <v>1st Pay Period ending 8/11/2022</v>
      </c>
      <c r="M482">
        <v>18942</v>
      </c>
      <c r="N482" s="61"/>
    </row>
    <row r="483" spans="1:14" ht="12.75" customHeight="1" x14ac:dyDescent="0.2">
      <c r="A483" s="15" t="s">
        <v>354</v>
      </c>
      <c r="B483">
        <v>2389.94</v>
      </c>
      <c r="C483"/>
      <c r="H483" s="59" t="str">
        <f t="shared" si="7"/>
        <v>1st Pay Period ending 8/11/2022</v>
      </c>
      <c r="M483">
        <v>18703</v>
      </c>
      <c r="N483" s="61"/>
    </row>
    <row r="484" spans="1:14" ht="12.75" customHeight="1" x14ac:dyDescent="0.2">
      <c r="A484" s="15" t="s">
        <v>354</v>
      </c>
      <c r="B484">
        <v>2327.14</v>
      </c>
      <c r="C484"/>
      <c r="H484" s="59" t="str">
        <f t="shared" si="7"/>
        <v>1st Pay Period ending 8/11/2022</v>
      </c>
      <c r="M484">
        <v>18646</v>
      </c>
      <c r="N484" s="61"/>
    </row>
    <row r="485" spans="1:14" ht="12.75" customHeight="1" x14ac:dyDescent="0.2">
      <c r="A485" s="15" t="s">
        <v>355</v>
      </c>
      <c r="B485">
        <v>1741.62</v>
      </c>
      <c r="C485"/>
      <c r="H485" s="59" t="str">
        <f t="shared" si="7"/>
        <v>1st Pay Period ending 8/11/2022</v>
      </c>
      <c r="M485">
        <v>18970</v>
      </c>
      <c r="N485" s="61"/>
    </row>
    <row r="486" spans="1:14" ht="12.75" customHeight="1" x14ac:dyDescent="0.2">
      <c r="A486" s="15" t="s">
        <v>356</v>
      </c>
      <c r="B486">
        <v>2942.31</v>
      </c>
      <c r="C486"/>
      <c r="H486" s="59" t="str">
        <f t="shared" si="7"/>
        <v>1st Pay Period ending 8/11/2022</v>
      </c>
      <c r="M486">
        <v>19031</v>
      </c>
      <c r="N486" s="61"/>
    </row>
    <row r="487" spans="1:14" ht="12.75" customHeight="1" x14ac:dyDescent="0.2">
      <c r="A487" s="15" t="s">
        <v>356</v>
      </c>
      <c r="B487">
        <v>2192.31</v>
      </c>
      <c r="C487"/>
      <c r="H487" s="59" t="str">
        <f t="shared" si="7"/>
        <v>1st Pay Period ending 8/11/2022</v>
      </c>
      <c r="M487">
        <v>18976</v>
      </c>
      <c r="N487" s="61"/>
    </row>
    <row r="488" spans="1:14" ht="12.75" customHeight="1" x14ac:dyDescent="0.2">
      <c r="A488" s="15" t="s">
        <v>357</v>
      </c>
      <c r="B488">
        <v>2538.46</v>
      </c>
      <c r="C488"/>
      <c r="H488" s="59" t="str">
        <f t="shared" si="7"/>
        <v>1st Pay Period ending 8/11/2022</v>
      </c>
      <c r="M488">
        <v>18442</v>
      </c>
      <c r="N488" s="61"/>
    </row>
    <row r="489" spans="1:14" ht="12.75" customHeight="1" x14ac:dyDescent="0.2">
      <c r="A489" s="15" t="s">
        <v>358</v>
      </c>
      <c r="B489">
        <v>2391.13</v>
      </c>
      <c r="C489"/>
      <c r="H489" s="59" t="str">
        <f t="shared" si="7"/>
        <v>1st Pay Period ending 8/11/2022</v>
      </c>
      <c r="M489">
        <v>18823</v>
      </c>
      <c r="N489" s="61"/>
    </row>
    <row r="490" spans="1:14" ht="12.75" customHeight="1" x14ac:dyDescent="0.2">
      <c r="A490" s="15" t="s">
        <v>358</v>
      </c>
      <c r="B490">
        <v>887.36</v>
      </c>
      <c r="C490"/>
      <c r="H490" s="59" t="str">
        <f t="shared" si="7"/>
        <v>1st Pay Period ending 8/11/2022</v>
      </c>
      <c r="M490">
        <v>18898</v>
      </c>
      <c r="N490" s="61"/>
    </row>
    <row r="491" spans="1:14" ht="12.75" customHeight="1" x14ac:dyDescent="0.2">
      <c r="A491" s="15" t="s">
        <v>358</v>
      </c>
      <c r="B491">
        <v>931.85</v>
      </c>
      <c r="C491"/>
      <c r="H491" s="59" t="str">
        <f t="shared" si="7"/>
        <v>1st Pay Period ending 8/11/2022</v>
      </c>
      <c r="M491">
        <v>18634</v>
      </c>
      <c r="N491" s="61"/>
    </row>
    <row r="492" spans="1:14" ht="12.75" customHeight="1" x14ac:dyDescent="0.2">
      <c r="A492" s="15" t="s">
        <v>358</v>
      </c>
      <c r="B492">
        <v>1382.63</v>
      </c>
      <c r="C492"/>
      <c r="H492" s="59" t="str">
        <f t="shared" si="7"/>
        <v>1st Pay Period ending 8/11/2022</v>
      </c>
      <c r="M492">
        <v>18927</v>
      </c>
      <c r="N492" s="61"/>
    </row>
    <row r="493" spans="1:14" ht="12.75" customHeight="1" x14ac:dyDescent="0.2">
      <c r="A493" s="15" t="s">
        <v>358</v>
      </c>
      <c r="B493">
        <v>1535.93</v>
      </c>
      <c r="C493"/>
      <c r="H493" s="59" t="str">
        <f t="shared" si="7"/>
        <v>1st Pay Period ending 8/11/2022</v>
      </c>
      <c r="M493">
        <v>18895</v>
      </c>
      <c r="N493" s="61"/>
    </row>
    <row r="494" spans="1:14" ht="12.75" customHeight="1" x14ac:dyDescent="0.2">
      <c r="A494" s="15" t="s">
        <v>358</v>
      </c>
      <c r="B494">
        <v>1299.44</v>
      </c>
      <c r="C494"/>
      <c r="H494" s="59" t="str">
        <f t="shared" si="7"/>
        <v>1st Pay Period ending 8/11/2022</v>
      </c>
      <c r="M494">
        <v>18996</v>
      </c>
      <c r="N494" s="61"/>
    </row>
    <row r="495" spans="1:14" ht="12.75" customHeight="1" x14ac:dyDescent="0.2">
      <c r="A495" s="15" t="s">
        <v>358</v>
      </c>
      <c r="B495">
        <v>2926.92</v>
      </c>
      <c r="C495"/>
      <c r="H495" s="59" t="str">
        <f t="shared" si="7"/>
        <v>1st Pay Period ending 8/11/2022</v>
      </c>
      <c r="M495">
        <v>261</v>
      </c>
      <c r="N495" s="61"/>
    </row>
    <row r="496" spans="1:14" ht="12.75" customHeight="1" x14ac:dyDescent="0.2">
      <c r="A496" s="15" t="s">
        <v>359</v>
      </c>
      <c r="B496">
        <v>480.52</v>
      </c>
      <c r="C496"/>
      <c r="H496" s="59" t="str">
        <f t="shared" si="7"/>
        <v>1st Pay Period ending 8/11/2022</v>
      </c>
      <c r="M496">
        <v>18791</v>
      </c>
      <c r="N496" s="61"/>
    </row>
    <row r="497" spans="1:14" ht="12.75" customHeight="1" x14ac:dyDescent="0.2">
      <c r="A497" s="15" t="s">
        <v>360</v>
      </c>
      <c r="B497">
        <v>1081.6500000000001</v>
      </c>
      <c r="C497"/>
      <c r="H497" s="59" t="str">
        <f t="shared" si="7"/>
        <v>1st Pay Period ending 8/11/2022</v>
      </c>
      <c r="M497">
        <v>18953</v>
      </c>
      <c r="N497" s="61"/>
    </row>
    <row r="498" spans="1:14" ht="12.75" customHeight="1" x14ac:dyDescent="0.2">
      <c r="A498" s="15" t="s">
        <v>360</v>
      </c>
      <c r="B498">
        <v>2515.54</v>
      </c>
      <c r="C498"/>
      <c r="H498" s="59" t="str">
        <f t="shared" si="7"/>
        <v>1st Pay Period ending 8/11/2022</v>
      </c>
      <c r="M498">
        <v>18561</v>
      </c>
      <c r="N498" s="61"/>
    </row>
    <row r="499" spans="1:14" ht="12.75" customHeight="1" x14ac:dyDescent="0.2">
      <c r="A499" s="15" t="s">
        <v>361</v>
      </c>
      <c r="B499">
        <v>1939.81</v>
      </c>
      <c r="C499"/>
      <c r="H499" s="59" t="str">
        <f t="shared" si="7"/>
        <v>1st Pay Period ending 8/11/2022</v>
      </c>
      <c r="M499">
        <v>18792</v>
      </c>
      <c r="N499" s="61"/>
    </row>
    <row r="500" spans="1:14" ht="12.75" customHeight="1" x14ac:dyDescent="0.2">
      <c r="A500" s="15" t="s">
        <v>361</v>
      </c>
      <c r="B500">
        <v>702.23</v>
      </c>
      <c r="C500"/>
      <c r="H500" s="59" t="str">
        <f t="shared" si="7"/>
        <v>1st Pay Period ending 8/11/2022</v>
      </c>
      <c r="M500">
        <v>18506</v>
      </c>
      <c r="N500" s="61"/>
    </row>
    <row r="501" spans="1:14" ht="12.75" customHeight="1" x14ac:dyDescent="0.2">
      <c r="A501" s="15" t="s">
        <v>361</v>
      </c>
      <c r="B501">
        <v>551.94000000000005</v>
      </c>
      <c r="C501"/>
      <c r="H501" s="59" t="str">
        <f t="shared" si="7"/>
        <v>1st Pay Period ending 8/11/2022</v>
      </c>
      <c r="M501">
        <v>156</v>
      </c>
      <c r="N501" s="61"/>
    </row>
    <row r="502" spans="1:14" ht="12.75" customHeight="1" x14ac:dyDescent="0.2">
      <c r="A502" s="15" t="s">
        <v>448</v>
      </c>
      <c r="B502">
        <v>627.14</v>
      </c>
      <c r="C502"/>
      <c r="H502" s="59" t="str">
        <f t="shared" si="7"/>
        <v>1st Pay Period ending 8/11/2022</v>
      </c>
      <c r="M502">
        <v>19037</v>
      </c>
      <c r="N502" s="61"/>
    </row>
    <row r="503" spans="1:14" ht="12.75" customHeight="1" x14ac:dyDescent="0.2">
      <c r="A503" s="15" t="s">
        <v>362</v>
      </c>
      <c r="B503">
        <v>2884.62</v>
      </c>
      <c r="C503"/>
      <c r="H503" s="59" t="str">
        <f t="shared" si="7"/>
        <v>1st Pay Period ending 8/11/2022</v>
      </c>
      <c r="M503">
        <v>18876</v>
      </c>
      <c r="N503" s="61"/>
    </row>
    <row r="504" spans="1:14" ht="12.75" customHeight="1" x14ac:dyDescent="0.2">
      <c r="A504" s="15" t="s">
        <v>206</v>
      </c>
      <c r="B504"/>
      <c r="C504">
        <v>653.84</v>
      </c>
      <c r="H504" s="59" t="str">
        <f t="shared" si="7"/>
        <v>1st Pay Period ending 8/11/2022</v>
      </c>
      <c r="M504">
        <v>18726</v>
      </c>
      <c r="N504" s="61"/>
    </row>
    <row r="505" spans="1:14" ht="12.75" customHeight="1" x14ac:dyDescent="0.2">
      <c r="A505" s="15" t="s">
        <v>206</v>
      </c>
      <c r="B505"/>
      <c r="C505">
        <v>769.24</v>
      </c>
      <c r="H505" s="59" t="str">
        <f t="shared" si="7"/>
        <v>1st Pay Period ending 8/11/2022</v>
      </c>
      <c r="M505">
        <v>152</v>
      </c>
      <c r="N505" s="61"/>
    </row>
    <row r="506" spans="1:14" ht="12.75" customHeight="1" x14ac:dyDescent="0.2">
      <c r="A506" s="15" t="s">
        <v>206</v>
      </c>
      <c r="B506"/>
      <c r="C506">
        <v>55.59</v>
      </c>
      <c r="H506" s="59" t="str">
        <f t="shared" si="7"/>
        <v>1st Pay Period ending 8/11/2022</v>
      </c>
      <c r="M506">
        <v>18736</v>
      </c>
      <c r="N506" s="61"/>
    </row>
    <row r="507" spans="1:14" ht="12.75" customHeight="1" x14ac:dyDescent="0.2">
      <c r="A507" s="15" t="s">
        <v>206</v>
      </c>
      <c r="B507"/>
      <c r="C507">
        <v>269.23</v>
      </c>
      <c r="H507" s="59" t="str">
        <f t="shared" si="7"/>
        <v>1st Pay Period ending 8/11/2022</v>
      </c>
      <c r="M507">
        <v>18988</v>
      </c>
      <c r="N507" s="61"/>
    </row>
    <row r="508" spans="1:14" ht="12.75" customHeight="1" x14ac:dyDescent="0.2">
      <c r="A508" s="15" t="s">
        <v>206</v>
      </c>
      <c r="B508"/>
      <c r="C508">
        <v>965.43</v>
      </c>
      <c r="H508" s="59" t="str">
        <f t="shared" si="7"/>
        <v>1st Pay Period ending 8/11/2022</v>
      </c>
      <c r="M508">
        <v>220</v>
      </c>
      <c r="N508" s="61"/>
    </row>
    <row r="509" spans="1:14" ht="12.75" customHeight="1" x14ac:dyDescent="0.2">
      <c r="A509" s="15" t="s">
        <v>206</v>
      </c>
      <c r="B509"/>
      <c r="C509">
        <v>1046.1600000000001</v>
      </c>
      <c r="H509" s="59" t="str">
        <f t="shared" si="7"/>
        <v>1st Pay Period ending 8/11/2022</v>
      </c>
      <c r="M509">
        <v>18948</v>
      </c>
      <c r="N509" s="61"/>
    </row>
    <row r="510" spans="1:14" ht="12.75" customHeight="1" x14ac:dyDescent="0.2">
      <c r="A510" s="15" t="s">
        <v>206</v>
      </c>
      <c r="B510"/>
      <c r="C510">
        <v>1338.46</v>
      </c>
      <c r="H510" s="59" t="str">
        <f t="shared" si="7"/>
        <v>1st Pay Period ending 8/11/2022</v>
      </c>
      <c r="M510">
        <v>19022</v>
      </c>
      <c r="N510" s="61"/>
    </row>
    <row r="511" spans="1:14" ht="12.75" customHeight="1" x14ac:dyDescent="0.2">
      <c r="A511" s="15" t="s">
        <v>206</v>
      </c>
      <c r="B511"/>
      <c r="C511">
        <v>653.84</v>
      </c>
      <c r="H511" s="59" t="str">
        <f t="shared" si="7"/>
        <v>1st Pay Period ending 8/11/2022</v>
      </c>
      <c r="M511">
        <v>18741</v>
      </c>
      <c r="N511" s="61"/>
    </row>
    <row r="512" spans="1:14" ht="12.75" customHeight="1" x14ac:dyDescent="0.2">
      <c r="A512" s="15" t="s">
        <v>206</v>
      </c>
      <c r="B512"/>
      <c r="C512">
        <v>379.13</v>
      </c>
      <c r="H512" s="59" t="str">
        <f t="shared" si="7"/>
        <v>1st Pay Period ending 8/11/2022</v>
      </c>
      <c r="M512">
        <v>18550</v>
      </c>
      <c r="N512" s="61"/>
    </row>
    <row r="513" spans="1:14" ht="12.75" customHeight="1" x14ac:dyDescent="0.2">
      <c r="A513" s="15" t="s">
        <v>206</v>
      </c>
      <c r="B513"/>
      <c r="C513">
        <v>607.04999999999995</v>
      </c>
      <c r="H513" s="59" t="str">
        <f t="shared" si="7"/>
        <v>1st Pay Period ending 8/11/2022</v>
      </c>
      <c r="M513">
        <v>18853</v>
      </c>
      <c r="N513" s="61"/>
    </row>
    <row r="514" spans="1:14" ht="12.75" customHeight="1" x14ac:dyDescent="0.2">
      <c r="A514" s="15" t="s">
        <v>206</v>
      </c>
      <c r="B514"/>
      <c r="C514">
        <v>311.54000000000002</v>
      </c>
      <c r="H514" s="59" t="str">
        <f t="shared" si="7"/>
        <v>1st Pay Period ending 8/11/2022</v>
      </c>
      <c r="M514">
        <v>19003</v>
      </c>
      <c r="N514" s="61"/>
    </row>
    <row r="515" spans="1:14" ht="12.75" customHeight="1" x14ac:dyDescent="0.2">
      <c r="A515" s="15" t="s">
        <v>206</v>
      </c>
      <c r="B515"/>
      <c r="C515">
        <v>444.74</v>
      </c>
      <c r="H515" s="59" t="str">
        <f t="shared" ref="H515:H578" si="8">$K$1</f>
        <v>1st Pay Period ending 8/11/2022</v>
      </c>
      <c r="M515">
        <v>18589</v>
      </c>
      <c r="N515" s="61"/>
    </row>
    <row r="516" spans="1:14" ht="12.75" customHeight="1" x14ac:dyDescent="0.2">
      <c r="A516" s="15" t="s">
        <v>206</v>
      </c>
      <c r="B516"/>
      <c r="C516">
        <v>196.05</v>
      </c>
      <c r="H516" s="59" t="str">
        <f t="shared" si="8"/>
        <v>1st Pay Period ending 8/11/2022</v>
      </c>
      <c r="M516">
        <v>18630</v>
      </c>
      <c r="N516" s="61"/>
    </row>
    <row r="517" spans="1:14" ht="12.75" customHeight="1" x14ac:dyDescent="0.2">
      <c r="A517" s="15" t="s">
        <v>206</v>
      </c>
      <c r="B517"/>
      <c r="C517">
        <v>4442.32</v>
      </c>
      <c r="H517" s="59" t="str">
        <f t="shared" si="8"/>
        <v>1st Pay Period ending 8/11/2022</v>
      </c>
      <c r="M517">
        <v>18559</v>
      </c>
      <c r="N517" s="61"/>
    </row>
    <row r="518" spans="1:14" ht="12.75" customHeight="1" x14ac:dyDescent="0.2">
      <c r="A518" s="15" t="s">
        <v>206</v>
      </c>
      <c r="B518"/>
      <c r="C518">
        <v>2822.7</v>
      </c>
      <c r="H518" s="59" t="str">
        <f t="shared" si="8"/>
        <v>1st Pay Period ending 8/11/2022</v>
      </c>
      <c r="M518">
        <v>18781</v>
      </c>
      <c r="N518" s="61"/>
    </row>
    <row r="519" spans="1:14" ht="12.75" customHeight="1" x14ac:dyDescent="0.2">
      <c r="A519" s="15" t="s">
        <v>206</v>
      </c>
      <c r="B519"/>
      <c r="C519">
        <v>2268.2600000000002</v>
      </c>
      <c r="H519" s="59" t="str">
        <f t="shared" si="8"/>
        <v>1st Pay Period ending 8/11/2022</v>
      </c>
      <c r="M519">
        <v>18687</v>
      </c>
      <c r="N519" s="61"/>
    </row>
    <row r="520" spans="1:14" ht="12.75" customHeight="1" x14ac:dyDescent="0.2">
      <c r="A520" s="15" t="s">
        <v>206</v>
      </c>
      <c r="B520"/>
      <c r="C520">
        <v>236.27</v>
      </c>
      <c r="H520" s="59" t="str">
        <f t="shared" si="8"/>
        <v>1st Pay Period ending 8/11/2022</v>
      </c>
      <c r="M520">
        <v>18659</v>
      </c>
      <c r="N520" s="61"/>
    </row>
    <row r="521" spans="1:14" ht="12.75" customHeight="1" x14ac:dyDescent="0.2">
      <c r="A521" s="15" t="s">
        <v>206</v>
      </c>
      <c r="B521"/>
      <c r="C521">
        <v>180.54</v>
      </c>
      <c r="H521" s="59" t="str">
        <f t="shared" si="8"/>
        <v>1st Pay Period ending 8/11/2022</v>
      </c>
      <c r="M521">
        <v>19033</v>
      </c>
      <c r="N521" s="61"/>
    </row>
    <row r="522" spans="1:14" ht="12.75" customHeight="1" x14ac:dyDescent="0.2">
      <c r="A522" s="15" t="s">
        <v>206</v>
      </c>
      <c r="B522"/>
      <c r="C522">
        <v>361.08</v>
      </c>
      <c r="H522" s="59" t="str">
        <f t="shared" si="8"/>
        <v>1st Pay Period ending 8/11/2022</v>
      </c>
      <c r="M522">
        <v>141</v>
      </c>
      <c r="N522" s="61"/>
    </row>
    <row r="523" spans="1:14" ht="12.75" customHeight="1" x14ac:dyDescent="0.2">
      <c r="A523" s="15" t="s">
        <v>206</v>
      </c>
      <c r="B523"/>
      <c r="C523">
        <v>196.05</v>
      </c>
      <c r="H523" s="59" t="str">
        <f t="shared" si="8"/>
        <v>1st Pay Period ending 8/11/2022</v>
      </c>
      <c r="M523">
        <v>18961</v>
      </c>
      <c r="N523" s="61"/>
    </row>
    <row r="524" spans="1:14" ht="12.75" customHeight="1" x14ac:dyDescent="0.2">
      <c r="A524" s="15" t="s">
        <v>206</v>
      </c>
      <c r="B524"/>
      <c r="C524">
        <v>299.32</v>
      </c>
      <c r="H524" s="59" t="str">
        <f t="shared" si="8"/>
        <v>1st Pay Period ending 8/11/2022</v>
      </c>
      <c r="M524">
        <v>11229</v>
      </c>
      <c r="N524" s="61"/>
    </row>
    <row r="525" spans="1:14" ht="12.75" customHeight="1" x14ac:dyDescent="0.2">
      <c r="A525" s="15" t="s">
        <v>206</v>
      </c>
      <c r="B525"/>
      <c r="C525">
        <v>51.59</v>
      </c>
      <c r="H525" s="59" t="str">
        <f t="shared" si="8"/>
        <v>1st Pay Period ending 8/11/2022</v>
      </c>
      <c r="M525">
        <v>19007</v>
      </c>
      <c r="N525" s="61"/>
    </row>
    <row r="526" spans="1:14" ht="12.75" customHeight="1" x14ac:dyDescent="0.2">
      <c r="A526" s="15" t="s">
        <v>206</v>
      </c>
      <c r="B526"/>
      <c r="C526">
        <v>196.05</v>
      </c>
      <c r="H526" s="59" t="str">
        <f t="shared" si="8"/>
        <v>1st Pay Period ending 8/11/2022</v>
      </c>
      <c r="M526">
        <v>19032</v>
      </c>
      <c r="N526" s="61"/>
    </row>
    <row r="527" spans="1:14" ht="12.75" customHeight="1" x14ac:dyDescent="0.2">
      <c r="A527" s="15" t="s">
        <v>206</v>
      </c>
      <c r="B527"/>
      <c r="C527">
        <v>326.92</v>
      </c>
      <c r="H527" s="59" t="str">
        <f t="shared" si="8"/>
        <v>1st Pay Period ending 8/11/2022</v>
      </c>
      <c r="M527">
        <v>19038</v>
      </c>
      <c r="N527" s="61"/>
    </row>
    <row r="528" spans="1:14" ht="12.75" customHeight="1" x14ac:dyDescent="0.2">
      <c r="A528" s="15" t="s">
        <v>206</v>
      </c>
      <c r="B528"/>
      <c r="C528">
        <v>1265.04</v>
      </c>
      <c r="H528" s="59" t="str">
        <f t="shared" si="8"/>
        <v>1st Pay Period ending 8/11/2022</v>
      </c>
      <c r="M528">
        <v>18581</v>
      </c>
      <c r="N528" s="61"/>
    </row>
    <row r="529" spans="1:14" ht="12.75" customHeight="1" x14ac:dyDescent="0.2">
      <c r="A529" s="15" t="s">
        <v>206</v>
      </c>
      <c r="B529"/>
      <c r="C529">
        <v>821.86</v>
      </c>
      <c r="H529" s="59" t="str">
        <f t="shared" si="8"/>
        <v>1st Pay Period ending 8/11/2022</v>
      </c>
      <c r="M529">
        <v>44705</v>
      </c>
      <c r="N529" s="61"/>
    </row>
    <row r="530" spans="1:14" ht="12.75" customHeight="1" x14ac:dyDescent="0.2">
      <c r="A530" s="15" t="s">
        <v>206</v>
      </c>
      <c r="B530"/>
      <c r="C530">
        <v>461.54</v>
      </c>
      <c r="H530" s="59" t="str">
        <f t="shared" si="8"/>
        <v>1st Pay Period ending 8/11/2022</v>
      </c>
      <c r="M530">
        <v>18805</v>
      </c>
      <c r="N530" s="61"/>
    </row>
    <row r="531" spans="1:14" ht="12.75" customHeight="1" x14ac:dyDescent="0.2">
      <c r="A531" s="15" t="s">
        <v>206</v>
      </c>
      <c r="B531"/>
      <c r="C531">
        <v>1143.26</v>
      </c>
      <c r="H531" s="59" t="str">
        <f t="shared" si="8"/>
        <v>1st Pay Period ending 8/11/2022</v>
      </c>
      <c r="M531">
        <v>302</v>
      </c>
      <c r="N531" s="61"/>
    </row>
    <row r="532" spans="1:14" ht="12.75" customHeight="1" x14ac:dyDescent="0.2">
      <c r="A532" s="15" t="s">
        <v>206</v>
      </c>
      <c r="B532"/>
      <c r="C532">
        <v>495.16</v>
      </c>
      <c r="H532" s="59" t="str">
        <f t="shared" si="8"/>
        <v>1st Pay Period ending 8/11/2022</v>
      </c>
      <c r="M532">
        <v>266</v>
      </c>
      <c r="N532" s="61"/>
    </row>
    <row r="533" spans="1:14" ht="12.75" customHeight="1" x14ac:dyDescent="0.2">
      <c r="A533" s="15" t="s">
        <v>206</v>
      </c>
      <c r="B533"/>
      <c r="C533">
        <v>174.78</v>
      </c>
      <c r="H533" s="59" t="str">
        <f t="shared" si="8"/>
        <v>1st Pay Period ending 8/11/2022</v>
      </c>
      <c r="M533">
        <v>18979</v>
      </c>
      <c r="N533" s="61"/>
    </row>
    <row r="534" spans="1:14" ht="12.75" customHeight="1" x14ac:dyDescent="0.2">
      <c r="A534" s="15" t="s">
        <v>206</v>
      </c>
      <c r="B534"/>
      <c r="C534">
        <v>196.05</v>
      </c>
      <c r="H534" s="59" t="str">
        <f t="shared" si="8"/>
        <v>1st Pay Period ending 8/11/2022</v>
      </c>
      <c r="M534">
        <v>18822</v>
      </c>
      <c r="N534" s="61"/>
    </row>
    <row r="535" spans="1:14" ht="12.75" customHeight="1" x14ac:dyDescent="0.2">
      <c r="A535" s="15" t="s">
        <v>206</v>
      </c>
      <c r="B535"/>
      <c r="C535">
        <v>166.78</v>
      </c>
      <c r="H535" s="59" t="str">
        <f t="shared" si="8"/>
        <v>1st Pay Period ending 8/11/2022</v>
      </c>
      <c r="M535">
        <v>18736</v>
      </c>
      <c r="N535" s="61"/>
    </row>
    <row r="536" spans="1:14" ht="12.75" customHeight="1" x14ac:dyDescent="0.2">
      <c r="A536" s="15" t="s">
        <v>206</v>
      </c>
      <c r="B536"/>
      <c r="C536">
        <v>95.02</v>
      </c>
      <c r="H536" s="59" t="str">
        <f t="shared" si="8"/>
        <v>1st Pay Period ending 8/11/2022</v>
      </c>
      <c r="M536">
        <v>19019</v>
      </c>
      <c r="N536" s="61"/>
    </row>
    <row r="537" spans="1:14" ht="12.75" customHeight="1" x14ac:dyDescent="0.2">
      <c r="A537" s="15" t="s">
        <v>206</v>
      </c>
      <c r="B537"/>
      <c r="C537">
        <v>95.02</v>
      </c>
      <c r="H537" s="59" t="str">
        <f t="shared" si="8"/>
        <v>1st Pay Period ending 8/11/2022</v>
      </c>
      <c r="M537">
        <v>19015</v>
      </c>
      <c r="N537" s="61"/>
    </row>
    <row r="538" spans="1:14" ht="12.75" customHeight="1" x14ac:dyDescent="0.2">
      <c r="A538" s="15" t="s">
        <v>206</v>
      </c>
      <c r="B538"/>
      <c r="C538">
        <v>349.56</v>
      </c>
      <c r="H538" s="59" t="str">
        <f t="shared" si="8"/>
        <v>1st Pay Period ending 8/11/2022</v>
      </c>
      <c r="M538">
        <v>18923</v>
      </c>
      <c r="N538" s="61"/>
    </row>
    <row r="539" spans="1:14" ht="12.75" customHeight="1" x14ac:dyDescent="0.2">
      <c r="A539" s="15" t="s">
        <v>206</v>
      </c>
      <c r="B539"/>
      <c r="C539">
        <v>889.48</v>
      </c>
      <c r="H539" s="59" t="str">
        <f t="shared" si="8"/>
        <v>1st Pay Period ending 8/11/2022</v>
      </c>
      <c r="M539">
        <v>18932</v>
      </c>
      <c r="N539" s="61"/>
    </row>
    <row r="540" spans="1:14" ht="12.75" customHeight="1" x14ac:dyDescent="0.2">
      <c r="A540" s="15" t="s">
        <v>206</v>
      </c>
      <c r="B540"/>
      <c r="C540">
        <v>1153.8499999999999</v>
      </c>
      <c r="H540" s="59" t="str">
        <f t="shared" si="8"/>
        <v>1st Pay Period ending 8/11/2022</v>
      </c>
      <c r="M540">
        <v>18998</v>
      </c>
      <c r="N540" s="61"/>
    </row>
    <row r="541" spans="1:14" ht="12.75" customHeight="1" x14ac:dyDescent="0.2">
      <c r="A541" s="15" t="s">
        <v>206</v>
      </c>
      <c r="B541"/>
      <c r="C541">
        <v>980.23</v>
      </c>
      <c r="H541" s="59" t="str">
        <f t="shared" si="8"/>
        <v>1st Pay Period ending 8/11/2022</v>
      </c>
      <c r="M541">
        <v>18904</v>
      </c>
      <c r="N541" s="61"/>
    </row>
    <row r="542" spans="1:14" ht="12.75" customHeight="1" x14ac:dyDescent="0.2">
      <c r="A542" s="15" t="s">
        <v>206</v>
      </c>
      <c r="B542"/>
      <c r="C542">
        <v>465.02</v>
      </c>
      <c r="H542" s="59" t="str">
        <f t="shared" si="8"/>
        <v>1st Pay Period ending 8/11/2022</v>
      </c>
      <c r="M542">
        <v>18650</v>
      </c>
      <c r="N542" s="61"/>
    </row>
    <row r="543" spans="1:14" ht="12.75" customHeight="1" x14ac:dyDescent="0.2">
      <c r="A543" s="15" t="s">
        <v>206</v>
      </c>
      <c r="B543"/>
      <c r="C543">
        <v>541.62</v>
      </c>
      <c r="H543" s="59" t="str">
        <f t="shared" si="8"/>
        <v>1st Pay Period ending 8/11/2022</v>
      </c>
      <c r="M543">
        <v>18990</v>
      </c>
      <c r="N543" s="61"/>
    </row>
    <row r="544" spans="1:14" ht="12.75" customHeight="1" x14ac:dyDescent="0.2">
      <c r="A544" s="15" t="s">
        <v>206</v>
      </c>
      <c r="B544"/>
      <c r="C544">
        <v>3029.33</v>
      </c>
      <c r="H544" s="59" t="str">
        <f t="shared" si="8"/>
        <v>1st Pay Period ending 8/11/2022</v>
      </c>
      <c r="M544">
        <v>18850</v>
      </c>
      <c r="N544" s="61"/>
    </row>
    <row r="545" spans="1:14" ht="12.75" customHeight="1" x14ac:dyDescent="0.2">
      <c r="A545" s="15" t="s">
        <v>206</v>
      </c>
      <c r="B545"/>
      <c r="C545">
        <v>326.92</v>
      </c>
      <c r="H545" s="59" t="str">
        <f t="shared" si="8"/>
        <v>1st Pay Period ending 8/11/2022</v>
      </c>
      <c r="M545">
        <v>19031</v>
      </c>
      <c r="N545" s="61"/>
    </row>
    <row r="546" spans="1:14" ht="12.75" customHeight="1" x14ac:dyDescent="0.2">
      <c r="A546" s="15" t="s">
        <v>206</v>
      </c>
      <c r="B546"/>
      <c r="C546">
        <v>887.38</v>
      </c>
      <c r="H546" s="59" t="str">
        <f t="shared" si="8"/>
        <v>1st Pay Period ending 8/11/2022</v>
      </c>
      <c r="M546">
        <v>18898</v>
      </c>
      <c r="N546" s="61"/>
    </row>
    <row r="547" spans="1:14" ht="12.75" customHeight="1" x14ac:dyDescent="0.2">
      <c r="A547" s="15" t="s">
        <v>206</v>
      </c>
      <c r="B547"/>
      <c r="C547">
        <v>248.7</v>
      </c>
      <c r="H547" s="59" t="str">
        <f t="shared" si="8"/>
        <v>1st Pay Period ending 8/11/2022</v>
      </c>
      <c r="M547">
        <v>18634</v>
      </c>
      <c r="N547" s="61"/>
    </row>
    <row r="548" spans="1:14" ht="12.75" customHeight="1" x14ac:dyDescent="0.2">
      <c r="A548" s="15" t="s">
        <v>206</v>
      </c>
      <c r="B548"/>
      <c r="C548">
        <v>196.05</v>
      </c>
      <c r="H548" s="59" t="str">
        <f t="shared" si="8"/>
        <v>1st Pay Period ending 8/11/2022</v>
      </c>
      <c r="M548">
        <v>18996</v>
      </c>
      <c r="N548" s="61"/>
    </row>
    <row r="549" spans="1:14" ht="12.75" customHeight="1" x14ac:dyDescent="0.2">
      <c r="A549" s="15" t="s">
        <v>206</v>
      </c>
      <c r="B549"/>
      <c r="C549">
        <v>1922.08</v>
      </c>
      <c r="H549" s="59" t="str">
        <f t="shared" si="8"/>
        <v>1st Pay Period ending 8/11/2022</v>
      </c>
      <c r="M549">
        <v>18791</v>
      </c>
      <c r="N549" s="61"/>
    </row>
    <row r="550" spans="1:14" ht="12.75" customHeight="1" x14ac:dyDescent="0.2">
      <c r="A550" s="15" t="s">
        <v>206</v>
      </c>
      <c r="B550"/>
      <c r="C550">
        <v>722.16</v>
      </c>
      <c r="H550" s="59" t="str">
        <f t="shared" si="8"/>
        <v>1st Pay Period ending 8/11/2022</v>
      </c>
      <c r="M550">
        <v>18953</v>
      </c>
      <c r="N550" s="61"/>
    </row>
    <row r="551" spans="1:14" ht="12.75" customHeight="1" x14ac:dyDescent="0.2">
      <c r="A551" s="15">
        <v>112.215</v>
      </c>
      <c r="B551"/>
      <c r="C551">
        <v>1072</v>
      </c>
      <c r="H551" s="59" t="str">
        <f t="shared" si="8"/>
        <v>1st Pay Period ending 8/11/2022</v>
      </c>
      <c r="M551">
        <v>18647</v>
      </c>
      <c r="N551" s="61"/>
    </row>
    <row r="552" spans="1:14" ht="12.75" customHeight="1" x14ac:dyDescent="0.2">
      <c r="A552" s="15">
        <v>112.215</v>
      </c>
      <c r="B552"/>
      <c r="C552">
        <v>706</v>
      </c>
      <c r="H552" s="59" t="str">
        <f t="shared" si="8"/>
        <v>1st Pay Period ending 8/11/2022</v>
      </c>
      <c r="M552">
        <v>18726</v>
      </c>
      <c r="N552" s="61"/>
    </row>
    <row r="553" spans="1:14" ht="12.75" customHeight="1" x14ac:dyDescent="0.2">
      <c r="A553" s="15">
        <v>112.215</v>
      </c>
      <c r="B553"/>
      <c r="C553">
        <v>1618</v>
      </c>
      <c r="H553" s="59" t="str">
        <f t="shared" si="8"/>
        <v>1st Pay Period ending 8/11/2022</v>
      </c>
      <c r="M553">
        <v>18517</v>
      </c>
      <c r="N553" s="61"/>
    </row>
    <row r="554" spans="1:14" ht="12.75" customHeight="1" x14ac:dyDescent="0.2">
      <c r="A554" s="15">
        <v>112.215</v>
      </c>
      <c r="B554"/>
      <c r="C554">
        <v>1094</v>
      </c>
      <c r="H554" s="59" t="str">
        <f t="shared" si="8"/>
        <v>1st Pay Period ending 8/11/2022</v>
      </c>
      <c r="M554">
        <v>18871</v>
      </c>
      <c r="N554" s="61"/>
    </row>
    <row r="555" spans="1:14" ht="12.75" customHeight="1" x14ac:dyDescent="0.2">
      <c r="A555" s="15">
        <v>112.215</v>
      </c>
      <c r="B555"/>
      <c r="C555">
        <v>962</v>
      </c>
      <c r="H555" s="59" t="str">
        <f t="shared" si="8"/>
        <v>1st Pay Period ending 8/11/2022</v>
      </c>
      <c r="M555">
        <v>152</v>
      </c>
      <c r="N555" s="61"/>
    </row>
    <row r="556" spans="1:14" ht="12.75" customHeight="1" x14ac:dyDescent="0.2">
      <c r="A556" s="15">
        <v>112.215</v>
      </c>
      <c r="B556"/>
      <c r="C556">
        <v>180.5</v>
      </c>
      <c r="H556" s="59" t="str">
        <f t="shared" si="8"/>
        <v>1st Pay Period ending 8/11/2022</v>
      </c>
      <c r="M556">
        <v>18736</v>
      </c>
      <c r="N556" s="61"/>
    </row>
    <row r="557" spans="1:14" ht="12.75" customHeight="1" x14ac:dyDescent="0.2">
      <c r="A557" s="15">
        <v>112.215</v>
      </c>
      <c r="B557"/>
      <c r="C557">
        <v>574</v>
      </c>
      <c r="H557" s="59" t="str">
        <f t="shared" si="8"/>
        <v>1st Pay Period ending 8/11/2022</v>
      </c>
      <c r="M557">
        <v>19014</v>
      </c>
      <c r="N557" s="61"/>
    </row>
    <row r="558" spans="1:14" ht="12.75" customHeight="1" x14ac:dyDescent="0.2">
      <c r="A558" s="15">
        <v>112.215</v>
      </c>
      <c r="B558"/>
      <c r="C558">
        <v>604</v>
      </c>
      <c r="H558" s="59" t="str">
        <f t="shared" si="8"/>
        <v>1st Pay Period ending 8/11/2022</v>
      </c>
      <c r="M558">
        <v>18721</v>
      </c>
      <c r="N558" s="61"/>
    </row>
    <row r="559" spans="1:14" ht="12.75" customHeight="1" x14ac:dyDescent="0.2">
      <c r="A559" s="15">
        <v>112.215</v>
      </c>
      <c r="B559"/>
      <c r="C559">
        <v>364</v>
      </c>
      <c r="H559" s="59" t="str">
        <f t="shared" si="8"/>
        <v>1st Pay Period ending 8/11/2022</v>
      </c>
      <c r="M559">
        <v>18946</v>
      </c>
      <c r="N559" s="61"/>
    </row>
    <row r="560" spans="1:14" ht="12.75" customHeight="1" x14ac:dyDescent="0.2">
      <c r="A560" s="15">
        <v>112.215</v>
      </c>
      <c r="B560"/>
      <c r="C560">
        <v>564</v>
      </c>
      <c r="H560" s="59" t="str">
        <f t="shared" si="8"/>
        <v>1st Pay Period ending 8/11/2022</v>
      </c>
      <c r="M560">
        <v>18988</v>
      </c>
      <c r="N560" s="61"/>
    </row>
    <row r="561" spans="1:14" ht="12.75" customHeight="1" x14ac:dyDescent="0.2">
      <c r="A561" s="15">
        <v>112.215</v>
      </c>
      <c r="B561"/>
      <c r="C561">
        <v>1556</v>
      </c>
      <c r="H561" s="59" t="str">
        <f t="shared" si="8"/>
        <v>1st Pay Period ending 8/11/2022</v>
      </c>
      <c r="M561">
        <v>18920</v>
      </c>
      <c r="N561" s="61"/>
    </row>
    <row r="562" spans="1:14" ht="12.75" customHeight="1" x14ac:dyDescent="0.2">
      <c r="A562" s="15">
        <v>112.215</v>
      </c>
      <c r="B562"/>
      <c r="C562">
        <v>696</v>
      </c>
      <c r="H562" s="59" t="str">
        <f t="shared" si="8"/>
        <v>1st Pay Period ending 8/11/2022</v>
      </c>
      <c r="M562">
        <v>18987</v>
      </c>
      <c r="N562" s="61"/>
    </row>
    <row r="563" spans="1:14" ht="12.75" customHeight="1" x14ac:dyDescent="0.2">
      <c r="A563" s="15">
        <v>112.215</v>
      </c>
      <c r="B563"/>
      <c r="C563">
        <v>430</v>
      </c>
      <c r="H563" s="59" t="str">
        <f t="shared" si="8"/>
        <v>1st Pay Period ending 8/11/2022</v>
      </c>
      <c r="M563">
        <v>18995</v>
      </c>
      <c r="N563" s="61"/>
    </row>
    <row r="564" spans="1:14" ht="12.75" customHeight="1" x14ac:dyDescent="0.2">
      <c r="A564" s="15">
        <v>112.215</v>
      </c>
      <c r="B564"/>
      <c r="C564">
        <v>1292</v>
      </c>
      <c r="H564" s="59" t="str">
        <f t="shared" si="8"/>
        <v>1st Pay Period ending 8/11/2022</v>
      </c>
      <c r="M564">
        <v>18997</v>
      </c>
      <c r="N564" s="61"/>
    </row>
    <row r="565" spans="1:14" ht="12.75" customHeight="1" x14ac:dyDescent="0.2">
      <c r="A565" s="15">
        <v>112.215</v>
      </c>
      <c r="B565"/>
      <c r="C565">
        <v>770</v>
      </c>
      <c r="H565" s="59" t="str">
        <f t="shared" si="8"/>
        <v>1st Pay Period ending 8/11/2022</v>
      </c>
      <c r="M565">
        <v>220</v>
      </c>
      <c r="N565" s="61"/>
    </row>
    <row r="566" spans="1:14" ht="12.75" customHeight="1" x14ac:dyDescent="0.2">
      <c r="A566" s="15">
        <v>112.215</v>
      </c>
      <c r="B566"/>
      <c r="C566">
        <v>776</v>
      </c>
      <c r="H566" s="59" t="str">
        <f t="shared" si="8"/>
        <v>1st Pay Period ending 8/11/2022</v>
      </c>
      <c r="M566">
        <v>18948</v>
      </c>
      <c r="N566" s="61"/>
    </row>
    <row r="567" spans="1:14" ht="12.75" customHeight="1" x14ac:dyDescent="0.2">
      <c r="A567" s="15">
        <v>112.215</v>
      </c>
      <c r="B567"/>
      <c r="C567">
        <v>1798</v>
      </c>
      <c r="H567" s="59" t="str">
        <f t="shared" si="8"/>
        <v>1st Pay Period ending 8/11/2022</v>
      </c>
      <c r="M567">
        <v>18716</v>
      </c>
      <c r="N567" s="61"/>
    </row>
    <row r="568" spans="1:14" ht="12.75" customHeight="1" x14ac:dyDescent="0.2">
      <c r="A568" s="15">
        <v>112.215</v>
      </c>
      <c r="B568"/>
      <c r="C568">
        <v>630</v>
      </c>
      <c r="H568" s="59" t="str">
        <f t="shared" si="8"/>
        <v>1st Pay Period ending 8/11/2022</v>
      </c>
      <c r="M568">
        <v>18862</v>
      </c>
      <c r="N568" s="61"/>
    </row>
    <row r="569" spans="1:14" ht="12.75" customHeight="1" x14ac:dyDescent="0.2">
      <c r="A569" s="15">
        <v>112.215</v>
      </c>
      <c r="B569"/>
      <c r="C569">
        <v>1618</v>
      </c>
      <c r="H569" s="59" t="str">
        <f t="shared" si="8"/>
        <v>1st Pay Period ending 8/11/2022</v>
      </c>
      <c r="M569">
        <v>18969</v>
      </c>
      <c r="N569" s="61"/>
    </row>
    <row r="570" spans="1:14" ht="12.75" customHeight="1" x14ac:dyDescent="0.2">
      <c r="A570" s="15">
        <v>112.215</v>
      </c>
      <c r="B570"/>
      <c r="C570">
        <v>2710</v>
      </c>
      <c r="H570" s="59" t="str">
        <f t="shared" si="8"/>
        <v>1st Pay Period ending 8/11/2022</v>
      </c>
      <c r="M570">
        <v>18886</v>
      </c>
      <c r="N570" s="61"/>
    </row>
    <row r="571" spans="1:14" ht="12.75" customHeight="1" x14ac:dyDescent="0.2">
      <c r="A571" s="15">
        <v>112.215</v>
      </c>
      <c r="B571"/>
      <c r="C571">
        <v>404</v>
      </c>
      <c r="H571" s="59" t="str">
        <f t="shared" si="8"/>
        <v>1st Pay Period ending 8/11/2022</v>
      </c>
      <c r="M571">
        <v>19022</v>
      </c>
      <c r="N571" s="61"/>
    </row>
    <row r="572" spans="1:14" ht="12.75" customHeight="1" x14ac:dyDescent="0.2">
      <c r="A572" s="15">
        <v>112.215</v>
      </c>
      <c r="B572"/>
      <c r="C572">
        <v>762</v>
      </c>
      <c r="H572" s="59" t="str">
        <f t="shared" si="8"/>
        <v>1st Pay Period ending 8/11/2022</v>
      </c>
      <c r="M572">
        <v>18741</v>
      </c>
      <c r="N572" s="61"/>
    </row>
    <row r="573" spans="1:14" ht="12.75" customHeight="1" x14ac:dyDescent="0.2">
      <c r="A573" s="15">
        <v>112.215</v>
      </c>
      <c r="B573"/>
      <c r="C573">
        <v>2064</v>
      </c>
      <c r="H573" s="59" t="str">
        <f t="shared" si="8"/>
        <v>1st Pay Period ending 8/11/2022</v>
      </c>
      <c r="M573">
        <v>18853</v>
      </c>
      <c r="N573" s="61"/>
    </row>
    <row r="574" spans="1:14" ht="12.75" customHeight="1" x14ac:dyDescent="0.2">
      <c r="A574" s="15">
        <v>112.215</v>
      </c>
      <c r="B574"/>
      <c r="C574">
        <v>526</v>
      </c>
      <c r="H574" s="59" t="str">
        <f t="shared" si="8"/>
        <v>1st Pay Period ending 8/11/2022</v>
      </c>
      <c r="M574">
        <v>18968</v>
      </c>
      <c r="N574" s="61"/>
    </row>
    <row r="575" spans="1:14" ht="12.75" customHeight="1" x14ac:dyDescent="0.2">
      <c r="A575" s="15">
        <v>112.215</v>
      </c>
      <c r="B575"/>
      <c r="C575">
        <v>710</v>
      </c>
      <c r="H575" s="59" t="str">
        <f t="shared" si="8"/>
        <v>1st Pay Period ending 8/11/2022</v>
      </c>
      <c r="M575">
        <v>19003</v>
      </c>
      <c r="N575" s="61"/>
    </row>
    <row r="576" spans="1:14" ht="12.75" customHeight="1" x14ac:dyDescent="0.2">
      <c r="A576" s="15">
        <v>112.215</v>
      </c>
      <c r="B576"/>
      <c r="C576">
        <v>258</v>
      </c>
      <c r="H576" s="59" t="str">
        <f t="shared" si="8"/>
        <v>1st Pay Period ending 8/11/2022</v>
      </c>
      <c r="M576">
        <v>18550</v>
      </c>
      <c r="N576" s="61"/>
    </row>
    <row r="577" spans="1:14" ht="12.75" customHeight="1" x14ac:dyDescent="0.2">
      <c r="A577" s="15">
        <v>112.215</v>
      </c>
      <c r="B577"/>
      <c r="C577">
        <v>498</v>
      </c>
      <c r="H577" s="59" t="str">
        <f t="shared" si="8"/>
        <v>1st Pay Period ending 8/11/2022</v>
      </c>
      <c r="M577">
        <v>19025</v>
      </c>
      <c r="N577" s="61"/>
    </row>
    <row r="578" spans="1:14" ht="12.75" customHeight="1" x14ac:dyDescent="0.2">
      <c r="A578" s="15">
        <v>112.215</v>
      </c>
      <c r="B578"/>
      <c r="C578">
        <v>510</v>
      </c>
      <c r="H578" s="59" t="str">
        <f t="shared" si="8"/>
        <v>1st Pay Period ending 8/11/2022</v>
      </c>
      <c r="M578">
        <v>18619</v>
      </c>
      <c r="N578" s="61"/>
    </row>
    <row r="579" spans="1:14" ht="12.75" customHeight="1" x14ac:dyDescent="0.2">
      <c r="A579" s="15">
        <v>112.215</v>
      </c>
      <c r="B579"/>
      <c r="C579">
        <v>610</v>
      </c>
      <c r="H579" s="59" t="str">
        <f t="shared" ref="H579:H642" si="9">$K$1</f>
        <v>1st Pay Period ending 8/11/2022</v>
      </c>
      <c r="M579">
        <v>18836</v>
      </c>
      <c r="N579" s="61"/>
    </row>
    <row r="580" spans="1:14" ht="12.75" customHeight="1" x14ac:dyDescent="0.2">
      <c r="A580" s="15">
        <v>112.215</v>
      </c>
      <c r="B580"/>
      <c r="C580">
        <v>128</v>
      </c>
      <c r="H580" s="59" t="str">
        <f t="shared" si="9"/>
        <v>1st Pay Period ending 8/11/2022</v>
      </c>
      <c r="M580">
        <v>19040</v>
      </c>
      <c r="N580" s="61"/>
    </row>
    <row r="581" spans="1:14" ht="12.75" customHeight="1" x14ac:dyDescent="0.2">
      <c r="A581" s="15">
        <v>112.215</v>
      </c>
      <c r="B581"/>
      <c r="C581">
        <v>1088.05</v>
      </c>
      <c r="H581" s="59" t="str">
        <f t="shared" si="9"/>
        <v>1st Pay Period ending 8/11/2022</v>
      </c>
      <c r="M581">
        <v>18893</v>
      </c>
      <c r="N581" s="61"/>
    </row>
    <row r="582" spans="1:14" ht="12.75" customHeight="1" x14ac:dyDescent="0.2">
      <c r="A582" s="15">
        <v>112.215</v>
      </c>
      <c r="B582"/>
      <c r="C582">
        <v>220</v>
      </c>
      <c r="H582" s="59" t="str">
        <f t="shared" si="9"/>
        <v>1st Pay Period ending 8/11/2022</v>
      </c>
      <c r="M582">
        <v>18831</v>
      </c>
      <c r="N582" s="61"/>
    </row>
    <row r="583" spans="1:14" ht="12.75" customHeight="1" x14ac:dyDescent="0.2">
      <c r="A583" s="15">
        <v>112.215</v>
      </c>
      <c r="B583"/>
      <c r="C583">
        <v>264</v>
      </c>
      <c r="H583" s="59" t="str">
        <f t="shared" si="9"/>
        <v>1st Pay Period ending 8/11/2022</v>
      </c>
      <c r="M583">
        <v>18891</v>
      </c>
      <c r="N583" s="61"/>
    </row>
    <row r="584" spans="1:14" ht="12.75" customHeight="1" x14ac:dyDescent="0.2">
      <c r="A584" s="15">
        <v>112.215</v>
      </c>
      <c r="B584"/>
      <c r="C584">
        <v>568</v>
      </c>
      <c r="H584" s="59" t="str">
        <f t="shared" si="9"/>
        <v>1st Pay Period ending 8/11/2022</v>
      </c>
      <c r="M584">
        <v>18903</v>
      </c>
      <c r="N584" s="61"/>
    </row>
    <row r="585" spans="1:14" ht="12.75" customHeight="1" x14ac:dyDescent="0.2">
      <c r="A585" s="15">
        <v>112.215</v>
      </c>
      <c r="B585"/>
      <c r="C585">
        <v>543.95000000000005</v>
      </c>
      <c r="H585" s="59" t="str">
        <f t="shared" si="9"/>
        <v>1st Pay Period ending 8/11/2022</v>
      </c>
      <c r="M585">
        <v>18893</v>
      </c>
      <c r="N585" s="61"/>
    </row>
    <row r="586" spans="1:14" ht="12.75" customHeight="1" x14ac:dyDescent="0.2">
      <c r="A586" s="15">
        <v>112.215</v>
      </c>
      <c r="B586"/>
      <c r="C586">
        <v>256</v>
      </c>
      <c r="H586" s="59" t="str">
        <f t="shared" si="9"/>
        <v>1st Pay Period ending 8/11/2022</v>
      </c>
      <c r="M586">
        <v>18957</v>
      </c>
      <c r="N586" s="61"/>
    </row>
    <row r="587" spans="1:14" ht="12.75" customHeight="1" x14ac:dyDescent="0.2">
      <c r="A587" s="15">
        <v>112.215</v>
      </c>
      <c r="B587"/>
      <c r="C587">
        <v>478</v>
      </c>
      <c r="H587" s="59" t="str">
        <f t="shared" si="9"/>
        <v>1st Pay Period ending 8/11/2022</v>
      </c>
      <c r="M587">
        <v>18589</v>
      </c>
      <c r="N587" s="61"/>
    </row>
    <row r="588" spans="1:14" ht="12.75" customHeight="1" x14ac:dyDescent="0.2">
      <c r="A588" s="15">
        <v>112.215</v>
      </c>
      <c r="B588"/>
      <c r="C588">
        <v>494</v>
      </c>
      <c r="H588" s="59" t="str">
        <f t="shared" si="9"/>
        <v>1st Pay Period ending 8/11/2022</v>
      </c>
      <c r="M588">
        <v>18866</v>
      </c>
      <c r="N588" s="61"/>
    </row>
    <row r="589" spans="1:14" ht="12.75" customHeight="1" x14ac:dyDescent="0.2">
      <c r="A589" s="15">
        <v>112.215</v>
      </c>
      <c r="B589"/>
      <c r="C589">
        <v>484</v>
      </c>
      <c r="H589" s="59" t="str">
        <f t="shared" si="9"/>
        <v>1st Pay Period ending 8/11/2022</v>
      </c>
      <c r="M589">
        <v>18879</v>
      </c>
      <c r="N589" s="61"/>
    </row>
    <row r="590" spans="1:14" ht="12.75" customHeight="1" x14ac:dyDescent="0.2">
      <c r="A590" s="15">
        <v>112.215</v>
      </c>
      <c r="B590"/>
      <c r="C590">
        <v>94</v>
      </c>
      <c r="H590" s="59" t="str">
        <f t="shared" si="9"/>
        <v>1st Pay Period ending 8/11/2022</v>
      </c>
      <c r="M590">
        <v>18</v>
      </c>
      <c r="N590" s="61"/>
    </row>
    <row r="591" spans="1:14" ht="12.75" customHeight="1" x14ac:dyDescent="0.2">
      <c r="A591" s="15">
        <v>112.215</v>
      </c>
      <c r="B591"/>
      <c r="C591">
        <v>696</v>
      </c>
      <c r="H591" s="59" t="str">
        <f t="shared" si="9"/>
        <v>1st Pay Period ending 8/11/2022</v>
      </c>
      <c r="M591">
        <v>18954</v>
      </c>
      <c r="N591" s="61"/>
    </row>
    <row r="592" spans="1:14" ht="12.75" customHeight="1" x14ac:dyDescent="0.2">
      <c r="A592" s="15">
        <v>112.215</v>
      </c>
      <c r="B592"/>
      <c r="C592">
        <v>160</v>
      </c>
      <c r="H592" s="59" t="str">
        <f t="shared" si="9"/>
        <v>1st Pay Period ending 8/11/2022</v>
      </c>
      <c r="M592">
        <v>18631</v>
      </c>
      <c r="N592" s="61"/>
    </row>
    <row r="593" spans="1:14" ht="12.75" customHeight="1" x14ac:dyDescent="0.2">
      <c r="A593" s="15">
        <v>112.215</v>
      </c>
      <c r="B593"/>
      <c r="C593">
        <v>896</v>
      </c>
      <c r="H593" s="59" t="str">
        <f t="shared" si="9"/>
        <v>1st Pay Period ending 8/11/2022</v>
      </c>
      <c r="M593">
        <v>19013</v>
      </c>
      <c r="N593" s="61"/>
    </row>
    <row r="594" spans="1:14" ht="12.75" customHeight="1" x14ac:dyDescent="0.2">
      <c r="A594" s="15">
        <v>112.215</v>
      </c>
      <c r="B594"/>
      <c r="C594">
        <v>342</v>
      </c>
      <c r="H594" s="59" t="str">
        <f t="shared" si="9"/>
        <v>1st Pay Period ending 8/11/2022</v>
      </c>
      <c r="M594">
        <v>18630</v>
      </c>
      <c r="N594" s="61"/>
    </row>
    <row r="595" spans="1:14" ht="12.75" customHeight="1" x14ac:dyDescent="0.2">
      <c r="A595" s="15">
        <v>112.215</v>
      </c>
      <c r="B595"/>
      <c r="C595">
        <v>572</v>
      </c>
      <c r="H595" s="59" t="str">
        <f t="shared" si="9"/>
        <v>1st Pay Period ending 8/11/2022</v>
      </c>
      <c r="M595">
        <v>18911</v>
      </c>
      <c r="N595" s="61"/>
    </row>
    <row r="596" spans="1:14" ht="12.75" customHeight="1" x14ac:dyDescent="0.2">
      <c r="A596" s="15">
        <v>112.215</v>
      </c>
      <c r="B596"/>
      <c r="C596">
        <v>2588</v>
      </c>
      <c r="H596" s="59" t="str">
        <f t="shared" si="9"/>
        <v>1st Pay Period ending 8/11/2022</v>
      </c>
      <c r="M596">
        <v>18559</v>
      </c>
      <c r="N596" s="61"/>
    </row>
    <row r="597" spans="1:14" ht="12.75" customHeight="1" x14ac:dyDescent="0.2">
      <c r="A597" s="15">
        <v>112.215</v>
      </c>
      <c r="B597"/>
      <c r="C597">
        <v>298</v>
      </c>
      <c r="H597" s="59" t="str">
        <f t="shared" si="9"/>
        <v>1st Pay Period ending 8/11/2022</v>
      </c>
      <c r="M597">
        <v>18892</v>
      </c>
      <c r="N597" s="61"/>
    </row>
    <row r="598" spans="1:14" ht="12.75" customHeight="1" x14ac:dyDescent="0.2">
      <c r="A598" s="15">
        <v>112.215</v>
      </c>
      <c r="B598"/>
      <c r="C598">
        <v>524</v>
      </c>
      <c r="H598" s="59" t="str">
        <f t="shared" si="9"/>
        <v>1st Pay Period ending 8/11/2022</v>
      </c>
      <c r="M598">
        <v>18659</v>
      </c>
      <c r="N598" s="61"/>
    </row>
    <row r="599" spans="1:14" ht="12.75" customHeight="1" x14ac:dyDescent="0.2">
      <c r="A599" s="15">
        <v>112.215</v>
      </c>
      <c r="B599"/>
      <c r="C599">
        <v>294</v>
      </c>
      <c r="H599" s="59" t="str">
        <f t="shared" si="9"/>
        <v>1st Pay Period ending 8/11/2022</v>
      </c>
      <c r="M599">
        <v>19033</v>
      </c>
      <c r="N599" s="61"/>
    </row>
    <row r="600" spans="1:14" ht="12.75" customHeight="1" x14ac:dyDescent="0.2">
      <c r="A600" s="15">
        <v>112.215</v>
      </c>
      <c r="B600"/>
      <c r="C600">
        <v>242</v>
      </c>
      <c r="H600" s="59" t="str">
        <f t="shared" si="9"/>
        <v>1st Pay Period ending 8/11/2022</v>
      </c>
      <c r="M600">
        <v>18894</v>
      </c>
      <c r="N600" s="61"/>
    </row>
    <row r="601" spans="1:14" ht="12.75" customHeight="1" x14ac:dyDescent="0.2">
      <c r="A601" s="15">
        <v>112.215</v>
      </c>
      <c r="B601"/>
      <c r="C601">
        <v>590</v>
      </c>
      <c r="H601" s="59" t="str">
        <f t="shared" si="9"/>
        <v>1st Pay Period ending 8/11/2022</v>
      </c>
      <c r="M601">
        <v>18967</v>
      </c>
      <c r="N601" s="61"/>
    </row>
    <row r="602" spans="1:14" ht="12.75" customHeight="1" x14ac:dyDescent="0.2">
      <c r="A602" s="15">
        <v>112.215</v>
      </c>
      <c r="B602"/>
      <c r="C602">
        <v>438</v>
      </c>
      <c r="H602" s="59" t="str">
        <f t="shared" si="9"/>
        <v>1st Pay Period ending 8/11/2022</v>
      </c>
      <c r="M602">
        <v>18733</v>
      </c>
      <c r="N602" s="61"/>
    </row>
    <row r="603" spans="1:14" ht="12.75" customHeight="1" x14ac:dyDescent="0.2">
      <c r="A603" s="15">
        <v>112.215</v>
      </c>
      <c r="B603"/>
      <c r="C603">
        <v>1458</v>
      </c>
      <c r="H603" s="59" t="str">
        <f t="shared" si="9"/>
        <v>1st Pay Period ending 8/11/2022</v>
      </c>
      <c r="M603">
        <v>18781</v>
      </c>
      <c r="N603" s="61"/>
    </row>
    <row r="604" spans="1:14" ht="12.75" customHeight="1" x14ac:dyDescent="0.2">
      <c r="A604" s="15">
        <v>112.215</v>
      </c>
      <c r="B604"/>
      <c r="C604">
        <v>52</v>
      </c>
      <c r="H604" s="59" t="str">
        <f t="shared" si="9"/>
        <v>1st Pay Period ending 8/11/2022</v>
      </c>
      <c r="M604">
        <v>18960</v>
      </c>
      <c r="N604" s="61"/>
    </row>
    <row r="605" spans="1:14" ht="12.75" customHeight="1" x14ac:dyDescent="0.2">
      <c r="A605" s="15">
        <v>112.215</v>
      </c>
      <c r="B605"/>
      <c r="C605">
        <v>1270</v>
      </c>
      <c r="H605" s="59" t="str">
        <f t="shared" si="9"/>
        <v>1st Pay Period ending 8/11/2022</v>
      </c>
      <c r="M605">
        <v>18687</v>
      </c>
      <c r="N605" s="61"/>
    </row>
    <row r="606" spans="1:14" ht="12.75" customHeight="1" x14ac:dyDescent="0.2">
      <c r="A606" s="15">
        <v>112.215</v>
      </c>
      <c r="B606"/>
      <c r="C606">
        <v>2184</v>
      </c>
      <c r="H606" s="59" t="str">
        <f t="shared" si="9"/>
        <v>1st Pay Period ending 8/11/2022</v>
      </c>
      <c r="M606">
        <v>11229</v>
      </c>
      <c r="N606" s="61"/>
    </row>
    <row r="607" spans="1:14" ht="12.75" customHeight="1" x14ac:dyDescent="0.2">
      <c r="A607" s="15">
        <v>112.215</v>
      </c>
      <c r="B607"/>
      <c r="C607">
        <v>104</v>
      </c>
      <c r="H607" s="59" t="str">
        <f t="shared" si="9"/>
        <v>1st Pay Period ending 8/11/2022</v>
      </c>
      <c r="M607">
        <v>141</v>
      </c>
      <c r="N607" s="61"/>
    </row>
    <row r="608" spans="1:14" ht="12.75" customHeight="1" x14ac:dyDescent="0.2">
      <c r="A608" s="15">
        <v>112.215</v>
      </c>
      <c r="B608"/>
      <c r="C608">
        <v>518</v>
      </c>
      <c r="H608" s="59" t="str">
        <f t="shared" si="9"/>
        <v>1st Pay Period ending 8/11/2022</v>
      </c>
      <c r="M608">
        <v>145</v>
      </c>
      <c r="N608" s="61"/>
    </row>
    <row r="609" spans="1:14" ht="12.75" customHeight="1" x14ac:dyDescent="0.2">
      <c r="A609" s="15">
        <v>112.215</v>
      </c>
      <c r="B609"/>
      <c r="C609">
        <v>776</v>
      </c>
      <c r="H609" s="59" t="str">
        <f t="shared" si="9"/>
        <v>1st Pay Period ending 8/11/2022</v>
      </c>
      <c r="M609">
        <v>18961</v>
      </c>
      <c r="N609" s="61"/>
    </row>
    <row r="610" spans="1:14" ht="12.75" customHeight="1" x14ac:dyDescent="0.2">
      <c r="A610" s="15">
        <v>112.215</v>
      </c>
      <c r="B610"/>
      <c r="C610">
        <v>210</v>
      </c>
      <c r="H610" s="59" t="str">
        <f t="shared" si="9"/>
        <v>1st Pay Period ending 8/11/2022</v>
      </c>
      <c r="M610">
        <v>18973</v>
      </c>
      <c r="N610" s="61"/>
    </row>
    <row r="611" spans="1:14" ht="12.75" customHeight="1" x14ac:dyDescent="0.2">
      <c r="A611" s="15">
        <v>112.215</v>
      </c>
      <c r="B611"/>
      <c r="C611">
        <v>300</v>
      </c>
      <c r="H611" s="59" t="str">
        <f t="shared" si="9"/>
        <v>1st Pay Period ending 8/11/2022</v>
      </c>
      <c r="M611">
        <v>19026</v>
      </c>
      <c r="N611" s="61"/>
    </row>
    <row r="612" spans="1:14" ht="12.75" customHeight="1" x14ac:dyDescent="0.2">
      <c r="A612" s="15">
        <v>112.215</v>
      </c>
      <c r="B612"/>
      <c r="C612">
        <v>110</v>
      </c>
      <c r="H612" s="59" t="str">
        <f t="shared" si="9"/>
        <v>1st Pay Period ending 8/11/2022</v>
      </c>
      <c r="M612">
        <v>19032</v>
      </c>
      <c r="N612" s="61"/>
    </row>
    <row r="613" spans="1:14" ht="12.75" customHeight="1" x14ac:dyDescent="0.2">
      <c r="A613" s="15">
        <v>112.215</v>
      </c>
      <c r="B613"/>
      <c r="C613">
        <v>314</v>
      </c>
      <c r="H613" s="59" t="str">
        <f t="shared" si="9"/>
        <v>1st Pay Period ending 8/11/2022</v>
      </c>
      <c r="M613">
        <v>19035</v>
      </c>
      <c r="N613" s="61"/>
    </row>
    <row r="614" spans="1:14" ht="12.75" customHeight="1" x14ac:dyDescent="0.2">
      <c r="A614" s="15">
        <v>112.215</v>
      </c>
      <c r="B614"/>
      <c r="C614">
        <v>644</v>
      </c>
      <c r="H614" s="59" t="str">
        <f t="shared" si="9"/>
        <v>1st Pay Period ending 8/11/2022</v>
      </c>
      <c r="M614">
        <v>19007</v>
      </c>
      <c r="N614" s="61"/>
    </row>
    <row r="615" spans="1:14" ht="12.75" customHeight="1" x14ac:dyDescent="0.2">
      <c r="A615" s="15">
        <v>112.215</v>
      </c>
      <c r="B615"/>
      <c r="C615">
        <v>610</v>
      </c>
      <c r="H615" s="59" t="str">
        <f t="shared" si="9"/>
        <v>1st Pay Period ending 8/11/2022</v>
      </c>
      <c r="M615">
        <v>19016</v>
      </c>
      <c r="N615" s="61"/>
    </row>
    <row r="616" spans="1:14" ht="12.75" customHeight="1" x14ac:dyDescent="0.2">
      <c r="A616" s="15">
        <v>112.215</v>
      </c>
      <c r="B616"/>
      <c r="C616">
        <v>512</v>
      </c>
      <c r="H616" s="59" t="str">
        <f t="shared" si="9"/>
        <v>1st Pay Period ending 8/11/2022</v>
      </c>
      <c r="M616">
        <v>19006</v>
      </c>
      <c r="N616" s="61"/>
    </row>
    <row r="617" spans="1:14" ht="12.75" customHeight="1" x14ac:dyDescent="0.2">
      <c r="A617" s="15">
        <v>112.215</v>
      </c>
      <c r="B617"/>
      <c r="C617">
        <v>434</v>
      </c>
      <c r="H617" s="59" t="str">
        <f t="shared" si="9"/>
        <v>1st Pay Period ending 8/11/2022</v>
      </c>
      <c r="M617">
        <v>18999</v>
      </c>
      <c r="N617" s="61"/>
    </row>
    <row r="618" spans="1:14" ht="12.75" customHeight="1" x14ac:dyDescent="0.2">
      <c r="A618" s="15">
        <v>112.215</v>
      </c>
      <c r="B618"/>
      <c r="C618">
        <v>846</v>
      </c>
      <c r="H618" s="59" t="str">
        <f t="shared" si="9"/>
        <v>1st Pay Period ending 8/11/2022</v>
      </c>
      <c r="M618">
        <v>18974</v>
      </c>
      <c r="N618" s="61"/>
    </row>
    <row r="619" spans="1:14" ht="12.75" customHeight="1" x14ac:dyDescent="0.2">
      <c r="A619" s="15">
        <v>112.215</v>
      </c>
      <c r="B619"/>
      <c r="C619">
        <v>1468</v>
      </c>
      <c r="H619" s="59" t="str">
        <f t="shared" si="9"/>
        <v>1st Pay Period ending 8/11/2022</v>
      </c>
      <c r="M619">
        <v>18962</v>
      </c>
      <c r="N619" s="61"/>
    </row>
    <row r="620" spans="1:14" ht="12.75" customHeight="1" x14ac:dyDescent="0.2">
      <c r="A620" s="15">
        <v>112.215</v>
      </c>
      <c r="B620"/>
      <c r="C620">
        <v>320</v>
      </c>
      <c r="H620" s="59" t="str">
        <f t="shared" si="9"/>
        <v>1st Pay Period ending 8/11/2022</v>
      </c>
      <c r="M620">
        <v>19021</v>
      </c>
      <c r="N620" s="61"/>
    </row>
    <row r="621" spans="1:14" ht="12.75" customHeight="1" x14ac:dyDescent="0.2">
      <c r="A621" s="15">
        <v>112.215</v>
      </c>
      <c r="B621"/>
      <c r="C621">
        <v>226</v>
      </c>
      <c r="H621" s="59" t="str">
        <f t="shared" si="9"/>
        <v>1st Pay Period ending 8/11/2022</v>
      </c>
      <c r="M621">
        <v>19027</v>
      </c>
      <c r="N621" s="61"/>
    </row>
    <row r="622" spans="1:14" ht="12.75" customHeight="1" x14ac:dyDescent="0.2">
      <c r="A622" s="15">
        <v>112.215</v>
      </c>
      <c r="B622"/>
      <c r="C622">
        <v>318</v>
      </c>
      <c r="H622" s="59" t="str">
        <f t="shared" si="9"/>
        <v>1st Pay Period ending 8/11/2022</v>
      </c>
      <c r="M622">
        <v>18980</v>
      </c>
      <c r="N622" s="61"/>
    </row>
    <row r="623" spans="1:14" ht="12.75" customHeight="1" x14ac:dyDescent="0.2">
      <c r="A623" s="15">
        <v>112.215</v>
      </c>
      <c r="B623"/>
      <c r="C623">
        <v>762</v>
      </c>
      <c r="H623" s="59" t="str">
        <f t="shared" si="9"/>
        <v>1st Pay Period ending 8/11/2022</v>
      </c>
      <c r="M623">
        <v>19038</v>
      </c>
      <c r="N623" s="61"/>
    </row>
    <row r="624" spans="1:14" ht="12.75" customHeight="1" x14ac:dyDescent="0.2">
      <c r="A624" s="15">
        <v>112.215</v>
      </c>
      <c r="B624"/>
      <c r="C624">
        <v>726</v>
      </c>
      <c r="H624" s="59" t="str">
        <f t="shared" si="9"/>
        <v>1st Pay Period ending 8/11/2022</v>
      </c>
      <c r="M624">
        <v>18581</v>
      </c>
      <c r="N624" s="61"/>
    </row>
    <row r="625" spans="1:14" ht="12.75" customHeight="1" x14ac:dyDescent="0.2">
      <c r="A625" s="15">
        <v>112.215</v>
      </c>
      <c r="B625"/>
      <c r="C625">
        <v>1858</v>
      </c>
      <c r="H625" s="59" t="str">
        <f t="shared" si="9"/>
        <v>1st Pay Period ending 8/11/2022</v>
      </c>
      <c r="M625">
        <v>44705</v>
      </c>
      <c r="N625" s="61"/>
    </row>
    <row r="626" spans="1:14" ht="12.75" customHeight="1" x14ac:dyDescent="0.2">
      <c r="A626" s="15">
        <v>112.215</v>
      </c>
      <c r="B626"/>
      <c r="C626">
        <v>696</v>
      </c>
      <c r="H626" s="59" t="str">
        <f t="shared" si="9"/>
        <v>1st Pay Period ending 8/11/2022</v>
      </c>
      <c r="M626">
        <v>19034</v>
      </c>
      <c r="N626" s="61"/>
    </row>
    <row r="627" spans="1:14" ht="12.75" customHeight="1" x14ac:dyDescent="0.2">
      <c r="A627" s="15">
        <v>112.215</v>
      </c>
      <c r="B627"/>
      <c r="C627">
        <v>430</v>
      </c>
      <c r="H627" s="59" t="str">
        <f t="shared" si="9"/>
        <v>1st Pay Period ending 8/11/2022</v>
      </c>
      <c r="M627">
        <v>18805</v>
      </c>
      <c r="N627" s="61"/>
    </row>
    <row r="628" spans="1:14" ht="12.75" customHeight="1" x14ac:dyDescent="0.2">
      <c r="A628" s="15">
        <v>112.215</v>
      </c>
      <c r="B628"/>
      <c r="C628">
        <v>488</v>
      </c>
      <c r="H628" s="59" t="str">
        <f t="shared" si="9"/>
        <v>1st Pay Period ending 8/11/2022</v>
      </c>
      <c r="M628">
        <v>18982</v>
      </c>
      <c r="N628" s="61"/>
    </row>
    <row r="629" spans="1:14" ht="12.75" customHeight="1" x14ac:dyDescent="0.2">
      <c r="A629" s="15">
        <v>112.215</v>
      </c>
      <c r="B629"/>
      <c r="C629">
        <v>420</v>
      </c>
      <c r="H629" s="59" t="str">
        <f t="shared" si="9"/>
        <v>1st Pay Period ending 8/11/2022</v>
      </c>
      <c r="M629">
        <v>18841</v>
      </c>
      <c r="N629" s="61"/>
    </row>
    <row r="630" spans="1:14" ht="12.75" customHeight="1" x14ac:dyDescent="0.2">
      <c r="A630" s="15">
        <v>112.215</v>
      </c>
      <c r="B630"/>
      <c r="C630">
        <v>488</v>
      </c>
      <c r="H630" s="59" t="str">
        <f t="shared" si="9"/>
        <v>1st Pay Period ending 8/11/2022</v>
      </c>
      <c r="M630">
        <v>266</v>
      </c>
      <c r="N630" s="61"/>
    </row>
    <row r="631" spans="1:14" ht="12.75" customHeight="1" x14ac:dyDescent="0.2">
      <c r="A631" s="15">
        <v>112.215</v>
      </c>
      <c r="B631"/>
      <c r="C631">
        <v>264</v>
      </c>
      <c r="H631" s="59" t="str">
        <f t="shared" si="9"/>
        <v>1st Pay Period ending 8/11/2022</v>
      </c>
      <c r="M631">
        <v>302</v>
      </c>
      <c r="N631" s="61"/>
    </row>
    <row r="632" spans="1:14" ht="12.75" customHeight="1" x14ac:dyDescent="0.2">
      <c r="A632" s="15">
        <v>112.215</v>
      </c>
      <c r="B632"/>
      <c r="C632">
        <v>828</v>
      </c>
      <c r="H632" s="59" t="str">
        <f t="shared" si="9"/>
        <v>1st Pay Period ending 8/11/2022</v>
      </c>
      <c r="M632">
        <v>18626</v>
      </c>
      <c r="N632" s="61"/>
    </row>
    <row r="633" spans="1:14" ht="12.75" customHeight="1" x14ac:dyDescent="0.2">
      <c r="A633" s="15">
        <v>112.215</v>
      </c>
      <c r="B633"/>
      <c r="C633">
        <v>1052</v>
      </c>
      <c r="H633" s="59" t="str">
        <f t="shared" si="9"/>
        <v>1st Pay Period ending 8/11/2022</v>
      </c>
      <c r="M633">
        <v>18901</v>
      </c>
      <c r="N633" s="61"/>
    </row>
    <row r="634" spans="1:14" ht="12.75" customHeight="1" x14ac:dyDescent="0.2">
      <c r="A634" s="15">
        <v>112.215</v>
      </c>
      <c r="B634"/>
      <c r="C634">
        <v>464</v>
      </c>
      <c r="H634" s="59" t="str">
        <f t="shared" si="9"/>
        <v>1st Pay Period ending 8/11/2022</v>
      </c>
      <c r="M634">
        <v>18797</v>
      </c>
      <c r="N634" s="61"/>
    </row>
    <row r="635" spans="1:14" ht="12.75" customHeight="1" x14ac:dyDescent="0.2">
      <c r="A635" s="15">
        <v>112.215</v>
      </c>
      <c r="B635"/>
      <c r="C635">
        <v>492</v>
      </c>
      <c r="H635" s="59" t="str">
        <f t="shared" si="9"/>
        <v>1st Pay Period ending 8/11/2022</v>
      </c>
      <c r="M635">
        <v>18887</v>
      </c>
      <c r="N635" s="61"/>
    </row>
    <row r="636" spans="1:14" ht="12.75" customHeight="1" x14ac:dyDescent="0.2">
      <c r="A636" s="15">
        <v>112.215</v>
      </c>
      <c r="B636"/>
      <c r="C636">
        <v>442</v>
      </c>
      <c r="H636" s="59" t="str">
        <f t="shared" si="9"/>
        <v>1st Pay Period ending 8/11/2022</v>
      </c>
      <c r="M636">
        <v>18979</v>
      </c>
      <c r="N636" s="61"/>
    </row>
    <row r="637" spans="1:14" ht="12.75" customHeight="1" x14ac:dyDescent="0.2">
      <c r="A637" s="15">
        <v>112.215</v>
      </c>
      <c r="B637"/>
      <c r="C637">
        <v>104</v>
      </c>
      <c r="H637" s="59" t="str">
        <f t="shared" si="9"/>
        <v>1st Pay Period ending 8/11/2022</v>
      </c>
      <c r="M637">
        <v>18929</v>
      </c>
      <c r="N637" s="61"/>
    </row>
    <row r="638" spans="1:14" ht="12.75" customHeight="1" x14ac:dyDescent="0.2">
      <c r="A638" s="15">
        <v>112.215</v>
      </c>
      <c r="B638"/>
      <c r="C638">
        <v>430</v>
      </c>
      <c r="H638" s="59" t="str">
        <f t="shared" si="9"/>
        <v>1st Pay Period ending 8/11/2022</v>
      </c>
      <c r="M638">
        <v>18822</v>
      </c>
      <c r="N638" s="61"/>
    </row>
    <row r="639" spans="1:14" ht="12.75" customHeight="1" x14ac:dyDescent="0.2">
      <c r="A639" s="15">
        <v>112.215</v>
      </c>
      <c r="B639"/>
      <c r="C639">
        <v>668</v>
      </c>
      <c r="H639" s="59" t="str">
        <f t="shared" si="9"/>
        <v>1st Pay Period ending 8/11/2022</v>
      </c>
      <c r="M639">
        <v>18827</v>
      </c>
      <c r="N639" s="61"/>
    </row>
    <row r="640" spans="1:14" ht="12.75" customHeight="1" x14ac:dyDescent="0.2">
      <c r="A640" s="15">
        <v>112.215</v>
      </c>
      <c r="B640"/>
      <c r="C640">
        <v>816</v>
      </c>
      <c r="H640" s="59" t="str">
        <f t="shared" si="9"/>
        <v>1st Pay Period ending 8/11/2022</v>
      </c>
      <c r="M640">
        <v>18949</v>
      </c>
      <c r="N640" s="61"/>
    </row>
    <row r="641" spans="1:14" ht="12.75" customHeight="1" x14ac:dyDescent="0.2">
      <c r="A641" s="15">
        <v>112.215</v>
      </c>
      <c r="B641"/>
      <c r="C641">
        <v>128</v>
      </c>
      <c r="H641" s="59" t="str">
        <f t="shared" si="9"/>
        <v>1st Pay Period ending 8/11/2022</v>
      </c>
      <c r="M641">
        <v>134</v>
      </c>
      <c r="N641" s="61"/>
    </row>
    <row r="642" spans="1:14" ht="12.75" customHeight="1" x14ac:dyDescent="0.2">
      <c r="A642" s="15">
        <v>112.215</v>
      </c>
      <c r="B642"/>
      <c r="C642">
        <v>706</v>
      </c>
      <c r="H642" s="59" t="str">
        <f t="shared" si="9"/>
        <v>1st Pay Period ending 8/11/2022</v>
      </c>
      <c r="M642">
        <v>18918</v>
      </c>
      <c r="N642" s="61"/>
    </row>
    <row r="643" spans="1:14" ht="12.75" customHeight="1" x14ac:dyDescent="0.2">
      <c r="A643" s="15">
        <v>112.215</v>
      </c>
      <c r="B643"/>
      <c r="C643">
        <v>574</v>
      </c>
      <c r="H643" s="59" t="str">
        <f t="shared" ref="H643:H706" si="10">$K$1</f>
        <v>1st Pay Period ending 8/11/2022</v>
      </c>
      <c r="M643">
        <v>18989</v>
      </c>
      <c r="N643" s="61"/>
    </row>
    <row r="644" spans="1:14" ht="12.75" customHeight="1" x14ac:dyDescent="0.2">
      <c r="A644" s="15">
        <v>112.215</v>
      </c>
      <c r="B644"/>
      <c r="C644">
        <v>541.5</v>
      </c>
      <c r="H644" s="59" t="str">
        <f t="shared" si="10"/>
        <v>1st Pay Period ending 8/11/2022</v>
      </c>
      <c r="M644">
        <v>18736</v>
      </c>
      <c r="N644" s="61"/>
    </row>
    <row r="645" spans="1:14" ht="12.75" customHeight="1" x14ac:dyDescent="0.2">
      <c r="A645" s="15">
        <v>112.215</v>
      </c>
      <c r="B645"/>
      <c r="C645">
        <v>690</v>
      </c>
      <c r="H645" s="59" t="str">
        <f t="shared" si="10"/>
        <v>1st Pay Period ending 8/11/2022</v>
      </c>
      <c r="M645">
        <v>18983</v>
      </c>
      <c r="N645" s="61"/>
    </row>
    <row r="646" spans="1:14" ht="12.75" customHeight="1" x14ac:dyDescent="0.2">
      <c r="A646" s="15">
        <v>112.215</v>
      </c>
      <c r="B646"/>
      <c r="C646">
        <v>116</v>
      </c>
      <c r="H646" s="59" t="str">
        <f t="shared" si="10"/>
        <v>1st Pay Period ending 8/11/2022</v>
      </c>
      <c r="M646">
        <v>19008</v>
      </c>
      <c r="N646" s="61"/>
    </row>
    <row r="647" spans="1:14" ht="12.75" customHeight="1" x14ac:dyDescent="0.2">
      <c r="A647" s="15">
        <v>112.215</v>
      </c>
      <c r="B647"/>
      <c r="C647">
        <v>696</v>
      </c>
      <c r="H647" s="59" t="str">
        <f t="shared" si="10"/>
        <v>1st Pay Period ending 8/11/2022</v>
      </c>
      <c r="M647">
        <v>18932</v>
      </c>
      <c r="N647" s="61"/>
    </row>
    <row r="648" spans="1:14" ht="12.75" customHeight="1" x14ac:dyDescent="0.2">
      <c r="A648" s="15">
        <v>112.215</v>
      </c>
      <c r="B648"/>
      <c r="C648">
        <v>588</v>
      </c>
      <c r="H648" s="59" t="str">
        <f t="shared" si="10"/>
        <v>1st Pay Period ending 8/11/2022</v>
      </c>
      <c r="M648">
        <v>19009</v>
      </c>
      <c r="N648" s="61"/>
    </row>
    <row r="649" spans="1:14" ht="12.75" customHeight="1" x14ac:dyDescent="0.2">
      <c r="A649" s="15">
        <v>112.215</v>
      </c>
      <c r="B649"/>
      <c r="C649">
        <v>336</v>
      </c>
      <c r="H649" s="59" t="str">
        <f t="shared" si="10"/>
        <v>1st Pay Period ending 8/11/2022</v>
      </c>
      <c r="M649">
        <v>19030</v>
      </c>
      <c r="N649" s="61"/>
    </row>
    <row r="650" spans="1:14" ht="12.75" customHeight="1" x14ac:dyDescent="0.2">
      <c r="A650" s="15">
        <v>112.215</v>
      </c>
      <c r="B650"/>
      <c r="C650">
        <v>638</v>
      </c>
      <c r="H650" s="59" t="str">
        <f t="shared" si="10"/>
        <v>1st Pay Period ending 8/11/2022</v>
      </c>
      <c r="M650">
        <v>19029</v>
      </c>
      <c r="N650" s="61"/>
    </row>
    <row r="651" spans="1:14" ht="12.75" customHeight="1" x14ac:dyDescent="0.2">
      <c r="A651" s="15">
        <v>112.215</v>
      </c>
      <c r="B651"/>
      <c r="C651">
        <v>626</v>
      </c>
      <c r="H651" s="59" t="str">
        <f t="shared" si="10"/>
        <v>1st Pay Period ending 8/11/2022</v>
      </c>
      <c r="M651">
        <v>19017</v>
      </c>
      <c r="N651" s="61"/>
    </row>
    <row r="652" spans="1:14" ht="12.75" customHeight="1" x14ac:dyDescent="0.2">
      <c r="A652" s="15">
        <v>112.215</v>
      </c>
      <c r="B652"/>
      <c r="C652">
        <v>494</v>
      </c>
      <c r="H652" s="59" t="str">
        <f t="shared" si="10"/>
        <v>1st Pay Period ending 8/11/2022</v>
      </c>
      <c r="M652">
        <v>19015</v>
      </c>
      <c r="N652" s="61"/>
    </row>
    <row r="653" spans="1:14" ht="12.75" customHeight="1" x14ac:dyDescent="0.2">
      <c r="A653" s="15">
        <v>112.215</v>
      </c>
      <c r="B653"/>
      <c r="C653">
        <v>236</v>
      </c>
      <c r="H653" s="59" t="str">
        <f t="shared" si="10"/>
        <v>1st Pay Period ending 8/11/2022</v>
      </c>
      <c r="M653">
        <v>18679</v>
      </c>
      <c r="N653" s="61"/>
    </row>
    <row r="654" spans="1:14" ht="12.75" customHeight="1" x14ac:dyDescent="0.2">
      <c r="A654" s="15">
        <v>112.215</v>
      </c>
      <c r="B654"/>
      <c r="C654">
        <v>986</v>
      </c>
      <c r="H654" s="59" t="str">
        <f t="shared" si="10"/>
        <v>1st Pay Period ending 8/11/2022</v>
      </c>
      <c r="M654">
        <v>18829</v>
      </c>
      <c r="N654" s="61"/>
    </row>
    <row r="655" spans="1:14" ht="12.75" customHeight="1" x14ac:dyDescent="0.2">
      <c r="A655" s="15">
        <v>112.215</v>
      </c>
      <c r="B655"/>
      <c r="C655">
        <v>234</v>
      </c>
      <c r="H655" s="59" t="str">
        <f t="shared" si="10"/>
        <v>1st Pay Period ending 8/11/2022</v>
      </c>
      <c r="M655">
        <v>18923</v>
      </c>
      <c r="N655" s="61"/>
    </row>
    <row r="656" spans="1:14" ht="12.75" customHeight="1" x14ac:dyDescent="0.2">
      <c r="A656" s="15">
        <v>112.215</v>
      </c>
      <c r="B656"/>
      <c r="C656">
        <v>554</v>
      </c>
      <c r="H656" s="59" t="str">
        <f t="shared" si="10"/>
        <v>1st Pay Period ending 8/11/2022</v>
      </c>
      <c r="M656">
        <v>19011</v>
      </c>
      <c r="N656" s="61"/>
    </row>
    <row r="657" spans="1:14" ht="12.75" customHeight="1" x14ac:dyDescent="0.2">
      <c r="A657" s="15">
        <v>112.215</v>
      </c>
      <c r="B657"/>
      <c r="C657">
        <v>508</v>
      </c>
      <c r="H657" s="59" t="str">
        <f t="shared" si="10"/>
        <v>1st Pay Period ending 8/11/2022</v>
      </c>
      <c r="M657">
        <v>19019</v>
      </c>
      <c r="N657" s="61"/>
    </row>
    <row r="658" spans="1:14" ht="12.75" customHeight="1" x14ac:dyDescent="0.2">
      <c r="A658" s="15">
        <v>112.215</v>
      </c>
      <c r="B658"/>
      <c r="C658">
        <v>590</v>
      </c>
      <c r="H658" s="59" t="str">
        <f t="shared" si="10"/>
        <v>1st Pay Period ending 8/11/2022</v>
      </c>
      <c r="M658">
        <v>18607</v>
      </c>
      <c r="N658" s="61"/>
    </row>
    <row r="659" spans="1:14" ht="12.75" customHeight="1" x14ac:dyDescent="0.2">
      <c r="A659" s="15">
        <v>112.215</v>
      </c>
      <c r="B659"/>
      <c r="C659">
        <v>486</v>
      </c>
      <c r="H659" s="59" t="str">
        <f t="shared" si="10"/>
        <v>1st Pay Period ending 8/11/2022</v>
      </c>
      <c r="M659">
        <v>19012</v>
      </c>
      <c r="N659" s="61"/>
    </row>
    <row r="660" spans="1:14" ht="12.75" customHeight="1" x14ac:dyDescent="0.2">
      <c r="A660" s="15">
        <v>112.215</v>
      </c>
      <c r="B660"/>
      <c r="C660">
        <v>554</v>
      </c>
      <c r="H660" s="59" t="str">
        <f t="shared" si="10"/>
        <v>1st Pay Period ending 8/11/2022</v>
      </c>
      <c r="M660">
        <v>19028</v>
      </c>
      <c r="N660" s="61"/>
    </row>
    <row r="661" spans="1:14" ht="12.75" customHeight="1" x14ac:dyDescent="0.2">
      <c r="A661" s="15">
        <v>112.215</v>
      </c>
      <c r="B661"/>
      <c r="C661">
        <v>1082</v>
      </c>
      <c r="H661" s="59" t="str">
        <f t="shared" si="10"/>
        <v>1st Pay Period ending 8/11/2022</v>
      </c>
      <c r="M661">
        <v>18998</v>
      </c>
      <c r="N661" s="61"/>
    </row>
    <row r="662" spans="1:14" ht="12.75" customHeight="1" x14ac:dyDescent="0.2">
      <c r="A662" s="15">
        <v>112.215</v>
      </c>
      <c r="B662"/>
      <c r="C662">
        <v>676</v>
      </c>
      <c r="H662" s="59" t="str">
        <f t="shared" si="10"/>
        <v>1st Pay Period ending 8/11/2022</v>
      </c>
      <c r="M662">
        <v>115</v>
      </c>
      <c r="N662" s="61"/>
    </row>
    <row r="663" spans="1:14" ht="12.75" customHeight="1" x14ac:dyDescent="0.2">
      <c r="A663" s="15">
        <v>112.215</v>
      </c>
      <c r="B663"/>
      <c r="C663">
        <v>796</v>
      </c>
      <c r="H663" s="59" t="str">
        <f t="shared" si="10"/>
        <v>1st Pay Period ending 8/11/2022</v>
      </c>
      <c r="M663">
        <v>18649</v>
      </c>
      <c r="N663" s="61"/>
    </row>
    <row r="664" spans="1:14" ht="12.75" customHeight="1" x14ac:dyDescent="0.2">
      <c r="A664" s="15">
        <v>112.215</v>
      </c>
      <c r="B664"/>
      <c r="C664">
        <v>338</v>
      </c>
      <c r="H664" s="59" t="str">
        <f t="shared" si="10"/>
        <v>1st Pay Period ending 8/11/2022</v>
      </c>
      <c r="M664">
        <v>19020</v>
      </c>
      <c r="N664" s="61"/>
    </row>
    <row r="665" spans="1:14" ht="12.75" customHeight="1" x14ac:dyDescent="0.2">
      <c r="A665" s="15">
        <v>112.215</v>
      </c>
      <c r="B665"/>
      <c r="C665">
        <v>116</v>
      </c>
      <c r="H665" s="59" t="str">
        <f t="shared" si="10"/>
        <v>1st Pay Period ending 8/11/2022</v>
      </c>
      <c r="M665">
        <v>18839</v>
      </c>
      <c r="N665" s="61"/>
    </row>
    <row r="666" spans="1:14" ht="12.75" customHeight="1" x14ac:dyDescent="0.2">
      <c r="A666" s="15">
        <v>112.215</v>
      </c>
      <c r="B666"/>
      <c r="C666">
        <v>712</v>
      </c>
      <c r="H666" s="59" t="str">
        <f t="shared" si="10"/>
        <v>1st Pay Period ending 8/11/2022</v>
      </c>
      <c r="M666">
        <v>18904</v>
      </c>
      <c r="N666" s="61"/>
    </row>
    <row r="667" spans="1:14" ht="12.75" customHeight="1" x14ac:dyDescent="0.2">
      <c r="A667" s="15">
        <v>112.215</v>
      </c>
      <c r="B667"/>
      <c r="C667">
        <v>272</v>
      </c>
      <c r="H667" s="59" t="str">
        <f t="shared" si="10"/>
        <v>1st Pay Period ending 8/11/2022</v>
      </c>
      <c r="M667">
        <v>18650</v>
      </c>
      <c r="N667" s="61"/>
    </row>
    <row r="668" spans="1:14" ht="12.75" customHeight="1" x14ac:dyDescent="0.2">
      <c r="A668" s="15">
        <v>112.215</v>
      </c>
      <c r="B668"/>
      <c r="C668">
        <v>802</v>
      </c>
      <c r="H668" s="59" t="str">
        <f t="shared" si="10"/>
        <v>1st Pay Period ending 8/11/2022</v>
      </c>
      <c r="M668">
        <v>18713</v>
      </c>
      <c r="N668" s="61"/>
    </row>
    <row r="669" spans="1:14" ht="12.75" customHeight="1" x14ac:dyDescent="0.2">
      <c r="A669" s="15">
        <v>112.215</v>
      </c>
      <c r="B669"/>
      <c r="C669">
        <v>1494</v>
      </c>
      <c r="H669" s="59" t="str">
        <f t="shared" si="10"/>
        <v>1st Pay Period ending 8/11/2022</v>
      </c>
      <c r="M669">
        <v>18850</v>
      </c>
      <c r="N669" s="61"/>
    </row>
    <row r="670" spans="1:14" ht="12.75" customHeight="1" x14ac:dyDescent="0.2">
      <c r="A670" s="15">
        <v>112.215</v>
      </c>
      <c r="B670"/>
      <c r="C670">
        <v>562</v>
      </c>
      <c r="H670" s="59" t="str">
        <f t="shared" si="10"/>
        <v>1st Pay Period ending 8/11/2022</v>
      </c>
      <c r="M670">
        <v>18646</v>
      </c>
      <c r="N670" s="61"/>
    </row>
    <row r="671" spans="1:14" ht="12.75" customHeight="1" x14ac:dyDescent="0.2">
      <c r="A671" s="15">
        <v>112.215</v>
      </c>
      <c r="B671"/>
      <c r="C671">
        <v>470</v>
      </c>
      <c r="H671" s="59" t="str">
        <f t="shared" si="10"/>
        <v>1st Pay Period ending 8/11/2022</v>
      </c>
      <c r="M671">
        <v>18942</v>
      </c>
      <c r="N671" s="61"/>
    </row>
    <row r="672" spans="1:14" ht="12.75" customHeight="1" x14ac:dyDescent="0.2">
      <c r="A672" s="15">
        <v>112.215</v>
      </c>
      <c r="B672"/>
      <c r="C672">
        <v>708</v>
      </c>
      <c r="H672" s="59" t="str">
        <f t="shared" si="10"/>
        <v>1st Pay Period ending 8/11/2022</v>
      </c>
      <c r="M672">
        <v>18703</v>
      </c>
      <c r="N672" s="61"/>
    </row>
    <row r="673" spans="1:14" ht="12.75" customHeight="1" x14ac:dyDescent="0.2">
      <c r="A673" s="15">
        <v>112.215</v>
      </c>
      <c r="B673"/>
      <c r="C673">
        <v>24</v>
      </c>
      <c r="H673" s="59" t="str">
        <f t="shared" si="10"/>
        <v>1st Pay Period ending 8/11/2022</v>
      </c>
      <c r="M673">
        <v>19023</v>
      </c>
      <c r="N673" s="61"/>
    </row>
    <row r="674" spans="1:14" ht="12.75" customHeight="1" x14ac:dyDescent="0.2">
      <c r="A674" s="15">
        <v>112.215</v>
      </c>
      <c r="B674"/>
      <c r="C674">
        <v>250</v>
      </c>
      <c r="H674" s="59" t="str">
        <f t="shared" si="10"/>
        <v>1st Pay Period ending 8/11/2022</v>
      </c>
      <c r="M674">
        <v>18990</v>
      </c>
      <c r="N674" s="61"/>
    </row>
    <row r="675" spans="1:14" ht="12.75" customHeight="1" x14ac:dyDescent="0.2">
      <c r="A675" s="15">
        <v>112.215</v>
      </c>
      <c r="B675"/>
      <c r="C675">
        <v>120</v>
      </c>
      <c r="H675" s="59" t="str">
        <f t="shared" si="10"/>
        <v>1st Pay Period ending 8/11/2022</v>
      </c>
      <c r="M675">
        <v>18924</v>
      </c>
      <c r="N675" s="61"/>
    </row>
    <row r="676" spans="1:14" ht="12.75" customHeight="1" x14ac:dyDescent="0.2">
      <c r="A676" s="15">
        <v>112.215</v>
      </c>
      <c r="B676"/>
      <c r="C676">
        <v>310</v>
      </c>
      <c r="H676" s="59" t="str">
        <f t="shared" si="10"/>
        <v>1st Pay Period ending 8/11/2022</v>
      </c>
      <c r="M676">
        <v>19039</v>
      </c>
      <c r="N676" s="61"/>
    </row>
    <row r="677" spans="1:14" ht="12.75" customHeight="1" x14ac:dyDescent="0.2">
      <c r="A677" s="15">
        <v>112.215</v>
      </c>
      <c r="B677"/>
      <c r="C677">
        <v>318</v>
      </c>
      <c r="H677" s="59" t="str">
        <f t="shared" si="10"/>
        <v>1st Pay Period ending 8/11/2022</v>
      </c>
      <c r="M677">
        <v>18986</v>
      </c>
      <c r="N677" s="61"/>
    </row>
    <row r="678" spans="1:14" ht="12.75" customHeight="1" x14ac:dyDescent="0.2">
      <c r="A678" s="15">
        <v>112.215</v>
      </c>
      <c r="B678"/>
      <c r="C678">
        <v>234</v>
      </c>
      <c r="H678" s="59" t="str">
        <f t="shared" si="10"/>
        <v>1st Pay Period ending 8/11/2022</v>
      </c>
      <c r="M678">
        <v>18970</v>
      </c>
      <c r="N678" s="61"/>
    </row>
    <row r="679" spans="1:14" ht="12.75" customHeight="1" x14ac:dyDescent="0.2">
      <c r="A679" s="15">
        <v>112.215</v>
      </c>
      <c r="B679"/>
      <c r="C679">
        <v>1002</v>
      </c>
      <c r="H679" s="59" t="str">
        <f t="shared" si="10"/>
        <v>1st Pay Period ending 8/11/2022</v>
      </c>
      <c r="M679">
        <v>19031</v>
      </c>
      <c r="N679" s="61"/>
    </row>
    <row r="680" spans="1:14" ht="12.75" customHeight="1" x14ac:dyDescent="0.2">
      <c r="A680" s="15">
        <v>112.215</v>
      </c>
      <c r="B680"/>
      <c r="C680">
        <v>390</v>
      </c>
      <c r="H680" s="59" t="str">
        <f t="shared" si="10"/>
        <v>1st Pay Period ending 8/11/2022</v>
      </c>
      <c r="M680">
        <v>18976</v>
      </c>
      <c r="N680" s="61"/>
    </row>
    <row r="681" spans="1:14" ht="12.75" customHeight="1" x14ac:dyDescent="0.2">
      <c r="A681" s="15">
        <v>112.215</v>
      </c>
      <c r="B681"/>
      <c r="C681">
        <v>510</v>
      </c>
      <c r="H681" s="59" t="str">
        <f t="shared" si="10"/>
        <v>1st Pay Period ending 8/11/2022</v>
      </c>
      <c r="M681">
        <v>18442</v>
      </c>
      <c r="N681" s="61"/>
    </row>
    <row r="682" spans="1:14" ht="12.75" customHeight="1" x14ac:dyDescent="0.2">
      <c r="A682" s="15">
        <v>112.215</v>
      </c>
      <c r="B682"/>
      <c r="C682">
        <v>644</v>
      </c>
      <c r="H682" s="59" t="str">
        <f t="shared" si="10"/>
        <v>1st Pay Period ending 8/11/2022</v>
      </c>
      <c r="M682">
        <v>261</v>
      </c>
      <c r="N682" s="61"/>
    </row>
    <row r="683" spans="1:14" ht="12.75" customHeight="1" x14ac:dyDescent="0.2">
      <c r="A683" s="15">
        <v>112.215</v>
      </c>
      <c r="B683"/>
      <c r="C683">
        <v>120</v>
      </c>
      <c r="H683" s="59" t="str">
        <f t="shared" si="10"/>
        <v>1st Pay Period ending 8/11/2022</v>
      </c>
      <c r="M683">
        <v>18634</v>
      </c>
      <c r="N683" s="61"/>
    </row>
    <row r="684" spans="1:14" ht="12.75" customHeight="1" x14ac:dyDescent="0.2">
      <c r="A684" s="15">
        <v>112.215</v>
      </c>
      <c r="B684"/>
      <c r="C684">
        <v>346</v>
      </c>
      <c r="H684" s="59" t="str">
        <f t="shared" si="10"/>
        <v>1st Pay Period ending 8/11/2022</v>
      </c>
      <c r="M684">
        <v>18898</v>
      </c>
      <c r="N684" s="61"/>
    </row>
    <row r="685" spans="1:14" ht="12.75" customHeight="1" x14ac:dyDescent="0.2">
      <c r="A685" s="15">
        <v>112.215</v>
      </c>
      <c r="B685"/>
      <c r="C685">
        <v>630</v>
      </c>
      <c r="H685" s="59" t="str">
        <f t="shared" si="10"/>
        <v>1st Pay Period ending 8/11/2022</v>
      </c>
      <c r="M685">
        <v>18823</v>
      </c>
      <c r="N685" s="61"/>
    </row>
    <row r="686" spans="1:14" ht="12.75" customHeight="1" x14ac:dyDescent="0.2">
      <c r="A686" s="15">
        <v>112.215</v>
      </c>
      <c r="B686"/>
      <c r="C686">
        <v>468</v>
      </c>
      <c r="H686" s="59" t="str">
        <f t="shared" si="10"/>
        <v>1st Pay Period ending 8/11/2022</v>
      </c>
      <c r="M686">
        <v>18996</v>
      </c>
      <c r="N686" s="61"/>
    </row>
    <row r="687" spans="1:14" ht="12.75" customHeight="1" x14ac:dyDescent="0.2">
      <c r="A687" s="15">
        <v>112.215</v>
      </c>
      <c r="B687"/>
      <c r="C687">
        <v>162</v>
      </c>
      <c r="H687" s="59" t="str">
        <f t="shared" si="10"/>
        <v>1st Pay Period ending 8/11/2022</v>
      </c>
      <c r="M687">
        <v>18927</v>
      </c>
      <c r="N687" s="61"/>
    </row>
    <row r="688" spans="1:14" ht="12.75" customHeight="1" x14ac:dyDescent="0.2">
      <c r="A688" s="15">
        <v>112.215</v>
      </c>
      <c r="B688"/>
      <c r="C688">
        <v>210</v>
      </c>
      <c r="H688" s="59" t="str">
        <f t="shared" si="10"/>
        <v>1st Pay Period ending 8/11/2022</v>
      </c>
      <c r="M688">
        <v>18895</v>
      </c>
      <c r="N688" s="61"/>
    </row>
    <row r="689" spans="1:14" ht="12.75" customHeight="1" x14ac:dyDescent="0.2">
      <c r="A689" s="15">
        <v>112.215</v>
      </c>
      <c r="B689"/>
      <c r="C689">
        <v>502</v>
      </c>
      <c r="H689" s="59" t="str">
        <f t="shared" si="10"/>
        <v>1st Pay Period ending 8/11/2022</v>
      </c>
      <c r="M689">
        <v>18791</v>
      </c>
      <c r="N689" s="61"/>
    </row>
    <row r="690" spans="1:14" ht="12.75" customHeight="1" x14ac:dyDescent="0.2">
      <c r="A690" s="15">
        <v>112.215</v>
      </c>
      <c r="B690"/>
      <c r="C690">
        <v>576</v>
      </c>
      <c r="H690" s="59" t="str">
        <f t="shared" si="10"/>
        <v>1st Pay Period ending 8/11/2022</v>
      </c>
      <c r="M690">
        <v>18561</v>
      </c>
      <c r="N690" s="61"/>
    </row>
    <row r="691" spans="1:14" ht="12.75" customHeight="1" x14ac:dyDescent="0.2">
      <c r="A691" s="15">
        <v>112.215</v>
      </c>
      <c r="B691"/>
      <c r="C691">
        <v>280</v>
      </c>
      <c r="H691" s="59" t="str">
        <f t="shared" si="10"/>
        <v>1st Pay Period ending 8/11/2022</v>
      </c>
      <c r="M691">
        <v>18953</v>
      </c>
      <c r="N691" s="61"/>
    </row>
    <row r="692" spans="1:14" ht="12.75" customHeight="1" x14ac:dyDescent="0.2">
      <c r="A692" s="15">
        <v>112.215</v>
      </c>
      <c r="B692"/>
      <c r="C692">
        <v>392</v>
      </c>
      <c r="H692" s="59" t="str">
        <f t="shared" si="10"/>
        <v>1st Pay Period ending 8/11/2022</v>
      </c>
      <c r="M692">
        <v>18792</v>
      </c>
      <c r="N692" s="61"/>
    </row>
    <row r="693" spans="1:14" ht="12.75" customHeight="1" x14ac:dyDescent="0.2">
      <c r="A693" s="15">
        <v>112.215</v>
      </c>
      <c r="B693"/>
      <c r="C693">
        <v>4</v>
      </c>
      <c r="H693" s="59" t="str">
        <f t="shared" si="10"/>
        <v>1st Pay Period ending 8/11/2022</v>
      </c>
      <c r="M693">
        <v>18506</v>
      </c>
      <c r="N693" s="61"/>
    </row>
    <row r="694" spans="1:14" ht="12.75" customHeight="1" x14ac:dyDescent="0.2">
      <c r="A694" s="15">
        <v>112.215</v>
      </c>
      <c r="B694"/>
      <c r="C694">
        <v>1082</v>
      </c>
      <c r="H694" s="59" t="str">
        <f t="shared" si="10"/>
        <v>1st Pay Period ending 8/11/2022</v>
      </c>
      <c r="M694">
        <v>18876</v>
      </c>
      <c r="N694" s="61"/>
    </row>
    <row r="695" spans="1:14" ht="12.75" customHeight="1" x14ac:dyDescent="0.2">
      <c r="A695" s="15" t="s">
        <v>206</v>
      </c>
      <c r="B695"/>
      <c r="C695">
        <v>3095.12</v>
      </c>
      <c r="H695" s="59" t="str">
        <f t="shared" si="10"/>
        <v>1st Pay Period ending 8/11/2022</v>
      </c>
      <c r="M695">
        <v>18647</v>
      </c>
      <c r="N695" s="61"/>
    </row>
    <row r="696" spans="1:14" ht="12.75" customHeight="1" x14ac:dyDescent="0.2">
      <c r="A696" s="15" t="s">
        <v>206</v>
      </c>
      <c r="B696"/>
      <c r="C696">
        <v>1744.38</v>
      </c>
      <c r="H696" s="59" t="str">
        <f t="shared" si="10"/>
        <v>1st Pay Period ending 8/11/2022</v>
      </c>
      <c r="M696">
        <v>18726</v>
      </c>
      <c r="N696" s="61"/>
    </row>
    <row r="697" spans="1:14" ht="12.75" customHeight="1" x14ac:dyDescent="0.2">
      <c r="A697" s="15" t="s">
        <v>206</v>
      </c>
      <c r="B697"/>
      <c r="C697">
        <v>3997.39</v>
      </c>
      <c r="H697" s="59" t="str">
        <f t="shared" si="10"/>
        <v>1st Pay Period ending 8/11/2022</v>
      </c>
      <c r="M697">
        <v>18517</v>
      </c>
      <c r="N697" s="61"/>
    </row>
    <row r="698" spans="1:14" ht="12.75" customHeight="1" x14ac:dyDescent="0.2">
      <c r="A698" s="15" t="s">
        <v>206</v>
      </c>
      <c r="B698"/>
      <c r="C698">
        <v>3136.78</v>
      </c>
      <c r="H698" s="59" t="str">
        <f t="shared" si="10"/>
        <v>1st Pay Period ending 8/11/2022</v>
      </c>
      <c r="M698">
        <v>18871</v>
      </c>
      <c r="N698" s="61"/>
    </row>
    <row r="699" spans="1:14" ht="12.75" customHeight="1" x14ac:dyDescent="0.2">
      <c r="A699" s="15" t="s">
        <v>206</v>
      </c>
      <c r="B699"/>
      <c r="C699">
        <v>2114.9299999999998</v>
      </c>
      <c r="H699" s="59" t="str">
        <f t="shared" si="10"/>
        <v>1st Pay Period ending 8/11/2022</v>
      </c>
      <c r="M699">
        <v>152</v>
      </c>
      <c r="N699" s="61"/>
    </row>
    <row r="700" spans="1:14" ht="12.75" customHeight="1" x14ac:dyDescent="0.2">
      <c r="A700" s="15" t="s">
        <v>206</v>
      </c>
      <c r="B700"/>
      <c r="C700">
        <v>551.19000000000005</v>
      </c>
      <c r="H700" s="59" t="str">
        <f t="shared" si="10"/>
        <v>1st Pay Period ending 8/11/2022</v>
      </c>
      <c r="M700">
        <v>18736</v>
      </c>
      <c r="N700" s="61"/>
    </row>
    <row r="701" spans="1:14" ht="12.75" customHeight="1" x14ac:dyDescent="0.2">
      <c r="A701" s="15" t="s">
        <v>206</v>
      </c>
      <c r="B701"/>
      <c r="C701">
        <v>2066</v>
      </c>
      <c r="H701" s="59" t="str">
        <f t="shared" si="10"/>
        <v>1st Pay Period ending 8/11/2022</v>
      </c>
      <c r="M701">
        <v>19014</v>
      </c>
      <c r="N701" s="61"/>
    </row>
    <row r="702" spans="1:14" ht="12.75" customHeight="1" x14ac:dyDescent="0.2">
      <c r="A702" s="15" t="s">
        <v>206</v>
      </c>
      <c r="B702"/>
      <c r="C702">
        <v>2203.6999999999998</v>
      </c>
      <c r="H702" s="59" t="str">
        <f t="shared" si="10"/>
        <v>1st Pay Period ending 8/11/2022</v>
      </c>
      <c r="M702">
        <v>18721</v>
      </c>
      <c r="N702" s="61"/>
    </row>
    <row r="703" spans="1:14" ht="12.75" customHeight="1" x14ac:dyDescent="0.2">
      <c r="A703" s="15" t="s">
        <v>206</v>
      </c>
      <c r="B703"/>
      <c r="C703">
        <v>3241.01</v>
      </c>
      <c r="H703" s="59" t="str">
        <f t="shared" si="10"/>
        <v>1st Pay Period ending 8/11/2022</v>
      </c>
      <c r="M703">
        <v>18997</v>
      </c>
      <c r="N703" s="61"/>
    </row>
    <row r="704" spans="1:14" ht="12.75" customHeight="1" x14ac:dyDescent="0.2">
      <c r="A704" s="15" t="s">
        <v>206</v>
      </c>
      <c r="B704"/>
      <c r="C704">
        <v>1750.42</v>
      </c>
      <c r="H704" s="59" t="str">
        <f t="shared" si="10"/>
        <v>1st Pay Period ending 8/11/2022</v>
      </c>
      <c r="M704">
        <v>18946</v>
      </c>
      <c r="N704" s="61"/>
    </row>
    <row r="705" spans="1:14" ht="12.75" customHeight="1" x14ac:dyDescent="0.2">
      <c r="A705" s="15" t="s">
        <v>206</v>
      </c>
      <c r="B705"/>
      <c r="C705">
        <v>3905.54</v>
      </c>
      <c r="H705" s="59" t="str">
        <f t="shared" si="10"/>
        <v>1st Pay Period ending 8/11/2022</v>
      </c>
      <c r="M705">
        <v>18920</v>
      </c>
      <c r="N705" s="61"/>
    </row>
    <row r="706" spans="1:14" ht="12.75" customHeight="1" x14ac:dyDescent="0.2">
      <c r="A706" s="15" t="s">
        <v>206</v>
      </c>
      <c r="B706"/>
      <c r="C706">
        <v>1877.69</v>
      </c>
      <c r="H706" s="59" t="str">
        <f t="shared" si="10"/>
        <v>1st Pay Period ending 8/11/2022</v>
      </c>
      <c r="M706">
        <v>18995</v>
      </c>
      <c r="N706" s="61"/>
    </row>
    <row r="707" spans="1:14" ht="12.75" customHeight="1" x14ac:dyDescent="0.2">
      <c r="A707" s="15" t="s">
        <v>206</v>
      </c>
      <c r="B707"/>
      <c r="C707">
        <v>2380.9299999999998</v>
      </c>
      <c r="H707" s="59" t="str">
        <f t="shared" ref="H707:H770" si="11">$K$1</f>
        <v>1st Pay Period ending 8/11/2022</v>
      </c>
      <c r="M707">
        <v>18987</v>
      </c>
      <c r="N707" s="61"/>
    </row>
    <row r="708" spans="1:14" ht="12.75" customHeight="1" x14ac:dyDescent="0.2">
      <c r="A708" s="15" t="s">
        <v>206</v>
      </c>
      <c r="B708"/>
      <c r="C708">
        <v>1859.08</v>
      </c>
      <c r="H708" s="59" t="str">
        <f t="shared" si="11"/>
        <v>1st Pay Period ending 8/11/2022</v>
      </c>
      <c r="M708">
        <v>18988</v>
      </c>
      <c r="N708" s="61"/>
    </row>
    <row r="709" spans="1:14" ht="12.75" customHeight="1" x14ac:dyDescent="0.2">
      <c r="A709" s="15" t="s">
        <v>206</v>
      </c>
      <c r="B709"/>
      <c r="C709">
        <v>1407.67</v>
      </c>
      <c r="H709" s="59" t="str">
        <f t="shared" si="11"/>
        <v>1st Pay Period ending 8/11/2022</v>
      </c>
      <c r="M709">
        <v>220</v>
      </c>
      <c r="N709" s="61"/>
    </row>
    <row r="710" spans="1:14" ht="12.75" customHeight="1" x14ac:dyDescent="0.2">
      <c r="A710" s="15" t="s">
        <v>206</v>
      </c>
      <c r="B710"/>
      <c r="C710">
        <v>1485.54</v>
      </c>
      <c r="H710" s="59" t="str">
        <f t="shared" si="11"/>
        <v>1st Pay Period ending 8/11/2022</v>
      </c>
      <c r="M710">
        <v>18948</v>
      </c>
      <c r="N710" s="61"/>
    </row>
    <row r="711" spans="1:14" ht="12.75" customHeight="1" x14ac:dyDescent="0.2">
      <c r="A711" s="15" t="s">
        <v>206</v>
      </c>
      <c r="B711"/>
      <c r="C711">
        <v>4278.93</v>
      </c>
      <c r="H711" s="59" t="str">
        <f t="shared" si="11"/>
        <v>1st Pay Period ending 8/11/2022</v>
      </c>
      <c r="M711">
        <v>18716</v>
      </c>
      <c r="N711" s="61"/>
    </row>
    <row r="712" spans="1:14" ht="12.75" customHeight="1" x14ac:dyDescent="0.2">
      <c r="A712" s="15" t="s">
        <v>206</v>
      </c>
      <c r="B712"/>
      <c r="C712">
        <v>2021.85</v>
      </c>
      <c r="H712" s="59" t="str">
        <f t="shared" si="11"/>
        <v>1st Pay Period ending 8/11/2022</v>
      </c>
      <c r="M712">
        <v>18862</v>
      </c>
      <c r="N712" s="61"/>
    </row>
    <row r="713" spans="1:14" ht="12.75" customHeight="1" x14ac:dyDescent="0.2">
      <c r="A713" s="15" t="s">
        <v>206</v>
      </c>
      <c r="B713"/>
      <c r="C713">
        <v>4033.84</v>
      </c>
      <c r="H713" s="59" t="str">
        <f t="shared" si="11"/>
        <v>1st Pay Period ending 8/11/2022</v>
      </c>
      <c r="M713">
        <v>18969</v>
      </c>
      <c r="N713" s="61"/>
    </row>
    <row r="714" spans="1:14" ht="12.75" customHeight="1" x14ac:dyDescent="0.2">
      <c r="A714" s="15" t="s">
        <v>206</v>
      </c>
      <c r="B714"/>
      <c r="C714">
        <v>6148.2</v>
      </c>
      <c r="H714" s="59" t="str">
        <f t="shared" si="11"/>
        <v>1st Pay Period ending 8/11/2022</v>
      </c>
      <c r="M714">
        <v>18886</v>
      </c>
      <c r="N714" s="61"/>
    </row>
    <row r="715" spans="1:14" ht="12.75" customHeight="1" x14ac:dyDescent="0.2">
      <c r="A715" s="15" t="s">
        <v>206</v>
      </c>
      <c r="B715"/>
      <c r="C715">
        <v>488.32</v>
      </c>
      <c r="H715" s="59" t="str">
        <f t="shared" si="11"/>
        <v>1st Pay Period ending 8/11/2022</v>
      </c>
      <c r="M715">
        <v>19022</v>
      </c>
      <c r="N715" s="61"/>
    </row>
    <row r="716" spans="1:14" ht="12.75" customHeight="1" x14ac:dyDescent="0.2">
      <c r="A716" s="15" t="s">
        <v>206</v>
      </c>
      <c r="B716"/>
      <c r="C716">
        <v>1853.38</v>
      </c>
      <c r="H716" s="59" t="str">
        <f t="shared" si="11"/>
        <v>1st Pay Period ending 8/11/2022</v>
      </c>
      <c r="M716">
        <v>18741</v>
      </c>
      <c r="N716" s="61"/>
    </row>
    <row r="717" spans="1:14" ht="12.75" customHeight="1" x14ac:dyDescent="0.2">
      <c r="A717" s="15" t="s">
        <v>206</v>
      </c>
      <c r="B717"/>
      <c r="C717">
        <v>1766.31</v>
      </c>
      <c r="H717" s="59" t="str">
        <f t="shared" si="11"/>
        <v>1st Pay Period ending 8/11/2022</v>
      </c>
      <c r="M717">
        <v>18968</v>
      </c>
      <c r="N717" s="61"/>
    </row>
    <row r="718" spans="1:14" ht="12.75" customHeight="1" x14ac:dyDescent="0.2">
      <c r="A718" s="15" t="s">
        <v>206</v>
      </c>
      <c r="B718"/>
      <c r="C718">
        <v>4091.74</v>
      </c>
      <c r="H718" s="59" t="str">
        <f t="shared" si="11"/>
        <v>1st Pay Period ending 8/11/2022</v>
      </c>
      <c r="M718">
        <v>18853</v>
      </c>
      <c r="N718" s="61"/>
    </row>
    <row r="719" spans="1:14" ht="12.75" customHeight="1" x14ac:dyDescent="0.2">
      <c r="A719" s="15" t="s">
        <v>206</v>
      </c>
      <c r="B719"/>
      <c r="C719">
        <v>2002</v>
      </c>
      <c r="H719" s="59" t="str">
        <f t="shared" si="11"/>
        <v>1st Pay Period ending 8/11/2022</v>
      </c>
      <c r="M719">
        <v>19025</v>
      </c>
      <c r="N719" s="61"/>
    </row>
    <row r="720" spans="1:14" ht="12.75" customHeight="1" x14ac:dyDescent="0.2">
      <c r="A720" s="15" t="s">
        <v>206</v>
      </c>
      <c r="B720"/>
      <c r="C720">
        <v>1178.71</v>
      </c>
      <c r="H720" s="59" t="str">
        <f t="shared" si="11"/>
        <v>1st Pay Period ending 8/11/2022</v>
      </c>
      <c r="M720">
        <v>18550</v>
      </c>
      <c r="N720" s="61"/>
    </row>
    <row r="721" spans="1:14" ht="12.75" customHeight="1" x14ac:dyDescent="0.2">
      <c r="A721" s="15" t="s">
        <v>206</v>
      </c>
      <c r="B721"/>
      <c r="C721">
        <v>2093.85</v>
      </c>
      <c r="H721" s="59" t="str">
        <f t="shared" si="11"/>
        <v>1st Pay Period ending 8/11/2022</v>
      </c>
      <c r="M721">
        <v>19003</v>
      </c>
      <c r="N721" s="61"/>
    </row>
    <row r="722" spans="1:14" ht="12.75" customHeight="1" x14ac:dyDescent="0.2">
      <c r="A722" s="15" t="s">
        <v>206</v>
      </c>
      <c r="B722"/>
      <c r="C722">
        <v>1953.7</v>
      </c>
      <c r="H722" s="59" t="str">
        <f t="shared" si="11"/>
        <v>1st Pay Period ending 8/11/2022</v>
      </c>
      <c r="M722">
        <v>18836</v>
      </c>
      <c r="N722" s="61"/>
    </row>
    <row r="723" spans="1:14" ht="12.75" customHeight="1" x14ac:dyDescent="0.2">
      <c r="A723" s="15" t="s">
        <v>206</v>
      </c>
      <c r="B723"/>
      <c r="C723">
        <v>2024.62</v>
      </c>
      <c r="H723" s="59" t="str">
        <f t="shared" si="11"/>
        <v>1st Pay Period ending 8/11/2022</v>
      </c>
      <c r="M723">
        <v>18619</v>
      </c>
      <c r="N723" s="61"/>
    </row>
    <row r="724" spans="1:14" ht="12.75" customHeight="1" x14ac:dyDescent="0.2">
      <c r="A724" s="15" t="s">
        <v>206</v>
      </c>
      <c r="B724"/>
      <c r="C724">
        <v>2680.68</v>
      </c>
      <c r="H724" s="59" t="str">
        <f t="shared" si="11"/>
        <v>1st Pay Period ending 8/11/2022</v>
      </c>
      <c r="M724">
        <v>18893</v>
      </c>
      <c r="N724" s="61"/>
    </row>
    <row r="725" spans="1:14" ht="12.75" customHeight="1" x14ac:dyDescent="0.2">
      <c r="A725" s="15" t="s">
        <v>206</v>
      </c>
      <c r="B725"/>
      <c r="C725">
        <v>1127.06</v>
      </c>
      <c r="H725" s="59" t="str">
        <f t="shared" si="11"/>
        <v>1st Pay Period ending 8/11/2022</v>
      </c>
      <c r="M725">
        <v>19040</v>
      </c>
      <c r="N725" s="61"/>
    </row>
    <row r="726" spans="1:14" ht="12.75" customHeight="1" x14ac:dyDescent="0.2">
      <c r="A726" s="15" t="s">
        <v>206</v>
      </c>
      <c r="B726"/>
      <c r="C726">
        <v>2031.32</v>
      </c>
      <c r="H726" s="59" t="str">
        <f t="shared" si="11"/>
        <v>1st Pay Period ending 8/11/2022</v>
      </c>
      <c r="M726">
        <v>18866</v>
      </c>
      <c r="N726" s="61"/>
    </row>
    <row r="727" spans="1:14" ht="12.75" customHeight="1" x14ac:dyDescent="0.2">
      <c r="A727" s="15" t="s">
        <v>206</v>
      </c>
      <c r="B727"/>
      <c r="C727">
        <v>1562.26</v>
      </c>
      <c r="H727" s="59" t="str">
        <f t="shared" si="11"/>
        <v>1st Pay Period ending 8/11/2022</v>
      </c>
      <c r="M727">
        <v>18891</v>
      </c>
      <c r="N727" s="61"/>
    </row>
    <row r="728" spans="1:14" ht="12.75" customHeight="1" x14ac:dyDescent="0.2">
      <c r="A728" s="15" t="s">
        <v>206</v>
      </c>
      <c r="B728"/>
      <c r="C728">
        <v>1465.99</v>
      </c>
      <c r="H728" s="59" t="str">
        <f t="shared" si="11"/>
        <v>1st Pay Period ending 8/11/2022</v>
      </c>
      <c r="M728">
        <v>18831</v>
      </c>
      <c r="N728" s="61"/>
    </row>
    <row r="729" spans="1:14" ht="12.75" customHeight="1" x14ac:dyDescent="0.2">
      <c r="A729" s="15" t="s">
        <v>206</v>
      </c>
      <c r="B729"/>
      <c r="C729">
        <v>1523.37</v>
      </c>
      <c r="H729" s="59" t="str">
        <f t="shared" si="11"/>
        <v>1st Pay Period ending 8/11/2022</v>
      </c>
      <c r="M729">
        <v>18589</v>
      </c>
      <c r="N729" s="61"/>
    </row>
    <row r="730" spans="1:14" ht="12.75" customHeight="1" x14ac:dyDescent="0.2">
      <c r="A730" s="15" t="s">
        <v>206</v>
      </c>
      <c r="B730"/>
      <c r="C730">
        <v>2135.02</v>
      </c>
      <c r="H730" s="59" t="str">
        <f t="shared" si="11"/>
        <v>1st Pay Period ending 8/11/2022</v>
      </c>
      <c r="M730">
        <v>18903</v>
      </c>
      <c r="N730" s="61"/>
    </row>
    <row r="731" spans="1:14" ht="12.75" customHeight="1" x14ac:dyDescent="0.2">
      <c r="A731" s="15" t="s">
        <v>206</v>
      </c>
      <c r="B731"/>
      <c r="C731">
        <v>1340.13</v>
      </c>
      <c r="H731" s="59" t="str">
        <f t="shared" si="11"/>
        <v>1st Pay Period ending 8/11/2022</v>
      </c>
      <c r="M731">
        <v>18893</v>
      </c>
      <c r="N731" s="61"/>
    </row>
    <row r="732" spans="1:14" ht="12.75" customHeight="1" x14ac:dyDescent="0.2">
      <c r="A732" s="15" t="s">
        <v>206</v>
      </c>
      <c r="B732"/>
      <c r="C732">
        <v>1551.38</v>
      </c>
      <c r="H732" s="59" t="str">
        <f t="shared" si="11"/>
        <v>1st Pay Period ending 8/11/2022</v>
      </c>
      <c r="M732">
        <v>18957</v>
      </c>
      <c r="N732" s="61"/>
    </row>
    <row r="733" spans="1:14" ht="12.75" customHeight="1" x14ac:dyDescent="0.2">
      <c r="A733" s="15" t="s">
        <v>206</v>
      </c>
      <c r="B733"/>
      <c r="C733">
        <v>2380.92</v>
      </c>
      <c r="H733" s="59" t="str">
        <f t="shared" si="11"/>
        <v>1st Pay Period ending 8/11/2022</v>
      </c>
      <c r="M733">
        <v>18954</v>
      </c>
      <c r="N733" s="61"/>
    </row>
    <row r="734" spans="1:14" ht="12.75" customHeight="1" x14ac:dyDescent="0.2">
      <c r="A734" s="15" t="s">
        <v>206</v>
      </c>
      <c r="B734"/>
      <c r="C734">
        <v>1290.1500000000001</v>
      </c>
      <c r="H734" s="59" t="str">
        <f t="shared" si="11"/>
        <v>1st Pay Period ending 8/11/2022</v>
      </c>
      <c r="M734">
        <v>18631</v>
      </c>
      <c r="N734" s="61"/>
    </row>
    <row r="735" spans="1:14" ht="12.75" customHeight="1" x14ac:dyDescent="0.2">
      <c r="A735" s="15" t="s">
        <v>206</v>
      </c>
      <c r="B735"/>
      <c r="C735">
        <v>1845.44</v>
      </c>
      <c r="H735" s="59" t="str">
        <f t="shared" si="11"/>
        <v>1st Pay Period ending 8/11/2022</v>
      </c>
      <c r="M735">
        <v>18879</v>
      </c>
      <c r="N735" s="61"/>
    </row>
    <row r="736" spans="1:14" ht="12.75" customHeight="1" x14ac:dyDescent="0.2">
      <c r="A736" s="15" t="s">
        <v>206</v>
      </c>
      <c r="B736"/>
      <c r="C736">
        <v>1005.24</v>
      </c>
      <c r="H736" s="59" t="str">
        <f t="shared" si="11"/>
        <v>1st Pay Period ending 8/11/2022</v>
      </c>
      <c r="M736">
        <v>18</v>
      </c>
      <c r="N736" s="61"/>
    </row>
    <row r="737" spans="1:14" ht="12.75" customHeight="1" x14ac:dyDescent="0.2">
      <c r="A737" s="15" t="s">
        <v>206</v>
      </c>
      <c r="B737"/>
      <c r="C737">
        <v>1461.1</v>
      </c>
      <c r="H737" s="59" t="str">
        <f t="shared" si="11"/>
        <v>1st Pay Period ending 8/11/2022</v>
      </c>
      <c r="M737">
        <v>18630</v>
      </c>
      <c r="N737" s="61"/>
    </row>
    <row r="738" spans="1:14" ht="12.75" customHeight="1" x14ac:dyDescent="0.2">
      <c r="A738" s="15" t="s">
        <v>206</v>
      </c>
      <c r="B738"/>
      <c r="C738">
        <v>2297.9699999999998</v>
      </c>
      <c r="H738" s="59" t="str">
        <f t="shared" si="11"/>
        <v>1st Pay Period ending 8/11/2022</v>
      </c>
      <c r="M738">
        <v>19013</v>
      </c>
      <c r="N738" s="61"/>
    </row>
    <row r="739" spans="1:14" ht="12.75" customHeight="1" x14ac:dyDescent="0.2">
      <c r="A739" s="15" t="s">
        <v>206</v>
      </c>
      <c r="B739"/>
      <c r="C739">
        <v>1630.7</v>
      </c>
      <c r="H739" s="59" t="str">
        <f t="shared" si="11"/>
        <v>1st Pay Period ending 8/11/2022</v>
      </c>
      <c r="M739">
        <v>18892</v>
      </c>
      <c r="N739" s="61"/>
    </row>
    <row r="740" spans="1:14" ht="12.75" customHeight="1" x14ac:dyDescent="0.2">
      <c r="A740" s="15" t="s">
        <v>206</v>
      </c>
      <c r="B740"/>
      <c r="C740">
        <v>1440.92</v>
      </c>
      <c r="H740" s="59" t="str">
        <f t="shared" si="11"/>
        <v>1st Pay Period ending 8/11/2022</v>
      </c>
      <c r="M740">
        <v>19033</v>
      </c>
      <c r="N740" s="61"/>
    </row>
    <row r="741" spans="1:14" ht="12.75" customHeight="1" x14ac:dyDescent="0.2">
      <c r="A741" s="15" t="s">
        <v>206</v>
      </c>
      <c r="B741"/>
      <c r="C741">
        <v>1644.12</v>
      </c>
      <c r="H741" s="59" t="str">
        <f t="shared" si="11"/>
        <v>1st Pay Period ending 8/11/2022</v>
      </c>
      <c r="M741">
        <v>18659</v>
      </c>
      <c r="N741" s="61"/>
    </row>
    <row r="742" spans="1:14" ht="12.75" customHeight="1" x14ac:dyDescent="0.2">
      <c r="A742" s="15" t="s">
        <v>206</v>
      </c>
      <c r="B742"/>
      <c r="C742">
        <v>2179.5300000000002</v>
      </c>
      <c r="H742" s="59" t="str">
        <f t="shared" si="11"/>
        <v>1st Pay Period ending 8/11/2022</v>
      </c>
      <c r="M742">
        <v>18967</v>
      </c>
      <c r="N742" s="61"/>
    </row>
    <row r="743" spans="1:14" ht="12.75" customHeight="1" x14ac:dyDescent="0.2">
      <c r="A743" s="15" t="s">
        <v>206</v>
      </c>
      <c r="B743"/>
      <c r="C743">
        <v>1006.79</v>
      </c>
      <c r="H743" s="59" t="str">
        <f t="shared" si="11"/>
        <v>1st Pay Period ending 8/11/2022</v>
      </c>
      <c r="M743">
        <v>18781</v>
      </c>
      <c r="N743" s="61"/>
    </row>
    <row r="744" spans="1:14" ht="12.75" customHeight="1" x14ac:dyDescent="0.2">
      <c r="A744" s="15" t="s">
        <v>206</v>
      </c>
      <c r="B744"/>
      <c r="C744">
        <v>2183.5700000000002</v>
      </c>
      <c r="H744" s="59" t="str">
        <f t="shared" si="11"/>
        <v>1st Pay Period ending 8/11/2022</v>
      </c>
      <c r="M744">
        <v>18911</v>
      </c>
      <c r="N744" s="61"/>
    </row>
    <row r="745" spans="1:14" ht="12.75" customHeight="1" x14ac:dyDescent="0.2">
      <c r="A745" s="15" t="s">
        <v>206</v>
      </c>
      <c r="B745"/>
      <c r="C745">
        <v>1523.12</v>
      </c>
      <c r="H745" s="59" t="str">
        <f t="shared" si="11"/>
        <v>1st Pay Period ending 8/11/2022</v>
      </c>
      <c r="M745">
        <v>18894</v>
      </c>
      <c r="N745" s="61"/>
    </row>
    <row r="746" spans="1:14" ht="12.75" customHeight="1" x14ac:dyDescent="0.2">
      <c r="A746" s="15" t="s">
        <v>206</v>
      </c>
      <c r="B746"/>
      <c r="C746">
        <v>1892.54</v>
      </c>
      <c r="H746" s="59" t="str">
        <f t="shared" si="11"/>
        <v>1st Pay Period ending 8/11/2022</v>
      </c>
      <c r="M746">
        <v>18733</v>
      </c>
      <c r="N746" s="61"/>
    </row>
    <row r="747" spans="1:14" ht="12.75" customHeight="1" x14ac:dyDescent="0.2">
      <c r="A747" s="15" t="s">
        <v>206</v>
      </c>
      <c r="B747"/>
      <c r="C747">
        <v>1046.6199999999999</v>
      </c>
      <c r="H747" s="59" t="str">
        <f t="shared" si="11"/>
        <v>1st Pay Period ending 8/11/2022</v>
      </c>
      <c r="M747">
        <v>18559</v>
      </c>
      <c r="N747" s="61"/>
    </row>
    <row r="748" spans="1:14" ht="12.75" customHeight="1" x14ac:dyDescent="0.2">
      <c r="A748" s="15" t="s">
        <v>206</v>
      </c>
      <c r="B748"/>
      <c r="C748">
        <v>1210.9100000000001</v>
      </c>
      <c r="H748" s="59" t="str">
        <f t="shared" si="11"/>
        <v>1st Pay Period ending 8/11/2022</v>
      </c>
      <c r="M748">
        <v>18687</v>
      </c>
      <c r="N748" s="61"/>
    </row>
    <row r="749" spans="1:14" ht="12.75" customHeight="1" x14ac:dyDescent="0.2">
      <c r="A749" s="15" t="s">
        <v>206</v>
      </c>
      <c r="B749"/>
      <c r="C749">
        <v>899.95</v>
      </c>
      <c r="H749" s="59" t="str">
        <f t="shared" si="11"/>
        <v>1st Pay Period ending 8/11/2022</v>
      </c>
      <c r="M749">
        <v>18960</v>
      </c>
      <c r="N749" s="61"/>
    </row>
    <row r="750" spans="1:14" ht="12.75" customHeight="1" x14ac:dyDescent="0.2">
      <c r="A750" s="15" t="s">
        <v>206</v>
      </c>
      <c r="B750"/>
      <c r="C750">
        <v>1633.55</v>
      </c>
      <c r="H750" s="59" t="str">
        <f t="shared" si="11"/>
        <v>1st Pay Period ending 8/11/2022</v>
      </c>
      <c r="M750">
        <v>18961</v>
      </c>
      <c r="N750" s="61"/>
    </row>
    <row r="751" spans="1:14" ht="12.75" customHeight="1" x14ac:dyDescent="0.2">
      <c r="A751" s="15" t="s">
        <v>206</v>
      </c>
      <c r="B751"/>
      <c r="C751">
        <v>1867.17</v>
      </c>
      <c r="H751" s="59" t="str">
        <f t="shared" si="11"/>
        <v>1st Pay Period ending 8/11/2022</v>
      </c>
      <c r="M751">
        <v>145</v>
      </c>
      <c r="N751" s="61"/>
    </row>
    <row r="752" spans="1:14" ht="12.75" customHeight="1" x14ac:dyDescent="0.2">
      <c r="A752" s="15" t="s">
        <v>206</v>
      </c>
      <c r="B752"/>
      <c r="C752">
        <v>635.98</v>
      </c>
      <c r="H752" s="59" t="str">
        <f t="shared" si="11"/>
        <v>1st Pay Period ending 8/11/2022</v>
      </c>
      <c r="M752">
        <v>141</v>
      </c>
      <c r="N752" s="61"/>
    </row>
    <row r="753" spans="1:14" ht="12.75" customHeight="1" x14ac:dyDescent="0.2">
      <c r="A753" s="15" t="s">
        <v>206</v>
      </c>
      <c r="B753"/>
      <c r="C753">
        <v>4313.03</v>
      </c>
      <c r="H753" s="59" t="str">
        <f t="shared" si="11"/>
        <v>1st Pay Period ending 8/11/2022</v>
      </c>
      <c r="M753">
        <v>11229</v>
      </c>
      <c r="N753" s="61"/>
    </row>
    <row r="754" spans="1:14" ht="12.75" customHeight="1" x14ac:dyDescent="0.2">
      <c r="A754" s="15" t="s">
        <v>206</v>
      </c>
      <c r="B754"/>
      <c r="C754">
        <v>1661.81</v>
      </c>
      <c r="H754" s="59" t="str">
        <f t="shared" si="11"/>
        <v>1st Pay Period ending 8/11/2022</v>
      </c>
      <c r="M754">
        <v>19035</v>
      </c>
      <c r="N754" s="61"/>
    </row>
    <row r="755" spans="1:14" ht="12.75" customHeight="1" x14ac:dyDescent="0.2">
      <c r="A755" s="15" t="s">
        <v>206</v>
      </c>
      <c r="B755"/>
      <c r="C755">
        <v>2095.83</v>
      </c>
      <c r="H755" s="59" t="str">
        <f t="shared" si="11"/>
        <v>1st Pay Period ending 8/11/2022</v>
      </c>
      <c r="M755">
        <v>19016</v>
      </c>
      <c r="N755" s="61"/>
    </row>
    <row r="756" spans="1:14" ht="12.75" customHeight="1" x14ac:dyDescent="0.2">
      <c r="A756" s="15" t="s">
        <v>206</v>
      </c>
      <c r="B756"/>
      <c r="C756">
        <v>870.23</v>
      </c>
      <c r="H756" s="59" t="str">
        <f t="shared" si="11"/>
        <v>1st Pay Period ending 8/11/2022</v>
      </c>
      <c r="M756">
        <v>19032</v>
      </c>
      <c r="N756" s="61"/>
    </row>
    <row r="757" spans="1:14" ht="12.75" customHeight="1" x14ac:dyDescent="0.2">
      <c r="A757" s="15" t="s">
        <v>206</v>
      </c>
      <c r="B757"/>
      <c r="C757">
        <v>1435.88</v>
      </c>
      <c r="H757" s="59" t="str">
        <f t="shared" si="11"/>
        <v>1st Pay Period ending 8/11/2022</v>
      </c>
      <c r="M757">
        <v>18973</v>
      </c>
      <c r="N757" s="61"/>
    </row>
    <row r="758" spans="1:14" ht="12.75" customHeight="1" x14ac:dyDescent="0.2">
      <c r="A758" s="15" t="s">
        <v>206</v>
      </c>
      <c r="B758"/>
      <c r="C758">
        <v>1887.16</v>
      </c>
      <c r="H758" s="59" t="str">
        <f t="shared" si="11"/>
        <v>1st Pay Period ending 8/11/2022</v>
      </c>
      <c r="M758">
        <v>18999</v>
      </c>
      <c r="N758" s="61"/>
    </row>
    <row r="759" spans="1:14" ht="12.75" customHeight="1" x14ac:dyDescent="0.2">
      <c r="A759" s="15" t="s">
        <v>206</v>
      </c>
      <c r="B759"/>
      <c r="C759">
        <v>934.31</v>
      </c>
      <c r="H759" s="59" t="str">
        <f t="shared" si="11"/>
        <v>1st Pay Period ending 8/11/2022</v>
      </c>
      <c r="M759">
        <v>19026</v>
      </c>
      <c r="N759" s="61"/>
    </row>
    <row r="760" spans="1:14" ht="12.75" customHeight="1" x14ac:dyDescent="0.2">
      <c r="A760" s="15" t="s">
        <v>206</v>
      </c>
      <c r="B760"/>
      <c r="C760">
        <v>2256.87</v>
      </c>
      <c r="H760" s="59" t="str">
        <f t="shared" si="11"/>
        <v>1st Pay Period ending 8/11/2022</v>
      </c>
      <c r="M760">
        <v>18974</v>
      </c>
      <c r="N760" s="61"/>
    </row>
    <row r="761" spans="1:14" ht="12.75" customHeight="1" x14ac:dyDescent="0.2">
      <c r="A761" s="15" t="s">
        <v>206</v>
      </c>
      <c r="B761"/>
      <c r="C761">
        <v>1858.6</v>
      </c>
      <c r="H761" s="59" t="str">
        <f t="shared" si="11"/>
        <v>1st Pay Period ending 8/11/2022</v>
      </c>
      <c r="M761">
        <v>19006</v>
      </c>
      <c r="N761" s="61"/>
    </row>
    <row r="762" spans="1:14" ht="12.75" customHeight="1" x14ac:dyDescent="0.2">
      <c r="A762" s="15" t="s">
        <v>206</v>
      </c>
      <c r="B762"/>
      <c r="C762">
        <v>1529.01</v>
      </c>
      <c r="H762" s="59" t="str">
        <f t="shared" si="11"/>
        <v>1st Pay Period ending 8/11/2022</v>
      </c>
      <c r="M762">
        <v>19007</v>
      </c>
      <c r="N762" s="61"/>
    </row>
    <row r="763" spans="1:14" ht="12.75" customHeight="1" x14ac:dyDescent="0.2">
      <c r="A763" s="15" t="s">
        <v>206</v>
      </c>
      <c r="B763"/>
      <c r="C763">
        <v>3762.77</v>
      </c>
      <c r="H763" s="59" t="str">
        <f t="shared" si="11"/>
        <v>1st Pay Period ending 8/11/2022</v>
      </c>
      <c r="M763">
        <v>18962</v>
      </c>
      <c r="N763" s="61"/>
    </row>
    <row r="764" spans="1:14" ht="12.75" customHeight="1" x14ac:dyDescent="0.2">
      <c r="A764" s="15" t="s">
        <v>206</v>
      </c>
      <c r="B764"/>
      <c r="C764">
        <v>2180.31</v>
      </c>
      <c r="H764" s="59" t="str">
        <f t="shared" si="11"/>
        <v>1st Pay Period ending 8/11/2022</v>
      </c>
      <c r="M764">
        <v>19038</v>
      </c>
      <c r="N764" s="61"/>
    </row>
    <row r="765" spans="1:14" ht="12.75" customHeight="1" x14ac:dyDescent="0.2">
      <c r="A765" s="15" t="s">
        <v>206</v>
      </c>
      <c r="B765"/>
      <c r="C765">
        <v>1670.76</v>
      </c>
      <c r="H765" s="59" t="str">
        <f t="shared" si="11"/>
        <v>1st Pay Period ending 8/11/2022</v>
      </c>
      <c r="M765">
        <v>19021</v>
      </c>
      <c r="N765" s="61"/>
    </row>
    <row r="766" spans="1:14" ht="12.75" customHeight="1" x14ac:dyDescent="0.2">
      <c r="A766" s="15" t="s">
        <v>206</v>
      </c>
      <c r="B766"/>
      <c r="C766">
        <v>1487.67</v>
      </c>
      <c r="H766" s="59" t="str">
        <f t="shared" si="11"/>
        <v>1st Pay Period ending 8/11/2022</v>
      </c>
      <c r="M766">
        <v>19027</v>
      </c>
      <c r="N766" s="61"/>
    </row>
    <row r="767" spans="1:14" ht="12.75" customHeight="1" x14ac:dyDescent="0.2">
      <c r="A767" s="15" t="s">
        <v>206</v>
      </c>
      <c r="B767"/>
      <c r="C767">
        <v>1668.24</v>
      </c>
      <c r="H767" s="59" t="str">
        <f t="shared" si="11"/>
        <v>1st Pay Period ending 8/11/2022</v>
      </c>
      <c r="M767">
        <v>18980</v>
      </c>
      <c r="N767" s="61"/>
    </row>
    <row r="768" spans="1:14" ht="12.75" customHeight="1" x14ac:dyDescent="0.2">
      <c r="A768" s="15" t="s">
        <v>206</v>
      </c>
      <c r="B768"/>
      <c r="C768">
        <v>1171.56</v>
      </c>
      <c r="H768" s="59" t="str">
        <f t="shared" si="11"/>
        <v>1st Pay Period ending 8/11/2022</v>
      </c>
      <c r="M768">
        <v>18581</v>
      </c>
      <c r="N768" s="61"/>
    </row>
    <row r="769" spans="1:14" ht="12.75" customHeight="1" x14ac:dyDescent="0.2">
      <c r="A769" s="15" t="s">
        <v>206</v>
      </c>
      <c r="B769"/>
      <c r="C769">
        <v>3550.9</v>
      </c>
      <c r="H769" s="59" t="str">
        <f t="shared" si="11"/>
        <v>1st Pay Period ending 8/11/2022</v>
      </c>
      <c r="M769">
        <v>44705</v>
      </c>
      <c r="N769" s="61"/>
    </row>
    <row r="770" spans="1:14" ht="12.75" customHeight="1" x14ac:dyDescent="0.2">
      <c r="A770" s="15" t="s">
        <v>206</v>
      </c>
      <c r="B770"/>
      <c r="C770">
        <v>2380.92</v>
      </c>
      <c r="H770" s="59" t="str">
        <f t="shared" si="11"/>
        <v>1st Pay Period ending 8/11/2022</v>
      </c>
      <c r="M770">
        <v>19034</v>
      </c>
      <c r="N770" s="61"/>
    </row>
    <row r="771" spans="1:14" ht="12.75" customHeight="1" x14ac:dyDescent="0.2">
      <c r="A771" s="15" t="s">
        <v>206</v>
      </c>
      <c r="B771"/>
      <c r="C771">
        <v>1416.16</v>
      </c>
      <c r="H771" s="59" t="str">
        <f t="shared" ref="H771:H834" si="12">$K$1</f>
        <v>1st Pay Period ending 8/11/2022</v>
      </c>
      <c r="M771">
        <v>18805</v>
      </c>
      <c r="N771" s="61"/>
    </row>
    <row r="772" spans="1:14" ht="12.75" customHeight="1" x14ac:dyDescent="0.2">
      <c r="A772" s="15" t="s">
        <v>206</v>
      </c>
      <c r="B772"/>
      <c r="C772">
        <v>1819.68</v>
      </c>
      <c r="H772" s="59" t="str">
        <f t="shared" si="12"/>
        <v>1st Pay Period ending 8/11/2022</v>
      </c>
      <c r="M772">
        <v>18982</v>
      </c>
      <c r="N772" s="61"/>
    </row>
    <row r="773" spans="1:14" ht="12.75" customHeight="1" x14ac:dyDescent="0.2">
      <c r="A773" s="15" t="s">
        <v>206</v>
      </c>
      <c r="B773"/>
      <c r="C773">
        <v>1733.84</v>
      </c>
      <c r="H773" s="59" t="str">
        <f t="shared" si="12"/>
        <v>1st Pay Period ending 8/11/2022</v>
      </c>
      <c r="M773">
        <v>18841</v>
      </c>
      <c r="N773" s="61"/>
    </row>
    <row r="774" spans="1:14" ht="12.75" customHeight="1" x14ac:dyDescent="0.2">
      <c r="A774" s="15" t="s">
        <v>206</v>
      </c>
      <c r="B774"/>
      <c r="C774">
        <v>1492.64</v>
      </c>
      <c r="H774" s="59" t="str">
        <f t="shared" si="12"/>
        <v>1st Pay Period ending 8/11/2022</v>
      </c>
      <c r="M774">
        <v>266</v>
      </c>
      <c r="N774" s="61"/>
    </row>
    <row r="775" spans="1:14" ht="12.75" customHeight="1" x14ac:dyDescent="0.2">
      <c r="A775" s="15" t="s">
        <v>206</v>
      </c>
      <c r="B775"/>
      <c r="C775">
        <v>421.96</v>
      </c>
      <c r="H775" s="59" t="str">
        <f t="shared" si="12"/>
        <v>1st Pay Period ending 8/11/2022</v>
      </c>
      <c r="M775">
        <v>302</v>
      </c>
      <c r="N775" s="61"/>
    </row>
    <row r="776" spans="1:14" ht="12.75" customHeight="1" x14ac:dyDescent="0.2">
      <c r="A776" s="15" t="s">
        <v>206</v>
      </c>
      <c r="B776"/>
      <c r="C776">
        <v>2328.31</v>
      </c>
      <c r="H776" s="59" t="str">
        <f t="shared" si="12"/>
        <v>1st Pay Period ending 8/11/2022</v>
      </c>
      <c r="M776">
        <v>18827</v>
      </c>
      <c r="N776" s="61"/>
    </row>
    <row r="777" spans="1:14" ht="12.75" customHeight="1" x14ac:dyDescent="0.2">
      <c r="A777" s="15" t="s">
        <v>206</v>
      </c>
      <c r="B777"/>
      <c r="C777">
        <v>2604.88</v>
      </c>
      <c r="H777" s="59" t="str">
        <f t="shared" si="12"/>
        <v>1st Pay Period ending 8/11/2022</v>
      </c>
      <c r="M777">
        <v>18949</v>
      </c>
      <c r="N777" s="61"/>
    </row>
    <row r="778" spans="1:14" ht="12.75" customHeight="1" x14ac:dyDescent="0.2">
      <c r="A778" s="15" t="s">
        <v>206</v>
      </c>
      <c r="B778"/>
      <c r="C778">
        <v>1134.19</v>
      </c>
      <c r="H778" s="59" t="str">
        <f t="shared" si="12"/>
        <v>1st Pay Period ending 8/11/2022</v>
      </c>
      <c r="M778">
        <v>134</v>
      </c>
      <c r="N778" s="61"/>
    </row>
    <row r="779" spans="1:14" ht="12.75" customHeight="1" x14ac:dyDescent="0.2">
      <c r="A779" s="15" t="s">
        <v>206</v>
      </c>
      <c r="B779"/>
      <c r="C779">
        <v>1941.43</v>
      </c>
      <c r="D779" s="82"/>
      <c r="H779" s="59" t="str">
        <f t="shared" si="12"/>
        <v>1st Pay Period ending 8/11/2022</v>
      </c>
      <c r="M779">
        <v>18797</v>
      </c>
      <c r="N779" s="61"/>
    </row>
    <row r="780" spans="1:14" ht="12.75" customHeight="1" x14ac:dyDescent="0.2">
      <c r="A780" s="15" t="s">
        <v>206</v>
      </c>
      <c r="B780"/>
      <c r="C780">
        <v>2633.54</v>
      </c>
      <c r="H780" s="59" t="str">
        <f t="shared" si="12"/>
        <v>1st Pay Period ending 8/11/2022</v>
      </c>
      <c r="M780">
        <v>18626</v>
      </c>
      <c r="N780" s="61"/>
    </row>
    <row r="781" spans="1:14" ht="12.75" customHeight="1" x14ac:dyDescent="0.2">
      <c r="A781" s="15" t="s">
        <v>206</v>
      </c>
      <c r="B781"/>
      <c r="C781">
        <v>1990.03</v>
      </c>
      <c r="H781" s="59" t="str">
        <f t="shared" si="12"/>
        <v>1st Pay Period ending 8/11/2022</v>
      </c>
      <c r="M781">
        <v>18887</v>
      </c>
      <c r="N781" s="61"/>
    </row>
    <row r="782" spans="1:14" ht="12.75" customHeight="1" x14ac:dyDescent="0.2">
      <c r="A782" s="15" t="s">
        <v>206</v>
      </c>
      <c r="B782"/>
      <c r="C782">
        <v>1044.32</v>
      </c>
      <c r="H782" s="59" t="str">
        <f t="shared" si="12"/>
        <v>1st Pay Period ending 8/11/2022</v>
      </c>
      <c r="M782">
        <v>18929</v>
      </c>
      <c r="N782" s="61"/>
    </row>
    <row r="783" spans="1:14" ht="12.75" customHeight="1" x14ac:dyDescent="0.2">
      <c r="A783" s="15" t="s">
        <v>206</v>
      </c>
      <c r="B783"/>
      <c r="C783">
        <v>3125.6</v>
      </c>
      <c r="H783" s="59" t="str">
        <f t="shared" si="12"/>
        <v>1st Pay Period ending 8/11/2022</v>
      </c>
      <c r="M783">
        <v>18901</v>
      </c>
      <c r="N783" s="61"/>
    </row>
    <row r="784" spans="1:14" ht="12.75" customHeight="1" x14ac:dyDescent="0.2">
      <c r="A784" s="15" t="s">
        <v>206</v>
      </c>
      <c r="B784"/>
      <c r="C784">
        <v>1679.84</v>
      </c>
      <c r="H784" s="59" t="str">
        <f t="shared" si="12"/>
        <v>1st Pay Period ending 8/11/2022</v>
      </c>
      <c r="M784">
        <v>18822</v>
      </c>
      <c r="N784" s="61"/>
    </row>
    <row r="785" spans="1:14" ht="12.75" customHeight="1" x14ac:dyDescent="0.2">
      <c r="A785" s="15" t="s">
        <v>206</v>
      </c>
      <c r="B785"/>
      <c r="C785">
        <v>2400.41</v>
      </c>
      <c r="H785" s="59" t="str">
        <f t="shared" si="12"/>
        <v>1st Pay Period ending 8/11/2022</v>
      </c>
      <c r="M785">
        <v>18918</v>
      </c>
      <c r="N785" s="61"/>
    </row>
    <row r="786" spans="1:14" ht="12.75" customHeight="1" x14ac:dyDescent="0.2">
      <c r="A786" s="15" t="s">
        <v>206</v>
      </c>
      <c r="B786"/>
      <c r="C786">
        <v>1725.42</v>
      </c>
      <c r="H786" s="59" t="str">
        <f t="shared" si="12"/>
        <v>1st Pay Period ending 8/11/2022</v>
      </c>
      <c r="M786">
        <v>18979</v>
      </c>
      <c r="N786" s="61"/>
    </row>
    <row r="787" spans="1:14" ht="12.75" customHeight="1" x14ac:dyDescent="0.2">
      <c r="A787" s="15" t="s">
        <v>206</v>
      </c>
      <c r="B787"/>
      <c r="C787">
        <v>2151.31</v>
      </c>
      <c r="H787" s="59" t="str">
        <f t="shared" si="12"/>
        <v>1st Pay Period ending 8/11/2022</v>
      </c>
      <c r="M787">
        <v>18989</v>
      </c>
      <c r="N787" s="61"/>
    </row>
    <row r="788" spans="1:14" ht="12.75" customHeight="1" x14ac:dyDescent="0.2">
      <c r="A788" s="15" t="s">
        <v>206</v>
      </c>
      <c r="B788"/>
      <c r="C788">
        <v>1653.54</v>
      </c>
      <c r="H788" s="59" t="str">
        <f t="shared" si="12"/>
        <v>1st Pay Period ending 8/11/2022</v>
      </c>
      <c r="M788">
        <v>18736</v>
      </c>
      <c r="N788" s="61"/>
    </row>
    <row r="789" spans="1:14" ht="12.75" customHeight="1" x14ac:dyDescent="0.2">
      <c r="A789" s="15" t="s">
        <v>206</v>
      </c>
      <c r="B789"/>
      <c r="C789">
        <v>2181.37</v>
      </c>
      <c r="H789" s="59" t="str">
        <f t="shared" si="12"/>
        <v>1st Pay Period ending 8/11/2022</v>
      </c>
      <c r="M789">
        <v>18607</v>
      </c>
      <c r="N789" s="61"/>
    </row>
    <row r="790" spans="1:14" ht="12.75" customHeight="1" x14ac:dyDescent="0.2">
      <c r="A790" s="15" t="s">
        <v>206</v>
      </c>
      <c r="B790"/>
      <c r="C790">
        <v>2172.44</v>
      </c>
      <c r="H790" s="59" t="str">
        <f t="shared" si="12"/>
        <v>1st Pay Period ending 8/11/2022</v>
      </c>
      <c r="M790">
        <v>19009</v>
      </c>
      <c r="N790" s="61"/>
    </row>
    <row r="791" spans="1:14" ht="12.75" customHeight="1" x14ac:dyDescent="0.2">
      <c r="A791" s="15" t="s">
        <v>206</v>
      </c>
      <c r="B791"/>
      <c r="C791">
        <v>1491.86</v>
      </c>
      <c r="H791" s="59" t="str">
        <f t="shared" si="12"/>
        <v>1st Pay Period ending 8/11/2022</v>
      </c>
      <c r="M791">
        <v>18932</v>
      </c>
      <c r="N791" s="61"/>
    </row>
    <row r="792" spans="1:14" ht="12.75" customHeight="1" x14ac:dyDescent="0.2">
      <c r="A792" s="15" t="s">
        <v>206</v>
      </c>
      <c r="B792"/>
      <c r="C792">
        <v>1089.47</v>
      </c>
      <c r="H792" s="59" t="str">
        <f t="shared" si="12"/>
        <v>1st Pay Period ending 8/11/2022</v>
      </c>
      <c r="M792">
        <v>19008</v>
      </c>
      <c r="N792" s="61"/>
    </row>
    <row r="793" spans="1:14" ht="12.75" customHeight="1" x14ac:dyDescent="0.2">
      <c r="A793" s="15" t="s">
        <v>206</v>
      </c>
      <c r="B793"/>
      <c r="C793">
        <v>1983.58</v>
      </c>
      <c r="H793" s="59" t="str">
        <f t="shared" si="12"/>
        <v>1st Pay Period ending 8/11/2022</v>
      </c>
      <c r="M793">
        <v>19012</v>
      </c>
      <c r="N793" s="61"/>
    </row>
    <row r="794" spans="1:14" ht="12.75" customHeight="1" x14ac:dyDescent="0.2">
      <c r="A794" s="15" t="s">
        <v>206</v>
      </c>
      <c r="B794"/>
      <c r="C794">
        <v>2113.25</v>
      </c>
      <c r="H794" s="59" t="str">
        <f t="shared" si="12"/>
        <v>1st Pay Period ending 8/11/2022</v>
      </c>
      <c r="M794">
        <v>19011</v>
      </c>
      <c r="N794" s="61"/>
    </row>
    <row r="795" spans="1:14" ht="12.75" customHeight="1" x14ac:dyDescent="0.2">
      <c r="A795" s="15" t="s">
        <v>206</v>
      </c>
      <c r="B795"/>
      <c r="C795">
        <v>1981.22</v>
      </c>
      <c r="H795" s="59" t="str">
        <f t="shared" si="12"/>
        <v>1st Pay Period ending 8/11/2022</v>
      </c>
      <c r="M795">
        <v>19017</v>
      </c>
      <c r="N795" s="61"/>
    </row>
    <row r="796" spans="1:14" ht="12.75" customHeight="1" x14ac:dyDescent="0.2">
      <c r="A796" s="15" t="s">
        <v>206</v>
      </c>
      <c r="B796"/>
      <c r="C796">
        <v>1925.13</v>
      </c>
      <c r="H796" s="59" t="str">
        <f t="shared" si="12"/>
        <v>1st Pay Period ending 8/11/2022</v>
      </c>
      <c r="M796">
        <v>19019</v>
      </c>
      <c r="N796" s="61"/>
    </row>
    <row r="797" spans="1:14" ht="12.75" customHeight="1" x14ac:dyDescent="0.2">
      <c r="A797" s="15" t="s">
        <v>206</v>
      </c>
      <c r="B797"/>
      <c r="C797">
        <v>1900.92</v>
      </c>
      <c r="H797" s="59" t="str">
        <f t="shared" si="12"/>
        <v>1st Pay Period ending 8/11/2022</v>
      </c>
      <c r="M797">
        <v>19015</v>
      </c>
      <c r="N797" s="61"/>
    </row>
    <row r="798" spans="1:14" ht="12.75" customHeight="1" x14ac:dyDescent="0.2">
      <c r="A798" s="15" t="s">
        <v>206</v>
      </c>
      <c r="B798"/>
      <c r="C798">
        <v>2370.87</v>
      </c>
      <c r="H798" s="59" t="str">
        <f t="shared" si="12"/>
        <v>1st Pay Period ending 8/11/2022</v>
      </c>
      <c r="M798">
        <v>18983</v>
      </c>
      <c r="N798" s="61"/>
    </row>
    <row r="799" spans="1:14" ht="12.75" customHeight="1" x14ac:dyDescent="0.2">
      <c r="A799" s="15" t="s">
        <v>206</v>
      </c>
      <c r="B799"/>
      <c r="C799">
        <v>2113.69</v>
      </c>
      <c r="H799" s="59" t="str">
        <f t="shared" si="12"/>
        <v>1st Pay Period ending 8/11/2022</v>
      </c>
      <c r="M799">
        <v>19028</v>
      </c>
      <c r="N799" s="61"/>
    </row>
    <row r="800" spans="1:14" ht="12.75" customHeight="1" x14ac:dyDescent="0.2">
      <c r="A800" s="15" t="s">
        <v>206</v>
      </c>
      <c r="B800"/>
      <c r="C800">
        <v>1515.27</v>
      </c>
      <c r="H800" s="59" t="str">
        <f t="shared" si="12"/>
        <v>1st Pay Period ending 8/11/2022</v>
      </c>
      <c r="M800">
        <v>18679</v>
      </c>
      <c r="N800" s="61"/>
    </row>
    <row r="801" spans="1:14" ht="12.75" customHeight="1" x14ac:dyDescent="0.2">
      <c r="A801" s="15" t="s">
        <v>206</v>
      </c>
      <c r="B801"/>
      <c r="C801">
        <v>1160.6099999999999</v>
      </c>
      <c r="H801" s="59" t="str">
        <f t="shared" si="12"/>
        <v>1st Pay Period ending 8/11/2022</v>
      </c>
      <c r="M801">
        <v>18923</v>
      </c>
      <c r="N801" s="61"/>
    </row>
    <row r="802" spans="1:14" ht="12.75" customHeight="1" x14ac:dyDescent="0.2">
      <c r="A802" s="15" t="s">
        <v>206</v>
      </c>
      <c r="B802"/>
      <c r="C802">
        <v>2389.06</v>
      </c>
      <c r="H802" s="59" t="str">
        <f t="shared" si="12"/>
        <v>1st Pay Period ending 8/11/2022</v>
      </c>
      <c r="M802">
        <v>18829</v>
      </c>
      <c r="N802" s="61"/>
    </row>
    <row r="803" spans="1:14" ht="12.75" customHeight="1" x14ac:dyDescent="0.2">
      <c r="A803" s="15" t="s">
        <v>206</v>
      </c>
      <c r="B803"/>
      <c r="C803">
        <v>1702.99</v>
      </c>
      <c r="H803" s="59" t="str">
        <f t="shared" si="12"/>
        <v>1st Pay Period ending 8/11/2022</v>
      </c>
      <c r="M803">
        <v>19030</v>
      </c>
      <c r="N803" s="61"/>
    </row>
    <row r="804" spans="1:14" ht="12.75" customHeight="1" x14ac:dyDescent="0.2">
      <c r="A804" s="15" t="s">
        <v>206</v>
      </c>
      <c r="B804"/>
      <c r="C804">
        <v>2269.5</v>
      </c>
      <c r="H804" s="59" t="str">
        <f t="shared" si="12"/>
        <v>1st Pay Period ending 8/11/2022</v>
      </c>
      <c r="M804">
        <v>19029</v>
      </c>
      <c r="N804" s="61"/>
    </row>
    <row r="805" spans="1:14" ht="12.75" customHeight="1" x14ac:dyDescent="0.2">
      <c r="A805" s="15" t="s">
        <v>206</v>
      </c>
      <c r="B805"/>
      <c r="C805">
        <v>1341.08</v>
      </c>
      <c r="H805" s="59" t="str">
        <f t="shared" si="12"/>
        <v>1st Pay Period ending 8/11/2022</v>
      </c>
      <c r="M805">
        <v>18998</v>
      </c>
      <c r="N805" s="61"/>
    </row>
    <row r="806" spans="1:14" ht="12.75" customHeight="1" x14ac:dyDescent="0.2">
      <c r="A806" s="15" t="s">
        <v>206</v>
      </c>
      <c r="B806"/>
      <c r="C806">
        <v>2283.62</v>
      </c>
      <c r="H806" s="59" t="str">
        <f t="shared" si="12"/>
        <v>1st Pay Period ending 8/11/2022</v>
      </c>
      <c r="M806">
        <v>115</v>
      </c>
      <c r="N806" s="61"/>
    </row>
    <row r="807" spans="1:14" ht="12.75" customHeight="1" x14ac:dyDescent="0.2">
      <c r="A807" s="15" t="s">
        <v>206</v>
      </c>
      <c r="B807"/>
      <c r="C807">
        <v>1704.31</v>
      </c>
      <c r="H807" s="59" t="str">
        <f t="shared" si="12"/>
        <v>1st Pay Period ending 8/11/2022</v>
      </c>
      <c r="M807">
        <v>19020</v>
      </c>
      <c r="N807" s="61"/>
    </row>
    <row r="808" spans="1:14" ht="12.75" customHeight="1" x14ac:dyDescent="0.2">
      <c r="A808" s="15" t="s">
        <v>206</v>
      </c>
      <c r="B808"/>
      <c r="C808">
        <v>2317.38</v>
      </c>
      <c r="H808" s="59" t="str">
        <f t="shared" si="12"/>
        <v>1st Pay Period ending 8/11/2022</v>
      </c>
      <c r="M808">
        <v>18649</v>
      </c>
      <c r="N808" s="61"/>
    </row>
    <row r="809" spans="1:14" ht="12.75" customHeight="1" x14ac:dyDescent="0.2">
      <c r="A809" s="15" t="s">
        <v>206</v>
      </c>
      <c r="B809"/>
      <c r="C809">
        <v>1087.76</v>
      </c>
      <c r="H809" s="59" t="str">
        <f t="shared" si="12"/>
        <v>1st Pay Period ending 8/11/2022</v>
      </c>
      <c r="M809">
        <v>18839</v>
      </c>
      <c r="N809" s="61"/>
    </row>
    <row r="810" spans="1:14" ht="12.75" customHeight="1" x14ac:dyDescent="0.2">
      <c r="A810" s="15" t="s">
        <v>206</v>
      </c>
      <c r="B810"/>
      <c r="C810">
        <v>1359.13</v>
      </c>
      <c r="H810" s="59" t="str">
        <f t="shared" si="12"/>
        <v>1st Pay Period ending 8/11/2022</v>
      </c>
      <c r="M810">
        <v>18904</v>
      </c>
      <c r="N810" s="61"/>
    </row>
    <row r="811" spans="1:14" ht="12.75" customHeight="1" x14ac:dyDescent="0.2">
      <c r="A811" s="15" t="s">
        <v>206</v>
      </c>
      <c r="B811"/>
      <c r="C811">
        <v>1116.19</v>
      </c>
      <c r="H811" s="59" t="str">
        <f t="shared" si="12"/>
        <v>1st Pay Period ending 8/11/2022</v>
      </c>
      <c r="M811">
        <v>18650</v>
      </c>
      <c r="N811" s="61"/>
    </row>
    <row r="812" spans="1:14" ht="12.75" customHeight="1" x14ac:dyDescent="0.2">
      <c r="A812" s="15" t="s">
        <v>206</v>
      </c>
      <c r="B812"/>
      <c r="C812">
        <v>2619.5500000000002</v>
      </c>
      <c r="H812" s="59" t="str">
        <f t="shared" si="12"/>
        <v>1st Pay Period ending 8/11/2022</v>
      </c>
      <c r="M812">
        <v>18713</v>
      </c>
      <c r="N812" s="61"/>
    </row>
    <row r="813" spans="1:14" ht="12.75" customHeight="1" x14ac:dyDescent="0.2">
      <c r="A813" s="15" t="s">
        <v>206</v>
      </c>
      <c r="B813"/>
      <c r="C813">
        <v>1098.8399999999999</v>
      </c>
      <c r="H813" s="59" t="str">
        <f t="shared" si="12"/>
        <v>1st Pay Period ending 8/11/2022</v>
      </c>
      <c r="M813">
        <v>18924</v>
      </c>
      <c r="N813" s="61"/>
    </row>
    <row r="814" spans="1:14" ht="12.75" customHeight="1" x14ac:dyDescent="0.2">
      <c r="A814" s="15" t="s">
        <v>206</v>
      </c>
      <c r="B814"/>
      <c r="C814">
        <v>480.05</v>
      </c>
      <c r="H814" s="59" t="str">
        <f t="shared" si="12"/>
        <v>1st Pay Period ending 8/11/2022</v>
      </c>
      <c r="M814">
        <v>18917</v>
      </c>
      <c r="N814" s="61"/>
    </row>
    <row r="815" spans="1:14" ht="12.75" customHeight="1" x14ac:dyDescent="0.2">
      <c r="A815" s="15" t="s">
        <v>206</v>
      </c>
      <c r="B815"/>
      <c r="C815">
        <v>1669.76</v>
      </c>
      <c r="H815" s="59" t="str">
        <f t="shared" si="12"/>
        <v>1st Pay Period ending 8/11/2022</v>
      </c>
      <c r="M815">
        <v>18986</v>
      </c>
      <c r="N815" s="61"/>
    </row>
    <row r="816" spans="1:14" ht="12.75" customHeight="1" x14ac:dyDescent="0.2">
      <c r="A816" s="15" t="s">
        <v>206</v>
      </c>
      <c r="B816"/>
      <c r="C816">
        <v>1652.93</v>
      </c>
      <c r="H816" s="59" t="str">
        <f t="shared" si="12"/>
        <v>1st Pay Period ending 8/11/2022</v>
      </c>
      <c r="M816">
        <v>19039</v>
      </c>
      <c r="N816" s="61"/>
    </row>
    <row r="817" spans="1:14" ht="12.75" customHeight="1" x14ac:dyDescent="0.2">
      <c r="A817" s="15" t="s">
        <v>206</v>
      </c>
      <c r="B817"/>
      <c r="C817">
        <v>1949.44</v>
      </c>
      <c r="H817" s="59" t="str">
        <f t="shared" si="12"/>
        <v>1st Pay Period ending 8/11/2022</v>
      </c>
      <c r="M817">
        <v>18942</v>
      </c>
      <c r="N817" s="61"/>
    </row>
    <row r="818" spans="1:14" ht="12.75" customHeight="1" x14ac:dyDescent="0.2">
      <c r="A818" s="15" t="s">
        <v>206</v>
      </c>
      <c r="B818"/>
      <c r="C818">
        <v>1000.32</v>
      </c>
      <c r="H818" s="59" t="str">
        <f t="shared" si="12"/>
        <v>1st Pay Period ending 8/11/2022</v>
      </c>
      <c r="M818">
        <v>18990</v>
      </c>
      <c r="N818" s="61"/>
    </row>
    <row r="819" spans="1:14" ht="12.75" customHeight="1" x14ac:dyDescent="0.2">
      <c r="A819" s="15" t="s">
        <v>206</v>
      </c>
      <c r="B819"/>
      <c r="C819">
        <v>2076.34</v>
      </c>
      <c r="H819" s="59" t="str">
        <f t="shared" si="12"/>
        <v>1st Pay Period ending 8/11/2022</v>
      </c>
      <c r="M819">
        <v>18703</v>
      </c>
      <c r="N819" s="61"/>
    </row>
    <row r="820" spans="1:14" ht="12.75" customHeight="1" x14ac:dyDescent="0.2">
      <c r="A820" s="15" t="s">
        <v>206</v>
      </c>
      <c r="B820"/>
      <c r="C820">
        <v>884.23</v>
      </c>
      <c r="H820" s="59" t="str">
        <f t="shared" si="12"/>
        <v>1st Pay Period ending 8/11/2022</v>
      </c>
      <c r="M820">
        <v>18850</v>
      </c>
      <c r="N820" s="61"/>
    </row>
    <row r="821" spans="1:14" ht="12.75" customHeight="1" x14ac:dyDescent="0.2">
      <c r="A821" s="15" t="s">
        <v>206</v>
      </c>
      <c r="B821"/>
      <c r="C821">
        <v>1910.57</v>
      </c>
      <c r="H821" s="59" t="str">
        <f t="shared" si="12"/>
        <v>1st Pay Period ending 8/11/2022</v>
      </c>
      <c r="M821">
        <v>18646</v>
      </c>
      <c r="N821" s="61"/>
    </row>
    <row r="822" spans="1:14" ht="12.75" customHeight="1" x14ac:dyDescent="0.2">
      <c r="A822" s="15" t="s">
        <v>206</v>
      </c>
      <c r="B822"/>
      <c r="C822">
        <v>816.93</v>
      </c>
      <c r="H822" s="59" t="str">
        <f t="shared" si="12"/>
        <v>1st Pay Period ending 8/11/2022</v>
      </c>
      <c r="M822">
        <v>19023</v>
      </c>
      <c r="N822" s="61"/>
    </row>
    <row r="823" spans="1:14" ht="12.75" customHeight="1" x14ac:dyDescent="0.2">
      <c r="A823" s="15" t="s">
        <v>206</v>
      </c>
      <c r="B823"/>
      <c r="C823">
        <v>36.46</v>
      </c>
      <c r="H823" s="59" t="str">
        <f t="shared" si="12"/>
        <v>1st Pay Period ending 8/11/2022</v>
      </c>
      <c r="M823">
        <v>18858</v>
      </c>
      <c r="N823" s="61"/>
    </row>
    <row r="824" spans="1:14" ht="12.75" customHeight="1" x14ac:dyDescent="0.2">
      <c r="A824" s="15" t="s">
        <v>206</v>
      </c>
      <c r="B824"/>
      <c r="C824">
        <v>1509.55</v>
      </c>
      <c r="H824" s="59" t="str">
        <f t="shared" si="12"/>
        <v>1st Pay Period ending 8/11/2022</v>
      </c>
      <c r="M824">
        <v>18970</v>
      </c>
      <c r="N824" s="61"/>
    </row>
    <row r="825" spans="1:14" ht="12.75" customHeight="1" x14ac:dyDescent="0.2">
      <c r="A825" s="15" t="s">
        <v>206</v>
      </c>
      <c r="B825"/>
      <c r="C825">
        <v>1802.31</v>
      </c>
      <c r="H825" s="59" t="str">
        <f t="shared" si="12"/>
        <v>1st Pay Period ending 8/11/2022</v>
      </c>
      <c r="M825">
        <v>18976</v>
      </c>
      <c r="N825" s="61"/>
    </row>
    <row r="826" spans="1:14" ht="12.75" customHeight="1" x14ac:dyDescent="0.2">
      <c r="A826" s="15" t="s">
        <v>206</v>
      </c>
      <c r="B826"/>
      <c r="C826">
        <v>2632.62</v>
      </c>
      <c r="H826" s="59" t="str">
        <f t="shared" si="12"/>
        <v>1st Pay Period ending 8/11/2022</v>
      </c>
      <c r="M826">
        <v>19031</v>
      </c>
      <c r="N826" s="61"/>
    </row>
    <row r="827" spans="1:14" ht="12.75" customHeight="1" x14ac:dyDescent="0.2">
      <c r="A827" s="15" t="s">
        <v>206</v>
      </c>
      <c r="B827"/>
      <c r="C827">
        <v>2064.92</v>
      </c>
      <c r="H827" s="59" t="str">
        <f t="shared" si="12"/>
        <v>1st Pay Period ending 8/11/2022</v>
      </c>
      <c r="M827">
        <v>18442</v>
      </c>
      <c r="N827" s="61"/>
    </row>
    <row r="828" spans="1:14" ht="12.75" customHeight="1" x14ac:dyDescent="0.2">
      <c r="A828" s="15" t="s">
        <v>206</v>
      </c>
      <c r="B828"/>
      <c r="C828">
        <v>1255.45</v>
      </c>
      <c r="H828" s="59" t="str">
        <f t="shared" si="12"/>
        <v>1st Pay Period ending 8/11/2022</v>
      </c>
      <c r="M828">
        <v>18927</v>
      </c>
      <c r="N828" s="61"/>
    </row>
    <row r="829" spans="1:14" ht="12.75" customHeight="1" x14ac:dyDescent="0.2">
      <c r="A829" s="15" t="s">
        <v>206</v>
      </c>
      <c r="B829"/>
      <c r="C829">
        <v>1430.9</v>
      </c>
      <c r="H829" s="59" t="str">
        <f t="shared" si="12"/>
        <v>1st Pay Period ending 8/11/2022</v>
      </c>
      <c r="M829">
        <v>18895</v>
      </c>
      <c r="N829" s="61"/>
    </row>
    <row r="830" spans="1:14" ht="12.75" customHeight="1" x14ac:dyDescent="0.2">
      <c r="A830" s="15" t="s">
        <v>206</v>
      </c>
      <c r="B830"/>
      <c r="C830">
        <v>2319.38</v>
      </c>
      <c r="H830" s="59" t="str">
        <f t="shared" si="12"/>
        <v>1st Pay Period ending 8/11/2022</v>
      </c>
      <c r="M830">
        <v>261</v>
      </c>
      <c r="N830" s="61"/>
    </row>
    <row r="831" spans="1:14" ht="12.75" customHeight="1" x14ac:dyDescent="0.2">
      <c r="A831" s="15" t="s">
        <v>206</v>
      </c>
      <c r="B831"/>
      <c r="C831">
        <v>847.6</v>
      </c>
      <c r="H831" s="59" t="str">
        <f t="shared" si="12"/>
        <v>1st Pay Period ending 8/11/2022</v>
      </c>
      <c r="M831">
        <v>18634</v>
      </c>
      <c r="N831" s="61"/>
    </row>
    <row r="832" spans="1:14" ht="12.75" customHeight="1" x14ac:dyDescent="0.2">
      <c r="A832" s="15" t="s">
        <v>206</v>
      </c>
      <c r="B832"/>
      <c r="C832">
        <v>1050.7</v>
      </c>
      <c r="H832" s="59" t="str">
        <f t="shared" si="12"/>
        <v>1st Pay Period ending 8/11/2022</v>
      </c>
      <c r="M832">
        <v>18996</v>
      </c>
      <c r="N832" s="61"/>
    </row>
    <row r="833" spans="1:14" ht="12.75" customHeight="1" x14ac:dyDescent="0.2">
      <c r="A833" s="15" t="s">
        <v>206</v>
      </c>
      <c r="B833"/>
      <c r="C833">
        <v>830.91</v>
      </c>
      <c r="H833" s="59" t="str">
        <f t="shared" si="12"/>
        <v>1st Pay Period ending 8/11/2022</v>
      </c>
      <c r="M833">
        <v>18898</v>
      </c>
      <c r="N833" s="61"/>
    </row>
    <row r="834" spans="1:14" ht="12.75" customHeight="1" x14ac:dyDescent="0.2">
      <c r="A834" s="15" t="s">
        <v>206</v>
      </c>
      <c r="B834"/>
      <c r="C834">
        <v>2021.69</v>
      </c>
      <c r="H834" s="59" t="str">
        <f t="shared" si="12"/>
        <v>1st Pay Period ending 8/11/2022</v>
      </c>
      <c r="M834">
        <v>18823</v>
      </c>
      <c r="N834" s="61"/>
    </row>
    <row r="835" spans="1:14" ht="12.75" customHeight="1" x14ac:dyDescent="0.2">
      <c r="A835" s="15" t="s">
        <v>206</v>
      </c>
      <c r="B835"/>
      <c r="C835">
        <v>54.39</v>
      </c>
      <c r="H835" s="59" t="str">
        <f t="shared" ref="H835:H898" si="13">$K$1</f>
        <v>1st Pay Period ending 8/11/2022</v>
      </c>
      <c r="M835">
        <v>18791</v>
      </c>
      <c r="N835" s="61"/>
    </row>
    <row r="836" spans="1:14" ht="12.75" customHeight="1" x14ac:dyDescent="0.2">
      <c r="A836" s="15" t="s">
        <v>206</v>
      </c>
      <c r="B836"/>
      <c r="C836">
        <v>872.92</v>
      </c>
      <c r="H836" s="59" t="str">
        <f t="shared" si="13"/>
        <v>1st Pay Period ending 8/11/2022</v>
      </c>
      <c r="M836">
        <v>18953</v>
      </c>
      <c r="N836" s="61"/>
    </row>
    <row r="837" spans="1:14" ht="12.75" customHeight="1" x14ac:dyDescent="0.2">
      <c r="A837" s="15" t="s">
        <v>206</v>
      </c>
      <c r="B837"/>
      <c r="C837">
        <v>2151.38</v>
      </c>
      <c r="H837" s="59" t="str">
        <f t="shared" si="13"/>
        <v>1st Pay Period ending 8/11/2022</v>
      </c>
      <c r="M837">
        <v>18561</v>
      </c>
      <c r="N837" s="61"/>
    </row>
    <row r="838" spans="1:14" ht="12.75" customHeight="1" x14ac:dyDescent="0.2">
      <c r="A838" s="15" t="s">
        <v>206</v>
      </c>
      <c r="B838"/>
      <c r="C838">
        <v>1802.5</v>
      </c>
      <c r="H838" s="59" t="str">
        <f t="shared" si="13"/>
        <v>1st Pay Period ending 8/11/2022</v>
      </c>
      <c r="M838">
        <v>18792</v>
      </c>
      <c r="N838" s="61"/>
    </row>
    <row r="839" spans="1:14" ht="12.75" customHeight="1" x14ac:dyDescent="0.2">
      <c r="A839" s="15" t="s">
        <v>206</v>
      </c>
      <c r="B839"/>
      <c r="C839">
        <v>731.88</v>
      </c>
      <c r="H839" s="59" t="str">
        <f t="shared" si="13"/>
        <v>1st Pay Period ending 8/11/2022</v>
      </c>
      <c r="M839">
        <v>18506</v>
      </c>
      <c r="N839" s="61"/>
    </row>
    <row r="840" spans="1:14" ht="12.75" customHeight="1" x14ac:dyDescent="0.2">
      <c r="A840" s="15" t="s">
        <v>206</v>
      </c>
      <c r="B840"/>
      <c r="C840">
        <v>558.84</v>
      </c>
      <c r="H840" s="59" t="str">
        <f t="shared" si="13"/>
        <v>1st Pay Period ending 8/11/2022</v>
      </c>
      <c r="M840">
        <v>156</v>
      </c>
      <c r="N840" s="61"/>
    </row>
    <row r="841" spans="1:14" ht="12.75" customHeight="1" x14ac:dyDescent="0.2">
      <c r="A841" s="15" t="s">
        <v>206</v>
      </c>
      <c r="B841"/>
      <c r="C841">
        <v>662.18</v>
      </c>
      <c r="H841" s="59" t="str">
        <f t="shared" si="13"/>
        <v>1st Pay Period ending 8/11/2022</v>
      </c>
      <c r="M841">
        <v>19037</v>
      </c>
      <c r="N841" s="61"/>
    </row>
    <row r="842" spans="1:14" ht="12.75" customHeight="1" x14ac:dyDescent="0.2">
      <c r="A842" s="15" t="s">
        <v>206</v>
      </c>
      <c r="B842"/>
      <c r="C842">
        <v>2494.9299999999998</v>
      </c>
      <c r="H842" s="59" t="str">
        <f t="shared" si="13"/>
        <v>1st Pay Period ending 8/11/2022</v>
      </c>
      <c r="M842">
        <v>18876</v>
      </c>
      <c r="N842" s="61"/>
    </row>
    <row r="843" spans="1:14" ht="12.75" customHeight="1" x14ac:dyDescent="0.2">
      <c r="A843" s="15" t="s">
        <v>210</v>
      </c>
      <c r="B843"/>
      <c r="C843">
        <v>165</v>
      </c>
      <c r="H843" s="59" t="str">
        <f t="shared" si="13"/>
        <v>1st Pay Period ending 8/11/2022</v>
      </c>
      <c r="M843">
        <v>18726</v>
      </c>
      <c r="N843" s="61"/>
    </row>
    <row r="844" spans="1:14" ht="12.75" customHeight="1" x14ac:dyDescent="0.2">
      <c r="A844" s="15" t="s">
        <v>210</v>
      </c>
      <c r="B844"/>
      <c r="C844">
        <v>300</v>
      </c>
      <c r="H844" s="59" t="str">
        <f t="shared" si="13"/>
        <v>1st Pay Period ending 8/11/2022</v>
      </c>
      <c r="M844">
        <v>18946</v>
      </c>
      <c r="N844" s="61"/>
    </row>
    <row r="845" spans="1:14" ht="12.75" customHeight="1" x14ac:dyDescent="0.2">
      <c r="A845" s="15" t="s">
        <v>210</v>
      </c>
      <c r="B845"/>
      <c r="C845">
        <v>75</v>
      </c>
      <c r="H845" s="59" t="str">
        <f t="shared" si="13"/>
        <v>1st Pay Period ending 8/11/2022</v>
      </c>
      <c r="M845">
        <v>220</v>
      </c>
      <c r="N845" s="61"/>
    </row>
    <row r="846" spans="1:14" ht="12.75" customHeight="1" x14ac:dyDescent="0.2">
      <c r="A846" s="15" t="s">
        <v>210</v>
      </c>
      <c r="B846"/>
      <c r="C846">
        <v>400</v>
      </c>
      <c r="H846" s="59" t="str">
        <f t="shared" si="13"/>
        <v>1st Pay Period ending 8/11/2022</v>
      </c>
      <c r="M846">
        <v>18968</v>
      </c>
      <c r="N846" s="61"/>
    </row>
    <row r="847" spans="1:14" ht="12.75" customHeight="1" x14ac:dyDescent="0.2">
      <c r="A847" s="15" t="s">
        <v>210</v>
      </c>
      <c r="B847"/>
      <c r="C847">
        <v>780</v>
      </c>
      <c r="H847" s="59" t="str">
        <f t="shared" si="13"/>
        <v>1st Pay Period ending 8/11/2022</v>
      </c>
      <c r="M847">
        <v>18550</v>
      </c>
      <c r="N847" s="61"/>
    </row>
    <row r="848" spans="1:14" ht="12.75" customHeight="1" x14ac:dyDescent="0.2">
      <c r="A848" s="15" t="s">
        <v>210</v>
      </c>
      <c r="B848"/>
      <c r="C848">
        <v>860</v>
      </c>
      <c r="H848" s="59" t="str">
        <f t="shared" si="13"/>
        <v>1st Pay Period ending 8/11/2022</v>
      </c>
      <c r="M848">
        <v>18957</v>
      </c>
      <c r="N848" s="61"/>
    </row>
    <row r="849" spans="1:14" ht="12.75" customHeight="1" x14ac:dyDescent="0.2">
      <c r="A849" s="15" t="s">
        <v>210</v>
      </c>
      <c r="B849"/>
      <c r="C849">
        <v>150</v>
      </c>
      <c r="H849" s="59" t="str">
        <f t="shared" si="13"/>
        <v>1st Pay Period ending 8/11/2022</v>
      </c>
      <c r="M849">
        <v>261</v>
      </c>
      <c r="N849" s="61"/>
    </row>
    <row r="850" spans="1:14" ht="12.75" customHeight="1" x14ac:dyDescent="0.2">
      <c r="A850" s="15" t="s">
        <v>210</v>
      </c>
      <c r="B850"/>
      <c r="C850">
        <v>565.39</v>
      </c>
      <c r="H850" s="59" t="str">
        <f t="shared" si="13"/>
        <v>1st Pay Period ending 8/11/2022</v>
      </c>
      <c r="M850">
        <v>18517</v>
      </c>
      <c r="N850" s="61"/>
    </row>
    <row r="851" spans="1:14" ht="12.75" customHeight="1" x14ac:dyDescent="0.2">
      <c r="A851" s="15" t="s">
        <v>210</v>
      </c>
      <c r="B851"/>
      <c r="C851">
        <v>343.27</v>
      </c>
      <c r="H851" s="59" t="str">
        <f t="shared" si="13"/>
        <v>1st Pay Period ending 8/11/2022</v>
      </c>
      <c r="M851">
        <v>18726</v>
      </c>
      <c r="N851" s="61"/>
    </row>
    <row r="852" spans="1:14" ht="12.75" customHeight="1" x14ac:dyDescent="0.2">
      <c r="A852" s="15" t="s">
        <v>210</v>
      </c>
      <c r="B852"/>
      <c r="C852">
        <v>437.55</v>
      </c>
      <c r="H852" s="59" t="str">
        <f t="shared" si="13"/>
        <v>1st Pay Period ending 8/11/2022</v>
      </c>
      <c r="M852">
        <v>18647</v>
      </c>
      <c r="N852" s="61"/>
    </row>
    <row r="853" spans="1:14" ht="12.75" customHeight="1" x14ac:dyDescent="0.2">
      <c r="A853" s="15" t="s">
        <v>210</v>
      </c>
      <c r="B853"/>
      <c r="C853">
        <v>444.23</v>
      </c>
      <c r="H853" s="59" t="str">
        <f t="shared" si="13"/>
        <v>1st Pay Period ending 8/11/2022</v>
      </c>
      <c r="M853">
        <v>18871</v>
      </c>
      <c r="N853" s="61"/>
    </row>
    <row r="854" spans="1:14" ht="12.75" customHeight="1" x14ac:dyDescent="0.2">
      <c r="A854" s="15" t="s">
        <v>210</v>
      </c>
      <c r="B854"/>
      <c r="C854">
        <v>403.85</v>
      </c>
      <c r="H854" s="59" t="str">
        <f t="shared" si="13"/>
        <v>1st Pay Period ending 8/11/2022</v>
      </c>
      <c r="M854">
        <v>152</v>
      </c>
      <c r="N854" s="61"/>
    </row>
    <row r="855" spans="1:14" ht="12.75" customHeight="1" x14ac:dyDescent="0.2">
      <c r="A855" s="15" t="s">
        <v>210</v>
      </c>
      <c r="B855"/>
      <c r="C855">
        <v>262.5</v>
      </c>
      <c r="H855" s="59" t="str">
        <f t="shared" si="13"/>
        <v>1st Pay Period ending 8/11/2022</v>
      </c>
      <c r="M855">
        <v>19014</v>
      </c>
      <c r="N855" s="61"/>
    </row>
    <row r="856" spans="1:14" ht="12.75" customHeight="1" x14ac:dyDescent="0.2">
      <c r="A856" s="15" t="s">
        <v>210</v>
      </c>
      <c r="B856"/>
      <c r="C856">
        <v>61.46</v>
      </c>
      <c r="H856" s="59" t="str">
        <f t="shared" si="13"/>
        <v>1st Pay Period ending 8/11/2022</v>
      </c>
      <c r="M856">
        <v>18736</v>
      </c>
      <c r="N856" s="61"/>
    </row>
    <row r="857" spans="1:14" ht="12.75" customHeight="1" x14ac:dyDescent="0.2">
      <c r="A857" s="15" t="s">
        <v>210</v>
      </c>
      <c r="B857"/>
      <c r="C857">
        <v>253.51</v>
      </c>
      <c r="H857" s="59" t="str">
        <f t="shared" si="13"/>
        <v>1st Pay Period ending 8/11/2022</v>
      </c>
      <c r="M857">
        <v>18946</v>
      </c>
      <c r="N857" s="61"/>
    </row>
    <row r="858" spans="1:14" ht="12.75" customHeight="1" x14ac:dyDescent="0.2">
      <c r="A858" s="15" t="s">
        <v>210</v>
      </c>
      <c r="B858"/>
      <c r="C858">
        <v>294.81</v>
      </c>
      <c r="H858" s="59" t="str">
        <f t="shared" si="13"/>
        <v>1st Pay Period ending 8/11/2022</v>
      </c>
      <c r="M858">
        <v>18721</v>
      </c>
      <c r="N858" s="61"/>
    </row>
    <row r="859" spans="1:14" ht="12.75" customHeight="1" x14ac:dyDescent="0.2">
      <c r="A859" s="15" t="s">
        <v>210</v>
      </c>
      <c r="B859"/>
      <c r="C859">
        <v>500.77</v>
      </c>
      <c r="H859" s="59" t="str">
        <f t="shared" si="13"/>
        <v>1st Pay Period ending 8/11/2022</v>
      </c>
      <c r="M859">
        <v>18920</v>
      </c>
      <c r="N859" s="61"/>
    </row>
    <row r="860" spans="1:14" ht="12.75" customHeight="1" x14ac:dyDescent="0.2">
      <c r="A860" s="15" t="s">
        <v>210</v>
      </c>
      <c r="B860"/>
      <c r="C860">
        <v>282.69</v>
      </c>
      <c r="H860" s="59" t="str">
        <f t="shared" si="13"/>
        <v>1st Pay Period ending 8/11/2022</v>
      </c>
      <c r="M860">
        <v>18988</v>
      </c>
      <c r="N860" s="61"/>
    </row>
    <row r="861" spans="1:14" ht="12.75" customHeight="1" x14ac:dyDescent="0.2">
      <c r="A861" s="15" t="s">
        <v>210</v>
      </c>
      <c r="B861"/>
      <c r="C861">
        <v>323.08</v>
      </c>
      <c r="H861" s="59" t="str">
        <f t="shared" si="13"/>
        <v>1st Pay Period ending 8/11/2022</v>
      </c>
      <c r="M861">
        <v>18987</v>
      </c>
      <c r="N861" s="61"/>
    </row>
    <row r="862" spans="1:14" ht="12.75" customHeight="1" x14ac:dyDescent="0.2">
      <c r="A862" s="15" t="s">
        <v>210</v>
      </c>
      <c r="B862"/>
      <c r="C862">
        <v>242.31</v>
      </c>
      <c r="H862" s="59" t="str">
        <f t="shared" si="13"/>
        <v>1st Pay Period ending 8/11/2022</v>
      </c>
      <c r="M862">
        <v>18995</v>
      </c>
      <c r="N862" s="61"/>
    </row>
    <row r="863" spans="1:14" ht="12.75" customHeight="1" x14ac:dyDescent="0.2">
      <c r="A863" s="15" t="s">
        <v>210</v>
      </c>
      <c r="B863"/>
      <c r="C863">
        <v>88.85</v>
      </c>
      <c r="H863" s="59" t="str">
        <f t="shared" si="13"/>
        <v>1st Pay Period ending 8/11/2022</v>
      </c>
      <c r="M863">
        <v>18997</v>
      </c>
      <c r="N863" s="61"/>
    </row>
    <row r="864" spans="1:14" ht="12.75" customHeight="1" x14ac:dyDescent="0.2">
      <c r="A864" s="15" t="s">
        <v>210</v>
      </c>
      <c r="B864"/>
      <c r="C864">
        <v>337.9</v>
      </c>
      <c r="H864" s="59" t="str">
        <f t="shared" si="13"/>
        <v>1st Pay Period ending 8/11/2022</v>
      </c>
      <c r="M864">
        <v>220</v>
      </c>
      <c r="N864" s="61"/>
    </row>
    <row r="865" spans="1:14" ht="12.75" customHeight="1" x14ac:dyDescent="0.2">
      <c r="A865" s="15" t="s">
        <v>210</v>
      </c>
      <c r="B865"/>
      <c r="C865">
        <v>274.62</v>
      </c>
      <c r="H865" s="59" t="str">
        <f t="shared" si="13"/>
        <v>1st Pay Period ending 8/11/2022</v>
      </c>
      <c r="M865">
        <v>18948</v>
      </c>
      <c r="N865" s="61"/>
    </row>
    <row r="866" spans="1:14" ht="12.75" customHeight="1" x14ac:dyDescent="0.2">
      <c r="A866" s="15" t="s">
        <v>210</v>
      </c>
      <c r="B866"/>
      <c r="C866">
        <v>565.39</v>
      </c>
      <c r="H866" s="59" t="str">
        <f t="shared" si="13"/>
        <v>1st Pay Period ending 8/11/2022</v>
      </c>
      <c r="M866">
        <v>18716</v>
      </c>
      <c r="N866" s="61"/>
    </row>
    <row r="867" spans="1:14" ht="12.75" customHeight="1" x14ac:dyDescent="0.2">
      <c r="A867" s="15" t="s">
        <v>210</v>
      </c>
      <c r="B867"/>
      <c r="C867">
        <v>565.38</v>
      </c>
      <c r="H867" s="59" t="str">
        <f t="shared" si="13"/>
        <v>1st Pay Period ending 8/11/2022</v>
      </c>
      <c r="M867">
        <v>18969</v>
      </c>
      <c r="N867" s="61"/>
    </row>
    <row r="868" spans="1:14" ht="12.75" customHeight="1" x14ac:dyDescent="0.2">
      <c r="A868" s="15" t="s">
        <v>210</v>
      </c>
      <c r="B868"/>
      <c r="C868">
        <v>274.62</v>
      </c>
      <c r="H868" s="59" t="str">
        <f t="shared" si="13"/>
        <v>1st Pay Period ending 8/11/2022</v>
      </c>
      <c r="M868">
        <v>18862</v>
      </c>
      <c r="N868" s="61"/>
    </row>
    <row r="869" spans="1:14" ht="12.75" customHeight="1" x14ac:dyDescent="0.2">
      <c r="A869" s="15" t="s">
        <v>210</v>
      </c>
      <c r="B869"/>
      <c r="C869">
        <v>857.42</v>
      </c>
      <c r="H869" s="59" t="str">
        <f t="shared" si="13"/>
        <v>1st Pay Period ending 8/11/2022</v>
      </c>
      <c r="M869">
        <v>18886</v>
      </c>
      <c r="N869" s="61"/>
    </row>
    <row r="870" spans="1:14" ht="12.75" customHeight="1" x14ac:dyDescent="0.2">
      <c r="A870" s="15" t="s">
        <v>210</v>
      </c>
      <c r="B870"/>
      <c r="C870">
        <v>637.4</v>
      </c>
      <c r="H870" s="59" t="str">
        <f t="shared" si="13"/>
        <v>1st Pay Period ending 8/11/2022</v>
      </c>
      <c r="M870">
        <v>18853</v>
      </c>
      <c r="N870" s="61"/>
    </row>
    <row r="871" spans="1:14" ht="12.75" customHeight="1" x14ac:dyDescent="0.2">
      <c r="A871" s="15" t="s">
        <v>210</v>
      </c>
      <c r="B871"/>
      <c r="C871">
        <v>272.56</v>
      </c>
      <c r="H871" s="59" t="str">
        <f t="shared" si="13"/>
        <v>1st Pay Period ending 8/11/2022</v>
      </c>
      <c r="M871">
        <v>18550</v>
      </c>
      <c r="N871" s="61"/>
    </row>
    <row r="872" spans="1:14" ht="12.75" customHeight="1" x14ac:dyDescent="0.2">
      <c r="A872" s="15" t="s">
        <v>210</v>
      </c>
      <c r="B872"/>
      <c r="C872">
        <v>282.69</v>
      </c>
      <c r="H872" s="59" t="str">
        <f t="shared" si="13"/>
        <v>1st Pay Period ending 8/11/2022</v>
      </c>
      <c r="M872">
        <v>18968</v>
      </c>
      <c r="N872" s="61"/>
    </row>
    <row r="873" spans="1:14" ht="12.75" customHeight="1" x14ac:dyDescent="0.2">
      <c r="A873" s="15" t="s">
        <v>210</v>
      </c>
      <c r="B873"/>
      <c r="C873">
        <v>343.27</v>
      </c>
      <c r="H873" s="59" t="str">
        <f t="shared" si="13"/>
        <v>1st Pay Period ending 8/11/2022</v>
      </c>
      <c r="M873">
        <v>18741</v>
      </c>
      <c r="N873" s="61"/>
    </row>
    <row r="874" spans="1:14" ht="12.75" customHeight="1" x14ac:dyDescent="0.2">
      <c r="A874" s="15" t="s">
        <v>210</v>
      </c>
      <c r="B874"/>
      <c r="C874">
        <v>262.5</v>
      </c>
      <c r="H874" s="59" t="str">
        <f t="shared" si="13"/>
        <v>1st Pay Period ending 8/11/2022</v>
      </c>
      <c r="M874">
        <v>19025</v>
      </c>
      <c r="N874" s="61"/>
    </row>
    <row r="875" spans="1:14" ht="12.75" customHeight="1" x14ac:dyDescent="0.2">
      <c r="A875" s="15" t="s">
        <v>210</v>
      </c>
      <c r="B875"/>
      <c r="C875">
        <v>327.12</v>
      </c>
      <c r="H875" s="59" t="str">
        <f t="shared" si="13"/>
        <v>1st Pay Period ending 8/11/2022</v>
      </c>
      <c r="M875">
        <v>19003</v>
      </c>
      <c r="N875" s="61"/>
    </row>
    <row r="876" spans="1:14" ht="12.75" customHeight="1" x14ac:dyDescent="0.2">
      <c r="A876" s="15" t="s">
        <v>210</v>
      </c>
      <c r="B876"/>
      <c r="C876">
        <v>234.23</v>
      </c>
      <c r="H876" s="59" t="str">
        <f t="shared" si="13"/>
        <v>1st Pay Period ending 8/11/2022</v>
      </c>
      <c r="M876">
        <v>19022</v>
      </c>
      <c r="N876" s="61"/>
    </row>
    <row r="877" spans="1:14" ht="12.75" customHeight="1" x14ac:dyDescent="0.2">
      <c r="A877" s="15" t="s">
        <v>210</v>
      </c>
      <c r="B877"/>
      <c r="C877">
        <v>266.14</v>
      </c>
      <c r="H877" s="59" t="str">
        <f t="shared" si="13"/>
        <v>1st Pay Period ending 8/11/2022</v>
      </c>
      <c r="M877">
        <v>18619</v>
      </c>
      <c r="N877" s="61"/>
    </row>
    <row r="878" spans="1:14" ht="12.75" customHeight="1" x14ac:dyDescent="0.2">
      <c r="A878" s="15" t="s">
        <v>210</v>
      </c>
      <c r="B878"/>
      <c r="C878">
        <v>269.19</v>
      </c>
      <c r="H878" s="59" t="str">
        <f t="shared" si="13"/>
        <v>1st Pay Period ending 8/11/2022</v>
      </c>
      <c r="M878">
        <v>18836</v>
      </c>
      <c r="N878" s="61"/>
    </row>
    <row r="879" spans="1:14" ht="12.75" customHeight="1" x14ac:dyDescent="0.2">
      <c r="A879" s="15" t="s">
        <v>210</v>
      </c>
      <c r="B879"/>
      <c r="C879">
        <v>131.78</v>
      </c>
      <c r="H879" s="59" t="str">
        <f t="shared" si="13"/>
        <v>1st Pay Period ending 8/11/2022</v>
      </c>
      <c r="M879">
        <v>19040</v>
      </c>
      <c r="N879" s="61"/>
    </row>
    <row r="880" spans="1:14" ht="12.75" customHeight="1" x14ac:dyDescent="0.2">
      <c r="A880" s="15" t="s">
        <v>210</v>
      </c>
      <c r="B880"/>
      <c r="C880">
        <v>394.78</v>
      </c>
      <c r="H880" s="59" t="str">
        <f t="shared" si="13"/>
        <v>1st Pay Period ending 8/11/2022</v>
      </c>
      <c r="M880">
        <v>18893</v>
      </c>
      <c r="N880" s="61"/>
    </row>
    <row r="881" spans="1:14" ht="12.75" customHeight="1" x14ac:dyDescent="0.2">
      <c r="A881" s="15" t="s">
        <v>210</v>
      </c>
      <c r="B881"/>
      <c r="C881">
        <v>259.29000000000002</v>
      </c>
      <c r="H881" s="59" t="str">
        <f t="shared" si="13"/>
        <v>1st Pay Period ending 8/11/2022</v>
      </c>
      <c r="M881">
        <v>18589</v>
      </c>
      <c r="N881" s="61"/>
    </row>
    <row r="882" spans="1:14" ht="12.75" customHeight="1" x14ac:dyDescent="0.2">
      <c r="A882" s="15" t="s">
        <v>210</v>
      </c>
      <c r="B882"/>
      <c r="C882">
        <v>178.72</v>
      </c>
      <c r="H882" s="59" t="str">
        <f t="shared" si="13"/>
        <v>1st Pay Period ending 8/11/2022</v>
      </c>
      <c r="M882">
        <v>18831</v>
      </c>
      <c r="N882" s="61"/>
    </row>
    <row r="883" spans="1:14" ht="12.75" customHeight="1" x14ac:dyDescent="0.2">
      <c r="A883" s="15" t="s">
        <v>210</v>
      </c>
      <c r="B883"/>
      <c r="C883">
        <v>272.01</v>
      </c>
      <c r="H883" s="59" t="str">
        <f t="shared" si="13"/>
        <v>1st Pay Period ending 8/11/2022</v>
      </c>
      <c r="M883">
        <v>18957</v>
      </c>
      <c r="N883" s="61"/>
    </row>
    <row r="884" spans="1:14" ht="12.75" customHeight="1" x14ac:dyDescent="0.2">
      <c r="A884" s="15" t="s">
        <v>210</v>
      </c>
      <c r="B884"/>
      <c r="C884">
        <v>263.82</v>
      </c>
      <c r="H884" s="59" t="str">
        <f t="shared" si="13"/>
        <v>1st Pay Period ending 8/11/2022</v>
      </c>
      <c r="M884">
        <v>18866</v>
      </c>
      <c r="N884" s="61"/>
    </row>
    <row r="885" spans="1:14" ht="12.75" customHeight="1" x14ac:dyDescent="0.2">
      <c r="A885" s="15" t="s">
        <v>210</v>
      </c>
      <c r="B885"/>
      <c r="C885">
        <v>261.17</v>
      </c>
      <c r="H885" s="59" t="str">
        <f t="shared" si="13"/>
        <v>1st Pay Period ending 8/11/2022</v>
      </c>
      <c r="M885">
        <v>18903</v>
      </c>
      <c r="N885" s="61"/>
    </row>
    <row r="886" spans="1:14" ht="12.75" customHeight="1" x14ac:dyDescent="0.2">
      <c r="A886" s="15" t="s">
        <v>210</v>
      </c>
      <c r="B886"/>
      <c r="C886">
        <v>197.36</v>
      </c>
      <c r="H886" s="59" t="str">
        <f t="shared" si="13"/>
        <v>1st Pay Period ending 8/11/2022</v>
      </c>
      <c r="M886">
        <v>18893</v>
      </c>
      <c r="N886" s="61"/>
    </row>
    <row r="887" spans="1:14" ht="12.75" customHeight="1" x14ac:dyDescent="0.2">
      <c r="A887" s="15" t="s">
        <v>210</v>
      </c>
      <c r="B887"/>
      <c r="C887">
        <v>193.59</v>
      </c>
      <c r="H887" s="59" t="str">
        <f t="shared" si="13"/>
        <v>1st Pay Period ending 8/11/2022</v>
      </c>
      <c r="M887">
        <v>18891</v>
      </c>
      <c r="N887" s="61"/>
    </row>
    <row r="888" spans="1:14" ht="12.75" customHeight="1" x14ac:dyDescent="0.2">
      <c r="A888" s="15" t="s">
        <v>210</v>
      </c>
      <c r="B888"/>
      <c r="C888">
        <v>323.08</v>
      </c>
      <c r="H888" s="59" t="str">
        <f t="shared" si="13"/>
        <v>1st Pay Period ending 8/11/2022</v>
      </c>
      <c r="M888">
        <v>18954</v>
      </c>
      <c r="N888" s="61"/>
    </row>
    <row r="889" spans="1:14" ht="12.75" customHeight="1" x14ac:dyDescent="0.2">
      <c r="A889" s="15" t="s">
        <v>210</v>
      </c>
      <c r="B889"/>
      <c r="C889">
        <v>149.85</v>
      </c>
      <c r="H889" s="59" t="str">
        <f t="shared" si="13"/>
        <v>1st Pay Period ending 8/11/2022</v>
      </c>
      <c r="M889">
        <v>18631</v>
      </c>
      <c r="N889" s="61"/>
    </row>
    <row r="890" spans="1:14" ht="12.75" customHeight="1" x14ac:dyDescent="0.2">
      <c r="A890" s="15" t="s">
        <v>210</v>
      </c>
      <c r="B890"/>
      <c r="C890">
        <v>235.93</v>
      </c>
      <c r="H890" s="59" t="str">
        <f t="shared" si="13"/>
        <v>1st Pay Period ending 8/11/2022</v>
      </c>
      <c r="M890">
        <v>18879</v>
      </c>
      <c r="N890" s="61"/>
    </row>
    <row r="891" spans="1:14" ht="12.75" customHeight="1" x14ac:dyDescent="0.2">
      <c r="A891" s="15" t="s">
        <v>210</v>
      </c>
      <c r="B891"/>
      <c r="C891">
        <v>113.93</v>
      </c>
      <c r="H891" s="59" t="str">
        <f t="shared" si="13"/>
        <v>1st Pay Period ending 8/11/2022</v>
      </c>
      <c r="M891">
        <v>18</v>
      </c>
      <c r="N891" s="61"/>
    </row>
    <row r="892" spans="1:14" ht="12.75" customHeight="1" x14ac:dyDescent="0.2">
      <c r="A892" s="15" t="s">
        <v>210</v>
      </c>
      <c r="B892"/>
      <c r="C892">
        <v>304.33999999999997</v>
      </c>
      <c r="H892" s="59" t="str">
        <f t="shared" si="13"/>
        <v>1st Pay Period ending 8/11/2022</v>
      </c>
      <c r="M892">
        <v>19013</v>
      </c>
      <c r="N892" s="61"/>
    </row>
    <row r="893" spans="1:14" ht="12.75" customHeight="1" x14ac:dyDescent="0.2">
      <c r="A893" s="15" t="s">
        <v>210</v>
      </c>
      <c r="B893"/>
      <c r="C893">
        <v>207.81</v>
      </c>
      <c r="H893" s="59" t="str">
        <f t="shared" si="13"/>
        <v>1st Pay Period ending 8/11/2022</v>
      </c>
      <c r="M893">
        <v>18630</v>
      </c>
      <c r="N893" s="61"/>
    </row>
    <row r="894" spans="1:14" ht="12.75" customHeight="1" x14ac:dyDescent="0.2">
      <c r="A894" s="15" t="s">
        <v>210</v>
      </c>
      <c r="B894"/>
      <c r="C894">
        <v>235.71</v>
      </c>
      <c r="H894" s="59" t="str">
        <f t="shared" si="13"/>
        <v>1st Pay Period ending 8/11/2022</v>
      </c>
      <c r="M894">
        <v>18733</v>
      </c>
      <c r="N894" s="61"/>
    </row>
    <row r="895" spans="1:14" ht="12.75" customHeight="1" x14ac:dyDescent="0.2">
      <c r="A895" s="15" t="s">
        <v>210</v>
      </c>
      <c r="B895"/>
      <c r="C895">
        <v>272.01</v>
      </c>
      <c r="H895" s="59" t="str">
        <f t="shared" si="13"/>
        <v>1st Pay Period ending 8/11/2022</v>
      </c>
      <c r="M895">
        <v>18967</v>
      </c>
      <c r="N895" s="61"/>
    </row>
    <row r="896" spans="1:14" ht="12.75" customHeight="1" x14ac:dyDescent="0.2">
      <c r="A896" s="15" t="s">
        <v>210</v>
      </c>
      <c r="B896"/>
      <c r="C896">
        <v>848.08</v>
      </c>
      <c r="H896" s="59" t="str">
        <f t="shared" si="13"/>
        <v>1st Pay Period ending 8/11/2022</v>
      </c>
      <c r="M896">
        <v>18559</v>
      </c>
      <c r="N896" s="61"/>
    </row>
    <row r="897" spans="1:14" ht="12.75" customHeight="1" x14ac:dyDescent="0.2">
      <c r="A897" s="15" t="s">
        <v>210</v>
      </c>
      <c r="B897"/>
      <c r="C897">
        <v>99.27</v>
      </c>
      <c r="H897" s="59" t="str">
        <f t="shared" si="13"/>
        <v>1st Pay Period ending 8/11/2022</v>
      </c>
      <c r="M897">
        <v>18960</v>
      </c>
      <c r="N897" s="61"/>
    </row>
    <row r="898" spans="1:14" ht="12.75" customHeight="1" x14ac:dyDescent="0.2">
      <c r="A898" s="15" t="s">
        <v>210</v>
      </c>
      <c r="B898"/>
      <c r="C898">
        <v>141.55000000000001</v>
      </c>
      <c r="H898" s="59" t="str">
        <f t="shared" si="13"/>
        <v>1st Pay Period ending 8/11/2022</v>
      </c>
      <c r="M898">
        <v>18894</v>
      </c>
      <c r="N898" s="61"/>
    </row>
    <row r="899" spans="1:14" ht="12.75" customHeight="1" x14ac:dyDescent="0.2">
      <c r="A899" s="15" t="s">
        <v>210</v>
      </c>
      <c r="B899"/>
      <c r="C899">
        <v>204.44</v>
      </c>
      <c r="H899" s="59" t="str">
        <f t="shared" ref="H899:H962" si="14">$K$1</f>
        <v>1st Pay Period ending 8/11/2022</v>
      </c>
      <c r="M899">
        <v>18892</v>
      </c>
      <c r="N899" s="61"/>
    </row>
    <row r="900" spans="1:14" ht="12.75" customHeight="1" x14ac:dyDescent="0.2">
      <c r="A900" s="15" t="s">
        <v>210</v>
      </c>
      <c r="B900"/>
      <c r="C900">
        <v>191.08</v>
      </c>
      <c r="H900" s="59" t="str">
        <f t="shared" si="14"/>
        <v>1st Pay Period ending 8/11/2022</v>
      </c>
      <c r="M900">
        <v>19033</v>
      </c>
      <c r="N900" s="61"/>
    </row>
    <row r="901" spans="1:14" ht="12.75" customHeight="1" x14ac:dyDescent="0.2">
      <c r="A901" s="15" t="s">
        <v>210</v>
      </c>
      <c r="B901"/>
      <c r="C901">
        <v>544.01</v>
      </c>
      <c r="H901" s="59" t="str">
        <f t="shared" si="14"/>
        <v>1st Pay Period ending 8/11/2022</v>
      </c>
      <c r="M901">
        <v>18781</v>
      </c>
      <c r="N901" s="61"/>
    </row>
    <row r="902" spans="1:14" ht="12.75" customHeight="1" x14ac:dyDescent="0.2">
      <c r="A902" s="15" t="s">
        <v>210</v>
      </c>
      <c r="B902"/>
      <c r="C902">
        <v>480.87</v>
      </c>
      <c r="H902" s="59" t="str">
        <f t="shared" si="14"/>
        <v>1st Pay Period ending 8/11/2022</v>
      </c>
      <c r="M902">
        <v>18687</v>
      </c>
      <c r="N902" s="61"/>
    </row>
    <row r="903" spans="1:14" ht="12.75" customHeight="1" x14ac:dyDescent="0.2">
      <c r="A903" s="15" t="s">
        <v>210</v>
      </c>
      <c r="B903"/>
      <c r="C903">
        <v>250.17</v>
      </c>
      <c r="H903" s="59" t="str">
        <f t="shared" si="14"/>
        <v>1st Pay Period ending 8/11/2022</v>
      </c>
      <c r="M903">
        <v>18659</v>
      </c>
      <c r="N903" s="61"/>
    </row>
    <row r="904" spans="1:14" ht="12.75" customHeight="1" x14ac:dyDescent="0.2">
      <c r="A904" s="15" t="s">
        <v>210</v>
      </c>
      <c r="B904"/>
      <c r="C904">
        <v>266.64999999999998</v>
      </c>
      <c r="H904" s="59" t="str">
        <f t="shared" si="14"/>
        <v>1st Pay Period ending 8/11/2022</v>
      </c>
      <c r="M904">
        <v>18911</v>
      </c>
      <c r="N904" s="61"/>
    </row>
    <row r="905" spans="1:14" ht="12.75" customHeight="1" x14ac:dyDescent="0.2">
      <c r="A905" s="15" t="s">
        <v>210</v>
      </c>
      <c r="B905"/>
      <c r="C905">
        <v>235.87</v>
      </c>
      <c r="H905" s="59" t="str">
        <f t="shared" si="14"/>
        <v>1st Pay Period ending 8/11/2022</v>
      </c>
      <c r="M905">
        <v>18961</v>
      </c>
      <c r="N905" s="61"/>
    </row>
    <row r="906" spans="1:14" ht="12.75" customHeight="1" x14ac:dyDescent="0.2">
      <c r="A906" s="15" t="s">
        <v>210</v>
      </c>
      <c r="B906"/>
      <c r="C906">
        <v>252.83</v>
      </c>
      <c r="H906" s="59" t="str">
        <f t="shared" si="14"/>
        <v>1st Pay Period ending 8/11/2022</v>
      </c>
      <c r="M906">
        <v>145</v>
      </c>
      <c r="N906" s="61"/>
    </row>
    <row r="907" spans="1:14" ht="12.75" customHeight="1" x14ac:dyDescent="0.2">
      <c r="A907" s="15" t="s">
        <v>210</v>
      </c>
      <c r="B907"/>
      <c r="C907">
        <v>114.82</v>
      </c>
      <c r="H907" s="59" t="str">
        <f t="shared" si="14"/>
        <v>1st Pay Period ending 8/11/2022</v>
      </c>
      <c r="M907">
        <v>141</v>
      </c>
      <c r="N907" s="61"/>
    </row>
    <row r="908" spans="1:14" ht="12.75" customHeight="1" x14ac:dyDescent="0.2">
      <c r="A908" s="15" t="s">
        <v>210</v>
      </c>
      <c r="B908"/>
      <c r="C908">
        <v>60.28</v>
      </c>
      <c r="H908" s="59" t="str">
        <f t="shared" si="14"/>
        <v>1st Pay Period ending 8/11/2022</v>
      </c>
      <c r="M908">
        <v>11229</v>
      </c>
      <c r="N908" s="61"/>
    </row>
    <row r="909" spans="1:14" ht="12.75" customHeight="1" x14ac:dyDescent="0.2">
      <c r="A909" s="15" t="s">
        <v>210</v>
      </c>
      <c r="B909"/>
      <c r="C909">
        <v>209.44</v>
      </c>
      <c r="H909" s="59" t="str">
        <f t="shared" si="14"/>
        <v>1st Pay Period ending 8/11/2022</v>
      </c>
      <c r="M909">
        <v>19035</v>
      </c>
      <c r="N909" s="61"/>
    </row>
    <row r="910" spans="1:14" ht="12.75" customHeight="1" x14ac:dyDescent="0.2">
      <c r="A910" s="15" t="s">
        <v>210</v>
      </c>
      <c r="B910"/>
      <c r="C910">
        <v>231.71</v>
      </c>
      <c r="H910" s="59" t="str">
        <f t="shared" si="14"/>
        <v>1st Pay Period ending 8/11/2022</v>
      </c>
      <c r="M910">
        <v>19007</v>
      </c>
      <c r="N910" s="61"/>
    </row>
    <row r="911" spans="1:14" ht="12.75" customHeight="1" x14ac:dyDescent="0.2">
      <c r="A911" s="15" t="s">
        <v>210</v>
      </c>
      <c r="B911"/>
      <c r="C911">
        <v>238.97</v>
      </c>
      <c r="H911" s="59" t="str">
        <f t="shared" si="14"/>
        <v>1st Pay Period ending 8/11/2022</v>
      </c>
      <c r="M911">
        <v>19006</v>
      </c>
      <c r="N911" s="61"/>
    </row>
    <row r="912" spans="1:14" ht="12.75" customHeight="1" x14ac:dyDescent="0.2">
      <c r="A912" s="15" t="s">
        <v>210</v>
      </c>
      <c r="B912"/>
      <c r="C912">
        <v>306.43</v>
      </c>
      <c r="H912" s="59" t="str">
        <f t="shared" si="14"/>
        <v>1st Pay Period ending 8/11/2022</v>
      </c>
      <c r="M912">
        <v>18974</v>
      </c>
      <c r="N912" s="61"/>
    </row>
    <row r="913" spans="1:14" ht="12.75" customHeight="1" x14ac:dyDescent="0.2">
      <c r="A913" s="15" t="s">
        <v>210</v>
      </c>
      <c r="B913"/>
      <c r="C913">
        <v>174.47</v>
      </c>
      <c r="H913" s="59" t="str">
        <f t="shared" si="14"/>
        <v>1st Pay Period ending 8/11/2022</v>
      </c>
      <c r="M913">
        <v>18973</v>
      </c>
      <c r="N913" s="61"/>
    </row>
    <row r="914" spans="1:14" ht="12.75" customHeight="1" x14ac:dyDescent="0.2">
      <c r="A914" s="15" t="s">
        <v>210</v>
      </c>
      <c r="B914"/>
      <c r="C914">
        <v>166.25</v>
      </c>
      <c r="H914" s="59" t="str">
        <f t="shared" si="14"/>
        <v>1st Pay Period ending 8/11/2022</v>
      </c>
      <c r="M914">
        <v>19016</v>
      </c>
      <c r="N914" s="61"/>
    </row>
    <row r="915" spans="1:14" ht="12.75" customHeight="1" x14ac:dyDescent="0.2">
      <c r="A915" s="15" t="s">
        <v>210</v>
      </c>
      <c r="B915"/>
      <c r="C915">
        <v>525</v>
      </c>
      <c r="H915" s="59" t="str">
        <f t="shared" si="14"/>
        <v>1st Pay Period ending 8/11/2022</v>
      </c>
      <c r="M915">
        <v>18962</v>
      </c>
      <c r="N915" s="61"/>
    </row>
    <row r="916" spans="1:14" ht="12.75" customHeight="1" x14ac:dyDescent="0.2">
      <c r="A916" s="15" t="s">
        <v>210</v>
      </c>
      <c r="B916"/>
      <c r="C916">
        <v>124.69</v>
      </c>
      <c r="H916" s="59" t="str">
        <f t="shared" si="14"/>
        <v>1st Pay Period ending 8/11/2022</v>
      </c>
      <c r="M916">
        <v>19032</v>
      </c>
      <c r="N916" s="61"/>
    </row>
    <row r="917" spans="1:14" ht="12.75" customHeight="1" x14ac:dyDescent="0.2">
      <c r="A917" s="15" t="s">
        <v>210</v>
      </c>
      <c r="B917"/>
      <c r="C917">
        <v>235.48</v>
      </c>
      <c r="H917" s="59" t="str">
        <f t="shared" si="14"/>
        <v>1st Pay Period ending 8/11/2022</v>
      </c>
      <c r="M917">
        <v>18999</v>
      </c>
      <c r="N917" s="61"/>
    </row>
    <row r="918" spans="1:14" ht="12.75" customHeight="1" x14ac:dyDescent="0.2">
      <c r="A918" s="15" t="s">
        <v>210</v>
      </c>
      <c r="B918"/>
      <c r="C918">
        <v>124.69</v>
      </c>
      <c r="H918" s="59" t="str">
        <f t="shared" si="14"/>
        <v>1st Pay Period ending 8/11/2022</v>
      </c>
      <c r="M918">
        <v>19026</v>
      </c>
      <c r="N918" s="61"/>
    </row>
    <row r="919" spans="1:14" ht="12.75" customHeight="1" x14ac:dyDescent="0.2">
      <c r="A919" s="15" t="s">
        <v>210</v>
      </c>
      <c r="B919"/>
      <c r="C919">
        <v>181.51</v>
      </c>
      <c r="H919" s="59" t="str">
        <f t="shared" si="14"/>
        <v>1st Pay Period ending 8/11/2022</v>
      </c>
      <c r="M919">
        <v>19027</v>
      </c>
      <c r="N919" s="61"/>
    </row>
    <row r="920" spans="1:14" ht="12.75" customHeight="1" x14ac:dyDescent="0.2">
      <c r="A920" s="15" t="s">
        <v>210</v>
      </c>
      <c r="B920"/>
      <c r="C920">
        <v>207.81</v>
      </c>
      <c r="H920" s="59" t="str">
        <f t="shared" si="14"/>
        <v>1st Pay Period ending 8/11/2022</v>
      </c>
      <c r="M920">
        <v>18980</v>
      </c>
      <c r="N920" s="61"/>
    </row>
    <row r="921" spans="1:14" ht="12.75" customHeight="1" x14ac:dyDescent="0.2">
      <c r="A921" s="15" t="s">
        <v>210</v>
      </c>
      <c r="B921"/>
      <c r="C921">
        <v>207.81</v>
      </c>
      <c r="H921" s="59" t="str">
        <f t="shared" si="14"/>
        <v>1st Pay Period ending 8/11/2022</v>
      </c>
      <c r="M921">
        <v>19021</v>
      </c>
      <c r="N921" s="61"/>
    </row>
    <row r="922" spans="1:14" ht="12.75" customHeight="1" x14ac:dyDescent="0.2">
      <c r="A922" s="15" t="s">
        <v>210</v>
      </c>
      <c r="B922"/>
      <c r="C922">
        <v>343.27</v>
      </c>
      <c r="H922" s="59" t="str">
        <f t="shared" si="14"/>
        <v>1st Pay Period ending 8/11/2022</v>
      </c>
      <c r="M922">
        <v>19038</v>
      </c>
      <c r="N922" s="61"/>
    </row>
    <row r="923" spans="1:14" ht="12.75" customHeight="1" x14ac:dyDescent="0.2">
      <c r="A923" s="15" t="s">
        <v>210</v>
      </c>
      <c r="B923"/>
      <c r="C923">
        <v>332.07</v>
      </c>
      <c r="H923" s="59" t="str">
        <f t="shared" si="14"/>
        <v>1st Pay Period ending 8/11/2022</v>
      </c>
      <c r="M923">
        <v>18581</v>
      </c>
      <c r="N923" s="61"/>
    </row>
    <row r="924" spans="1:14" ht="12.75" customHeight="1" x14ac:dyDescent="0.2">
      <c r="A924" s="15" t="s">
        <v>210</v>
      </c>
      <c r="B924"/>
      <c r="C924">
        <v>262.5</v>
      </c>
      <c r="H924" s="59" t="str">
        <f t="shared" si="14"/>
        <v>1st Pay Period ending 8/11/2022</v>
      </c>
      <c r="M924">
        <v>19034</v>
      </c>
      <c r="N924" s="61"/>
    </row>
    <row r="925" spans="1:14" ht="12.75" customHeight="1" x14ac:dyDescent="0.2">
      <c r="A925" s="15" t="s">
        <v>210</v>
      </c>
      <c r="B925"/>
      <c r="C925">
        <v>565.38</v>
      </c>
      <c r="H925" s="59" t="str">
        <f t="shared" si="14"/>
        <v>1st Pay Period ending 8/11/2022</v>
      </c>
      <c r="M925">
        <v>44705</v>
      </c>
      <c r="N925" s="61"/>
    </row>
    <row r="926" spans="1:14" ht="12.75" customHeight="1" x14ac:dyDescent="0.2">
      <c r="A926" s="15" t="s">
        <v>210</v>
      </c>
      <c r="B926"/>
      <c r="C926">
        <v>242.31</v>
      </c>
      <c r="H926" s="59" t="str">
        <f t="shared" si="14"/>
        <v>1st Pay Period ending 8/11/2022</v>
      </c>
      <c r="M926">
        <v>18982</v>
      </c>
      <c r="N926" s="61"/>
    </row>
    <row r="927" spans="1:14" ht="12.75" customHeight="1" x14ac:dyDescent="0.2">
      <c r="A927" s="15" t="s">
        <v>210</v>
      </c>
      <c r="B927"/>
      <c r="C927">
        <v>242.31</v>
      </c>
      <c r="H927" s="59" t="str">
        <f t="shared" si="14"/>
        <v>1st Pay Period ending 8/11/2022</v>
      </c>
      <c r="M927">
        <v>18805</v>
      </c>
      <c r="N927" s="61"/>
    </row>
    <row r="928" spans="1:14" ht="12.75" customHeight="1" x14ac:dyDescent="0.2">
      <c r="A928" s="15" t="s">
        <v>210</v>
      </c>
      <c r="B928"/>
      <c r="C928">
        <v>192.07</v>
      </c>
      <c r="H928" s="59" t="str">
        <f t="shared" si="14"/>
        <v>1st Pay Period ending 8/11/2022</v>
      </c>
      <c r="M928">
        <v>302</v>
      </c>
      <c r="N928" s="61"/>
    </row>
    <row r="929" spans="1:14" ht="12.75" customHeight="1" x14ac:dyDescent="0.2">
      <c r="A929" s="15" t="s">
        <v>210</v>
      </c>
      <c r="B929"/>
      <c r="C929">
        <v>226.15</v>
      </c>
      <c r="H929" s="59" t="str">
        <f t="shared" si="14"/>
        <v>1st Pay Period ending 8/11/2022</v>
      </c>
      <c r="M929">
        <v>18841</v>
      </c>
      <c r="N929" s="61"/>
    </row>
    <row r="930" spans="1:14" ht="12.75" customHeight="1" x14ac:dyDescent="0.2">
      <c r="A930" s="15" t="s">
        <v>210</v>
      </c>
      <c r="B930"/>
      <c r="C930">
        <v>259.95999999999998</v>
      </c>
      <c r="H930" s="59" t="str">
        <f t="shared" si="14"/>
        <v>1st Pay Period ending 8/11/2022</v>
      </c>
      <c r="M930">
        <v>266</v>
      </c>
      <c r="N930" s="61"/>
    </row>
    <row r="931" spans="1:14" ht="12.75" customHeight="1" x14ac:dyDescent="0.2">
      <c r="A931" s="15" t="s">
        <v>210</v>
      </c>
      <c r="B931"/>
      <c r="C931">
        <v>100.72</v>
      </c>
      <c r="H931" s="59" t="str">
        <f t="shared" si="14"/>
        <v>1st Pay Period ending 8/11/2022</v>
      </c>
      <c r="M931">
        <v>134</v>
      </c>
      <c r="N931" s="61"/>
    </row>
    <row r="932" spans="1:14" ht="12.75" customHeight="1" x14ac:dyDescent="0.2">
      <c r="A932" s="15" t="s">
        <v>210</v>
      </c>
      <c r="B932"/>
      <c r="C932">
        <v>261.98</v>
      </c>
      <c r="H932" s="59" t="str">
        <f t="shared" si="14"/>
        <v>1st Pay Period ending 8/11/2022</v>
      </c>
      <c r="M932">
        <v>18918</v>
      </c>
      <c r="N932" s="61"/>
    </row>
    <row r="933" spans="1:14" ht="12.75" customHeight="1" x14ac:dyDescent="0.2">
      <c r="A933" s="15" t="s">
        <v>210</v>
      </c>
      <c r="B933"/>
      <c r="C933">
        <v>210.88</v>
      </c>
      <c r="H933" s="59" t="str">
        <f t="shared" si="14"/>
        <v>1st Pay Period ending 8/11/2022</v>
      </c>
      <c r="M933">
        <v>18979</v>
      </c>
      <c r="N933" s="61"/>
    </row>
    <row r="934" spans="1:14" ht="12.75" customHeight="1" x14ac:dyDescent="0.2">
      <c r="A934" s="15" t="s">
        <v>210</v>
      </c>
      <c r="B934"/>
      <c r="C934">
        <v>228.59</v>
      </c>
      <c r="H934" s="59" t="str">
        <f t="shared" si="14"/>
        <v>1st Pay Period ending 8/11/2022</v>
      </c>
      <c r="M934">
        <v>18797</v>
      </c>
      <c r="N934" s="61"/>
    </row>
    <row r="935" spans="1:14" ht="12.75" customHeight="1" x14ac:dyDescent="0.2">
      <c r="A935" s="15" t="s">
        <v>210</v>
      </c>
      <c r="B935"/>
      <c r="C935">
        <v>204.9</v>
      </c>
      <c r="H935" s="59" t="str">
        <f t="shared" si="14"/>
        <v>1st Pay Period ending 8/11/2022</v>
      </c>
      <c r="M935">
        <v>18949</v>
      </c>
      <c r="N935" s="61"/>
    </row>
    <row r="936" spans="1:14" ht="12.75" customHeight="1" x14ac:dyDescent="0.2">
      <c r="A936" s="15" t="s">
        <v>210</v>
      </c>
      <c r="B936"/>
      <c r="C936">
        <v>100.89</v>
      </c>
      <c r="H936" s="59" t="str">
        <f t="shared" si="14"/>
        <v>1st Pay Period ending 8/11/2022</v>
      </c>
      <c r="M936">
        <v>18929</v>
      </c>
      <c r="N936" s="61"/>
    </row>
    <row r="937" spans="1:14" ht="12.75" customHeight="1" x14ac:dyDescent="0.2">
      <c r="A937" s="15" t="s">
        <v>210</v>
      </c>
      <c r="B937"/>
      <c r="C937">
        <v>249.55</v>
      </c>
      <c r="H937" s="59" t="str">
        <f t="shared" si="14"/>
        <v>1st Pay Period ending 8/11/2022</v>
      </c>
      <c r="M937">
        <v>18901</v>
      </c>
      <c r="N937" s="61"/>
    </row>
    <row r="938" spans="1:14" ht="12.75" customHeight="1" x14ac:dyDescent="0.2">
      <c r="A938" s="15" t="s">
        <v>210</v>
      </c>
      <c r="B938"/>
      <c r="C938">
        <v>201.52</v>
      </c>
      <c r="H938" s="59" t="str">
        <f t="shared" si="14"/>
        <v>1st Pay Period ending 8/11/2022</v>
      </c>
      <c r="M938">
        <v>18887</v>
      </c>
      <c r="N938" s="61"/>
    </row>
    <row r="939" spans="1:14" ht="12.75" customHeight="1" x14ac:dyDescent="0.2">
      <c r="A939" s="15" t="s">
        <v>210</v>
      </c>
      <c r="B939"/>
      <c r="C939">
        <v>250.83</v>
      </c>
      <c r="H939" s="59" t="str">
        <f t="shared" si="14"/>
        <v>1st Pay Period ending 8/11/2022</v>
      </c>
      <c r="M939">
        <v>18827</v>
      </c>
      <c r="N939" s="61"/>
    </row>
    <row r="940" spans="1:14" outlineLevel="1" x14ac:dyDescent="0.2">
      <c r="A940" s="15" t="s">
        <v>210</v>
      </c>
      <c r="B940"/>
      <c r="C940">
        <v>227.63</v>
      </c>
      <c r="H940" s="59" t="str">
        <f t="shared" si="14"/>
        <v>1st Pay Period ending 8/11/2022</v>
      </c>
      <c r="M940">
        <v>18822</v>
      </c>
    </row>
    <row r="941" spans="1:14" outlineLevel="1" x14ac:dyDescent="0.2">
      <c r="A941" s="15" t="s">
        <v>210</v>
      </c>
      <c r="B941"/>
      <c r="C941">
        <v>363.46</v>
      </c>
      <c r="H941" s="59" t="str">
        <f t="shared" si="14"/>
        <v>1st Pay Period ending 8/11/2022</v>
      </c>
      <c r="M941">
        <v>18626</v>
      </c>
    </row>
    <row r="942" spans="1:14" outlineLevel="1" x14ac:dyDescent="0.2">
      <c r="A942" s="15" t="s">
        <v>210</v>
      </c>
      <c r="B942"/>
      <c r="C942">
        <v>205.97</v>
      </c>
      <c r="H942" s="59" t="str">
        <f t="shared" si="14"/>
        <v>1st Pay Period ending 8/11/2022</v>
      </c>
      <c r="M942">
        <v>18989</v>
      </c>
    </row>
    <row r="943" spans="1:14" outlineLevel="1" x14ac:dyDescent="0.2">
      <c r="A943" s="15" t="s">
        <v>210</v>
      </c>
      <c r="B943"/>
      <c r="C943">
        <v>184.34</v>
      </c>
      <c r="H943" s="59" t="str">
        <f t="shared" si="14"/>
        <v>1st Pay Period ending 8/11/2022</v>
      </c>
      <c r="M943">
        <v>18736</v>
      </c>
    </row>
    <row r="944" spans="1:14" outlineLevel="1" x14ac:dyDescent="0.2">
      <c r="A944" s="15" t="s">
        <v>210</v>
      </c>
      <c r="B944"/>
      <c r="C944">
        <v>216.13</v>
      </c>
      <c r="H944" s="59" t="str">
        <f t="shared" si="14"/>
        <v>1st Pay Period ending 8/11/2022</v>
      </c>
      <c r="M944">
        <v>19030</v>
      </c>
    </row>
    <row r="945" spans="1:13" outlineLevel="1" x14ac:dyDescent="0.2">
      <c r="A945" s="15" t="s">
        <v>210</v>
      </c>
      <c r="B945"/>
      <c r="C945">
        <v>217.28</v>
      </c>
      <c r="H945" s="59" t="str">
        <f t="shared" si="14"/>
        <v>1st Pay Period ending 8/11/2022</v>
      </c>
      <c r="M945">
        <v>19029</v>
      </c>
    </row>
    <row r="946" spans="1:13" outlineLevel="1" x14ac:dyDescent="0.2">
      <c r="A946" s="15" t="s">
        <v>210</v>
      </c>
      <c r="B946"/>
      <c r="C946">
        <v>215.59</v>
      </c>
      <c r="H946" s="59" t="str">
        <f t="shared" si="14"/>
        <v>1st Pay Period ending 8/11/2022</v>
      </c>
      <c r="M946">
        <v>19019</v>
      </c>
    </row>
    <row r="947" spans="1:13" outlineLevel="1" x14ac:dyDescent="0.2">
      <c r="A947" s="15" t="s">
        <v>210</v>
      </c>
      <c r="B947"/>
      <c r="C947">
        <v>220.66</v>
      </c>
      <c r="H947" s="59" t="str">
        <f t="shared" si="14"/>
        <v>1st Pay Period ending 8/11/2022</v>
      </c>
      <c r="M947">
        <v>18983</v>
      </c>
    </row>
    <row r="948" spans="1:13" outlineLevel="1" x14ac:dyDescent="0.2">
      <c r="A948" s="15" t="s">
        <v>210</v>
      </c>
      <c r="B948"/>
      <c r="C948">
        <v>199.88</v>
      </c>
      <c r="H948" s="59" t="str">
        <f t="shared" si="14"/>
        <v>1st Pay Period ending 8/11/2022</v>
      </c>
      <c r="M948">
        <v>19028</v>
      </c>
    </row>
    <row r="949" spans="1:13" outlineLevel="1" x14ac:dyDescent="0.2">
      <c r="A949" s="15" t="s">
        <v>210</v>
      </c>
      <c r="B949"/>
      <c r="C949">
        <v>202.23</v>
      </c>
      <c r="H949" s="59" t="str">
        <f t="shared" si="14"/>
        <v>1st Pay Period ending 8/11/2022</v>
      </c>
      <c r="M949">
        <v>19017</v>
      </c>
    </row>
    <row r="950" spans="1:13" outlineLevel="1" x14ac:dyDescent="0.2">
      <c r="A950" s="15" t="s">
        <v>210</v>
      </c>
      <c r="B950"/>
      <c r="C950">
        <v>235.66</v>
      </c>
      <c r="H950" s="59" t="str">
        <f t="shared" si="14"/>
        <v>1st Pay Period ending 8/11/2022</v>
      </c>
      <c r="M950">
        <v>18607</v>
      </c>
    </row>
    <row r="951" spans="1:13" outlineLevel="1" x14ac:dyDescent="0.2">
      <c r="A951" s="15" t="s">
        <v>210</v>
      </c>
      <c r="B951"/>
      <c r="C951">
        <v>210.67</v>
      </c>
      <c r="H951" s="59" t="str">
        <f t="shared" si="14"/>
        <v>1st Pay Period ending 8/11/2022</v>
      </c>
      <c r="M951">
        <v>19012</v>
      </c>
    </row>
    <row r="952" spans="1:13" outlineLevel="1" x14ac:dyDescent="0.2">
      <c r="A952" s="15" t="s">
        <v>210</v>
      </c>
      <c r="B952"/>
      <c r="C952">
        <v>262</v>
      </c>
      <c r="H952" s="59" t="str">
        <f t="shared" si="14"/>
        <v>1st Pay Period ending 8/11/2022</v>
      </c>
      <c r="M952">
        <v>18932</v>
      </c>
    </row>
    <row r="953" spans="1:13" outlineLevel="1" x14ac:dyDescent="0.2">
      <c r="A953" s="15" t="s">
        <v>210</v>
      </c>
      <c r="B953"/>
      <c r="C953">
        <v>245.62</v>
      </c>
      <c r="H953" s="59" t="str">
        <f t="shared" si="14"/>
        <v>1st Pay Period ending 8/11/2022</v>
      </c>
      <c r="M953">
        <v>18829</v>
      </c>
    </row>
    <row r="954" spans="1:13" outlineLevel="1" x14ac:dyDescent="0.2">
      <c r="A954" s="15" t="s">
        <v>210</v>
      </c>
      <c r="B954"/>
      <c r="C954">
        <v>125.34</v>
      </c>
      <c r="H954" s="59" t="str">
        <f t="shared" si="14"/>
        <v>1st Pay Period ending 8/11/2022</v>
      </c>
      <c r="M954">
        <v>19008</v>
      </c>
    </row>
    <row r="955" spans="1:13" outlineLevel="1" x14ac:dyDescent="0.2">
      <c r="A955" s="15" t="s">
        <v>210</v>
      </c>
      <c r="B955"/>
      <c r="C955">
        <v>179.33</v>
      </c>
      <c r="H955" s="59" t="str">
        <f t="shared" si="14"/>
        <v>1st Pay Period ending 8/11/2022</v>
      </c>
      <c r="M955">
        <v>18923</v>
      </c>
    </row>
    <row r="956" spans="1:13" outlineLevel="1" x14ac:dyDescent="0.2">
      <c r="A956" s="15" t="s">
        <v>210</v>
      </c>
      <c r="B956"/>
      <c r="C956">
        <v>214.83</v>
      </c>
      <c r="H956" s="59" t="str">
        <f t="shared" si="14"/>
        <v>1st Pay Period ending 8/11/2022</v>
      </c>
      <c r="M956">
        <v>19015</v>
      </c>
    </row>
    <row r="957" spans="1:13" outlineLevel="1" x14ac:dyDescent="0.2">
      <c r="A957" s="15" t="s">
        <v>210</v>
      </c>
      <c r="B957"/>
      <c r="C957">
        <v>185.03</v>
      </c>
      <c r="H957" s="59" t="str">
        <f t="shared" si="14"/>
        <v>1st Pay Period ending 8/11/2022</v>
      </c>
      <c r="M957">
        <v>18679</v>
      </c>
    </row>
    <row r="958" spans="1:13" outlineLevel="1" x14ac:dyDescent="0.2">
      <c r="A958" s="15" t="s">
        <v>210</v>
      </c>
      <c r="B958"/>
      <c r="C958">
        <v>199.83</v>
      </c>
      <c r="H958" s="59" t="str">
        <f t="shared" si="14"/>
        <v>1st Pay Period ending 8/11/2022</v>
      </c>
      <c r="M958">
        <v>19011</v>
      </c>
    </row>
    <row r="959" spans="1:13" outlineLevel="1" x14ac:dyDescent="0.2">
      <c r="A959" s="15" t="s">
        <v>210</v>
      </c>
      <c r="B959"/>
      <c r="C959">
        <v>216.39</v>
      </c>
      <c r="H959" s="59" t="str">
        <f t="shared" si="14"/>
        <v>1st Pay Period ending 8/11/2022</v>
      </c>
      <c r="M959">
        <v>19009</v>
      </c>
    </row>
    <row r="960" spans="1:13" outlineLevel="1" x14ac:dyDescent="0.2">
      <c r="A960" s="15" t="s">
        <v>210</v>
      </c>
      <c r="B960"/>
      <c r="C960">
        <v>302.89</v>
      </c>
      <c r="H960" s="59" t="str">
        <f t="shared" si="14"/>
        <v>1st Pay Period ending 8/11/2022</v>
      </c>
      <c r="M960">
        <v>18998</v>
      </c>
    </row>
    <row r="961" spans="1:13" outlineLevel="1" x14ac:dyDescent="0.2">
      <c r="A961" s="15" t="s">
        <v>210</v>
      </c>
      <c r="B961"/>
      <c r="C961">
        <v>310.76</v>
      </c>
      <c r="H961" s="59" t="str">
        <f t="shared" si="14"/>
        <v>1st Pay Period ending 8/11/2022</v>
      </c>
      <c r="M961">
        <v>115</v>
      </c>
    </row>
    <row r="962" spans="1:13" outlineLevel="1" x14ac:dyDescent="0.2">
      <c r="A962" s="15" t="s">
        <v>210</v>
      </c>
      <c r="B962"/>
      <c r="C962">
        <v>323.08</v>
      </c>
      <c r="H962" s="59" t="str">
        <f t="shared" si="14"/>
        <v>1st Pay Period ending 8/11/2022</v>
      </c>
      <c r="M962">
        <v>18649</v>
      </c>
    </row>
    <row r="963" spans="1:13" outlineLevel="1" x14ac:dyDescent="0.2">
      <c r="A963" s="15" t="s">
        <v>210</v>
      </c>
      <c r="B963"/>
      <c r="C963">
        <v>214.44</v>
      </c>
      <c r="H963" s="59" t="str">
        <f t="shared" ref="H963:H996" si="15">$K$1</f>
        <v>1st Pay Period ending 8/11/2022</v>
      </c>
      <c r="M963">
        <v>19020</v>
      </c>
    </row>
    <row r="964" spans="1:13" outlineLevel="1" x14ac:dyDescent="0.2">
      <c r="A964" s="15" t="s">
        <v>210</v>
      </c>
      <c r="B964"/>
      <c r="C964">
        <v>312.76</v>
      </c>
      <c r="H964" s="59" t="str">
        <f t="shared" si="15"/>
        <v>1st Pay Period ending 8/11/2022</v>
      </c>
      <c r="M964">
        <v>18904</v>
      </c>
    </row>
    <row r="965" spans="1:13" outlineLevel="1" x14ac:dyDescent="0.2">
      <c r="A965" s="15" t="s">
        <v>210</v>
      </c>
      <c r="B965"/>
      <c r="C965">
        <v>127.59</v>
      </c>
      <c r="H965" s="59" t="str">
        <f t="shared" si="15"/>
        <v>1st Pay Period ending 8/11/2022</v>
      </c>
      <c r="M965">
        <v>18839</v>
      </c>
    </row>
    <row r="966" spans="1:13" outlineLevel="1" x14ac:dyDescent="0.2">
      <c r="A966" s="15" t="s">
        <v>210</v>
      </c>
      <c r="B966"/>
      <c r="C966">
        <v>196.36</v>
      </c>
      <c r="H966" s="59" t="str">
        <f t="shared" si="15"/>
        <v>1st Pay Period ending 8/11/2022</v>
      </c>
      <c r="M966">
        <v>18650</v>
      </c>
    </row>
    <row r="967" spans="1:13" outlineLevel="1" x14ac:dyDescent="0.2">
      <c r="A967" s="15" t="s">
        <v>210</v>
      </c>
      <c r="B967"/>
      <c r="C967">
        <v>556.45000000000005</v>
      </c>
      <c r="H967" s="59" t="str">
        <f t="shared" si="15"/>
        <v>1st Pay Period ending 8/11/2022</v>
      </c>
      <c r="M967">
        <v>18850</v>
      </c>
    </row>
    <row r="968" spans="1:13" outlineLevel="1" x14ac:dyDescent="0.2">
      <c r="A968" s="15" t="s">
        <v>210</v>
      </c>
      <c r="B968"/>
      <c r="C968">
        <v>246.68</v>
      </c>
      <c r="H968" s="59" t="str">
        <f t="shared" si="15"/>
        <v>1st Pay Period ending 8/11/2022</v>
      </c>
      <c r="M968">
        <v>18646</v>
      </c>
    </row>
    <row r="969" spans="1:13" outlineLevel="1" x14ac:dyDescent="0.2">
      <c r="A969" s="15" t="s">
        <v>210</v>
      </c>
      <c r="B969"/>
      <c r="C969">
        <v>255.02</v>
      </c>
      <c r="H969" s="59" t="str">
        <f t="shared" si="15"/>
        <v>1st Pay Period ending 8/11/2022</v>
      </c>
      <c r="M969">
        <v>18703</v>
      </c>
    </row>
    <row r="970" spans="1:13" outlineLevel="1" x14ac:dyDescent="0.2">
      <c r="A970" s="15" t="s">
        <v>210</v>
      </c>
      <c r="B970"/>
      <c r="C970">
        <v>50.89</v>
      </c>
      <c r="H970" s="59" t="str">
        <f t="shared" si="15"/>
        <v>1st Pay Period ending 8/11/2022</v>
      </c>
      <c r="M970">
        <v>18917</v>
      </c>
    </row>
    <row r="971" spans="1:13" outlineLevel="1" x14ac:dyDescent="0.2">
      <c r="A971" s="15" t="s">
        <v>210</v>
      </c>
      <c r="B971"/>
      <c r="C971">
        <v>206.87</v>
      </c>
      <c r="H971" s="59" t="str">
        <f t="shared" si="15"/>
        <v>1st Pay Period ending 8/11/2022</v>
      </c>
      <c r="M971">
        <v>19039</v>
      </c>
    </row>
    <row r="972" spans="1:13" outlineLevel="1" x14ac:dyDescent="0.2">
      <c r="A972" s="15" t="s">
        <v>210</v>
      </c>
      <c r="B972"/>
      <c r="C972">
        <v>256.45999999999998</v>
      </c>
      <c r="H972" s="59" t="str">
        <f t="shared" si="15"/>
        <v>1st Pay Period ending 8/11/2022</v>
      </c>
      <c r="M972">
        <v>18942</v>
      </c>
    </row>
    <row r="973" spans="1:13" outlineLevel="1" x14ac:dyDescent="0.2">
      <c r="A973" s="15" t="s">
        <v>210</v>
      </c>
      <c r="B973"/>
      <c r="C973">
        <v>189.94</v>
      </c>
      <c r="H973" s="59" t="str">
        <f t="shared" si="15"/>
        <v>1st Pay Period ending 8/11/2022</v>
      </c>
      <c r="M973">
        <v>18990</v>
      </c>
    </row>
    <row r="974" spans="1:13" outlineLevel="1" x14ac:dyDescent="0.2">
      <c r="A974" s="15" t="s">
        <v>210</v>
      </c>
      <c r="B974"/>
      <c r="C974">
        <v>210.58</v>
      </c>
      <c r="H974" s="59" t="str">
        <f t="shared" si="15"/>
        <v>1st Pay Period ending 8/11/2022</v>
      </c>
      <c r="M974">
        <v>18986</v>
      </c>
    </row>
    <row r="975" spans="1:13" outlineLevel="1" x14ac:dyDescent="0.2">
      <c r="A975" s="15" t="s">
        <v>210</v>
      </c>
      <c r="B975"/>
      <c r="C975">
        <v>89.14</v>
      </c>
      <c r="H975" s="59" t="str">
        <f t="shared" si="15"/>
        <v>1st Pay Period ending 8/11/2022</v>
      </c>
      <c r="M975">
        <v>19023</v>
      </c>
    </row>
    <row r="976" spans="1:13" outlineLevel="1" x14ac:dyDescent="0.2">
      <c r="A976" s="15" t="s">
        <v>210</v>
      </c>
      <c r="B976"/>
      <c r="C976">
        <v>125.74</v>
      </c>
      <c r="H976" s="59" t="str">
        <f t="shared" si="15"/>
        <v>1st Pay Period ending 8/11/2022</v>
      </c>
      <c r="M976">
        <v>18924</v>
      </c>
    </row>
    <row r="977" spans="1:13" outlineLevel="1" x14ac:dyDescent="0.2">
      <c r="A977" s="15" t="s">
        <v>210</v>
      </c>
      <c r="B977"/>
      <c r="C977">
        <v>331.2</v>
      </c>
      <c r="H977" s="59" t="str">
        <f t="shared" si="15"/>
        <v>1st Pay Period ending 8/11/2022</v>
      </c>
      <c r="M977">
        <v>18713</v>
      </c>
    </row>
    <row r="978" spans="1:13" outlineLevel="1" x14ac:dyDescent="0.2">
      <c r="A978" s="15" t="s">
        <v>210</v>
      </c>
      <c r="B978"/>
      <c r="C978">
        <v>184.61</v>
      </c>
      <c r="H978" s="59" t="str">
        <f t="shared" si="15"/>
        <v>1st Pay Period ending 8/11/2022</v>
      </c>
      <c r="M978">
        <v>18970</v>
      </c>
    </row>
    <row r="979" spans="1:13" outlineLevel="1" x14ac:dyDescent="0.2">
      <c r="A979" s="15" t="s">
        <v>210</v>
      </c>
      <c r="B979"/>
      <c r="C979">
        <v>230.19</v>
      </c>
      <c r="H979" s="59" t="str">
        <f t="shared" si="15"/>
        <v>1st Pay Period ending 8/11/2022</v>
      </c>
      <c r="M979">
        <v>18976</v>
      </c>
    </row>
    <row r="980" spans="1:13" outlineLevel="1" x14ac:dyDescent="0.2">
      <c r="A980" s="15" t="s">
        <v>210</v>
      </c>
      <c r="B980"/>
      <c r="C980">
        <v>343.27</v>
      </c>
      <c r="H980" s="59" t="str">
        <f t="shared" si="15"/>
        <v>1st Pay Period ending 8/11/2022</v>
      </c>
      <c r="M980">
        <v>19031</v>
      </c>
    </row>
    <row r="981" spans="1:13" outlineLevel="1" x14ac:dyDescent="0.2">
      <c r="A981" s="15" t="s">
        <v>210</v>
      </c>
      <c r="B981"/>
      <c r="C981">
        <v>266.54000000000002</v>
      </c>
      <c r="H981" s="59" t="str">
        <f t="shared" si="15"/>
        <v>1st Pay Period ending 8/11/2022</v>
      </c>
      <c r="M981">
        <v>18442</v>
      </c>
    </row>
    <row r="982" spans="1:13" outlineLevel="1" x14ac:dyDescent="0.2">
      <c r="A982" s="15" t="s">
        <v>210</v>
      </c>
      <c r="B982"/>
      <c r="C982">
        <v>125.14</v>
      </c>
      <c r="H982" s="59" t="str">
        <f t="shared" si="15"/>
        <v>1st Pay Period ending 8/11/2022</v>
      </c>
      <c r="M982">
        <v>18634</v>
      </c>
    </row>
    <row r="983" spans="1:13" outlineLevel="1" x14ac:dyDescent="0.2">
      <c r="A983" s="15" t="s">
        <v>210</v>
      </c>
      <c r="B983"/>
      <c r="C983">
        <v>323.08</v>
      </c>
      <c r="H983" s="59" t="str">
        <f t="shared" si="15"/>
        <v>1st Pay Period ending 8/11/2022</v>
      </c>
      <c r="M983">
        <v>261</v>
      </c>
    </row>
    <row r="984" spans="1:13" outlineLevel="1" x14ac:dyDescent="0.2">
      <c r="A984" s="15" t="s">
        <v>210</v>
      </c>
      <c r="B984"/>
      <c r="C984">
        <v>188.12</v>
      </c>
      <c r="H984" s="59" t="str">
        <f t="shared" si="15"/>
        <v>1st Pay Period ending 8/11/2022</v>
      </c>
      <c r="M984">
        <v>18898</v>
      </c>
    </row>
    <row r="985" spans="1:13" outlineLevel="1" x14ac:dyDescent="0.2">
      <c r="A985" s="15" t="s">
        <v>210</v>
      </c>
      <c r="B985"/>
      <c r="C985">
        <v>253.46</v>
      </c>
      <c r="H985" s="59" t="str">
        <f t="shared" si="15"/>
        <v>1st Pay Period ending 8/11/2022</v>
      </c>
      <c r="M985">
        <v>18823</v>
      </c>
    </row>
    <row r="986" spans="1:13" outlineLevel="1" x14ac:dyDescent="0.2">
      <c r="A986" s="15" t="s">
        <v>210</v>
      </c>
      <c r="B986"/>
      <c r="C986">
        <v>158.53</v>
      </c>
      <c r="H986" s="59" t="str">
        <f t="shared" si="15"/>
        <v>1st Pay Period ending 8/11/2022</v>
      </c>
      <c r="M986">
        <v>18996</v>
      </c>
    </row>
    <row r="987" spans="1:13" outlineLevel="1" x14ac:dyDescent="0.2">
      <c r="A987" s="15" t="s">
        <v>210</v>
      </c>
      <c r="B987"/>
      <c r="C987">
        <v>146.56</v>
      </c>
      <c r="H987" s="59" t="str">
        <f t="shared" si="15"/>
        <v>1st Pay Period ending 8/11/2022</v>
      </c>
      <c r="M987">
        <v>18927</v>
      </c>
    </row>
    <row r="988" spans="1:13" outlineLevel="1" x14ac:dyDescent="0.2">
      <c r="A988" s="15" t="s">
        <v>210</v>
      </c>
      <c r="B988"/>
      <c r="C988">
        <v>162.81</v>
      </c>
      <c r="H988" s="59" t="str">
        <f t="shared" si="15"/>
        <v>1st Pay Period ending 8/11/2022</v>
      </c>
      <c r="M988">
        <v>18895</v>
      </c>
    </row>
    <row r="989" spans="1:13" outlineLevel="1" x14ac:dyDescent="0.2">
      <c r="A989" s="15" t="s">
        <v>210</v>
      </c>
      <c r="B989"/>
      <c r="C989">
        <v>254.67</v>
      </c>
      <c r="H989" s="59" t="str">
        <f t="shared" si="15"/>
        <v>1st Pay Period ending 8/11/2022</v>
      </c>
      <c r="M989">
        <v>18791</v>
      </c>
    </row>
    <row r="990" spans="1:13" outlineLevel="1" x14ac:dyDescent="0.2">
      <c r="A990" s="15" t="s">
        <v>210</v>
      </c>
      <c r="B990"/>
      <c r="C990">
        <v>266.64999999999998</v>
      </c>
      <c r="H990" s="59" t="str">
        <f t="shared" si="15"/>
        <v>1st Pay Period ending 8/11/2022</v>
      </c>
      <c r="M990">
        <v>18561</v>
      </c>
    </row>
    <row r="991" spans="1:13" outlineLevel="1" x14ac:dyDescent="0.2">
      <c r="A991" s="15" t="s">
        <v>210</v>
      </c>
      <c r="B991"/>
      <c r="C991">
        <v>191.2</v>
      </c>
      <c r="H991" s="59" t="str">
        <f t="shared" si="15"/>
        <v>1st Pay Period ending 8/11/2022</v>
      </c>
      <c r="M991">
        <v>18953</v>
      </c>
    </row>
    <row r="992" spans="1:13" outlineLevel="1" x14ac:dyDescent="0.2">
      <c r="A992" s="15" t="s">
        <v>210</v>
      </c>
      <c r="B992"/>
      <c r="C992">
        <v>209</v>
      </c>
      <c r="H992" s="59" t="str">
        <f t="shared" si="15"/>
        <v>1st Pay Period ending 8/11/2022</v>
      </c>
      <c r="M992">
        <v>18792</v>
      </c>
    </row>
    <row r="993" spans="1:13" outlineLevel="1" x14ac:dyDescent="0.2">
      <c r="A993" s="15" t="s">
        <v>210</v>
      </c>
      <c r="B993"/>
      <c r="C993">
        <v>58.5</v>
      </c>
      <c r="H993" s="59" t="str">
        <f t="shared" si="15"/>
        <v>1st Pay Period ending 8/11/2022</v>
      </c>
      <c r="M993">
        <v>156</v>
      </c>
    </row>
    <row r="994" spans="1:13" outlineLevel="1" x14ac:dyDescent="0.2">
      <c r="A994" s="15" t="s">
        <v>210</v>
      </c>
      <c r="B994"/>
      <c r="C994">
        <v>74.430000000000007</v>
      </c>
      <c r="H994" s="59" t="str">
        <f t="shared" si="15"/>
        <v>1st Pay Period ending 8/11/2022</v>
      </c>
      <c r="M994">
        <v>18506</v>
      </c>
    </row>
    <row r="995" spans="1:13" outlineLevel="1" x14ac:dyDescent="0.2">
      <c r="A995" s="15" t="s">
        <v>210</v>
      </c>
      <c r="B995"/>
      <c r="C995">
        <v>66.48</v>
      </c>
      <c r="H995" s="59" t="str">
        <f t="shared" si="15"/>
        <v>1st Pay Period ending 8/11/2022</v>
      </c>
      <c r="M995">
        <v>19037</v>
      </c>
    </row>
    <row r="996" spans="1:13" outlineLevel="1" x14ac:dyDescent="0.2">
      <c r="A996" s="15" t="s">
        <v>210</v>
      </c>
      <c r="B996"/>
      <c r="C996">
        <v>302.89</v>
      </c>
      <c r="H996" s="59" t="str">
        <f t="shared" si="15"/>
        <v>1st Pay Period ending 8/11/2022</v>
      </c>
      <c r="M996">
        <v>18876</v>
      </c>
    </row>
    <row r="997" spans="1:13" outlineLevel="1" x14ac:dyDescent="0.2">
      <c r="A997" s="15"/>
      <c r="B997"/>
      <c r="C997"/>
      <c r="H997" s="59"/>
      <c r="M997"/>
    </row>
    <row r="998" spans="1:13" outlineLevel="1" x14ac:dyDescent="0.2">
      <c r="A998" s="15"/>
      <c r="B998"/>
      <c r="C998"/>
      <c r="H998" s="59"/>
      <c r="M998"/>
    </row>
    <row r="999" spans="1:13" outlineLevel="1" x14ac:dyDescent="0.2">
      <c r="A999" s="15"/>
      <c r="B999"/>
      <c r="C999"/>
      <c r="H999" s="59"/>
      <c r="M999"/>
    </row>
    <row r="1000" spans="1:13" outlineLevel="1" x14ac:dyDescent="0.2">
      <c r="A1000" s="15"/>
      <c r="B1000"/>
      <c r="C1000"/>
      <c r="H1000" s="59"/>
      <c r="M1000"/>
    </row>
    <row r="1001" spans="1:13" outlineLevel="1" x14ac:dyDescent="0.2">
      <c r="A1001" s="15"/>
      <c r="B1001"/>
      <c r="C1001"/>
      <c r="H1001" s="59"/>
      <c r="M1001"/>
    </row>
    <row r="1002" spans="1:13" outlineLevel="1" x14ac:dyDescent="0.2">
      <c r="A1002" s="15"/>
      <c r="B1002"/>
      <c r="C1002"/>
      <c r="H1002" s="59"/>
      <c r="M1002"/>
    </row>
    <row r="1003" spans="1:13" outlineLevel="1" x14ac:dyDescent="0.2">
      <c r="A1003" s="15"/>
      <c r="B1003"/>
      <c r="C1003"/>
      <c r="H1003" s="59"/>
      <c r="M1003"/>
    </row>
    <row r="1004" spans="1:13" outlineLevel="1" x14ac:dyDescent="0.2">
      <c r="A1004" s="15"/>
      <c r="B1004"/>
      <c r="C1004"/>
      <c r="H1004" s="59"/>
      <c r="M1004"/>
    </row>
    <row r="1005" spans="1:13" outlineLevel="1" x14ac:dyDescent="0.2">
      <c r="A1005" s="15"/>
      <c r="B1005"/>
      <c r="C1005"/>
      <c r="H1005" s="59"/>
      <c r="M1005"/>
    </row>
    <row r="1006" spans="1:13" outlineLevel="1" x14ac:dyDescent="0.2">
      <c r="A1006" s="15"/>
      <c r="B1006"/>
      <c r="C1006"/>
      <c r="H1006" s="59"/>
      <c r="M1006"/>
    </row>
    <row r="1007" spans="1:13" outlineLevel="1" x14ac:dyDescent="0.2">
      <c r="A1007" s="15"/>
      <c r="B1007"/>
      <c r="C1007"/>
      <c r="H1007" s="59"/>
      <c r="M1007"/>
    </row>
    <row r="1008" spans="1:13" outlineLevel="1" x14ac:dyDescent="0.2">
      <c r="A1008" s="15"/>
      <c r="B1008"/>
      <c r="C1008"/>
      <c r="H1008" s="59"/>
      <c r="M1008"/>
    </row>
    <row r="1009" spans="1:13" outlineLevel="1" x14ac:dyDescent="0.2">
      <c r="A1009" s="15"/>
      <c r="B1009"/>
      <c r="C1009"/>
      <c r="H1009" s="59"/>
      <c r="M1009"/>
    </row>
    <row r="1010" spans="1:13" outlineLevel="1" x14ac:dyDescent="0.2">
      <c r="A1010" s="15"/>
      <c r="B1010"/>
      <c r="C1010"/>
      <c r="H1010" s="59"/>
      <c r="M1010"/>
    </row>
    <row r="1011" spans="1:13" outlineLevel="1" x14ac:dyDescent="0.2">
      <c r="A1011" s="15"/>
      <c r="B1011"/>
      <c r="C1011"/>
      <c r="H1011" s="59"/>
      <c r="M1011"/>
    </row>
    <row r="1012" spans="1:13" outlineLevel="1" x14ac:dyDescent="0.2">
      <c r="A1012" s="15"/>
      <c r="B1012"/>
      <c r="C1012"/>
      <c r="H1012" s="59"/>
      <c r="M1012"/>
    </row>
    <row r="1013" spans="1:13" outlineLevel="1" x14ac:dyDescent="0.2">
      <c r="A1013" s="15"/>
      <c r="B1013"/>
      <c r="C1013"/>
      <c r="H1013" s="59"/>
      <c r="M1013"/>
    </row>
    <row r="1014" spans="1:13" outlineLevel="1" x14ac:dyDescent="0.2">
      <c r="A1014" s="15"/>
      <c r="B1014"/>
      <c r="C1014"/>
      <c r="H1014" s="59"/>
      <c r="M1014"/>
    </row>
    <row r="1015" spans="1:13" outlineLevel="1" x14ac:dyDescent="0.2">
      <c r="A1015" s="15"/>
      <c r="B1015"/>
      <c r="C1015"/>
      <c r="H1015" s="59"/>
      <c r="M1015"/>
    </row>
    <row r="1016" spans="1:13" outlineLevel="1" x14ac:dyDescent="0.2">
      <c r="A1016" s="15"/>
      <c r="B1016"/>
      <c r="C1016"/>
      <c r="H1016" s="59"/>
      <c r="M1016"/>
    </row>
    <row r="1017" spans="1:13" outlineLevel="1" x14ac:dyDescent="0.2">
      <c r="A1017" s="15"/>
      <c r="B1017"/>
      <c r="C1017"/>
      <c r="H1017" s="59"/>
      <c r="M1017"/>
    </row>
    <row r="1018" spans="1:13" outlineLevel="1" x14ac:dyDescent="0.2">
      <c r="A1018" s="15"/>
      <c r="B1018"/>
      <c r="C1018"/>
      <c r="H1018" s="59"/>
      <c r="M1018"/>
    </row>
    <row r="1019" spans="1:13" outlineLevel="1" x14ac:dyDescent="0.2">
      <c r="A1019" s="15"/>
      <c r="B1019"/>
      <c r="C1019"/>
      <c r="H1019" s="59"/>
      <c r="M1019"/>
    </row>
    <row r="1020" spans="1:13" outlineLevel="1" x14ac:dyDescent="0.2">
      <c r="A1020" s="15"/>
      <c r="B1020"/>
      <c r="C1020"/>
      <c r="H1020" s="59"/>
      <c r="M1020"/>
    </row>
    <row r="1021" spans="1:13" outlineLevel="1" x14ac:dyDescent="0.2">
      <c r="A1021" s="15"/>
      <c r="B1021"/>
      <c r="C1021"/>
      <c r="H1021" s="59"/>
      <c r="M1021"/>
    </row>
    <row r="1022" spans="1:13" outlineLevel="1" x14ac:dyDescent="0.2">
      <c r="A1022" s="15"/>
      <c r="B1022"/>
      <c r="C1022"/>
      <c r="H1022" s="59"/>
      <c r="M1022"/>
    </row>
    <row r="1023" spans="1:13" outlineLevel="1" x14ac:dyDescent="0.2">
      <c r="A1023" s="15"/>
      <c r="B1023"/>
      <c r="C1023"/>
      <c r="H1023" s="59"/>
      <c r="M1023"/>
    </row>
    <row r="1024" spans="1:13" outlineLevel="1" x14ac:dyDescent="0.2">
      <c r="A1024" s="15"/>
      <c r="B1024"/>
      <c r="C1024"/>
      <c r="H1024" s="59"/>
      <c r="M1024"/>
    </row>
    <row r="1025" spans="1:13" outlineLevel="1" x14ac:dyDescent="0.2">
      <c r="A1025" s="15"/>
      <c r="B1025"/>
      <c r="C1025"/>
      <c r="H1025" s="59"/>
      <c r="M1025"/>
    </row>
    <row r="1026" spans="1:13" outlineLevel="1" x14ac:dyDescent="0.2">
      <c r="A1026" s="15"/>
      <c r="B1026"/>
      <c r="C1026"/>
      <c r="H1026" s="59"/>
      <c r="M1026"/>
    </row>
    <row r="1027" spans="1:13" outlineLevel="1" x14ac:dyDescent="0.2">
      <c r="A1027" s="15"/>
      <c r="B1027"/>
      <c r="C1027"/>
      <c r="H1027" s="59"/>
      <c r="M1027"/>
    </row>
    <row r="1028" spans="1:13" outlineLevel="1" x14ac:dyDescent="0.2">
      <c r="A1028" s="15"/>
      <c r="B1028"/>
      <c r="C1028"/>
      <c r="H1028" s="59"/>
      <c r="M1028"/>
    </row>
    <row r="1029" spans="1:13" outlineLevel="1" x14ac:dyDescent="0.2">
      <c r="A1029" s="15"/>
      <c r="B1029"/>
      <c r="C1029"/>
      <c r="H1029" s="59"/>
      <c r="M1029"/>
    </row>
    <row r="1030" spans="1:13" outlineLevel="1" x14ac:dyDescent="0.2">
      <c r="A1030" s="15"/>
      <c r="B1030"/>
      <c r="C1030"/>
      <c r="H1030" s="59"/>
      <c r="M1030"/>
    </row>
    <row r="1031" spans="1:13" outlineLevel="1" x14ac:dyDescent="0.2">
      <c r="A1031" s="15"/>
      <c r="B1031"/>
      <c r="C1031"/>
      <c r="H1031" s="59"/>
      <c r="M1031"/>
    </row>
    <row r="1032" spans="1:13" outlineLevel="1" x14ac:dyDescent="0.2">
      <c r="A1032" s="15"/>
      <c r="B1032"/>
      <c r="C1032"/>
      <c r="H1032" s="59"/>
      <c r="M1032"/>
    </row>
    <row r="1033" spans="1:13" outlineLevel="1" x14ac:dyDescent="0.2">
      <c r="A1033" s="15"/>
      <c r="B1033"/>
      <c r="C1033"/>
      <c r="H1033" s="59"/>
      <c r="M1033"/>
    </row>
    <row r="1034" spans="1:13" outlineLevel="1" x14ac:dyDescent="0.2">
      <c r="A1034" s="15"/>
      <c r="B1034"/>
      <c r="C1034"/>
      <c r="H1034" s="59"/>
      <c r="M1034"/>
    </row>
    <row r="1035" spans="1:13" outlineLevel="1" x14ac:dyDescent="0.2">
      <c r="A1035" s="15"/>
      <c r="B1035"/>
      <c r="C1035"/>
      <c r="H1035" s="59"/>
      <c r="M1035"/>
    </row>
    <row r="1036" spans="1:13" outlineLevel="1" x14ac:dyDescent="0.2">
      <c r="A1036" s="15"/>
      <c r="B1036"/>
      <c r="C1036"/>
      <c r="H1036" s="59"/>
      <c r="M1036"/>
    </row>
    <row r="1037" spans="1:13" outlineLevel="1" x14ac:dyDescent="0.2">
      <c r="A1037" s="15"/>
      <c r="B1037"/>
      <c r="C1037"/>
      <c r="H1037" s="59"/>
      <c r="M1037"/>
    </row>
    <row r="1038" spans="1:13" outlineLevel="1" x14ac:dyDescent="0.2">
      <c r="A1038" s="15"/>
      <c r="B1038"/>
      <c r="C1038"/>
      <c r="H1038" s="59"/>
      <c r="M1038"/>
    </row>
    <row r="1039" spans="1:13" outlineLevel="1" x14ac:dyDescent="0.2">
      <c r="A1039" s="15"/>
      <c r="B1039"/>
      <c r="C1039"/>
      <c r="H1039" s="59"/>
      <c r="M1039"/>
    </row>
    <row r="1040" spans="1:13" outlineLevel="1" x14ac:dyDescent="0.2">
      <c r="A1040" s="15"/>
      <c r="B1040"/>
      <c r="C1040"/>
      <c r="H1040" s="59"/>
      <c r="M1040"/>
    </row>
    <row r="1041" spans="1:13" outlineLevel="1" x14ac:dyDescent="0.2">
      <c r="A1041" s="15"/>
      <c r="B1041"/>
      <c r="C1041"/>
      <c r="H1041" s="59"/>
      <c r="M1041"/>
    </row>
    <row r="1042" spans="1:13" outlineLevel="1" x14ac:dyDescent="0.2">
      <c r="A1042" s="15"/>
      <c r="B1042"/>
      <c r="C1042"/>
      <c r="H1042" s="59"/>
      <c r="M1042"/>
    </row>
    <row r="1043" spans="1:13" outlineLevel="1" x14ac:dyDescent="0.2">
      <c r="A1043" s="15"/>
      <c r="B1043"/>
      <c r="C1043"/>
      <c r="H1043" s="59"/>
      <c r="M1043"/>
    </row>
    <row r="1044" spans="1:13" outlineLevel="1" x14ac:dyDescent="0.2">
      <c r="A1044" s="15"/>
      <c r="B1044"/>
      <c r="C1044"/>
      <c r="H1044" s="59"/>
      <c r="M1044"/>
    </row>
    <row r="1045" spans="1:13" outlineLevel="1" x14ac:dyDescent="0.2">
      <c r="A1045" s="15"/>
      <c r="B1045"/>
      <c r="C1045"/>
      <c r="H1045" s="59"/>
      <c r="M1045"/>
    </row>
    <row r="1046" spans="1:13" outlineLevel="1" x14ac:dyDescent="0.2">
      <c r="A1046" s="15"/>
      <c r="B1046"/>
      <c r="C1046"/>
      <c r="H1046" s="59"/>
      <c r="M1046"/>
    </row>
    <row r="1047" spans="1:13" outlineLevel="1" x14ac:dyDescent="0.2">
      <c r="A1047" s="15"/>
      <c r="B1047"/>
      <c r="C1047"/>
      <c r="H1047" s="59"/>
      <c r="M1047"/>
    </row>
    <row r="1048" spans="1:13" outlineLevel="1" x14ac:dyDescent="0.2">
      <c r="A1048" s="15"/>
      <c r="B1048"/>
      <c r="C1048"/>
      <c r="H1048" s="59"/>
      <c r="M1048"/>
    </row>
    <row r="1049" spans="1:13" outlineLevel="1" x14ac:dyDescent="0.2">
      <c r="A1049" s="15"/>
      <c r="B1049"/>
      <c r="C1049"/>
      <c r="H1049" s="59"/>
      <c r="M1049"/>
    </row>
    <row r="1050" spans="1:13" outlineLevel="1" x14ac:dyDescent="0.2">
      <c r="A1050" s="15"/>
      <c r="B1050"/>
      <c r="C1050"/>
      <c r="H1050" s="59"/>
      <c r="M1050"/>
    </row>
    <row r="1051" spans="1:13" outlineLevel="1" x14ac:dyDescent="0.2">
      <c r="A1051" s="15"/>
      <c r="B1051"/>
      <c r="C1051"/>
      <c r="H1051" s="59"/>
      <c r="M1051"/>
    </row>
    <row r="1052" spans="1:13" outlineLevel="1" x14ac:dyDescent="0.2">
      <c r="A1052" s="15"/>
      <c r="B1052"/>
      <c r="C1052"/>
      <c r="H1052" s="59"/>
      <c r="M1052"/>
    </row>
    <row r="1053" spans="1:13" outlineLevel="1" x14ac:dyDescent="0.2">
      <c r="A1053" s="15"/>
      <c r="B1053"/>
      <c r="C1053"/>
      <c r="H1053" s="59"/>
      <c r="M1053"/>
    </row>
    <row r="1054" spans="1:13" outlineLevel="1" x14ac:dyDescent="0.2">
      <c r="A1054" s="15"/>
      <c r="B1054"/>
      <c r="C1054"/>
      <c r="H1054" s="59"/>
      <c r="M1054"/>
    </row>
    <row r="1055" spans="1:13" outlineLevel="1" x14ac:dyDescent="0.2">
      <c r="A1055" s="15"/>
      <c r="B1055"/>
      <c r="C1055"/>
      <c r="H1055" s="59"/>
      <c r="M1055"/>
    </row>
    <row r="1056" spans="1:13" outlineLevel="1" x14ac:dyDescent="0.2">
      <c r="A1056" s="15"/>
      <c r="B1056"/>
      <c r="C1056"/>
      <c r="H1056" s="59"/>
      <c r="M1056"/>
    </row>
    <row r="1057" spans="1:13" outlineLevel="1" x14ac:dyDescent="0.2">
      <c r="A1057" s="15"/>
      <c r="B1057"/>
      <c r="C1057"/>
      <c r="H1057" s="59"/>
      <c r="M1057"/>
    </row>
    <row r="1058" spans="1:13" outlineLevel="1" x14ac:dyDescent="0.2">
      <c r="A1058" s="15"/>
      <c r="B1058"/>
      <c r="C1058"/>
      <c r="H1058" s="59"/>
      <c r="M1058"/>
    </row>
    <row r="1059" spans="1:13" outlineLevel="1" x14ac:dyDescent="0.2">
      <c r="A1059" s="15"/>
      <c r="B1059"/>
      <c r="C1059"/>
      <c r="H1059" s="59"/>
      <c r="M1059"/>
    </row>
    <row r="1060" spans="1:13" outlineLevel="1" x14ac:dyDescent="0.2">
      <c r="A1060" s="15"/>
      <c r="B1060"/>
      <c r="C1060"/>
      <c r="H1060" s="59"/>
      <c r="M1060"/>
    </row>
    <row r="1061" spans="1:13" outlineLevel="1" x14ac:dyDescent="0.2">
      <c r="A1061" s="15"/>
      <c r="B1061"/>
      <c r="C1061"/>
      <c r="H1061" s="59"/>
      <c r="M1061"/>
    </row>
    <row r="1062" spans="1:13" outlineLevel="1" x14ac:dyDescent="0.2">
      <c r="A1062" s="15"/>
      <c r="B1062"/>
      <c r="C1062"/>
      <c r="H1062" s="59"/>
      <c r="M1062"/>
    </row>
    <row r="1063" spans="1:13" outlineLevel="1" x14ac:dyDescent="0.2">
      <c r="A1063" s="15"/>
      <c r="B1063"/>
      <c r="C1063"/>
      <c r="H1063" s="59"/>
      <c r="M1063"/>
    </row>
    <row r="1064" spans="1:13" outlineLevel="1" x14ac:dyDescent="0.2">
      <c r="A1064" s="15"/>
      <c r="B1064"/>
      <c r="C1064"/>
      <c r="H1064" s="59"/>
      <c r="M1064"/>
    </row>
    <row r="1065" spans="1:13" outlineLevel="1" x14ac:dyDescent="0.2">
      <c r="A1065" s="15"/>
      <c r="B1065"/>
      <c r="C1065"/>
      <c r="H1065" s="59"/>
      <c r="M1065"/>
    </row>
    <row r="1066" spans="1:13" outlineLevel="1" x14ac:dyDescent="0.2">
      <c r="A1066" s="15"/>
      <c r="B1066"/>
      <c r="C1066"/>
      <c r="H1066" s="59"/>
      <c r="M1066"/>
    </row>
    <row r="1067" spans="1:13" outlineLevel="1" x14ac:dyDescent="0.2">
      <c r="A1067" s="15"/>
      <c r="B1067"/>
      <c r="C1067"/>
      <c r="H1067" s="59"/>
      <c r="M1067"/>
    </row>
    <row r="1068" spans="1:13" outlineLevel="1" x14ac:dyDescent="0.2">
      <c r="A1068" s="15"/>
      <c r="B1068"/>
      <c r="C1068"/>
      <c r="H1068" s="59"/>
      <c r="M1068"/>
    </row>
    <row r="1069" spans="1:13" outlineLevel="1" x14ac:dyDescent="0.2">
      <c r="A1069" s="15"/>
      <c r="B1069"/>
      <c r="C1069"/>
      <c r="H1069" s="59"/>
      <c r="M1069"/>
    </row>
    <row r="1070" spans="1:13" outlineLevel="1" x14ac:dyDescent="0.2">
      <c r="A1070" s="15"/>
      <c r="B1070"/>
      <c r="C1070"/>
      <c r="H1070" s="59"/>
      <c r="M1070"/>
    </row>
    <row r="1071" spans="1:13" outlineLevel="1" x14ac:dyDescent="0.2">
      <c r="A1071" s="15"/>
      <c r="B1071"/>
      <c r="C1071"/>
      <c r="H1071" s="59"/>
      <c r="M1071"/>
    </row>
    <row r="1072" spans="1:13" outlineLevel="1" x14ac:dyDescent="0.2">
      <c r="A1072" s="15"/>
      <c r="B1072"/>
      <c r="C1072"/>
      <c r="H1072" s="59"/>
      <c r="M1072"/>
    </row>
    <row r="1073" spans="1:13" outlineLevel="1" x14ac:dyDescent="0.2">
      <c r="A1073" s="15"/>
      <c r="B1073"/>
      <c r="C1073"/>
      <c r="H1073" s="59"/>
      <c r="M1073"/>
    </row>
    <row r="1074" spans="1:13" outlineLevel="1" x14ac:dyDescent="0.2">
      <c r="A1074" s="15"/>
      <c r="B1074"/>
      <c r="C1074"/>
      <c r="H1074" s="59"/>
      <c r="M1074"/>
    </row>
    <row r="1075" spans="1:13" outlineLevel="1" x14ac:dyDescent="0.2">
      <c r="A1075" s="15"/>
      <c r="B1075"/>
      <c r="C1075"/>
      <c r="H1075" s="59"/>
      <c r="M1075"/>
    </row>
    <row r="1076" spans="1:13" outlineLevel="1" x14ac:dyDescent="0.2">
      <c r="A1076" s="15"/>
      <c r="B1076"/>
      <c r="C1076"/>
      <c r="H1076" s="59"/>
      <c r="M1076"/>
    </row>
    <row r="1077" spans="1:13" outlineLevel="1" x14ac:dyDescent="0.2">
      <c r="A1077" s="15"/>
      <c r="B1077"/>
      <c r="C1077"/>
      <c r="H1077" s="59"/>
      <c r="M1077"/>
    </row>
    <row r="1078" spans="1:13" outlineLevel="1" x14ac:dyDescent="0.2">
      <c r="A1078" s="15"/>
      <c r="B1078"/>
      <c r="C1078"/>
      <c r="H1078" s="59"/>
      <c r="M1078"/>
    </row>
    <row r="1079" spans="1:13" outlineLevel="1" x14ac:dyDescent="0.2">
      <c r="A1079" s="15"/>
      <c r="B1079"/>
      <c r="C1079"/>
      <c r="H1079" s="59"/>
      <c r="M1079"/>
    </row>
    <row r="1080" spans="1:13" outlineLevel="1" x14ac:dyDescent="0.2">
      <c r="A1080" s="15"/>
      <c r="B1080"/>
      <c r="C1080"/>
      <c r="H1080" s="59"/>
      <c r="M1080"/>
    </row>
    <row r="1081" spans="1:13" outlineLevel="1" x14ac:dyDescent="0.2">
      <c r="A1081" s="15"/>
      <c r="B1081"/>
      <c r="C1081"/>
      <c r="H1081" s="59"/>
      <c r="M1081"/>
    </row>
    <row r="1082" spans="1:13" outlineLevel="1" x14ac:dyDescent="0.2">
      <c r="A1082" s="15"/>
      <c r="B1082"/>
      <c r="C1082"/>
      <c r="H1082" s="59"/>
      <c r="M1082"/>
    </row>
    <row r="1083" spans="1:13" outlineLevel="1" x14ac:dyDescent="0.2">
      <c r="A1083" s="15"/>
      <c r="B1083"/>
      <c r="C1083"/>
      <c r="H1083" s="59"/>
      <c r="M1083"/>
    </row>
    <row r="1084" spans="1:13" outlineLevel="1" x14ac:dyDescent="0.2">
      <c r="A1084" s="15"/>
      <c r="B1084"/>
      <c r="C1084"/>
      <c r="H1084" s="59"/>
      <c r="M1084"/>
    </row>
    <row r="1085" spans="1:13" outlineLevel="1" x14ac:dyDescent="0.2">
      <c r="A1085" s="15"/>
      <c r="B1085"/>
      <c r="C1085"/>
      <c r="H1085" s="59"/>
      <c r="M1085"/>
    </row>
    <row r="1086" spans="1:13" outlineLevel="1" x14ac:dyDescent="0.2">
      <c r="A1086" s="15"/>
      <c r="B1086"/>
      <c r="C1086"/>
      <c r="H1086" s="59"/>
      <c r="M1086"/>
    </row>
    <row r="1087" spans="1:13" outlineLevel="1" x14ac:dyDescent="0.2">
      <c r="A1087" s="15"/>
      <c r="B1087"/>
      <c r="C1087"/>
      <c r="H1087" s="59"/>
      <c r="M1087"/>
    </row>
    <row r="1088" spans="1:13" outlineLevel="1" x14ac:dyDescent="0.2">
      <c r="A1088" s="15"/>
      <c r="B1088"/>
      <c r="C1088"/>
      <c r="H1088" s="59"/>
      <c r="M1088"/>
    </row>
    <row r="1089" spans="1:13" outlineLevel="1" x14ac:dyDescent="0.2">
      <c r="A1089" s="15"/>
      <c r="B1089"/>
      <c r="C1089"/>
      <c r="H1089" s="59"/>
      <c r="M1089"/>
    </row>
    <row r="1090" spans="1:13" outlineLevel="1" x14ac:dyDescent="0.2">
      <c r="A1090" s="15"/>
      <c r="B1090"/>
      <c r="C1090"/>
      <c r="H1090" s="59"/>
      <c r="M1090"/>
    </row>
    <row r="1091" spans="1:13" outlineLevel="1" x14ac:dyDescent="0.2">
      <c r="A1091" s="15"/>
      <c r="B1091"/>
      <c r="C1091"/>
      <c r="H1091" s="59"/>
      <c r="M1091"/>
    </row>
    <row r="1092" spans="1:13" outlineLevel="1" x14ac:dyDescent="0.2">
      <c r="A1092" s="15"/>
      <c r="B1092"/>
      <c r="C1092"/>
      <c r="H1092" s="59"/>
      <c r="M1092"/>
    </row>
    <row r="1093" spans="1:13" outlineLevel="1" x14ac:dyDescent="0.2">
      <c r="A1093" s="15"/>
      <c r="B1093"/>
      <c r="C1093"/>
      <c r="H1093" s="59"/>
      <c r="M1093"/>
    </row>
    <row r="1094" spans="1:13" outlineLevel="1" x14ac:dyDescent="0.2">
      <c r="A1094" s="15"/>
      <c r="B1094"/>
      <c r="C1094"/>
      <c r="H1094" s="59"/>
      <c r="M1094"/>
    </row>
    <row r="1095" spans="1:13" outlineLevel="1" x14ac:dyDescent="0.2">
      <c r="A1095" s="15"/>
      <c r="B1095"/>
      <c r="C1095"/>
      <c r="H1095" s="59"/>
      <c r="M1095"/>
    </row>
    <row r="1096" spans="1:13" outlineLevel="1" x14ac:dyDescent="0.2">
      <c r="A1096" s="15"/>
      <c r="B1096"/>
      <c r="C1096"/>
      <c r="H1096" s="59"/>
      <c r="M1096"/>
    </row>
    <row r="1097" spans="1:13" outlineLevel="1" x14ac:dyDescent="0.2">
      <c r="A1097" s="15"/>
      <c r="B1097"/>
      <c r="C1097"/>
      <c r="H1097" s="59"/>
      <c r="M1097"/>
    </row>
    <row r="1098" spans="1:13" outlineLevel="1" x14ac:dyDescent="0.2">
      <c r="A1098" s="15"/>
      <c r="B1098"/>
      <c r="C1098"/>
      <c r="H1098" s="59"/>
      <c r="M1098"/>
    </row>
    <row r="1099" spans="1:13" outlineLevel="1" x14ac:dyDescent="0.2">
      <c r="A1099" s="15"/>
      <c r="B1099"/>
      <c r="C1099"/>
      <c r="H1099" s="59"/>
      <c r="M1099"/>
    </row>
    <row r="1100" spans="1:13" outlineLevel="1" x14ac:dyDescent="0.2">
      <c r="A1100" s="15"/>
      <c r="B1100"/>
      <c r="C1100"/>
      <c r="H1100" s="59"/>
      <c r="M1100"/>
    </row>
    <row r="1101" spans="1:13" outlineLevel="1" x14ac:dyDescent="0.2">
      <c r="A1101" s="15"/>
      <c r="B1101"/>
      <c r="C1101"/>
      <c r="H1101" s="59"/>
      <c r="M1101"/>
    </row>
    <row r="1102" spans="1:13" x14ac:dyDescent="0.2">
      <c r="A1102" s="15"/>
      <c r="B1102"/>
      <c r="C1102"/>
      <c r="M1102"/>
    </row>
    <row r="1103" spans="1:13" x14ac:dyDescent="0.2">
      <c r="A1103"/>
      <c r="B1103"/>
      <c r="C1103"/>
      <c r="M1103"/>
    </row>
    <row r="1104" spans="1:13" x14ac:dyDescent="0.2">
      <c r="A1104"/>
      <c r="B1104"/>
      <c r="C1104"/>
      <c r="M1104"/>
    </row>
    <row r="1105" spans="1:13" x14ac:dyDescent="0.2">
      <c r="A1105"/>
      <c r="B1105"/>
      <c r="C1105"/>
      <c r="M1105"/>
    </row>
    <row r="1106" spans="1:13" x14ac:dyDescent="0.2">
      <c r="A1106"/>
      <c r="B1106"/>
      <c r="C1106"/>
      <c r="M1106"/>
    </row>
    <row r="1107" spans="1:13" x14ac:dyDescent="0.2">
      <c r="A1107"/>
      <c r="B1107"/>
      <c r="C1107"/>
      <c r="M1107"/>
    </row>
    <row r="1108" spans="1:13" x14ac:dyDescent="0.2">
      <c r="A1108"/>
      <c r="B1108"/>
      <c r="C1108"/>
      <c r="M1108"/>
    </row>
    <row r="1109" spans="1:13" x14ac:dyDescent="0.2">
      <c r="A1109"/>
      <c r="B1109"/>
      <c r="C1109"/>
      <c r="M1109"/>
    </row>
    <row r="1110" spans="1:13" x14ac:dyDescent="0.2">
      <c r="A1110"/>
      <c r="B1110"/>
      <c r="C1110"/>
      <c r="M1110"/>
    </row>
    <row r="1111" spans="1:13" x14ac:dyDescent="0.2">
      <c r="A1111"/>
      <c r="B1111"/>
      <c r="C1111"/>
      <c r="M1111"/>
    </row>
    <row r="1112" spans="1:13" x14ac:dyDescent="0.2">
      <c r="A1112"/>
      <c r="B1112"/>
      <c r="C1112"/>
      <c r="M1112"/>
    </row>
    <row r="1113" spans="1:13" x14ac:dyDescent="0.2">
      <c r="A1113"/>
      <c r="B1113"/>
      <c r="C1113"/>
      <c r="M1113"/>
    </row>
    <row r="1114" spans="1:13" x14ac:dyDescent="0.2">
      <c r="A1114"/>
      <c r="B1114"/>
      <c r="C1114"/>
      <c r="M1114"/>
    </row>
    <row r="1115" spans="1:13" x14ac:dyDescent="0.2">
      <c r="A1115"/>
      <c r="B1115"/>
      <c r="C1115"/>
      <c r="M1115"/>
    </row>
    <row r="1116" spans="1:13" x14ac:dyDescent="0.2">
      <c r="A1116"/>
      <c r="B1116"/>
      <c r="C1116"/>
      <c r="M1116"/>
    </row>
    <row r="1117" spans="1:13" x14ac:dyDescent="0.2">
      <c r="A1117"/>
      <c r="B1117"/>
      <c r="C1117"/>
      <c r="M1117"/>
    </row>
    <row r="1118" spans="1:13" x14ac:dyDescent="0.2">
      <c r="A1118"/>
      <c r="B1118"/>
      <c r="C1118"/>
      <c r="M1118"/>
    </row>
    <row r="1119" spans="1:13" x14ac:dyDescent="0.2">
      <c r="A1119"/>
      <c r="B1119"/>
      <c r="C1119"/>
      <c r="M1119"/>
    </row>
    <row r="1120" spans="1:13" x14ac:dyDescent="0.2">
      <c r="A1120"/>
      <c r="B1120"/>
      <c r="C1120"/>
      <c r="M1120"/>
    </row>
    <row r="1121" spans="1:13" x14ac:dyDescent="0.2">
      <c r="A1121"/>
      <c r="B1121"/>
      <c r="C1121"/>
      <c r="M1121"/>
    </row>
    <row r="1122" spans="1:13" x14ac:dyDescent="0.2">
      <c r="A1122"/>
      <c r="B1122"/>
      <c r="C1122"/>
      <c r="M1122"/>
    </row>
    <row r="1123" spans="1:13" x14ac:dyDescent="0.2">
      <c r="A1123"/>
      <c r="B1123"/>
      <c r="C1123"/>
      <c r="M1123"/>
    </row>
    <row r="1124" spans="1:13" x14ac:dyDescent="0.2">
      <c r="A1124"/>
      <c r="B1124"/>
      <c r="C1124"/>
      <c r="M1124"/>
    </row>
    <row r="1125" spans="1:13" x14ac:dyDescent="0.2">
      <c r="A1125"/>
      <c r="B1125"/>
      <c r="C1125"/>
      <c r="M1125"/>
    </row>
    <row r="1126" spans="1:13" x14ac:dyDescent="0.2">
      <c r="A1126"/>
      <c r="B1126"/>
      <c r="C1126"/>
      <c r="M1126"/>
    </row>
    <row r="1127" spans="1:13" x14ac:dyDescent="0.2">
      <c r="A1127"/>
      <c r="B1127"/>
      <c r="C1127"/>
      <c r="M1127"/>
    </row>
    <row r="1128" spans="1:13" x14ac:dyDescent="0.2">
      <c r="A1128"/>
      <c r="B1128"/>
      <c r="C1128"/>
      <c r="M1128"/>
    </row>
    <row r="1129" spans="1:13" x14ac:dyDescent="0.2">
      <c r="A1129"/>
      <c r="B1129"/>
      <c r="C1129"/>
      <c r="M1129"/>
    </row>
    <row r="1130" spans="1:13" x14ac:dyDescent="0.2">
      <c r="A1130"/>
      <c r="B1130"/>
      <c r="C1130"/>
      <c r="M1130"/>
    </row>
    <row r="1131" spans="1:13" x14ac:dyDescent="0.2">
      <c r="A1131"/>
      <c r="B1131"/>
      <c r="C1131"/>
      <c r="M1131"/>
    </row>
    <row r="1132" spans="1:13" x14ac:dyDescent="0.2">
      <c r="A1132"/>
      <c r="B1132"/>
      <c r="C1132"/>
      <c r="M1132"/>
    </row>
    <row r="1133" spans="1:13" x14ac:dyDescent="0.2">
      <c r="A1133"/>
      <c r="B1133"/>
      <c r="C1133"/>
      <c r="M1133"/>
    </row>
    <row r="1134" spans="1:13" x14ac:dyDescent="0.2">
      <c r="A1134"/>
      <c r="B1134"/>
      <c r="C1134"/>
      <c r="M1134"/>
    </row>
    <row r="1135" spans="1:13" x14ac:dyDescent="0.2">
      <c r="A1135"/>
      <c r="B1135"/>
      <c r="C1135"/>
      <c r="M1135"/>
    </row>
    <row r="1136" spans="1:13" x14ac:dyDescent="0.2">
      <c r="A1136"/>
      <c r="B1136"/>
      <c r="C1136"/>
      <c r="M1136"/>
    </row>
    <row r="1137" spans="1:13" x14ac:dyDescent="0.2">
      <c r="A1137"/>
      <c r="B1137"/>
      <c r="C1137"/>
      <c r="M1137"/>
    </row>
    <row r="1138" spans="1:13" x14ac:dyDescent="0.2">
      <c r="A1138"/>
      <c r="B1138"/>
      <c r="C1138"/>
      <c r="M1138"/>
    </row>
    <row r="1139" spans="1:13" x14ac:dyDescent="0.2">
      <c r="A1139"/>
      <c r="B1139"/>
      <c r="C1139"/>
      <c r="M1139"/>
    </row>
    <row r="1140" spans="1:13" x14ac:dyDescent="0.2">
      <c r="A1140"/>
      <c r="B1140"/>
      <c r="C1140"/>
      <c r="M1140"/>
    </row>
    <row r="1141" spans="1:13" x14ac:dyDescent="0.2">
      <c r="A1141"/>
      <c r="B1141"/>
      <c r="C1141"/>
      <c r="M1141"/>
    </row>
    <row r="1142" spans="1:13" x14ac:dyDescent="0.2">
      <c r="A1142"/>
      <c r="B1142"/>
      <c r="C1142"/>
      <c r="M1142"/>
    </row>
    <row r="1143" spans="1:13" x14ac:dyDescent="0.2">
      <c r="A1143"/>
      <c r="B1143"/>
      <c r="C1143"/>
      <c r="M1143"/>
    </row>
    <row r="1144" spans="1:13" x14ac:dyDescent="0.2">
      <c r="A1144"/>
      <c r="B1144"/>
      <c r="C1144"/>
      <c r="M1144"/>
    </row>
    <row r="1145" spans="1:13" x14ac:dyDescent="0.2">
      <c r="A1145"/>
      <c r="B1145"/>
      <c r="C1145"/>
      <c r="M1145"/>
    </row>
    <row r="1146" spans="1:13" x14ac:dyDescent="0.2">
      <c r="A1146"/>
      <c r="B1146"/>
      <c r="C1146"/>
      <c r="M1146"/>
    </row>
    <row r="1147" spans="1:13" x14ac:dyDescent="0.2">
      <c r="A1147"/>
      <c r="B1147"/>
      <c r="C1147"/>
      <c r="M1147"/>
    </row>
    <row r="1148" spans="1:13" x14ac:dyDescent="0.2">
      <c r="A1148"/>
      <c r="B1148"/>
      <c r="C1148"/>
      <c r="M1148"/>
    </row>
    <row r="1149" spans="1:13" x14ac:dyDescent="0.2">
      <c r="A1149"/>
      <c r="B1149"/>
      <c r="C1149"/>
      <c r="M1149"/>
    </row>
    <row r="1150" spans="1:13" x14ac:dyDescent="0.2">
      <c r="A1150"/>
      <c r="B1150"/>
      <c r="C1150"/>
      <c r="M1150"/>
    </row>
    <row r="1151" spans="1:13" x14ac:dyDescent="0.2">
      <c r="A1151"/>
      <c r="B1151"/>
      <c r="C1151"/>
      <c r="M1151"/>
    </row>
    <row r="1152" spans="1:13" x14ac:dyDescent="0.2">
      <c r="A1152"/>
      <c r="B1152"/>
      <c r="C1152"/>
      <c r="M1152"/>
    </row>
    <row r="1153" spans="1:13" x14ac:dyDescent="0.2">
      <c r="A1153"/>
      <c r="B1153"/>
      <c r="C1153"/>
      <c r="M1153"/>
    </row>
    <row r="1154" spans="1:13" x14ac:dyDescent="0.2">
      <c r="A1154"/>
      <c r="B1154"/>
      <c r="C1154"/>
      <c r="M1154"/>
    </row>
    <row r="1155" spans="1:13" x14ac:dyDescent="0.2">
      <c r="A1155"/>
      <c r="B1155"/>
      <c r="C1155"/>
      <c r="M1155"/>
    </row>
    <row r="1156" spans="1:13" x14ac:dyDescent="0.2">
      <c r="A1156"/>
      <c r="B1156"/>
      <c r="C1156"/>
      <c r="M1156"/>
    </row>
    <row r="1157" spans="1:13" x14ac:dyDescent="0.2">
      <c r="A1157"/>
      <c r="B1157"/>
      <c r="C1157"/>
      <c r="M1157"/>
    </row>
    <row r="1158" spans="1:13" x14ac:dyDescent="0.2">
      <c r="A1158"/>
      <c r="B1158"/>
      <c r="C1158"/>
      <c r="M1158"/>
    </row>
    <row r="1159" spans="1:13" x14ac:dyDescent="0.2">
      <c r="A1159"/>
      <c r="B1159"/>
      <c r="C1159"/>
      <c r="M1159"/>
    </row>
    <row r="1160" spans="1:13" x14ac:dyDescent="0.2">
      <c r="A1160"/>
      <c r="B1160"/>
      <c r="C1160"/>
      <c r="M1160"/>
    </row>
    <row r="1161" spans="1:13" x14ac:dyDescent="0.2">
      <c r="A1161"/>
      <c r="B1161"/>
      <c r="C1161"/>
      <c r="M1161"/>
    </row>
    <row r="1162" spans="1:13" x14ac:dyDescent="0.2">
      <c r="A1162"/>
      <c r="B1162"/>
      <c r="C1162"/>
      <c r="M1162"/>
    </row>
    <row r="1163" spans="1:13" x14ac:dyDescent="0.2">
      <c r="A1163"/>
      <c r="B1163"/>
      <c r="C1163"/>
      <c r="M1163"/>
    </row>
    <row r="1164" spans="1:13" x14ac:dyDescent="0.2">
      <c r="A1164"/>
      <c r="B1164"/>
      <c r="C1164"/>
      <c r="M1164"/>
    </row>
    <row r="1165" spans="1:13" x14ac:dyDescent="0.2">
      <c r="A1165"/>
      <c r="B1165"/>
      <c r="C1165"/>
      <c r="M1165"/>
    </row>
    <row r="1166" spans="1:13" x14ac:dyDescent="0.2">
      <c r="A1166"/>
      <c r="B1166"/>
      <c r="C1166"/>
      <c r="M1166"/>
    </row>
    <row r="1167" spans="1:13" x14ac:dyDescent="0.2">
      <c r="A1167"/>
      <c r="B1167"/>
      <c r="C1167"/>
      <c r="M1167"/>
    </row>
    <row r="1168" spans="1:13" x14ac:dyDescent="0.2">
      <c r="A1168"/>
      <c r="B1168"/>
      <c r="C1168"/>
      <c r="M1168"/>
    </row>
    <row r="1169" spans="1:13" x14ac:dyDescent="0.2">
      <c r="A1169"/>
      <c r="B1169"/>
      <c r="C1169"/>
      <c r="M1169"/>
    </row>
    <row r="1170" spans="1:13" x14ac:dyDescent="0.2">
      <c r="A1170"/>
      <c r="B1170"/>
      <c r="C1170"/>
      <c r="M1170"/>
    </row>
    <row r="1171" spans="1:13" x14ac:dyDescent="0.2">
      <c r="A1171"/>
      <c r="B1171"/>
      <c r="C1171"/>
      <c r="M1171"/>
    </row>
    <row r="1172" spans="1:13" x14ac:dyDescent="0.2">
      <c r="A1172"/>
      <c r="B1172"/>
      <c r="C1172"/>
      <c r="M1172"/>
    </row>
    <row r="1173" spans="1:13" x14ac:dyDescent="0.2">
      <c r="A1173"/>
      <c r="B1173"/>
      <c r="C1173"/>
      <c r="M1173"/>
    </row>
    <row r="1174" spans="1:13" x14ac:dyDescent="0.2">
      <c r="A1174"/>
      <c r="B1174"/>
      <c r="C1174"/>
      <c r="M1174"/>
    </row>
    <row r="1175" spans="1:13" x14ac:dyDescent="0.2">
      <c r="A1175"/>
      <c r="B1175"/>
      <c r="C1175"/>
      <c r="M1175"/>
    </row>
    <row r="1176" spans="1:13" x14ac:dyDescent="0.2">
      <c r="A1176"/>
      <c r="B1176"/>
      <c r="C1176"/>
      <c r="M1176"/>
    </row>
    <row r="1177" spans="1:13" x14ac:dyDescent="0.2">
      <c r="A1177"/>
      <c r="B1177"/>
      <c r="C1177"/>
      <c r="M1177"/>
    </row>
    <row r="1178" spans="1:13" x14ac:dyDescent="0.2">
      <c r="A1178"/>
      <c r="B1178"/>
      <c r="C1178"/>
      <c r="M1178"/>
    </row>
    <row r="1179" spans="1:13" x14ac:dyDescent="0.2">
      <c r="A1179"/>
      <c r="B1179"/>
      <c r="C1179"/>
      <c r="M1179"/>
    </row>
    <row r="1180" spans="1:13" x14ac:dyDescent="0.2">
      <c r="A1180"/>
      <c r="B1180"/>
      <c r="C1180"/>
      <c r="M1180"/>
    </row>
    <row r="1181" spans="1:13" x14ac:dyDescent="0.2">
      <c r="A1181"/>
      <c r="B1181"/>
      <c r="C1181"/>
      <c r="M1181"/>
    </row>
    <row r="1182" spans="1:13" x14ac:dyDescent="0.2">
      <c r="A1182"/>
      <c r="B1182"/>
      <c r="C1182"/>
      <c r="M1182"/>
    </row>
    <row r="1183" spans="1:13" x14ac:dyDescent="0.2">
      <c r="A1183"/>
      <c r="B1183"/>
      <c r="C1183"/>
      <c r="M1183"/>
    </row>
    <row r="1184" spans="1:13" x14ac:dyDescent="0.2">
      <c r="A1184"/>
      <c r="B1184"/>
      <c r="C1184"/>
      <c r="M1184"/>
    </row>
    <row r="1185" spans="1:13" x14ac:dyDescent="0.2">
      <c r="A1185"/>
      <c r="B1185"/>
      <c r="C1185"/>
      <c r="M1185"/>
    </row>
    <row r="1186" spans="1:13" x14ac:dyDescent="0.2">
      <c r="A1186"/>
      <c r="B1186"/>
      <c r="C1186"/>
      <c r="M1186"/>
    </row>
    <row r="1187" spans="1:13" x14ac:dyDescent="0.2">
      <c r="A1187"/>
      <c r="B1187"/>
      <c r="C1187"/>
      <c r="M1187"/>
    </row>
    <row r="1188" spans="1:13" x14ac:dyDescent="0.2">
      <c r="A1188"/>
      <c r="B1188"/>
      <c r="C1188"/>
      <c r="M1188"/>
    </row>
    <row r="1189" spans="1:13" x14ac:dyDescent="0.2">
      <c r="A1189"/>
      <c r="B1189"/>
      <c r="C1189"/>
      <c r="M1189"/>
    </row>
    <row r="1190" spans="1:13" x14ac:dyDescent="0.2">
      <c r="A1190"/>
      <c r="B1190"/>
      <c r="C1190"/>
      <c r="M1190"/>
    </row>
    <row r="1191" spans="1:13" x14ac:dyDescent="0.2">
      <c r="A1191"/>
      <c r="B1191"/>
      <c r="C1191"/>
      <c r="M1191"/>
    </row>
    <row r="1192" spans="1:13" x14ac:dyDescent="0.2">
      <c r="A1192"/>
      <c r="B1192"/>
      <c r="C1192"/>
      <c r="M1192"/>
    </row>
    <row r="1193" spans="1:13" x14ac:dyDescent="0.2">
      <c r="A1193"/>
      <c r="B1193"/>
      <c r="C1193"/>
      <c r="M1193"/>
    </row>
    <row r="1194" spans="1:13" x14ac:dyDescent="0.2">
      <c r="A1194"/>
      <c r="B1194"/>
      <c r="C1194"/>
      <c r="M1194"/>
    </row>
    <row r="1195" spans="1:13" x14ac:dyDescent="0.2">
      <c r="A1195"/>
      <c r="B1195"/>
      <c r="C1195"/>
      <c r="M1195"/>
    </row>
    <row r="1196" spans="1:13" x14ac:dyDescent="0.2">
      <c r="A1196"/>
      <c r="B1196"/>
      <c r="C1196"/>
      <c r="M1196"/>
    </row>
    <row r="1197" spans="1:13" x14ac:dyDescent="0.2">
      <c r="A1197"/>
      <c r="B1197"/>
      <c r="C1197"/>
      <c r="M1197"/>
    </row>
    <row r="1198" spans="1:13" x14ac:dyDescent="0.2">
      <c r="A1198"/>
      <c r="B1198"/>
      <c r="C1198"/>
      <c r="M1198"/>
    </row>
    <row r="1199" spans="1:13" x14ac:dyDescent="0.2">
      <c r="A1199"/>
      <c r="B1199"/>
      <c r="C1199"/>
      <c r="M1199"/>
    </row>
    <row r="1200" spans="1:13" x14ac:dyDescent="0.2">
      <c r="A1200"/>
      <c r="B1200"/>
      <c r="C1200"/>
      <c r="M1200"/>
    </row>
    <row r="1201" spans="1:13" x14ac:dyDescent="0.2">
      <c r="A1201"/>
      <c r="B1201"/>
      <c r="C1201"/>
      <c r="M1201"/>
    </row>
    <row r="1202" spans="1:13" x14ac:dyDescent="0.2">
      <c r="A1202"/>
      <c r="B1202"/>
      <c r="C1202"/>
      <c r="M1202"/>
    </row>
    <row r="1203" spans="1:13" x14ac:dyDescent="0.2">
      <c r="A1203"/>
      <c r="B1203"/>
      <c r="C1203"/>
      <c r="M1203"/>
    </row>
    <row r="1204" spans="1:13" x14ac:dyDescent="0.2">
      <c r="A1204"/>
      <c r="B1204"/>
      <c r="C1204"/>
      <c r="M1204"/>
    </row>
    <row r="1205" spans="1:13" x14ac:dyDescent="0.2">
      <c r="A1205"/>
      <c r="B1205"/>
      <c r="C1205"/>
      <c r="M1205"/>
    </row>
    <row r="1206" spans="1:13" x14ac:dyDescent="0.2">
      <c r="A1206"/>
      <c r="B1206"/>
      <c r="C1206"/>
      <c r="M1206"/>
    </row>
    <row r="1207" spans="1:13" x14ac:dyDescent="0.2">
      <c r="A1207"/>
      <c r="B1207"/>
      <c r="C1207"/>
      <c r="M1207"/>
    </row>
    <row r="1208" spans="1:13" x14ac:dyDescent="0.2">
      <c r="A1208"/>
      <c r="B1208"/>
      <c r="C1208"/>
      <c r="M1208"/>
    </row>
    <row r="1209" spans="1:13" x14ac:dyDescent="0.2">
      <c r="A1209"/>
      <c r="B1209"/>
      <c r="C1209"/>
      <c r="M1209"/>
    </row>
    <row r="1210" spans="1:13" x14ac:dyDescent="0.2">
      <c r="A1210"/>
      <c r="B1210"/>
      <c r="C1210"/>
      <c r="M1210"/>
    </row>
    <row r="1211" spans="1:13" x14ac:dyDescent="0.2">
      <c r="A1211"/>
      <c r="B1211"/>
      <c r="C1211"/>
      <c r="M1211"/>
    </row>
    <row r="1212" spans="1:13" x14ac:dyDescent="0.2">
      <c r="A1212"/>
      <c r="B1212"/>
      <c r="C1212"/>
      <c r="M1212"/>
    </row>
    <row r="1213" spans="1:13" x14ac:dyDescent="0.2">
      <c r="A1213"/>
      <c r="B1213"/>
      <c r="C1213"/>
      <c r="M1213"/>
    </row>
    <row r="1214" spans="1:13" x14ac:dyDescent="0.2">
      <c r="A1214"/>
      <c r="B1214"/>
      <c r="C1214"/>
      <c r="M1214"/>
    </row>
    <row r="1215" spans="1:13" x14ac:dyDescent="0.2">
      <c r="A1215"/>
      <c r="B1215"/>
      <c r="C1215"/>
      <c r="M1215"/>
    </row>
    <row r="1216" spans="1:13" x14ac:dyDescent="0.2">
      <c r="A1216"/>
      <c r="B1216"/>
      <c r="C1216"/>
      <c r="M1216"/>
    </row>
    <row r="1217" spans="1:13" x14ac:dyDescent="0.2">
      <c r="A1217"/>
      <c r="B1217"/>
      <c r="C1217"/>
      <c r="M1217"/>
    </row>
    <row r="1218" spans="1:13" x14ac:dyDescent="0.2">
      <c r="A1218"/>
      <c r="B1218"/>
      <c r="C1218"/>
      <c r="M1218"/>
    </row>
    <row r="1219" spans="1:13" x14ac:dyDescent="0.2">
      <c r="A1219"/>
      <c r="B1219"/>
      <c r="C1219"/>
      <c r="M1219"/>
    </row>
    <row r="1220" spans="1:13" x14ac:dyDescent="0.2">
      <c r="A1220"/>
      <c r="B1220"/>
      <c r="C1220"/>
      <c r="M1220"/>
    </row>
    <row r="1221" spans="1:13" x14ac:dyDescent="0.2">
      <c r="A1221"/>
      <c r="B1221"/>
      <c r="C1221"/>
      <c r="M1221"/>
    </row>
    <row r="1222" spans="1:13" x14ac:dyDescent="0.2">
      <c r="A1222" s="15"/>
      <c r="B1222"/>
      <c r="C1222"/>
      <c r="M1222"/>
    </row>
    <row r="1223" spans="1:13" x14ac:dyDescent="0.2">
      <c r="A1223"/>
      <c r="B1223"/>
      <c r="C1223"/>
      <c r="M1223"/>
    </row>
    <row r="1224" spans="1:13" x14ac:dyDescent="0.2">
      <c r="A1224"/>
      <c r="B1224"/>
      <c r="C1224"/>
      <c r="M1224"/>
    </row>
    <row r="1225" spans="1:13" x14ac:dyDescent="0.2">
      <c r="A1225"/>
      <c r="B1225"/>
      <c r="C1225"/>
      <c r="M1225"/>
    </row>
    <row r="1226" spans="1:13" x14ac:dyDescent="0.2">
      <c r="A1226"/>
      <c r="B1226"/>
      <c r="C1226"/>
      <c r="M1226"/>
    </row>
    <row r="1227" spans="1:13" x14ac:dyDescent="0.2">
      <c r="A1227"/>
      <c r="B1227"/>
      <c r="C1227"/>
      <c r="M1227"/>
    </row>
    <row r="1228" spans="1:13" x14ac:dyDescent="0.2">
      <c r="A1228"/>
      <c r="B1228"/>
      <c r="C1228"/>
      <c r="M1228"/>
    </row>
    <row r="1229" spans="1:13" x14ac:dyDescent="0.2">
      <c r="A1229"/>
      <c r="B1229"/>
      <c r="C1229"/>
      <c r="M1229"/>
    </row>
    <row r="1230" spans="1:13" x14ac:dyDescent="0.2">
      <c r="A1230"/>
      <c r="B1230"/>
      <c r="C1230"/>
      <c r="M1230"/>
    </row>
    <row r="1231" spans="1:13" x14ac:dyDescent="0.2">
      <c r="A1231"/>
      <c r="B1231"/>
      <c r="C1231"/>
      <c r="M1231"/>
    </row>
    <row r="1232" spans="1:13" x14ac:dyDescent="0.2">
      <c r="A1232"/>
      <c r="B1232"/>
      <c r="C1232"/>
      <c r="M1232"/>
    </row>
    <row r="1233" spans="1:13" x14ac:dyDescent="0.2">
      <c r="A1233"/>
      <c r="B1233"/>
      <c r="C1233"/>
      <c r="M1233"/>
    </row>
    <row r="1234" spans="1:13" x14ac:dyDescent="0.2">
      <c r="A1234"/>
      <c r="B1234"/>
      <c r="C1234"/>
      <c r="M1234"/>
    </row>
    <row r="1235" spans="1:13" x14ac:dyDescent="0.2">
      <c r="A1235"/>
      <c r="B1235"/>
      <c r="C1235"/>
      <c r="M1235"/>
    </row>
    <row r="1236" spans="1:13" x14ac:dyDescent="0.2">
      <c r="A1236"/>
      <c r="B1236"/>
      <c r="C1236"/>
      <c r="M1236"/>
    </row>
    <row r="1237" spans="1:13" x14ac:dyDescent="0.2">
      <c r="A1237"/>
      <c r="B1237"/>
      <c r="C1237"/>
      <c r="M1237"/>
    </row>
    <row r="1238" spans="1:13" x14ac:dyDescent="0.2">
      <c r="A1238"/>
      <c r="B1238"/>
      <c r="C1238"/>
      <c r="M1238"/>
    </row>
    <row r="1239" spans="1:13" x14ac:dyDescent="0.2">
      <c r="A1239"/>
      <c r="B1239"/>
      <c r="C1239"/>
      <c r="M1239"/>
    </row>
    <row r="1240" spans="1:13" x14ac:dyDescent="0.2">
      <c r="A1240"/>
      <c r="B1240"/>
      <c r="C1240"/>
      <c r="M1240"/>
    </row>
    <row r="1241" spans="1:13" x14ac:dyDescent="0.2">
      <c r="A1241"/>
      <c r="B1241"/>
      <c r="C1241"/>
      <c r="M1241"/>
    </row>
    <row r="1242" spans="1:13" x14ac:dyDescent="0.2">
      <c r="A1242"/>
      <c r="B1242"/>
      <c r="C1242"/>
      <c r="M1242"/>
    </row>
    <row r="1243" spans="1:13" x14ac:dyDescent="0.2">
      <c r="A1243"/>
      <c r="B1243"/>
      <c r="C1243"/>
      <c r="M1243"/>
    </row>
    <row r="1244" spans="1:13" x14ac:dyDescent="0.2">
      <c r="A1244"/>
      <c r="B1244"/>
      <c r="C1244"/>
      <c r="M1244"/>
    </row>
    <row r="1245" spans="1:13" x14ac:dyDescent="0.2">
      <c r="A1245"/>
      <c r="B1245"/>
      <c r="C1245"/>
      <c r="M1245"/>
    </row>
    <row r="1246" spans="1:13" x14ac:dyDescent="0.2">
      <c r="A1246"/>
      <c r="B1246"/>
      <c r="C1246"/>
      <c r="M1246"/>
    </row>
    <row r="1247" spans="1:13" x14ac:dyDescent="0.2">
      <c r="A1247"/>
      <c r="B1247"/>
      <c r="C1247"/>
      <c r="M1247"/>
    </row>
    <row r="1248" spans="1:13" x14ac:dyDescent="0.2">
      <c r="A1248"/>
      <c r="B1248"/>
      <c r="C1248"/>
      <c r="M1248"/>
    </row>
    <row r="1249" spans="1:13" x14ac:dyDescent="0.2">
      <c r="A1249"/>
      <c r="B1249"/>
      <c r="C1249"/>
      <c r="M1249"/>
    </row>
    <row r="1250" spans="1:13" x14ac:dyDescent="0.2">
      <c r="A1250"/>
      <c r="B1250"/>
      <c r="C1250"/>
      <c r="M1250"/>
    </row>
    <row r="1251" spans="1:13" x14ac:dyDescent="0.2">
      <c r="A1251"/>
      <c r="B1251"/>
      <c r="C1251"/>
      <c r="M1251"/>
    </row>
    <row r="1252" spans="1:13" x14ac:dyDescent="0.2">
      <c r="A1252"/>
      <c r="B1252"/>
      <c r="C1252"/>
      <c r="M1252"/>
    </row>
    <row r="1253" spans="1:13" x14ac:dyDescent="0.2">
      <c r="A1253"/>
      <c r="B1253"/>
      <c r="C1253"/>
      <c r="M1253"/>
    </row>
    <row r="1254" spans="1:13" x14ac:dyDescent="0.2">
      <c r="A1254"/>
      <c r="B1254"/>
      <c r="C1254"/>
      <c r="M1254"/>
    </row>
    <row r="1255" spans="1:13" x14ac:dyDescent="0.2">
      <c r="A1255"/>
      <c r="B1255"/>
      <c r="C1255"/>
      <c r="M1255"/>
    </row>
    <row r="1256" spans="1:13" x14ac:dyDescent="0.2">
      <c r="A1256"/>
      <c r="B1256"/>
      <c r="C1256"/>
      <c r="M1256"/>
    </row>
    <row r="1257" spans="1:13" x14ac:dyDescent="0.2">
      <c r="A1257"/>
      <c r="B1257"/>
      <c r="C1257"/>
      <c r="M1257"/>
    </row>
    <row r="1258" spans="1:13" x14ac:dyDescent="0.2">
      <c r="A1258"/>
      <c r="B1258"/>
      <c r="C1258"/>
      <c r="M1258"/>
    </row>
    <row r="1259" spans="1:13" x14ac:dyDescent="0.2">
      <c r="A1259"/>
      <c r="B1259"/>
      <c r="C1259"/>
      <c r="M1259"/>
    </row>
    <row r="1260" spans="1:13" x14ac:dyDescent="0.2">
      <c r="A1260"/>
      <c r="B1260"/>
      <c r="C1260"/>
      <c r="M1260"/>
    </row>
    <row r="1261" spans="1:13" x14ac:dyDescent="0.2">
      <c r="A1261"/>
      <c r="B1261"/>
      <c r="C1261"/>
      <c r="M1261"/>
    </row>
    <row r="1262" spans="1:13" x14ac:dyDescent="0.2">
      <c r="A1262"/>
      <c r="B1262"/>
      <c r="C1262"/>
      <c r="M1262"/>
    </row>
    <row r="1263" spans="1:13" x14ac:dyDescent="0.2">
      <c r="A1263"/>
      <c r="B1263"/>
      <c r="C1263"/>
      <c r="M1263"/>
    </row>
    <row r="1264" spans="1:13" x14ac:dyDescent="0.2">
      <c r="A1264"/>
      <c r="B1264"/>
      <c r="C1264"/>
      <c r="M1264"/>
    </row>
    <row r="1265" spans="1:13" x14ac:dyDescent="0.2">
      <c r="A1265"/>
      <c r="B1265"/>
      <c r="C1265"/>
      <c r="M1265"/>
    </row>
    <row r="1266" spans="1:13" x14ac:dyDescent="0.2">
      <c r="A1266"/>
      <c r="B1266"/>
      <c r="C1266"/>
      <c r="M1266"/>
    </row>
    <row r="1267" spans="1:13" x14ac:dyDescent="0.2">
      <c r="A1267"/>
      <c r="B1267"/>
      <c r="C1267"/>
      <c r="M1267"/>
    </row>
    <row r="1268" spans="1:13" x14ac:dyDescent="0.2">
      <c r="A1268"/>
      <c r="B1268"/>
      <c r="C1268"/>
      <c r="M1268"/>
    </row>
    <row r="1269" spans="1:13" x14ac:dyDescent="0.2">
      <c r="A1269"/>
      <c r="B1269"/>
      <c r="C1269"/>
      <c r="M1269"/>
    </row>
    <row r="1270" spans="1:13" x14ac:dyDescent="0.2">
      <c r="A1270"/>
      <c r="B1270"/>
      <c r="C1270"/>
      <c r="M1270"/>
    </row>
    <row r="1271" spans="1:13" x14ac:dyDescent="0.2">
      <c r="A1271"/>
      <c r="B1271"/>
      <c r="C1271"/>
      <c r="M1271"/>
    </row>
    <row r="1272" spans="1:13" x14ac:dyDescent="0.2">
      <c r="A1272"/>
      <c r="B1272"/>
      <c r="C1272"/>
      <c r="M1272"/>
    </row>
    <row r="1273" spans="1:13" x14ac:dyDescent="0.2">
      <c r="A1273"/>
      <c r="B1273"/>
      <c r="C1273"/>
      <c r="M1273"/>
    </row>
    <row r="1274" spans="1:13" x14ac:dyDescent="0.2">
      <c r="A1274"/>
      <c r="B1274"/>
      <c r="C1274"/>
      <c r="M1274"/>
    </row>
    <row r="1275" spans="1:13" x14ac:dyDescent="0.2">
      <c r="A1275"/>
      <c r="B1275"/>
      <c r="C1275"/>
      <c r="M1275"/>
    </row>
    <row r="1276" spans="1:13" x14ac:dyDescent="0.2">
      <c r="A1276"/>
      <c r="B1276"/>
      <c r="C1276"/>
      <c r="M1276"/>
    </row>
    <row r="1277" spans="1:13" x14ac:dyDescent="0.2">
      <c r="A1277"/>
      <c r="B1277"/>
      <c r="C1277"/>
      <c r="M1277"/>
    </row>
    <row r="1278" spans="1:13" x14ac:dyDescent="0.2">
      <c r="A1278"/>
      <c r="B1278"/>
      <c r="C1278"/>
      <c r="M1278"/>
    </row>
    <row r="1279" spans="1:13" x14ac:dyDescent="0.2">
      <c r="A1279"/>
      <c r="B1279"/>
      <c r="C1279"/>
      <c r="M1279"/>
    </row>
    <row r="1280" spans="1:13" x14ac:dyDescent="0.2">
      <c r="A1280"/>
      <c r="B1280"/>
      <c r="C1280"/>
      <c r="M1280"/>
    </row>
    <row r="1281" spans="1:13" x14ac:dyDescent="0.2">
      <c r="A1281"/>
      <c r="B1281"/>
      <c r="C1281"/>
      <c r="M1281"/>
    </row>
    <row r="1282" spans="1:13" x14ac:dyDescent="0.2">
      <c r="A1282"/>
      <c r="B1282"/>
      <c r="C1282"/>
      <c r="M1282"/>
    </row>
    <row r="1283" spans="1:13" x14ac:dyDescent="0.2">
      <c r="A1283"/>
      <c r="B1283"/>
      <c r="C1283"/>
      <c r="M1283"/>
    </row>
    <row r="1284" spans="1:13" x14ac:dyDescent="0.2">
      <c r="A1284"/>
      <c r="B1284"/>
      <c r="C1284"/>
      <c r="M1284"/>
    </row>
    <row r="1285" spans="1:13" x14ac:dyDescent="0.2">
      <c r="A1285"/>
      <c r="B1285"/>
      <c r="C1285"/>
      <c r="M1285"/>
    </row>
    <row r="1286" spans="1:13" x14ac:dyDescent="0.2">
      <c r="A1286"/>
      <c r="B1286"/>
      <c r="C1286"/>
      <c r="M1286"/>
    </row>
    <row r="1287" spans="1:13" x14ac:dyDescent="0.2">
      <c r="A1287"/>
      <c r="B1287"/>
      <c r="C1287"/>
      <c r="M1287"/>
    </row>
    <row r="1288" spans="1:13" x14ac:dyDescent="0.2">
      <c r="A1288"/>
      <c r="B1288"/>
      <c r="C1288"/>
      <c r="M1288"/>
    </row>
    <row r="1289" spans="1:13" x14ac:dyDescent="0.2">
      <c r="A1289"/>
      <c r="B1289"/>
      <c r="C1289"/>
      <c r="M1289"/>
    </row>
    <row r="1290" spans="1:13" x14ac:dyDescent="0.2">
      <c r="A1290"/>
      <c r="B1290"/>
      <c r="C1290"/>
      <c r="M1290"/>
    </row>
    <row r="1291" spans="1:13" x14ac:dyDescent="0.2">
      <c r="A1291"/>
      <c r="B1291"/>
      <c r="C1291"/>
      <c r="M1291"/>
    </row>
    <row r="1292" spans="1:13" x14ac:dyDescent="0.2">
      <c r="A1292"/>
      <c r="B1292"/>
      <c r="C1292"/>
      <c r="M1292"/>
    </row>
    <row r="1293" spans="1:13" x14ac:dyDescent="0.2">
      <c r="A1293"/>
      <c r="B1293"/>
      <c r="C1293"/>
      <c r="M1293"/>
    </row>
    <row r="1294" spans="1:13" x14ac:dyDescent="0.2">
      <c r="A1294"/>
      <c r="B1294"/>
      <c r="C1294"/>
      <c r="M1294"/>
    </row>
    <row r="1295" spans="1:13" x14ac:dyDescent="0.2">
      <c r="A1295"/>
      <c r="B1295"/>
      <c r="C1295"/>
      <c r="M1295"/>
    </row>
    <row r="1296" spans="1:13" x14ac:dyDescent="0.2">
      <c r="A1296"/>
      <c r="B1296"/>
      <c r="C1296"/>
      <c r="M1296"/>
    </row>
    <row r="1297" spans="1:13" x14ac:dyDescent="0.2">
      <c r="A1297"/>
      <c r="B1297"/>
      <c r="C1297"/>
      <c r="M1297"/>
    </row>
    <row r="1298" spans="1:13" x14ac:dyDescent="0.2">
      <c r="A1298"/>
      <c r="B1298"/>
      <c r="C1298"/>
      <c r="M1298"/>
    </row>
    <row r="1299" spans="1:13" x14ac:dyDescent="0.2">
      <c r="A1299"/>
      <c r="B1299"/>
      <c r="C1299"/>
      <c r="M1299"/>
    </row>
    <row r="1300" spans="1:13" x14ac:dyDescent="0.2">
      <c r="A1300"/>
      <c r="B1300"/>
      <c r="C1300"/>
      <c r="M1300"/>
    </row>
    <row r="1301" spans="1:13" x14ac:dyDescent="0.2">
      <c r="A1301"/>
      <c r="B1301"/>
      <c r="C1301"/>
      <c r="M1301"/>
    </row>
    <row r="1302" spans="1:13" x14ac:dyDescent="0.2">
      <c r="A1302"/>
      <c r="B1302"/>
      <c r="C1302"/>
      <c r="M1302"/>
    </row>
    <row r="1303" spans="1:13" x14ac:dyDescent="0.2">
      <c r="A1303"/>
      <c r="B1303"/>
      <c r="C1303"/>
      <c r="M1303"/>
    </row>
    <row r="1304" spans="1:13" x14ac:dyDescent="0.2">
      <c r="A1304"/>
      <c r="B1304"/>
      <c r="C1304"/>
      <c r="M1304"/>
    </row>
    <row r="1305" spans="1:13" x14ac:dyDescent="0.2">
      <c r="A1305"/>
      <c r="B1305"/>
      <c r="C1305"/>
      <c r="M1305"/>
    </row>
    <row r="1306" spans="1:13" x14ac:dyDescent="0.2">
      <c r="A1306"/>
      <c r="B1306"/>
      <c r="C1306"/>
      <c r="M1306"/>
    </row>
    <row r="1307" spans="1:13" x14ac:dyDescent="0.2">
      <c r="A1307"/>
      <c r="B1307"/>
      <c r="C1307"/>
      <c r="M1307"/>
    </row>
    <row r="1308" spans="1:13" x14ac:dyDescent="0.2">
      <c r="A1308"/>
      <c r="B1308"/>
      <c r="C1308"/>
      <c r="M1308"/>
    </row>
    <row r="1309" spans="1:13" x14ac:dyDescent="0.2">
      <c r="A1309"/>
      <c r="B1309"/>
      <c r="C1309"/>
      <c r="M1309"/>
    </row>
    <row r="1310" spans="1:13" x14ac:dyDescent="0.2">
      <c r="A1310"/>
      <c r="B1310"/>
      <c r="C1310"/>
      <c r="M1310"/>
    </row>
    <row r="1311" spans="1:13" x14ac:dyDescent="0.2">
      <c r="A1311"/>
      <c r="B1311"/>
      <c r="C1311"/>
      <c r="M1311"/>
    </row>
    <row r="1312" spans="1:13" x14ac:dyDescent="0.2">
      <c r="A1312"/>
      <c r="B1312"/>
      <c r="C1312"/>
      <c r="M1312"/>
    </row>
    <row r="1313" spans="1:13" x14ac:dyDescent="0.2">
      <c r="A1313"/>
      <c r="B1313"/>
      <c r="C1313"/>
      <c r="M1313"/>
    </row>
    <row r="1314" spans="1:13" x14ac:dyDescent="0.2">
      <c r="A1314"/>
      <c r="B1314"/>
      <c r="C1314"/>
      <c r="M1314"/>
    </row>
    <row r="1315" spans="1:13" x14ac:dyDescent="0.2">
      <c r="A1315"/>
      <c r="B1315"/>
      <c r="C1315"/>
      <c r="M1315"/>
    </row>
    <row r="1316" spans="1:13" x14ac:dyDescent="0.2">
      <c r="A1316"/>
      <c r="B1316"/>
      <c r="C1316"/>
      <c r="M1316"/>
    </row>
    <row r="1317" spans="1:13" x14ac:dyDescent="0.2">
      <c r="A1317"/>
      <c r="B1317"/>
      <c r="C1317"/>
      <c r="M1317"/>
    </row>
    <row r="1318" spans="1:13" x14ac:dyDescent="0.2">
      <c r="A1318"/>
      <c r="B1318"/>
      <c r="C1318"/>
      <c r="M1318"/>
    </row>
    <row r="1319" spans="1:13" x14ac:dyDescent="0.2">
      <c r="A1319"/>
      <c r="B1319"/>
      <c r="C1319"/>
      <c r="M1319"/>
    </row>
    <row r="1320" spans="1:13" x14ac:dyDescent="0.2">
      <c r="A1320"/>
      <c r="B1320"/>
      <c r="C1320"/>
      <c r="M1320"/>
    </row>
    <row r="1321" spans="1:13" x14ac:dyDescent="0.2">
      <c r="A1321"/>
      <c r="B1321"/>
      <c r="C1321"/>
      <c r="M1321"/>
    </row>
    <row r="1322" spans="1:13" x14ac:dyDescent="0.2">
      <c r="A1322"/>
      <c r="B1322"/>
      <c r="C1322"/>
      <c r="M1322"/>
    </row>
    <row r="1323" spans="1:13" x14ac:dyDescent="0.2">
      <c r="A1323"/>
      <c r="B1323"/>
      <c r="C1323"/>
      <c r="M1323"/>
    </row>
    <row r="1324" spans="1:13" x14ac:dyDescent="0.2">
      <c r="A1324"/>
      <c r="B1324"/>
      <c r="C1324"/>
      <c r="M1324"/>
    </row>
    <row r="1325" spans="1:13" x14ac:dyDescent="0.2">
      <c r="A1325"/>
      <c r="B1325"/>
      <c r="C1325"/>
      <c r="M1325"/>
    </row>
    <row r="1326" spans="1:13" x14ac:dyDescent="0.2">
      <c r="A1326"/>
      <c r="B1326"/>
      <c r="C1326"/>
      <c r="M1326"/>
    </row>
    <row r="1327" spans="1:13" x14ac:dyDescent="0.2">
      <c r="A1327"/>
      <c r="B1327"/>
      <c r="C1327"/>
      <c r="M1327"/>
    </row>
    <row r="1328" spans="1:13" x14ac:dyDescent="0.2">
      <c r="A1328" s="15"/>
      <c r="B1328"/>
      <c r="C1328"/>
      <c r="M1328"/>
    </row>
    <row r="1329" spans="1:13" x14ac:dyDescent="0.2">
      <c r="A1329"/>
      <c r="B1329"/>
      <c r="C1329"/>
      <c r="M1329"/>
    </row>
    <row r="1330" spans="1:13" x14ac:dyDescent="0.2">
      <c r="A1330"/>
      <c r="B1330"/>
      <c r="C1330"/>
      <c r="M1330"/>
    </row>
    <row r="1331" spans="1:13" x14ac:dyDescent="0.2">
      <c r="A1331"/>
      <c r="B1331"/>
      <c r="C1331"/>
      <c r="M1331"/>
    </row>
    <row r="1332" spans="1:13" x14ac:dyDescent="0.2">
      <c r="A1332"/>
      <c r="B1332"/>
      <c r="C1332"/>
      <c r="M1332"/>
    </row>
    <row r="1333" spans="1:13" x14ac:dyDescent="0.2">
      <c r="A1333"/>
      <c r="B1333"/>
      <c r="C1333"/>
      <c r="M1333"/>
    </row>
    <row r="1334" spans="1:13" x14ac:dyDescent="0.2">
      <c r="A1334"/>
      <c r="B1334"/>
      <c r="C1334"/>
      <c r="M1334"/>
    </row>
    <row r="1335" spans="1:13" x14ac:dyDescent="0.2">
      <c r="A1335"/>
      <c r="B1335"/>
      <c r="C1335"/>
      <c r="M1335"/>
    </row>
    <row r="1336" spans="1:13" x14ac:dyDescent="0.2">
      <c r="A1336"/>
      <c r="B1336"/>
      <c r="C1336"/>
      <c r="M1336"/>
    </row>
    <row r="1337" spans="1:13" x14ac:dyDescent="0.2">
      <c r="A1337"/>
      <c r="B1337"/>
      <c r="C1337"/>
      <c r="M1337"/>
    </row>
    <row r="1338" spans="1:13" x14ac:dyDescent="0.2">
      <c r="A1338"/>
      <c r="B1338"/>
      <c r="C1338"/>
      <c r="M1338"/>
    </row>
    <row r="1339" spans="1:13" x14ac:dyDescent="0.2">
      <c r="A1339"/>
      <c r="B1339"/>
      <c r="C1339"/>
      <c r="M1339"/>
    </row>
    <row r="1340" spans="1:13" x14ac:dyDescent="0.2">
      <c r="A1340"/>
      <c r="B1340"/>
      <c r="C1340"/>
      <c r="M1340"/>
    </row>
    <row r="1341" spans="1:13" x14ac:dyDescent="0.2">
      <c r="A1341"/>
      <c r="B1341"/>
      <c r="C1341"/>
      <c r="M1341"/>
    </row>
    <row r="1342" spans="1:13" x14ac:dyDescent="0.2">
      <c r="A1342"/>
      <c r="B1342"/>
      <c r="C1342"/>
      <c r="M1342"/>
    </row>
    <row r="1343" spans="1:13" x14ac:dyDescent="0.2">
      <c r="A1343"/>
      <c r="B1343"/>
      <c r="C1343"/>
      <c r="M1343"/>
    </row>
    <row r="1344" spans="1:13" x14ac:dyDescent="0.2">
      <c r="A1344"/>
      <c r="B1344"/>
      <c r="C1344"/>
      <c r="M1344"/>
    </row>
    <row r="1345" spans="1:13" x14ac:dyDescent="0.2">
      <c r="A1345"/>
      <c r="B1345"/>
      <c r="C1345"/>
      <c r="M1345"/>
    </row>
    <row r="1346" spans="1:13" x14ac:dyDescent="0.2">
      <c r="A1346"/>
      <c r="B1346"/>
      <c r="C1346"/>
      <c r="M1346"/>
    </row>
    <row r="1347" spans="1:13" x14ac:dyDescent="0.2">
      <c r="A1347"/>
      <c r="B1347"/>
      <c r="C1347"/>
      <c r="M1347"/>
    </row>
    <row r="1348" spans="1:13" x14ac:dyDescent="0.2">
      <c r="A1348"/>
      <c r="B1348"/>
      <c r="C1348"/>
      <c r="M1348"/>
    </row>
    <row r="1349" spans="1:13" x14ac:dyDescent="0.2">
      <c r="A1349"/>
      <c r="B1349"/>
      <c r="C1349"/>
      <c r="M1349"/>
    </row>
    <row r="1350" spans="1:13" x14ac:dyDescent="0.2">
      <c r="A1350"/>
      <c r="B1350"/>
      <c r="C1350"/>
      <c r="M1350"/>
    </row>
    <row r="1351" spans="1:13" x14ac:dyDescent="0.2">
      <c r="A1351"/>
      <c r="B1351"/>
      <c r="C1351"/>
      <c r="M1351"/>
    </row>
    <row r="1352" spans="1:13" x14ac:dyDescent="0.2">
      <c r="A1352"/>
      <c r="B1352"/>
      <c r="C1352"/>
      <c r="M1352"/>
    </row>
    <row r="1353" spans="1:13" x14ac:dyDescent="0.2">
      <c r="A1353"/>
      <c r="B1353"/>
      <c r="C1353"/>
      <c r="M1353"/>
    </row>
    <row r="1354" spans="1:13" x14ac:dyDescent="0.2">
      <c r="A1354"/>
      <c r="B1354"/>
      <c r="C1354"/>
      <c r="M1354"/>
    </row>
    <row r="1355" spans="1:13" x14ac:dyDescent="0.2">
      <c r="A1355"/>
      <c r="B1355"/>
      <c r="C1355"/>
      <c r="M1355"/>
    </row>
    <row r="1356" spans="1:13" x14ac:dyDescent="0.2">
      <c r="A1356"/>
      <c r="B1356"/>
      <c r="C1356"/>
      <c r="M1356"/>
    </row>
    <row r="1357" spans="1:13" x14ac:dyDescent="0.2">
      <c r="A1357"/>
      <c r="B1357"/>
      <c r="C1357"/>
      <c r="M1357"/>
    </row>
    <row r="1358" spans="1:13" x14ac:dyDescent="0.2">
      <c r="A1358"/>
      <c r="B1358"/>
      <c r="C1358"/>
      <c r="M1358"/>
    </row>
    <row r="1359" spans="1:13" x14ac:dyDescent="0.2">
      <c r="A1359"/>
      <c r="B1359"/>
      <c r="C1359"/>
      <c r="M1359"/>
    </row>
    <row r="1360" spans="1:13" x14ac:dyDescent="0.2">
      <c r="A1360"/>
      <c r="B1360"/>
      <c r="C1360"/>
      <c r="M1360"/>
    </row>
    <row r="1361" spans="1:13" x14ac:dyDescent="0.2">
      <c r="A1361"/>
      <c r="B1361"/>
      <c r="C1361"/>
      <c r="M1361"/>
    </row>
    <row r="1362" spans="1:13" x14ac:dyDescent="0.2">
      <c r="A1362"/>
      <c r="B1362"/>
      <c r="C1362"/>
      <c r="M1362"/>
    </row>
    <row r="1363" spans="1:13" x14ac:dyDescent="0.2">
      <c r="A1363"/>
      <c r="B1363"/>
      <c r="C1363"/>
      <c r="M1363"/>
    </row>
    <row r="1364" spans="1:13" x14ac:dyDescent="0.2">
      <c r="A1364"/>
      <c r="B1364"/>
      <c r="C1364"/>
      <c r="M1364"/>
    </row>
    <row r="1365" spans="1:13" x14ac:dyDescent="0.2">
      <c r="A1365"/>
      <c r="B1365"/>
      <c r="C1365"/>
      <c r="M1365"/>
    </row>
    <row r="1366" spans="1:13" x14ac:dyDescent="0.2">
      <c r="A1366"/>
      <c r="B1366"/>
      <c r="C1366"/>
      <c r="M1366"/>
    </row>
    <row r="1367" spans="1:13" x14ac:dyDescent="0.2">
      <c r="A1367"/>
      <c r="B1367"/>
      <c r="C1367"/>
      <c r="M1367"/>
    </row>
    <row r="1368" spans="1:13" x14ac:dyDescent="0.2">
      <c r="A1368"/>
      <c r="B1368"/>
      <c r="C1368"/>
      <c r="M1368"/>
    </row>
    <row r="1369" spans="1:13" x14ac:dyDescent="0.2">
      <c r="A1369"/>
      <c r="B1369"/>
      <c r="C1369"/>
      <c r="M1369"/>
    </row>
    <row r="1370" spans="1:13" x14ac:dyDescent="0.2">
      <c r="A1370"/>
      <c r="B1370"/>
      <c r="C1370"/>
      <c r="M1370"/>
    </row>
    <row r="1371" spans="1:13" x14ac:dyDescent="0.2">
      <c r="A1371"/>
      <c r="B1371"/>
      <c r="C1371"/>
      <c r="M1371"/>
    </row>
    <row r="1372" spans="1:13" x14ac:dyDescent="0.2">
      <c r="A1372"/>
      <c r="B1372"/>
      <c r="C1372"/>
      <c r="M1372"/>
    </row>
    <row r="1373" spans="1:13" x14ac:dyDescent="0.2">
      <c r="A1373"/>
      <c r="B1373"/>
      <c r="C1373"/>
      <c r="M1373"/>
    </row>
    <row r="1374" spans="1:13" x14ac:dyDescent="0.2">
      <c r="A1374"/>
      <c r="B1374"/>
      <c r="C1374"/>
      <c r="M1374"/>
    </row>
    <row r="1375" spans="1:13" x14ac:dyDescent="0.2">
      <c r="A1375"/>
      <c r="B1375"/>
      <c r="C1375"/>
      <c r="M1375"/>
    </row>
    <row r="1376" spans="1:13" x14ac:dyDescent="0.2">
      <c r="A1376"/>
      <c r="B1376"/>
      <c r="C1376"/>
      <c r="M1376"/>
    </row>
    <row r="1377" spans="1:13" x14ac:dyDescent="0.2">
      <c r="A1377"/>
      <c r="B1377"/>
      <c r="C1377"/>
      <c r="M1377"/>
    </row>
    <row r="1378" spans="1:13" x14ac:dyDescent="0.2">
      <c r="A1378"/>
      <c r="B1378"/>
      <c r="C1378"/>
      <c r="M1378"/>
    </row>
    <row r="1379" spans="1:13" x14ac:dyDescent="0.2">
      <c r="A1379"/>
      <c r="B1379"/>
      <c r="C1379"/>
      <c r="M1379"/>
    </row>
    <row r="1380" spans="1:13" x14ac:dyDescent="0.2">
      <c r="A1380"/>
      <c r="B1380"/>
      <c r="C1380"/>
      <c r="M1380"/>
    </row>
    <row r="1381" spans="1:13" x14ac:dyDescent="0.2">
      <c r="A1381"/>
      <c r="B1381"/>
      <c r="C1381"/>
      <c r="M1381"/>
    </row>
    <row r="1382" spans="1:13" x14ac:dyDescent="0.2">
      <c r="A1382"/>
      <c r="B1382"/>
      <c r="C1382"/>
      <c r="M1382"/>
    </row>
    <row r="1383" spans="1:13" x14ac:dyDescent="0.2">
      <c r="A1383"/>
      <c r="B1383"/>
      <c r="C1383"/>
      <c r="M1383"/>
    </row>
    <row r="1384" spans="1:13" x14ac:dyDescent="0.2">
      <c r="A1384"/>
      <c r="B1384"/>
      <c r="C1384"/>
      <c r="M1384"/>
    </row>
    <row r="1385" spans="1:13" x14ac:dyDescent="0.2">
      <c r="A1385"/>
      <c r="B1385"/>
      <c r="C1385"/>
      <c r="M1385"/>
    </row>
    <row r="1386" spans="1:13" x14ac:dyDescent="0.2">
      <c r="A1386"/>
      <c r="B1386"/>
      <c r="C1386"/>
      <c r="M1386"/>
    </row>
    <row r="1387" spans="1:13" x14ac:dyDescent="0.2">
      <c r="A1387"/>
      <c r="B1387"/>
      <c r="C1387"/>
      <c r="M1387"/>
    </row>
    <row r="1388" spans="1:13" x14ac:dyDescent="0.2">
      <c r="A1388"/>
      <c r="B1388"/>
      <c r="C1388"/>
      <c r="M1388"/>
    </row>
    <row r="1389" spans="1:13" x14ac:dyDescent="0.2">
      <c r="A1389"/>
      <c r="B1389"/>
      <c r="C1389"/>
      <c r="M1389"/>
    </row>
    <row r="1390" spans="1:13" x14ac:dyDescent="0.2">
      <c r="A1390"/>
      <c r="B1390"/>
      <c r="C1390"/>
      <c r="M1390"/>
    </row>
    <row r="1391" spans="1:13" x14ac:dyDescent="0.2">
      <c r="A1391"/>
      <c r="B1391"/>
      <c r="C1391"/>
      <c r="M1391"/>
    </row>
    <row r="1392" spans="1:13" x14ac:dyDescent="0.2">
      <c r="A1392"/>
      <c r="B1392"/>
      <c r="C1392"/>
      <c r="M1392"/>
    </row>
    <row r="1393" spans="1:13" x14ac:dyDescent="0.2">
      <c r="A1393"/>
      <c r="B1393"/>
      <c r="C1393"/>
      <c r="M1393"/>
    </row>
    <row r="1394" spans="1:13" x14ac:dyDescent="0.2">
      <c r="A1394"/>
      <c r="B1394"/>
      <c r="C1394"/>
      <c r="M1394"/>
    </row>
    <row r="1395" spans="1:13" x14ac:dyDescent="0.2">
      <c r="A1395"/>
      <c r="B1395"/>
      <c r="C1395"/>
      <c r="M1395"/>
    </row>
    <row r="1396" spans="1:13" x14ac:dyDescent="0.2">
      <c r="A1396"/>
      <c r="B1396"/>
      <c r="C1396"/>
      <c r="M1396"/>
    </row>
    <row r="1397" spans="1:13" x14ac:dyDescent="0.2">
      <c r="A1397"/>
      <c r="B1397"/>
      <c r="C1397"/>
      <c r="M1397"/>
    </row>
    <row r="1398" spans="1:13" x14ac:dyDescent="0.2">
      <c r="A1398"/>
      <c r="B1398"/>
      <c r="C1398"/>
      <c r="M1398"/>
    </row>
    <row r="1399" spans="1:13" x14ac:dyDescent="0.2">
      <c r="A1399"/>
      <c r="B1399"/>
      <c r="C1399"/>
      <c r="M1399"/>
    </row>
    <row r="1400" spans="1:13" x14ac:dyDescent="0.2">
      <c r="A1400"/>
      <c r="B1400"/>
      <c r="C1400"/>
      <c r="M1400"/>
    </row>
    <row r="1401" spans="1:13" x14ac:dyDescent="0.2">
      <c r="A1401"/>
      <c r="B1401"/>
      <c r="C1401"/>
      <c r="M1401"/>
    </row>
    <row r="1402" spans="1:13" x14ac:dyDescent="0.2">
      <c r="A1402"/>
      <c r="B1402"/>
      <c r="C1402"/>
      <c r="M1402"/>
    </row>
    <row r="1403" spans="1:13" x14ac:dyDescent="0.2">
      <c r="A1403"/>
      <c r="B1403"/>
      <c r="C1403"/>
      <c r="M1403"/>
    </row>
    <row r="1404" spans="1:13" x14ac:dyDescent="0.2">
      <c r="A1404"/>
      <c r="B1404"/>
      <c r="C1404"/>
      <c r="M1404"/>
    </row>
    <row r="1405" spans="1:13" x14ac:dyDescent="0.2">
      <c r="A1405"/>
      <c r="B1405"/>
      <c r="C1405"/>
      <c r="M1405"/>
    </row>
    <row r="1406" spans="1:13" x14ac:dyDescent="0.2">
      <c r="A1406"/>
      <c r="B1406"/>
      <c r="C1406"/>
      <c r="M1406"/>
    </row>
    <row r="1407" spans="1:13" x14ac:dyDescent="0.2">
      <c r="A1407"/>
      <c r="B1407"/>
      <c r="C1407"/>
      <c r="M1407"/>
    </row>
    <row r="1408" spans="1:13" x14ac:dyDescent="0.2">
      <c r="A1408"/>
      <c r="B1408"/>
      <c r="C1408"/>
      <c r="M1408"/>
    </row>
    <row r="1409" spans="1:13" x14ac:dyDescent="0.2">
      <c r="A1409"/>
      <c r="B1409"/>
      <c r="C1409"/>
      <c r="M1409"/>
    </row>
    <row r="1410" spans="1:13" x14ac:dyDescent="0.2">
      <c r="A1410"/>
      <c r="B1410"/>
      <c r="C1410"/>
      <c r="M1410"/>
    </row>
    <row r="1411" spans="1:13" x14ac:dyDescent="0.2">
      <c r="A1411"/>
      <c r="B1411"/>
      <c r="C1411"/>
      <c r="M1411"/>
    </row>
    <row r="1412" spans="1:13" x14ac:dyDescent="0.2">
      <c r="A1412"/>
      <c r="B1412"/>
      <c r="C1412"/>
      <c r="M1412"/>
    </row>
    <row r="1413" spans="1:13" x14ac:dyDescent="0.2">
      <c r="A1413"/>
      <c r="B1413"/>
      <c r="C1413"/>
      <c r="M1413"/>
    </row>
    <row r="1414" spans="1:13" x14ac:dyDescent="0.2">
      <c r="A1414"/>
      <c r="B1414"/>
      <c r="C1414"/>
      <c r="M1414"/>
    </row>
    <row r="1415" spans="1:13" x14ac:dyDescent="0.2">
      <c r="A1415"/>
      <c r="B1415"/>
      <c r="C1415"/>
      <c r="M1415"/>
    </row>
    <row r="1416" spans="1:13" x14ac:dyDescent="0.2">
      <c r="A1416"/>
      <c r="B1416"/>
      <c r="C1416"/>
      <c r="M1416"/>
    </row>
    <row r="1417" spans="1:13" x14ac:dyDescent="0.2">
      <c r="A1417"/>
      <c r="B1417"/>
      <c r="C1417"/>
      <c r="M1417"/>
    </row>
    <row r="1418" spans="1:13" x14ac:dyDescent="0.2">
      <c r="A1418"/>
      <c r="B1418"/>
      <c r="C1418"/>
      <c r="M1418"/>
    </row>
    <row r="1419" spans="1:13" x14ac:dyDescent="0.2">
      <c r="B1419" s="82"/>
    </row>
    <row r="1420" spans="1:13" x14ac:dyDescent="0.2">
      <c r="B1420" s="82"/>
    </row>
    <row r="1421" spans="1:13" x14ac:dyDescent="0.2">
      <c r="B1421" s="82"/>
    </row>
    <row r="1422" spans="1:13" x14ac:dyDescent="0.2">
      <c r="B1422" s="82"/>
    </row>
    <row r="1423" spans="1:13" x14ac:dyDescent="0.2">
      <c r="B1423" s="82"/>
    </row>
    <row r="1424" spans="1:13" x14ac:dyDescent="0.2">
      <c r="B1424" s="82"/>
    </row>
    <row r="1425" spans="2:2" x14ac:dyDescent="0.2">
      <c r="B1425" s="82"/>
    </row>
    <row r="1426" spans="2:2" x14ac:dyDescent="0.2">
      <c r="B1426" s="82"/>
    </row>
    <row r="1427" spans="2:2" x14ac:dyDescent="0.2">
      <c r="B1427" s="82"/>
    </row>
    <row r="1428" spans="2:2" x14ac:dyDescent="0.2">
      <c r="B1428" s="82"/>
    </row>
    <row r="1429" spans="2:2" x14ac:dyDescent="0.2">
      <c r="B1429" s="82"/>
    </row>
    <row r="1430" spans="2:2" x14ac:dyDescent="0.2">
      <c r="B1430" s="82"/>
    </row>
    <row r="1431" spans="2:2" x14ac:dyDescent="0.2">
      <c r="B1431" s="82"/>
    </row>
    <row r="1432" spans="2:2" x14ac:dyDescent="0.2">
      <c r="B1432" s="82"/>
    </row>
    <row r="1433" spans="2:2" x14ac:dyDescent="0.2">
      <c r="B1433" s="82"/>
    </row>
    <row r="1434" spans="2:2" x14ac:dyDescent="0.2">
      <c r="B1434" s="82"/>
    </row>
    <row r="1435" spans="2:2" x14ac:dyDescent="0.2">
      <c r="B1435" s="82"/>
    </row>
    <row r="1436" spans="2:2" x14ac:dyDescent="0.2">
      <c r="B1436" s="82"/>
    </row>
    <row r="1437" spans="2:2" x14ac:dyDescent="0.2">
      <c r="B1437" s="82"/>
    </row>
    <row r="1438" spans="2:2" x14ac:dyDescent="0.2">
      <c r="B1438" s="82"/>
    </row>
    <row r="1439" spans="2:2" x14ac:dyDescent="0.2">
      <c r="B1439" s="82"/>
    </row>
    <row r="1440" spans="2:2" x14ac:dyDescent="0.2">
      <c r="B1440" s="82"/>
    </row>
    <row r="1441" spans="2:2" x14ac:dyDescent="0.2">
      <c r="B1441" s="82"/>
    </row>
    <row r="1442" spans="2:2" x14ac:dyDescent="0.2">
      <c r="B1442" s="82"/>
    </row>
    <row r="1443" spans="2:2" x14ac:dyDescent="0.2">
      <c r="B1443" s="82"/>
    </row>
    <row r="1444" spans="2:2" x14ac:dyDescent="0.2">
      <c r="B1444" s="82"/>
    </row>
    <row r="1445" spans="2:2" x14ac:dyDescent="0.2">
      <c r="B1445" s="82"/>
    </row>
    <row r="1446" spans="2:2" x14ac:dyDescent="0.2">
      <c r="B1446" s="82"/>
    </row>
    <row r="1447" spans="2:2" x14ac:dyDescent="0.2">
      <c r="B1447" s="82"/>
    </row>
    <row r="1448" spans="2:2" x14ac:dyDescent="0.2">
      <c r="B1448" s="82"/>
    </row>
    <row r="1449" spans="2:2" x14ac:dyDescent="0.2">
      <c r="B1449" s="82"/>
    </row>
    <row r="1450" spans="2:2" x14ac:dyDescent="0.2">
      <c r="B1450" s="82"/>
    </row>
    <row r="1451" spans="2:2" x14ac:dyDescent="0.2">
      <c r="B1451" s="82"/>
    </row>
    <row r="1452" spans="2:2" x14ac:dyDescent="0.2">
      <c r="B1452" s="82"/>
    </row>
    <row r="1453" spans="2:2" x14ac:dyDescent="0.2">
      <c r="B1453" s="82"/>
    </row>
    <row r="1454" spans="2:2" x14ac:dyDescent="0.2">
      <c r="B1454" s="82"/>
    </row>
    <row r="1455" spans="2:2" x14ac:dyDescent="0.2">
      <c r="B1455" s="82"/>
    </row>
    <row r="1456" spans="2:2" x14ac:dyDescent="0.2">
      <c r="B1456" s="82"/>
    </row>
    <row r="1457" spans="2:2" x14ac:dyDescent="0.2">
      <c r="B1457" s="82"/>
    </row>
    <row r="1458" spans="2:2" x14ac:dyDescent="0.2">
      <c r="B1458" s="82"/>
    </row>
    <row r="1459" spans="2:2" x14ac:dyDescent="0.2">
      <c r="B1459" s="82"/>
    </row>
    <row r="1460" spans="2:2" x14ac:dyDescent="0.2">
      <c r="B1460" s="82"/>
    </row>
    <row r="1461" spans="2:2" x14ac:dyDescent="0.2">
      <c r="B1461" s="82"/>
    </row>
    <row r="1462" spans="2:2" x14ac:dyDescent="0.2">
      <c r="B1462" s="82"/>
    </row>
    <row r="1463" spans="2:2" x14ac:dyDescent="0.2">
      <c r="B1463" s="82"/>
    </row>
    <row r="1464" spans="2:2" x14ac:dyDescent="0.2">
      <c r="B1464" s="82"/>
    </row>
    <row r="1465" spans="2:2" x14ac:dyDescent="0.2">
      <c r="B1465" s="82"/>
    </row>
    <row r="1466" spans="2:2" x14ac:dyDescent="0.2">
      <c r="B1466" s="82"/>
    </row>
    <row r="1467" spans="2:2" x14ac:dyDescent="0.2">
      <c r="B1467" s="82"/>
    </row>
    <row r="1468" spans="2:2" x14ac:dyDescent="0.2">
      <c r="B1468" s="82"/>
    </row>
    <row r="1469" spans="2:2" x14ac:dyDescent="0.2">
      <c r="B1469" s="82"/>
    </row>
    <row r="1470" spans="2:2" x14ac:dyDescent="0.2">
      <c r="B1470" s="82"/>
    </row>
    <row r="1471" spans="2:2" x14ac:dyDescent="0.2">
      <c r="B1471" s="82"/>
    </row>
    <row r="1472" spans="2:2" x14ac:dyDescent="0.2">
      <c r="B1472" s="82"/>
    </row>
    <row r="1473" spans="2:2" x14ac:dyDescent="0.2">
      <c r="B1473" s="82"/>
    </row>
    <row r="1474" spans="2:2" x14ac:dyDescent="0.2">
      <c r="B1474" s="82"/>
    </row>
    <row r="1475" spans="2:2" x14ac:dyDescent="0.2">
      <c r="B1475" s="82"/>
    </row>
    <row r="1476" spans="2:2" x14ac:dyDescent="0.2">
      <c r="B1476" s="82"/>
    </row>
    <row r="1477" spans="2:2" x14ac:dyDescent="0.2">
      <c r="B1477" s="82"/>
    </row>
    <row r="1478" spans="2:2" x14ac:dyDescent="0.2">
      <c r="B1478" s="82"/>
    </row>
    <row r="1479" spans="2:2" x14ac:dyDescent="0.2">
      <c r="B1479" s="82"/>
    </row>
    <row r="1480" spans="2:2" x14ac:dyDescent="0.2">
      <c r="B1480" s="82"/>
    </row>
    <row r="1481" spans="2:2" x14ac:dyDescent="0.2">
      <c r="B1481" s="82"/>
    </row>
    <row r="1482" spans="2:2" x14ac:dyDescent="0.2">
      <c r="B1482" s="82"/>
    </row>
    <row r="1483" spans="2:2" x14ac:dyDescent="0.2">
      <c r="B1483" s="82"/>
    </row>
    <row r="1484" spans="2:2" x14ac:dyDescent="0.2">
      <c r="B1484" s="82"/>
    </row>
    <row r="1485" spans="2:2" x14ac:dyDescent="0.2">
      <c r="B1485" s="82"/>
    </row>
    <row r="1486" spans="2:2" x14ac:dyDescent="0.2">
      <c r="B1486" s="82"/>
    </row>
    <row r="1487" spans="2:2" x14ac:dyDescent="0.2">
      <c r="B1487" s="82"/>
    </row>
    <row r="1488" spans="2:2" x14ac:dyDescent="0.2">
      <c r="B1488" s="82"/>
    </row>
    <row r="1489" spans="2:2" x14ac:dyDescent="0.2">
      <c r="B1489" s="82"/>
    </row>
    <row r="1490" spans="2:2" x14ac:dyDescent="0.2">
      <c r="B1490" s="82"/>
    </row>
    <row r="1491" spans="2:2" x14ac:dyDescent="0.2">
      <c r="B1491" s="82"/>
    </row>
    <row r="1492" spans="2:2" x14ac:dyDescent="0.2">
      <c r="B1492" s="82"/>
    </row>
    <row r="1493" spans="2:2" x14ac:dyDescent="0.2">
      <c r="B1493" s="82"/>
    </row>
    <row r="1494" spans="2:2" x14ac:dyDescent="0.2">
      <c r="B1494" s="82"/>
    </row>
    <row r="1495" spans="2:2" x14ac:dyDescent="0.2">
      <c r="B1495" s="82"/>
    </row>
    <row r="1496" spans="2:2" x14ac:dyDescent="0.2">
      <c r="B1496" s="82"/>
    </row>
    <row r="1497" spans="2:2" x14ac:dyDescent="0.2">
      <c r="B1497" s="82"/>
    </row>
    <row r="1498" spans="2:2" x14ac:dyDescent="0.2">
      <c r="B1498" s="82"/>
    </row>
    <row r="1499" spans="2:2" x14ac:dyDescent="0.2">
      <c r="B1499" s="82"/>
    </row>
    <row r="1500" spans="2:2" x14ac:dyDescent="0.2">
      <c r="B1500" s="82"/>
    </row>
    <row r="1501" spans="2:2" x14ac:dyDescent="0.2">
      <c r="B1501" s="82"/>
    </row>
    <row r="1502" spans="2:2" x14ac:dyDescent="0.2">
      <c r="B1502" s="82"/>
    </row>
    <row r="1503" spans="2:2" x14ac:dyDescent="0.2">
      <c r="B1503" s="82"/>
    </row>
    <row r="1504" spans="2:2" x14ac:dyDescent="0.2">
      <c r="B1504" s="82"/>
    </row>
    <row r="1505" spans="2:2" x14ac:dyDescent="0.2">
      <c r="B1505" s="82"/>
    </row>
    <row r="1506" spans="2:2" x14ac:dyDescent="0.2">
      <c r="B1506" s="82"/>
    </row>
    <row r="1507" spans="2:2" x14ac:dyDescent="0.2">
      <c r="B1507" s="82"/>
    </row>
    <row r="1508" spans="2:2" x14ac:dyDescent="0.2">
      <c r="B1508" s="82"/>
    </row>
    <row r="1509" spans="2:2" x14ac:dyDescent="0.2">
      <c r="B1509" s="82"/>
    </row>
    <row r="1510" spans="2:2" x14ac:dyDescent="0.2">
      <c r="B1510" s="82"/>
    </row>
    <row r="1511" spans="2:2" x14ac:dyDescent="0.2">
      <c r="B1511" s="82"/>
    </row>
    <row r="1512" spans="2:2" x14ac:dyDescent="0.2">
      <c r="B1512" s="82"/>
    </row>
    <row r="1513" spans="2:2" x14ac:dyDescent="0.2">
      <c r="B1513" s="82"/>
    </row>
    <row r="1514" spans="2:2" x14ac:dyDescent="0.2">
      <c r="B1514" s="82"/>
    </row>
    <row r="1515" spans="2:2" x14ac:dyDescent="0.2">
      <c r="B1515" s="82"/>
    </row>
    <row r="1516" spans="2:2" x14ac:dyDescent="0.2">
      <c r="B1516" s="82"/>
    </row>
    <row r="1517" spans="2:2" x14ac:dyDescent="0.2">
      <c r="B1517" s="82"/>
    </row>
    <row r="1518" spans="2:2" x14ac:dyDescent="0.2">
      <c r="B1518" s="82"/>
    </row>
    <row r="1519" spans="2:2" x14ac:dyDescent="0.2">
      <c r="B1519" s="82"/>
    </row>
    <row r="1520" spans="2:2" x14ac:dyDescent="0.2">
      <c r="B1520" s="82"/>
    </row>
    <row r="1521" spans="2:2" x14ac:dyDescent="0.2">
      <c r="B1521" s="82"/>
    </row>
    <row r="1522" spans="2:2" x14ac:dyDescent="0.2">
      <c r="B1522" s="82"/>
    </row>
    <row r="1523" spans="2:2" x14ac:dyDescent="0.2">
      <c r="B1523" s="82"/>
    </row>
    <row r="1524" spans="2:2" x14ac:dyDescent="0.2">
      <c r="B1524" s="82"/>
    </row>
    <row r="1525" spans="2:2" x14ac:dyDescent="0.2">
      <c r="B1525" s="82"/>
    </row>
    <row r="1526" spans="2:2" x14ac:dyDescent="0.2">
      <c r="B1526" s="82"/>
    </row>
    <row r="1527" spans="2:2" x14ac:dyDescent="0.2">
      <c r="B1527" s="82"/>
    </row>
    <row r="1528" spans="2:2" x14ac:dyDescent="0.2">
      <c r="B1528" s="82"/>
    </row>
    <row r="1529" spans="2:2" x14ac:dyDescent="0.2">
      <c r="B1529" s="82"/>
    </row>
    <row r="1530" spans="2:2" x14ac:dyDescent="0.2">
      <c r="B1530" s="82"/>
    </row>
    <row r="1531" spans="2:2" x14ac:dyDescent="0.2">
      <c r="B1531" s="82"/>
    </row>
    <row r="1532" spans="2:2" x14ac:dyDescent="0.2">
      <c r="B1532" s="82"/>
    </row>
    <row r="1533" spans="2:2" x14ac:dyDescent="0.2">
      <c r="B1533" s="82"/>
    </row>
    <row r="1534" spans="2:2" x14ac:dyDescent="0.2">
      <c r="B1534" s="82"/>
    </row>
    <row r="1535" spans="2:2" x14ac:dyDescent="0.2">
      <c r="B1535" s="82"/>
    </row>
    <row r="1536" spans="2:2" x14ac:dyDescent="0.2">
      <c r="B1536" s="82"/>
    </row>
    <row r="1537" spans="2:2" x14ac:dyDescent="0.2">
      <c r="B1537" s="82"/>
    </row>
    <row r="1538" spans="2:2" x14ac:dyDescent="0.2">
      <c r="B1538" s="82"/>
    </row>
    <row r="1539" spans="2:2" x14ac:dyDescent="0.2">
      <c r="B1539" s="82"/>
    </row>
    <row r="1540" spans="2:2" x14ac:dyDescent="0.2">
      <c r="B1540" s="82"/>
    </row>
    <row r="1541" spans="2:2" x14ac:dyDescent="0.2">
      <c r="B1541" s="82"/>
    </row>
    <row r="1542" spans="2:2" x14ac:dyDescent="0.2">
      <c r="B1542" s="82"/>
    </row>
    <row r="1543" spans="2:2" x14ac:dyDescent="0.2">
      <c r="B1543" s="82"/>
    </row>
    <row r="1544" spans="2:2" x14ac:dyDescent="0.2">
      <c r="B1544" s="82"/>
    </row>
    <row r="1545" spans="2:2" x14ac:dyDescent="0.2">
      <c r="B1545" s="82"/>
    </row>
    <row r="1546" spans="2:2" x14ac:dyDescent="0.2">
      <c r="B1546" s="82"/>
    </row>
    <row r="1547" spans="2:2" x14ac:dyDescent="0.2">
      <c r="B1547" s="82"/>
    </row>
    <row r="1548" spans="2:2" x14ac:dyDescent="0.2">
      <c r="B1548" s="82"/>
    </row>
    <row r="1549" spans="2:2" x14ac:dyDescent="0.2">
      <c r="B1549" s="82"/>
    </row>
    <row r="1550" spans="2:2" x14ac:dyDescent="0.2">
      <c r="B1550" s="82"/>
    </row>
    <row r="1551" spans="2:2" x14ac:dyDescent="0.2">
      <c r="B1551" s="82"/>
    </row>
    <row r="1552" spans="2:2" x14ac:dyDescent="0.2">
      <c r="B1552" s="82"/>
    </row>
    <row r="1553" spans="2:2" x14ac:dyDescent="0.2">
      <c r="B1553" s="82"/>
    </row>
    <row r="1554" spans="2:2" x14ac:dyDescent="0.2">
      <c r="B1554" s="82"/>
    </row>
    <row r="1555" spans="2:2" x14ac:dyDescent="0.2">
      <c r="B1555" s="82"/>
    </row>
    <row r="1556" spans="2:2" x14ac:dyDescent="0.2">
      <c r="B1556" s="82"/>
    </row>
    <row r="1557" spans="2:2" x14ac:dyDescent="0.2">
      <c r="B1557" s="82"/>
    </row>
    <row r="1558" spans="2:2" x14ac:dyDescent="0.2">
      <c r="B1558" s="82"/>
    </row>
    <row r="1559" spans="2:2" x14ac:dyDescent="0.2">
      <c r="B1559" s="82"/>
    </row>
    <row r="1560" spans="2:2" x14ac:dyDescent="0.2">
      <c r="B1560" s="82"/>
    </row>
  </sheetData>
  <autoFilter ref="A2:U991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L938"/>
  <sheetViews>
    <sheetView workbookViewId="0">
      <pane ySplit="1" topLeftCell="A2" activePane="bottomLeft" state="frozen"/>
      <selection pane="bottomLeft" activeCell="G29" sqref="G29"/>
    </sheetView>
  </sheetViews>
  <sheetFormatPr defaultColWidth="9.140625" defaultRowHeight="12.75" x14ac:dyDescent="0.2"/>
  <cols>
    <col min="1" max="1" width="9.85546875" style="22" customWidth="1"/>
    <col min="2" max="2" width="37" style="22" customWidth="1"/>
    <col min="3" max="3" width="11.42578125" style="22" customWidth="1"/>
    <col min="4" max="4" width="33.140625" style="22" customWidth="1"/>
    <col min="5" max="5" width="5.42578125" style="22" customWidth="1"/>
    <col min="6" max="6" width="30.85546875" style="22" customWidth="1"/>
    <col min="7" max="7" width="12.140625" style="22" customWidth="1"/>
    <col min="8" max="9" width="9.28515625" style="22" customWidth="1"/>
    <col min="10" max="10" width="9.140625" style="44"/>
    <col min="11" max="11" width="9.140625" style="22"/>
    <col min="12" max="12" width="24.140625" style="67" customWidth="1"/>
    <col min="13" max="16384" width="9.140625" style="22"/>
  </cols>
  <sheetData>
    <row r="1" spans="1:12" s="25" customFormat="1" ht="20.25" customHeight="1" x14ac:dyDescent="0.2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</v>
      </c>
      <c r="G1" s="42" t="s">
        <v>5</v>
      </c>
      <c r="H1" s="42" t="s">
        <v>6</v>
      </c>
      <c r="I1" s="42" t="s">
        <v>7</v>
      </c>
      <c r="J1" s="43"/>
      <c r="L1" s="68" t="str">
        <f t="shared" ref="L1" si="0">C1&amp;"."&amp;G1&amp;J1</f>
        <v>Cost Centre.GL Account</v>
      </c>
    </row>
    <row r="2" spans="1:12" x14ac:dyDescent="0.2">
      <c r="A2" s="30">
        <v>19022</v>
      </c>
      <c r="B2" s="30" t="s">
        <v>113</v>
      </c>
      <c r="C2" s="30">
        <v>12019199</v>
      </c>
      <c r="D2" s="30" t="s">
        <v>147</v>
      </c>
      <c r="E2" s="30">
        <v>1</v>
      </c>
      <c r="F2" s="30" t="s">
        <v>11</v>
      </c>
      <c r="G2" s="30">
        <v>4040.1</v>
      </c>
      <c r="H2" s="30">
        <v>234.82</v>
      </c>
      <c r="I2" s="30"/>
      <c r="J2" s="69" t="s">
        <v>12</v>
      </c>
      <c r="K2" s="30"/>
      <c r="L2" s="60" t="str">
        <f t="shared" ref="L2:L65" si="1">C2&amp;"."&amp;G2&amp;J2</f>
        <v>12019199.4040.100</v>
      </c>
    </row>
    <row r="3" spans="1:12" x14ac:dyDescent="0.2">
      <c r="A3" s="30">
        <v>18891</v>
      </c>
      <c r="B3" s="30" t="s">
        <v>77</v>
      </c>
      <c r="C3" s="30">
        <v>12020611</v>
      </c>
      <c r="D3" s="30" t="s">
        <v>23</v>
      </c>
      <c r="E3" s="30">
        <v>1</v>
      </c>
      <c r="F3" s="30" t="s">
        <v>11</v>
      </c>
      <c r="G3" s="30">
        <v>4040.1</v>
      </c>
      <c r="H3" s="30">
        <v>228.28</v>
      </c>
      <c r="I3" s="30"/>
      <c r="J3" s="69" t="s">
        <v>12</v>
      </c>
      <c r="K3" s="30"/>
      <c r="L3" s="60" t="str">
        <f t="shared" si="1"/>
        <v>12020611.4040.100</v>
      </c>
    </row>
    <row r="4" spans="1:12" x14ac:dyDescent="0.2">
      <c r="A4" s="30">
        <v>18589</v>
      </c>
      <c r="B4" s="30" t="s">
        <v>75</v>
      </c>
      <c r="C4" s="30">
        <v>12020611</v>
      </c>
      <c r="D4" s="30" t="s">
        <v>23</v>
      </c>
      <c r="E4" s="30">
        <v>1</v>
      </c>
      <c r="F4" s="30" t="s">
        <v>11</v>
      </c>
      <c r="G4" s="30">
        <v>4040.1</v>
      </c>
      <c r="H4" s="30">
        <v>444.74</v>
      </c>
      <c r="I4" s="30"/>
      <c r="J4" s="69" t="s">
        <v>12</v>
      </c>
      <c r="K4" s="30"/>
      <c r="L4" s="60" t="str">
        <f t="shared" si="1"/>
        <v>12020611.4040.100</v>
      </c>
    </row>
    <row r="5" spans="1:12" x14ac:dyDescent="0.2">
      <c r="A5" s="30">
        <v>18831</v>
      </c>
      <c r="B5" s="30" t="s">
        <v>22</v>
      </c>
      <c r="C5" s="30">
        <v>12020611</v>
      </c>
      <c r="D5" s="30" t="s">
        <v>23</v>
      </c>
      <c r="E5" s="30">
        <v>1</v>
      </c>
      <c r="F5" s="30" t="s">
        <v>11</v>
      </c>
      <c r="G5" s="30">
        <v>4040.1</v>
      </c>
      <c r="H5" s="64">
        <v>196.05</v>
      </c>
      <c r="I5" s="30"/>
      <c r="J5" s="69" t="s">
        <v>12</v>
      </c>
      <c r="K5" s="30"/>
      <c r="L5" s="60" t="str">
        <f t="shared" si="1"/>
        <v>12020611.4040.100</v>
      </c>
    </row>
    <row r="6" spans="1:12" x14ac:dyDescent="0.2">
      <c r="A6" s="30">
        <v>18903</v>
      </c>
      <c r="B6" s="30" t="s">
        <v>73</v>
      </c>
      <c r="C6" s="30">
        <v>12020611</v>
      </c>
      <c r="D6" s="30" t="s">
        <v>23</v>
      </c>
      <c r="E6" s="30">
        <v>1</v>
      </c>
      <c r="F6" s="30" t="s">
        <v>11</v>
      </c>
      <c r="G6" s="30">
        <v>4040.1</v>
      </c>
      <c r="H6" s="30">
        <v>605.88</v>
      </c>
      <c r="I6" s="30"/>
      <c r="J6" s="69" t="s">
        <v>12</v>
      </c>
      <c r="K6" s="30"/>
      <c r="L6" s="60" t="str">
        <f t="shared" si="1"/>
        <v>12020611.4040.100</v>
      </c>
    </row>
    <row r="7" spans="1:12" x14ac:dyDescent="0.2">
      <c r="A7" s="30">
        <v>18631</v>
      </c>
      <c r="B7" s="30" t="s">
        <v>80</v>
      </c>
      <c r="C7" s="30">
        <v>12020711</v>
      </c>
      <c r="D7" s="30" t="s">
        <v>25</v>
      </c>
      <c r="E7" s="30">
        <v>1</v>
      </c>
      <c r="F7" s="30" t="s">
        <v>11</v>
      </c>
      <c r="G7" s="30">
        <v>4040.1</v>
      </c>
      <c r="H7" s="30">
        <v>201.96</v>
      </c>
      <c r="I7" s="30"/>
      <c r="J7" s="69" t="s">
        <v>12</v>
      </c>
      <c r="K7" s="30"/>
      <c r="L7" s="60" t="str">
        <f t="shared" si="1"/>
        <v>12020711.4040.100</v>
      </c>
    </row>
    <row r="8" spans="1:12" x14ac:dyDescent="0.2">
      <c r="A8" s="30">
        <v>18687</v>
      </c>
      <c r="B8" s="30" t="s">
        <v>83</v>
      </c>
      <c r="C8" s="30">
        <v>12021021</v>
      </c>
      <c r="D8" s="30" t="s">
        <v>29</v>
      </c>
      <c r="E8" s="30">
        <v>1</v>
      </c>
      <c r="F8" s="30" t="s">
        <v>11</v>
      </c>
      <c r="G8" s="30">
        <v>4040.1</v>
      </c>
      <c r="H8" s="30">
        <v>226.83</v>
      </c>
      <c r="I8" s="30"/>
      <c r="J8" s="69" t="s">
        <v>12</v>
      </c>
      <c r="K8" s="30"/>
      <c r="L8" s="60" t="str">
        <f t="shared" si="1"/>
        <v>12021021.4040.100</v>
      </c>
    </row>
    <row r="9" spans="1:12" x14ac:dyDescent="0.2">
      <c r="A9" s="30">
        <v>18781</v>
      </c>
      <c r="B9" s="30" t="s">
        <v>82</v>
      </c>
      <c r="C9" s="30">
        <v>12021021</v>
      </c>
      <c r="D9" s="30" t="s">
        <v>29</v>
      </c>
      <c r="E9" s="30">
        <v>1</v>
      </c>
      <c r="F9" s="30" t="s">
        <v>11</v>
      </c>
      <c r="G9" s="30">
        <v>4040.1</v>
      </c>
      <c r="H9" s="30">
        <v>513.22</v>
      </c>
      <c r="I9" s="30"/>
      <c r="J9" s="69" t="s">
        <v>12</v>
      </c>
      <c r="K9" s="30"/>
      <c r="L9" s="60" t="str">
        <f t="shared" si="1"/>
        <v>12021021.4040.100</v>
      </c>
    </row>
    <row r="10" spans="1:12" x14ac:dyDescent="0.2">
      <c r="A10" s="30">
        <v>18894</v>
      </c>
      <c r="B10" s="30" t="s">
        <v>89</v>
      </c>
      <c r="C10" s="30">
        <v>12021021</v>
      </c>
      <c r="D10" s="30" t="s">
        <v>29</v>
      </c>
      <c r="E10" s="30">
        <v>1</v>
      </c>
      <c r="F10" s="30" t="s">
        <v>11</v>
      </c>
      <c r="G10" s="30">
        <v>4040.1</v>
      </c>
      <c r="H10" s="30">
        <v>201.96</v>
      </c>
      <c r="I10" s="30"/>
      <c r="J10" s="69" t="s">
        <v>12</v>
      </c>
      <c r="K10" s="30"/>
      <c r="L10" s="60" t="str">
        <f t="shared" si="1"/>
        <v>12021021.4040.100</v>
      </c>
    </row>
    <row r="11" spans="1:12" x14ac:dyDescent="0.2">
      <c r="A11" s="30">
        <v>18967</v>
      </c>
      <c r="B11" s="30" t="s">
        <v>85</v>
      </c>
      <c r="C11" s="30">
        <v>12021021</v>
      </c>
      <c r="D11" s="30" t="s">
        <v>29</v>
      </c>
      <c r="E11" s="30">
        <v>1</v>
      </c>
      <c r="F11" s="30" t="s">
        <v>11</v>
      </c>
      <c r="G11" s="30">
        <v>4040.1</v>
      </c>
      <c r="H11" s="30">
        <v>256.61</v>
      </c>
      <c r="I11" s="30"/>
      <c r="J11" s="69" t="s">
        <v>12</v>
      </c>
      <c r="K11" s="30"/>
      <c r="L11" s="60" t="str">
        <f t="shared" si="1"/>
        <v>12021021.4040.100</v>
      </c>
    </row>
    <row r="12" spans="1:12" x14ac:dyDescent="0.2">
      <c r="A12" s="30">
        <v>145</v>
      </c>
      <c r="B12" s="30" t="s">
        <v>91</v>
      </c>
      <c r="C12" s="30">
        <v>12022511</v>
      </c>
      <c r="D12" s="30" t="s">
        <v>32</v>
      </c>
      <c r="E12" s="30">
        <v>1</v>
      </c>
      <c r="F12" s="30" t="s">
        <v>11</v>
      </c>
      <c r="G12" s="30">
        <v>4040.1</v>
      </c>
      <c r="H12" s="30">
        <v>207.41</v>
      </c>
      <c r="I12" s="30"/>
      <c r="J12" s="69" t="s">
        <v>12</v>
      </c>
      <c r="K12" s="30"/>
      <c r="L12" s="60" t="str">
        <f t="shared" si="1"/>
        <v>12022511.4040.100</v>
      </c>
    </row>
    <row r="13" spans="1:12" x14ac:dyDescent="0.2">
      <c r="A13" s="30">
        <v>141</v>
      </c>
      <c r="B13" s="30" t="s">
        <v>185</v>
      </c>
      <c r="C13" s="30">
        <v>12022511</v>
      </c>
      <c r="D13" s="30" t="s">
        <v>32</v>
      </c>
      <c r="E13" s="30">
        <v>1</v>
      </c>
      <c r="F13" s="30" t="s">
        <v>11</v>
      </c>
      <c r="G13" s="30">
        <v>4040.1</v>
      </c>
      <c r="H13" s="30">
        <v>180.54</v>
      </c>
      <c r="I13" s="30"/>
      <c r="J13" s="69" t="s">
        <v>12</v>
      </c>
      <c r="K13" s="30"/>
      <c r="L13" s="60" t="str">
        <f t="shared" si="1"/>
        <v>12022511.4040.100</v>
      </c>
    </row>
    <row r="14" spans="1:12" x14ac:dyDescent="0.2">
      <c r="A14" s="30">
        <v>19007</v>
      </c>
      <c r="B14" s="30" t="s">
        <v>189</v>
      </c>
      <c r="C14" s="30">
        <v>12023011</v>
      </c>
      <c r="D14" s="30" t="s">
        <v>93</v>
      </c>
      <c r="E14" s="30">
        <v>1</v>
      </c>
      <c r="F14" s="30" t="s">
        <v>11</v>
      </c>
      <c r="G14" s="30">
        <v>4040.1</v>
      </c>
      <c r="H14" s="30">
        <v>77.39</v>
      </c>
      <c r="I14" s="30"/>
      <c r="J14" s="69" t="s">
        <v>12</v>
      </c>
      <c r="K14" s="30"/>
      <c r="L14" s="60" t="str">
        <f t="shared" si="1"/>
        <v>12023011.4040.100</v>
      </c>
    </row>
    <row r="15" spans="1:12" x14ac:dyDescent="0.2">
      <c r="A15" s="30">
        <v>18581</v>
      </c>
      <c r="B15" s="30" t="s">
        <v>190</v>
      </c>
      <c r="C15" s="30">
        <v>12024021</v>
      </c>
      <c r="D15" s="30" t="s">
        <v>191</v>
      </c>
      <c r="E15" s="30">
        <v>1</v>
      </c>
      <c r="F15" s="30" t="s">
        <v>11</v>
      </c>
      <c r="G15" s="30">
        <v>4040.1</v>
      </c>
      <c r="H15" s="30">
        <v>316.26</v>
      </c>
      <c r="I15" s="30"/>
      <c r="J15" s="69" t="s">
        <v>12</v>
      </c>
      <c r="K15" s="30"/>
      <c r="L15" s="60" t="str">
        <f t="shared" si="1"/>
        <v>12024021.4040.100</v>
      </c>
    </row>
    <row r="16" spans="1:12" x14ac:dyDescent="0.2">
      <c r="A16" s="30">
        <v>18979</v>
      </c>
      <c r="B16" s="30" t="s">
        <v>39</v>
      </c>
      <c r="C16" s="30">
        <v>12030611</v>
      </c>
      <c r="D16" s="30" t="s">
        <v>36</v>
      </c>
      <c r="E16" s="30">
        <v>1</v>
      </c>
      <c r="F16" s="30" t="s">
        <v>11</v>
      </c>
      <c r="G16" s="30">
        <v>4040.1</v>
      </c>
      <c r="H16" s="30">
        <v>174.78</v>
      </c>
      <c r="I16" s="30"/>
      <c r="J16" s="69" t="s">
        <v>12</v>
      </c>
      <c r="K16" s="30"/>
      <c r="L16" s="60" t="str">
        <f t="shared" si="1"/>
        <v>12030611.4040.100</v>
      </c>
    </row>
    <row r="17" spans="1:12" x14ac:dyDescent="0.2">
      <c r="A17" s="30">
        <v>18822</v>
      </c>
      <c r="B17" s="30" t="s">
        <v>103</v>
      </c>
      <c r="C17" s="30">
        <v>12030611</v>
      </c>
      <c r="D17" s="30" t="s">
        <v>36</v>
      </c>
      <c r="E17" s="30">
        <v>1</v>
      </c>
      <c r="F17" s="30" t="s">
        <v>11</v>
      </c>
      <c r="G17" s="30">
        <v>4040.1</v>
      </c>
      <c r="H17" s="30">
        <v>196.05</v>
      </c>
      <c r="I17" s="30"/>
      <c r="J17" s="69" t="s">
        <v>12</v>
      </c>
      <c r="K17" s="30"/>
      <c r="L17" s="60" t="str">
        <f t="shared" si="1"/>
        <v>12030611.4040.100</v>
      </c>
    </row>
    <row r="18" spans="1:12" x14ac:dyDescent="0.2">
      <c r="A18" s="30">
        <v>18923</v>
      </c>
      <c r="B18" s="30" t="s">
        <v>46</v>
      </c>
      <c r="C18" s="30">
        <v>12033011</v>
      </c>
      <c r="D18" s="30" t="s">
        <v>45</v>
      </c>
      <c r="E18" s="30">
        <v>1</v>
      </c>
      <c r="F18" s="30" t="s">
        <v>11</v>
      </c>
      <c r="G18" s="30">
        <v>4040.1</v>
      </c>
      <c r="H18" s="30">
        <v>524.34</v>
      </c>
      <c r="I18" s="30"/>
      <c r="J18" s="69" t="s">
        <v>12</v>
      </c>
      <c r="K18" s="30"/>
      <c r="L18" s="60" t="str">
        <f t="shared" si="1"/>
        <v>12033011.4040.100</v>
      </c>
    </row>
    <row r="19" spans="1:12" x14ac:dyDescent="0.2">
      <c r="A19" s="30">
        <v>19019</v>
      </c>
      <c r="B19" s="30" t="s">
        <v>108</v>
      </c>
      <c r="C19" s="30">
        <v>12033011</v>
      </c>
      <c r="D19" s="30" t="s">
        <v>45</v>
      </c>
      <c r="E19" s="30">
        <v>1</v>
      </c>
      <c r="F19" s="30" t="s">
        <v>11</v>
      </c>
      <c r="G19" s="30">
        <v>4040.1</v>
      </c>
      <c r="H19" s="30">
        <v>180.54</v>
      </c>
      <c r="I19" s="30"/>
      <c r="J19" s="69" t="s">
        <v>12</v>
      </c>
      <c r="K19" s="30"/>
      <c r="L19" s="60" t="str">
        <f t="shared" si="1"/>
        <v>12033011.4040.100</v>
      </c>
    </row>
    <row r="20" spans="1:12" x14ac:dyDescent="0.2">
      <c r="A20" s="30">
        <v>18607</v>
      </c>
      <c r="B20" s="30" t="s">
        <v>109</v>
      </c>
      <c r="C20" s="30">
        <v>12033011</v>
      </c>
      <c r="D20" s="30" t="s">
        <v>45</v>
      </c>
      <c r="E20" s="30">
        <v>1</v>
      </c>
      <c r="F20" s="30" t="s">
        <v>11</v>
      </c>
      <c r="G20" s="30">
        <v>4040.1</v>
      </c>
      <c r="H20" s="30">
        <v>889.48</v>
      </c>
      <c r="I20" s="30"/>
      <c r="J20" s="69" t="s">
        <v>12</v>
      </c>
      <c r="K20" s="30"/>
      <c r="L20" s="60" t="str">
        <f t="shared" si="1"/>
        <v>12033011.4040.100</v>
      </c>
    </row>
    <row r="21" spans="1:12" x14ac:dyDescent="0.2">
      <c r="A21" s="30">
        <v>18650</v>
      </c>
      <c r="B21" s="30" t="s">
        <v>49</v>
      </c>
      <c r="C21" s="30">
        <v>12042511</v>
      </c>
      <c r="D21" s="30" t="s">
        <v>50</v>
      </c>
      <c r="E21" s="30">
        <v>1</v>
      </c>
      <c r="F21" s="30" t="s">
        <v>11</v>
      </c>
      <c r="G21" s="30">
        <v>4040.1</v>
      </c>
      <c r="H21" s="30">
        <v>697.53</v>
      </c>
      <c r="I21" s="30"/>
      <c r="J21" s="69" t="s">
        <v>12</v>
      </c>
      <c r="K21" s="30"/>
      <c r="L21" s="60" t="str">
        <f t="shared" si="1"/>
        <v>12042511.4040.100</v>
      </c>
    </row>
    <row r="22" spans="1:12" x14ac:dyDescent="0.2">
      <c r="A22" s="30">
        <v>18703</v>
      </c>
      <c r="B22" s="30" t="s">
        <v>126</v>
      </c>
      <c r="C22" s="30">
        <v>12043011</v>
      </c>
      <c r="D22" s="30" t="s">
        <v>52</v>
      </c>
      <c r="E22" s="30">
        <v>1</v>
      </c>
      <c r="F22" s="30" t="s">
        <v>11</v>
      </c>
      <c r="G22" s="30">
        <v>4040.1</v>
      </c>
      <c r="H22" s="30">
        <v>480.52</v>
      </c>
      <c r="I22" s="30"/>
      <c r="J22" s="69" t="s">
        <v>12</v>
      </c>
      <c r="K22" s="30"/>
      <c r="L22" s="60" t="str">
        <f t="shared" si="1"/>
        <v>12043011.4040.100</v>
      </c>
    </row>
    <row r="23" spans="1:12" x14ac:dyDescent="0.2">
      <c r="A23" s="30">
        <v>18924</v>
      </c>
      <c r="B23" s="30" t="s">
        <v>121</v>
      </c>
      <c r="C23" s="30">
        <v>12043011</v>
      </c>
      <c r="D23" s="30" t="s">
        <v>52</v>
      </c>
      <c r="E23" s="30">
        <v>1</v>
      </c>
      <c r="F23" s="30" t="s">
        <v>11</v>
      </c>
      <c r="G23" s="30">
        <v>4040.1</v>
      </c>
      <c r="H23" s="30">
        <v>361.08</v>
      </c>
      <c r="I23" s="30"/>
      <c r="J23" s="69" t="s">
        <v>12</v>
      </c>
      <c r="K23" s="30"/>
      <c r="L23" s="60" t="str">
        <f t="shared" si="1"/>
        <v>12043011.4040.100</v>
      </c>
    </row>
    <row r="24" spans="1:12" x14ac:dyDescent="0.2">
      <c r="A24" s="30">
        <v>18927</v>
      </c>
      <c r="B24" s="30" t="s">
        <v>55</v>
      </c>
      <c r="C24" s="30">
        <v>12060611</v>
      </c>
      <c r="D24" s="30" t="s">
        <v>54</v>
      </c>
      <c r="E24" s="30">
        <v>1</v>
      </c>
      <c r="F24" s="30" t="s">
        <v>11</v>
      </c>
      <c r="G24" s="30">
        <v>4040.1</v>
      </c>
      <c r="H24" s="30">
        <v>103.18</v>
      </c>
      <c r="I24" s="30"/>
      <c r="J24" s="69" t="s">
        <v>12</v>
      </c>
      <c r="K24" s="30"/>
      <c r="L24" s="60" t="str">
        <f t="shared" si="1"/>
        <v>12060611.4040.100</v>
      </c>
    </row>
    <row r="25" spans="1:12" x14ac:dyDescent="0.2">
      <c r="A25" s="30">
        <v>18791</v>
      </c>
      <c r="B25" s="30" t="s">
        <v>132</v>
      </c>
      <c r="C25" s="30">
        <v>12060711</v>
      </c>
      <c r="D25" s="30" t="s">
        <v>133</v>
      </c>
      <c r="E25" s="30">
        <v>1</v>
      </c>
      <c r="F25" s="30" t="s">
        <v>11</v>
      </c>
      <c r="G25" s="30">
        <v>4040.1</v>
      </c>
      <c r="H25" s="30">
        <v>240.26</v>
      </c>
      <c r="I25" s="30"/>
      <c r="J25" s="69" t="s">
        <v>12</v>
      </c>
      <c r="K25" s="30"/>
      <c r="L25" s="60" t="str">
        <f t="shared" si="1"/>
        <v>12060711.4040.100</v>
      </c>
    </row>
    <row r="26" spans="1:12" x14ac:dyDescent="0.2">
      <c r="A26" s="30">
        <v>18953</v>
      </c>
      <c r="B26" s="30" t="s">
        <v>136</v>
      </c>
      <c r="C26" s="30">
        <v>12060800</v>
      </c>
      <c r="D26" s="30" t="s">
        <v>135</v>
      </c>
      <c r="E26" s="30">
        <v>1</v>
      </c>
      <c r="F26" s="30" t="s">
        <v>11</v>
      </c>
      <c r="G26" s="30">
        <v>4040.1</v>
      </c>
      <c r="H26" s="30">
        <v>541.62</v>
      </c>
      <c r="I26" s="30"/>
      <c r="J26" s="69" t="s">
        <v>12</v>
      </c>
      <c r="K26" s="30"/>
      <c r="L26" s="60" t="str">
        <f t="shared" si="1"/>
        <v>12060800.4040.100</v>
      </c>
    </row>
    <row r="27" spans="1:12" x14ac:dyDescent="0.2">
      <c r="A27" s="30">
        <v>18792</v>
      </c>
      <c r="B27" s="30" t="s">
        <v>56</v>
      </c>
      <c r="C27" s="30">
        <v>12062511</v>
      </c>
      <c r="D27" s="30" t="s">
        <v>57</v>
      </c>
      <c r="E27" s="30">
        <v>1</v>
      </c>
      <c r="F27" s="30" t="s">
        <v>11</v>
      </c>
      <c r="G27" s="30">
        <v>4040.1</v>
      </c>
      <c r="H27" s="30">
        <v>196.05</v>
      </c>
      <c r="I27" s="30"/>
      <c r="J27" s="69" t="s">
        <v>12</v>
      </c>
      <c r="K27" s="30"/>
      <c r="L27" s="60" t="str">
        <f t="shared" si="1"/>
        <v>12062511.4040.100</v>
      </c>
    </row>
    <row r="28" spans="1:12" x14ac:dyDescent="0.2">
      <c r="A28" s="30">
        <v>18726</v>
      </c>
      <c r="B28" s="30" t="s">
        <v>162</v>
      </c>
      <c r="C28" s="30">
        <v>112</v>
      </c>
      <c r="D28" s="30" t="s">
        <v>60</v>
      </c>
      <c r="E28" s="30">
        <v>2</v>
      </c>
      <c r="F28" s="30" t="s">
        <v>58</v>
      </c>
      <c r="G28" s="30">
        <v>2180.1999999999998</v>
      </c>
      <c r="H28" s="30">
        <v>1106.51</v>
      </c>
      <c r="I28" s="30"/>
      <c r="J28" s="69" t="s">
        <v>12</v>
      </c>
      <c r="K28" s="30"/>
      <c r="L28" s="60" t="str">
        <f t="shared" si="1"/>
        <v>112.2180.200</v>
      </c>
    </row>
    <row r="29" spans="1:12" x14ac:dyDescent="0.2">
      <c r="A29" s="30">
        <v>18927</v>
      </c>
      <c r="B29" s="30" t="s">
        <v>55</v>
      </c>
      <c r="C29" s="30">
        <v>112</v>
      </c>
      <c r="D29" s="30" t="s">
        <v>54</v>
      </c>
      <c r="E29" s="30">
        <v>2</v>
      </c>
      <c r="F29" s="30" t="s">
        <v>58</v>
      </c>
      <c r="G29" s="30">
        <v>2180.1999999999998</v>
      </c>
      <c r="H29" s="30">
        <v>659.77</v>
      </c>
      <c r="I29" s="30"/>
      <c r="J29" s="69" t="s">
        <v>12</v>
      </c>
      <c r="K29" s="30"/>
      <c r="L29" s="60" t="str">
        <f t="shared" si="1"/>
        <v>112.2180.200</v>
      </c>
    </row>
    <row r="30" spans="1:12" x14ac:dyDescent="0.2">
      <c r="A30" s="30">
        <v>18791</v>
      </c>
      <c r="B30" s="30" t="s">
        <v>132</v>
      </c>
      <c r="C30" s="30">
        <v>112</v>
      </c>
      <c r="D30" s="30" t="s">
        <v>133</v>
      </c>
      <c r="E30" s="30">
        <v>2</v>
      </c>
      <c r="F30" s="30" t="s">
        <v>58</v>
      </c>
      <c r="G30" s="30">
        <v>2180.1999999999998</v>
      </c>
      <c r="H30" s="30">
        <v>794.7</v>
      </c>
      <c r="I30" s="30"/>
      <c r="J30" s="69" t="s">
        <v>12</v>
      </c>
      <c r="K30" s="30"/>
      <c r="L30" s="60" t="str">
        <f t="shared" si="1"/>
        <v>112.2180.200</v>
      </c>
    </row>
    <row r="31" spans="1:12" x14ac:dyDescent="0.2">
      <c r="A31" s="30">
        <v>18726</v>
      </c>
      <c r="B31" s="30" t="s">
        <v>162</v>
      </c>
      <c r="C31" s="30">
        <v>112</v>
      </c>
      <c r="D31" s="30" t="s">
        <v>60</v>
      </c>
      <c r="E31" s="30">
        <v>3</v>
      </c>
      <c r="F31" s="30" t="s">
        <v>61</v>
      </c>
      <c r="G31" s="30">
        <v>2180.1</v>
      </c>
      <c r="H31" s="30">
        <v>5611.41</v>
      </c>
      <c r="I31" s="30"/>
      <c r="J31" s="69" t="s">
        <v>12</v>
      </c>
      <c r="K31" s="30"/>
      <c r="L31" s="60" t="str">
        <f t="shared" si="1"/>
        <v>112.2180.100</v>
      </c>
    </row>
    <row r="32" spans="1:12" x14ac:dyDescent="0.2">
      <c r="A32" s="30">
        <v>18927</v>
      </c>
      <c r="B32" s="30" t="s">
        <v>55</v>
      </c>
      <c r="C32" s="30">
        <v>112</v>
      </c>
      <c r="D32" s="30" t="s">
        <v>54</v>
      </c>
      <c r="E32" s="30">
        <v>3</v>
      </c>
      <c r="F32" s="30" t="s">
        <v>61</v>
      </c>
      <c r="G32" s="30">
        <v>2180.1</v>
      </c>
      <c r="H32" s="30">
        <v>841.01</v>
      </c>
      <c r="I32" s="30"/>
      <c r="J32" s="69" t="s">
        <v>12</v>
      </c>
      <c r="K32" s="30"/>
      <c r="L32" s="60" t="str">
        <f t="shared" si="1"/>
        <v>112.2180.100</v>
      </c>
    </row>
    <row r="33" spans="1:12" x14ac:dyDescent="0.2">
      <c r="A33" s="30">
        <v>18791</v>
      </c>
      <c r="B33" s="30" t="s">
        <v>132</v>
      </c>
      <c r="C33" s="30">
        <v>112</v>
      </c>
      <c r="D33" s="30" t="s">
        <v>133</v>
      </c>
      <c r="E33" s="30">
        <v>3</v>
      </c>
      <c r="F33" s="30" t="s">
        <v>61</v>
      </c>
      <c r="G33" s="30">
        <v>2180.1</v>
      </c>
      <c r="H33" s="30">
        <v>512.98</v>
      </c>
      <c r="I33" s="30"/>
      <c r="J33" s="69" t="s">
        <v>12</v>
      </c>
      <c r="K33" s="30"/>
      <c r="L33" s="60" t="str">
        <f t="shared" si="1"/>
        <v>112.2180.100</v>
      </c>
    </row>
    <row r="34" spans="1:12" x14ac:dyDescent="0.2">
      <c r="A34" s="30">
        <v>19041</v>
      </c>
      <c r="B34" s="30" t="s">
        <v>478</v>
      </c>
      <c r="C34" s="30">
        <v>12023011</v>
      </c>
      <c r="D34" s="30" t="s">
        <v>93</v>
      </c>
      <c r="E34" s="30">
        <v>10</v>
      </c>
      <c r="F34" s="30" t="s">
        <v>64</v>
      </c>
      <c r="G34" s="30">
        <v>4010.2</v>
      </c>
      <c r="H34" s="30">
        <v>1630.54</v>
      </c>
      <c r="I34" s="30"/>
      <c r="J34" s="69" t="s">
        <v>12</v>
      </c>
      <c r="K34" s="30"/>
      <c r="L34" s="60" t="str">
        <f t="shared" si="1"/>
        <v>12023011.4010.200</v>
      </c>
    </row>
    <row r="35" spans="1:12" x14ac:dyDescent="0.2">
      <c r="A35" s="30">
        <v>19030</v>
      </c>
      <c r="B35" s="30" t="s">
        <v>364</v>
      </c>
      <c r="C35" s="30">
        <v>12033011</v>
      </c>
      <c r="D35" s="30" t="s">
        <v>45</v>
      </c>
      <c r="E35" s="30">
        <v>10</v>
      </c>
      <c r="F35" s="30" t="s">
        <v>64</v>
      </c>
      <c r="G35" s="30">
        <v>4010.2</v>
      </c>
      <c r="H35" s="30">
        <v>1696.12</v>
      </c>
      <c r="I35" s="30"/>
      <c r="J35" s="69" t="s">
        <v>12</v>
      </c>
      <c r="K35" s="30"/>
      <c r="L35" s="60" t="str">
        <f t="shared" si="1"/>
        <v>12033011.4010.200</v>
      </c>
    </row>
    <row r="36" spans="1:12" x14ac:dyDescent="0.2">
      <c r="A36" s="30">
        <v>18917</v>
      </c>
      <c r="B36" s="30" t="s">
        <v>68</v>
      </c>
      <c r="C36" s="30">
        <v>12043011</v>
      </c>
      <c r="D36" s="30" t="s">
        <v>52</v>
      </c>
      <c r="E36" s="30">
        <v>10</v>
      </c>
      <c r="F36" s="30" t="s">
        <v>64</v>
      </c>
      <c r="G36" s="30">
        <v>4010.2</v>
      </c>
      <c r="H36" s="30">
        <v>380.08</v>
      </c>
      <c r="I36" s="30"/>
      <c r="J36" s="69" t="s">
        <v>12</v>
      </c>
      <c r="K36" s="30"/>
      <c r="L36" s="60" t="str">
        <f t="shared" si="1"/>
        <v>12043011.4010.200</v>
      </c>
    </row>
    <row r="37" spans="1:12" x14ac:dyDescent="0.2">
      <c r="A37" s="30">
        <v>19023</v>
      </c>
      <c r="B37" s="30" t="s">
        <v>69</v>
      </c>
      <c r="C37" s="30">
        <v>12043011</v>
      </c>
      <c r="D37" s="30" t="s">
        <v>52</v>
      </c>
      <c r="E37" s="30">
        <v>10</v>
      </c>
      <c r="F37" s="30" t="s">
        <v>64</v>
      </c>
      <c r="G37" s="30">
        <v>4010.2</v>
      </c>
      <c r="H37" s="30">
        <v>756.89</v>
      </c>
      <c r="I37" s="30"/>
      <c r="J37" s="69" t="s">
        <v>12</v>
      </c>
      <c r="K37" s="30"/>
      <c r="L37" s="60" t="str">
        <f t="shared" si="1"/>
        <v>12043011.4010.200</v>
      </c>
    </row>
    <row r="38" spans="1:12" x14ac:dyDescent="0.2">
      <c r="A38" s="30">
        <v>18736</v>
      </c>
      <c r="B38" s="30" t="s">
        <v>70</v>
      </c>
      <c r="C38" s="30">
        <v>12013012</v>
      </c>
      <c r="D38" s="30" t="s">
        <v>71</v>
      </c>
      <c r="E38" s="30">
        <v>12</v>
      </c>
      <c r="F38" s="30" t="s">
        <v>72</v>
      </c>
      <c r="G38" s="30">
        <v>4010.3</v>
      </c>
      <c r="H38" s="30">
        <v>247.8</v>
      </c>
      <c r="I38" s="30"/>
      <c r="J38" s="69" t="s">
        <v>12</v>
      </c>
      <c r="K38" s="30"/>
      <c r="L38" s="60" t="str">
        <f t="shared" si="1"/>
        <v>12013012.4010.300</v>
      </c>
    </row>
    <row r="39" spans="1:12" x14ac:dyDescent="0.2">
      <c r="A39" s="30">
        <v>18866</v>
      </c>
      <c r="B39" s="30" t="s">
        <v>76</v>
      </c>
      <c r="C39" s="30">
        <v>12020611</v>
      </c>
      <c r="D39" s="30" t="s">
        <v>23</v>
      </c>
      <c r="E39" s="30">
        <v>12</v>
      </c>
      <c r="F39" s="30" t="s">
        <v>72</v>
      </c>
      <c r="G39" s="30">
        <v>4010.3</v>
      </c>
      <c r="H39" s="30">
        <v>368.42</v>
      </c>
      <c r="I39" s="30"/>
      <c r="J39" s="69" t="s">
        <v>12</v>
      </c>
      <c r="K39" s="30"/>
      <c r="L39" s="60" t="str">
        <f t="shared" si="1"/>
        <v>12020611.4010.300</v>
      </c>
    </row>
    <row r="40" spans="1:12" x14ac:dyDescent="0.2">
      <c r="A40" s="30">
        <v>18589</v>
      </c>
      <c r="B40" s="30" t="s">
        <v>75</v>
      </c>
      <c r="C40" s="30">
        <v>12020611</v>
      </c>
      <c r="D40" s="30" t="s">
        <v>23</v>
      </c>
      <c r="E40" s="30">
        <v>12</v>
      </c>
      <c r="F40" s="30" t="s">
        <v>72</v>
      </c>
      <c r="G40" s="30">
        <v>4010.3</v>
      </c>
      <c r="H40" s="30">
        <v>336.49</v>
      </c>
      <c r="I40" s="30"/>
      <c r="J40" s="69" t="s">
        <v>12</v>
      </c>
      <c r="K40" s="30"/>
      <c r="L40" s="60" t="str">
        <f t="shared" si="1"/>
        <v>12020611.4010.300</v>
      </c>
    </row>
    <row r="41" spans="1:12" x14ac:dyDescent="0.2">
      <c r="A41" s="30">
        <v>18957</v>
      </c>
      <c r="B41" s="30" t="s">
        <v>74</v>
      </c>
      <c r="C41" s="30">
        <v>12020611</v>
      </c>
      <c r="D41" s="30" t="s">
        <v>23</v>
      </c>
      <c r="E41" s="30">
        <v>12</v>
      </c>
      <c r="F41" s="30" t="s">
        <v>72</v>
      </c>
      <c r="G41" s="30">
        <v>4010.3</v>
      </c>
      <c r="H41" s="30">
        <v>101.29</v>
      </c>
      <c r="I41" s="30"/>
      <c r="J41" s="69" t="s">
        <v>12</v>
      </c>
      <c r="K41" s="30"/>
      <c r="L41" s="60" t="str">
        <f t="shared" si="1"/>
        <v>12020611.4010.300</v>
      </c>
    </row>
    <row r="42" spans="1:12" x14ac:dyDescent="0.2">
      <c r="A42" s="30">
        <v>18903</v>
      </c>
      <c r="B42" s="30" t="s">
        <v>73</v>
      </c>
      <c r="C42" s="30">
        <v>12020611</v>
      </c>
      <c r="D42" s="30" t="s">
        <v>23</v>
      </c>
      <c r="E42" s="30">
        <v>12</v>
      </c>
      <c r="F42" s="30" t="s">
        <v>72</v>
      </c>
      <c r="G42" s="30">
        <v>4010.3</v>
      </c>
      <c r="H42" s="30">
        <v>39.86</v>
      </c>
      <c r="I42" s="30"/>
      <c r="J42" s="69" t="s">
        <v>12</v>
      </c>
      <c r="K42" s="30"/>
      <c r="L42" s="60" t="str">
        <f t="shared" si="1"/>
        <v>12020611.4010.300</v>
      </c>
    </row>
    <row r="43" spans="1:12" x14ac:dyDescent="0.2">
      <c r="A43" s="30">
        <v>18631</v>
      </c>
      <c r="B43" s="30" t="s">
        <v>80</v>
      </c>
      <c r="C43" s="30">
        <v>12020711</v>
      </c>
      <c r="D43" s="30" t="s">
        <v>25</v>
      </c>
      <c r="E43" s="30">
        <v>12</v>
      </c>
      <c r="F43" s="30" t="s">
        <v>72</v>
      </c>
      <c r="G43" s="30">
        <v>4010.3</v>
      </c>
      <c r="H43" s="30">
        <v>39.86</v>
      </c>
      <c r="I43" s="30"/>
      <c r="J43" s="69" t="s">
        <v>12</v>
      </c>
      <c r="K43" s="30"/>
      <c r="L43" s="60" t="str">
        <f t="shared" si="1"/>
        <v>12020711.4010.300</v>
      </c>
    </row>
    <row r="44" spans="1:12" x14ac:dyDescent="0.2">
      <c r="A44" s="30">
        <v>18</v>
      </c>
      <c r="B44" s="30" t="s">
        <v>24</v>
      </c>
      <c r="C44" s="30">
        <v>12020711</v>
      </c>
      <c r="D44" s="30" t="s">
        <v>25</v>
      </c>
      <c r="E44" s="30">
        <v>12</v>
      </c>
      <c r="F44" s="30" t="s">
        <v>72</v>
      </c>
      <c r="G44" s="30">
        <v>4010.3</v>
      </c>
      <c r="H44" s="30">
        <v>24.43</v>
      </c>
      <c r="I44" s="30"/>
      <c r="J44" s="69" t="s">
        <v>12</v>
      </c>
      <c r="K44" s="30"/>
      <c r="L44" s="60" t="str">
        <f t="shared" si="1"/>
        <v>12020711.4010.300</v>
      </c>
    </row>
    <row r="45" spans="1:12" x14ac:dyDescent="0.2">
      <c r="A45" s="30">
        <v>18879</v>
      </c>
      <c r="B45" s="30" t="s">
        <v>79</v>
      </c>
      <c r="C45" s="30">
        <v>12020711</v>
      </c>
      <c r="D45" s="30" t="s">
        <v>25</v>
      </c>
      <c r="E45" s="30">
        <v>12</v>
      </c>
      <c r="F45" s="30" t="s">
        <v>72</v>
      </c>
      <c r="G45" s="30">
        <v>4010.3</v>
      </c>
      <c r="H45" s="30">
        <v>292.86</v>
      </c>
      <c r="I45" s="30"/>
      <c r="J45" s="69" t="s">
        <v>12</v>
      </c>
      <c r="K45" s="30"/>
      <c r="L45" s="60" t="str">
        <f t="shared" si="1"/>
        <v>12020711.4010.300</v>
      </c>
    </row>
    <row r="46" spans="1:12" x14ac:dyDescent="0.2">
      <c r="A46" s="30">
        <v>18630</v>
      </c>
      <c r="B46" s="30" t="s">
        <v>204</v>
      </c>
      <c r="C46" s="30">
        <v>12020800</v>
      </c>
      <c r="D46" s="30" t="s">
        <v>27</v>
      </c>
      <c r="E46" s="30">
        <v>12</v>
      </c>
      <c r="F46" s="30" t="s">
        <v>72</v>
      </c>
      <c r="G46" s="30">
        <v>4010.3</v>
      </c>
      <c r="H46" s="30">
        <v>175.56</v>
      </c>
      <c r="I46" s="30"/>
      <c r="J46" s="69" t="s">
        <v>12</v>
      </c>
      <c r="K46" s="30"/>
      <c r="L46" s="60" t="str">
        <f t="shared" si="1"/>
        <v>12020800.4010.300</v>
      </c>
    </row>
    <row r="47" spans="1:12" x14ac:dyDescent="0.2">
      <c r="A47" s="30">
        <v>19013</v>
      </c>
      <c r="B47" s="30" t="s">
        <v>81</v>
      </c>
      <c r="C47" s="30">
        <v>12020800</v>
      </c>
      <c r="D47" s="30" t="s">
        <v>27</v>
      </c>
      <c r="E47" s="30">
        <v>12</v>
      </c>
      <c r="F47" s="30" t="s">
        <v>72</v>
      </c>
      <c r="G47" s="30">
        <v>4010.3</v>
      </c>
      <c r="H47" s="30">
        <v>645.44000000000005</v>
      </c>
      <c r="I47" s="30"/>
      <c r="J47" s="69" t="s">
        <v>12</v>
      </c>
      <c r="K47" s="30"/>
      <c r="L47" s="60" t="str">
        <f t="shared" si="1"/>
        <v>12020800.4010.300</v>
      </c>
    </row>
    <row r="48" spans="1:12" x14ac:dyDescent="0.2">
      <c r="A48" s="30">
        <v>19033</v>
      </c>
      <c r="B48" s="30" t="s">
        <v>389</v>
      </c>
      <c r="C48" s="30">
        <v>12021021</v>
      </c>
      <c r="D48" s="30" t="s">
        <v>29</v>
      </c>
      <c r="E48" s="30">
        <v>12</v>
      </c>
      <c r="F48" s="30" t="s">
        <v>72</v>
      </c>
      <c r="G48" s="30">
        <v>4010.3</v>
      </c>
      <c r="H48" s="30">
        <v>136</v>
      </c>
      <c r="I48" s="30"/>
      <c r="J48" s="69" t="s">
        <v>12</v>
      </c>
      <c r="K48" s="30"/>
      <c r="L48" s="60" t="str">
        <f t="shared" si="1"/>
        <v>12021021.4010.300</v>
      </c>
    </row>
    <row r="49" spans="1:12" x14ac:dyDescent="0.2">
      <c r="A49" s="30">
        <v>18687</v>
      </c>
      <c r="B49" s="30" t="s">
        <v>83</v>
      </c>
      <c r="C49" s="30">
        <v>12021021</v>
      </c>
      <c r="D49" s="30" t="s">
        <v>29</v>
      </c>
      <c r="E49" s="30">
        <v>12</v>
      </c>
      <c r="F49" s="30" t="s">
        <v>72</v>
      </c>
      <c r="G49" s="30">
        <v>4010.3</v>
      </c>
      <c r="H49" s="30">
        <v>241</v>
      </c>
      <c r="I49" s="30"/>
      <c r="J49" s="69" t="s">
        <v>12</v>
      </c>
      <c r="K49" s="30"/>
      <c r="L49" s="60" t="str">
        <f t="shared" si="1"/>
        <v>12021021.4010.300</v>
      </c>
    </row>
    <row r="50" spans="1:12" x14ac:dyDescent="0.2">
      <c r="A50" s="30">
        <v>18894</v>
      </c>
      <c r="B50" s="30" t="s">
        <v>89</v>
      </c>
      <c r="C50" s="30">
        <v>12021021</v>
      </c>
      <c r="D50" s="30" t="s">
        <v>29</v>
      </c>
      <c r="E50" s="30">
        <v>12</v>
      </c>
      <c r="F50" s="30" t="s">
        <v>72</v>
      </c>
      <c r="G50" s="30">
        <v>4010.3</v>
      </c>
      <c r="H50" s="30">
        <v>14.62</v>
      </c>
      <c r="I50" s="30"/>
      <c r="J50" s="69" t="s">
        <v>12</v>
      </c>
      <c r="K50" s="30"/>
      <c r="L50" s="60" t="str">
        <f t="shared" si="1"/>
        <v>12021021.4010.300</v>
      </c>
    </row>
    <row r="51" spans="1:12" x14ac:dyDescent="0.2">
      <c r="A51" s="30">
        <v>18967</v>
      </c>
      <c r="B51" s="30" t="s">
        <v>85</v>
      </c>
      <c r="C51" s="30">
        <v>12021021</v>
      </c>
      <c r="D51" s="30" t="s">
        <v>29</v>
      </c>
      <c r="E51" s="30">
        <v>12</v>
      </c>
      <c r="F51" s="30" t="s">
        <v>72</v>
      </c>
      <c r="G51" s="30">
        <v>4010.3</v>
      </c>
      <c r="H51" s="30">
        <v>306.41000000000003</v>
      </c>
      <c r="I51" s="30"/>
      <c r="J51" s="69" t="s">
        <v>12</v>
      </c>
      <c r="K51" s="30"/>
      <c r="L51" s="60" t="str">
        <f t="shared" si="1"/>
        <v>12021021.4010.300</v>
      </c>
    </row>
    <row r="52" spans="1:12" x14ac:dyDescent="0.2">
      <c r="A52" s="30">
        <v>18733</v>
      </c>
      <c r="B52" s="30" t="s">
        <v>86</v>
      </c>
      <c r="C52" s="30">
        <v>12021021</v>
      </c>
      <c r="D52" s="30" t="s">
        <v>29</v>
      </c>
      <c r="E52" s="30">
        <v>12</v>
      </c>
      <c r="F52" s="30" t="s">
        <v>72</v>
      </c>
      <c r="G52" s="30">
        <v>4010.3</v>
      </c>
      <c r="H52" s="30">
        <v>134.6</v>
      </c>
      <c r="I52" s="30"/>
      <c r="J52" s="69" t="s">
        <v>12</v>
      </c>
      <c r="K52" s="30"/>
      <c r="L52" s="60" t="str">
        <f t="shared" si="1"/>
        <v>12021021.4010.300</v>
      </c>
    </row>
    <row r="53" spans="1:12" x14ac:dyDescent="0.2">
      <c r="A53" s="30">
        <v>18659</v>
      </c>
      <c r="B53" s="30" t="s">
        <v>88</v>
      </c>
      <c r="C53" s="30">
        <v>12021021</v>
      </c>
      <c r="D53" s="30" t="s">
        <v>29</v>
      </c>
      <c r="E53" s="30">
        <v>12</v>
      </c>
      <c r="F53" s="30" t="s">
        <v>72</v>
      </c>
      <c r="G53" s="30">
        <v>4010.3</v>
      </c>
      <c r="H53" s="30">
        <v>32.64</v>
      </c>
      <c r="I53" s="30"/>
      <c r="J53" s="69" t="s">
        <v>12</v>
      </c>
      <c r="K53" s="30"/>
      <c r="L53" s="60" t="str">
        <f t="shared" si="1"/>
        <v>12021021.4010.300</v>
      </c>
    </row>
    <row r="54" spans="1:12" x14ac:dyDescent="0.2">
      <c r="A54" s="30">
        <v>18911</v>
      </c>
      <c r="B54" s="30" t="s">
        <v>28</v>
      </c>
      <c r="C54" s="30">
        <v>12021021</v>
      </c>
      <c r="D54" s="30" t="s">
        <v>29</v>
      </c>
      <c r="E54" s="30">
        <v>12</v>
      </c>
      <c r="F54" s="30" t="s">
        <v>72</v>
      </c>
      <c r="G54" s="30">
        <v>4010.3</v>
      </c>
      <c r="H54" s="30">
        <v>289.62</v>
      </c>
      <c r="I54" s="30"/>
      <c r="J54" s="69" t="s">
        <v>12</v>
      </c>
      <c r="K54" s="30"/>
      <c r="L54" s="60" t="str">
        <f t="shared" si="1"/>
        <v>12021021.4010.300</v>
      </c>
    </row>
    <row r="55" spans="1:12" x14ac:dyDescent="0.2">
      <c r="A55" s="30">
        <v>18960</v>
      </c>
      <c r="B55" s="30" t="s">
        <v>84</v>
      </c>
      <c r="C55" s="30">
        <v>12021021</v>
      </c>
      <c r="D55" s="30" t="s">
        <v>29</v>
      </c>
      <c r="E55" s="30">
        <v>12</v>
      </c>
      <c r="F55" s="30" t="s">
        <v>72</v>
      </c>
      <c r="G55" s="30">
        <v>4010.3</v>
      </c>
      <c r="H55" s="30">
        <v>79.58</v>
      </c>
      <c r="I55" s="30"/>
      <c r="J55" s="69" t="s">
        <v>12</v>
      </c>
      <c r="K55" s="30"/>
      <c r="L55" s="60" t="str">
        <f t="shared" si="1"/>
        <v>12021021.4010.300</v>
      </c>
    </row>
    <row r="56" spans="1:12" x14ac:dyDescent="0.2">
      <c r="A56" s="30">
        <v>18781</v>
      </c>
      <c r="B56" s="30" t="s">
        <v>82</v>
      </c>
      <c r="C56" s="30">
        <v>12021021</v>
      </c>
      <c r="D56" s="30" t="s">
        <v>29</v>
      </c>
      <c r="E56" s="30">
        <v>12</v>
      </c>
      <c r="F56" s="30" t="s">
        <v>72</v>
      </c>
      <c r="G56" s="30">
        <v>4010.3</v>
      </c>
      <c r="H56" s="30">
        <v>184.01</v>
      </c>
      <c r="I56" s="30"/>
      <c r="J56" s="69" t="s">
        <v>12</v>
      </c>
      <c r="K56" s="30"/>
      <c r="L56" s="60" t="str">
        <f t="shared" si="1"/>
        <v>12021021.4010.300</v>
      </c>
    </row>
    <row r="57" spans="1:12" x14ac:dyDescent="0.2">
      <c r="A57" s="30">
        <v>18961</v>
      </c>
      <c r="B57" s="30" t="s">
        <v>90</v>
      </c>
      <c r="C57" s="30">
        <v>12022511</v>
      </c>
      <c r="D57" s="30" t="s">
        <v>32</v>
      </c>
      <c r="E57" s="30">
        <v>12</v>
      </c>
      <c r="F57" s="30" t="s">
        <v>72</v>
      </c>
      <c r="G57" s="30">
        <v>4010.3</v>
      </c>
      <c r="H57" s="30">
        <v>58.04</v>
      </c>
      <c r="I57" s="30"/>
      <c r="J57" s="69" t="s">
        <v>12</v>
      </c>
      <c r="K57" s="30"/>
      <c r="L57" s="60" t="str">
        <f t="shared" si="1"/>
        <v>12022511.4010.300</v>
      </c>
    </row>
    <row r="58" spans="1:12" x14ac:dyDescent="0.2">
      <c r="A58" s="30">
        <v>141</v>
      </c>
      <c r="B58" s="30" t="s">
        <v>185</v>
      </c>
      <c r="C58" s="30">
        <v>12022511</v>
      </c>
      <c r="D58" s="30" t="s">
        <v>32</v>
      </c>
      <c r="E58" s="30">
        <v>12</v>
      </c>
      <c r="F58" s="30" t="s">
        <v>72</v>
      </c>
      <c r="G58" s="30">
        <v>4010.3</v>
      </c>
      <c r="H58" s="30">
        <v>89.08</v>
      </c>
      <c r="I58" s="30"/>
      <c r="J58" s="69" t="s">
        <v>12</v>
      </c>
      <c r="K58" s="30"/>
      <c r="L58" s="60" t="str">
        <f t="shared" si="1"/>
        <v>12022511.4010.300</v>
      </c>
    </row>
    <row r="59" spans="1:12" x14ac:dyDescent="0.2">
      <c r="A59" s="30">
        <v>19007</v>
      </c>
      <c r="B59" s="30" t="s">
        <v>189</v>
      </c>
      <c r="C59" s="30">
        <v>12023011</v>
      </c>
      <c r="D59" s="30" t="s">
        <v>93</v>
      </c>
      <c r="E59" s="30">
        <v>12</v>
      </c>
      <c r="F59" s="30" t="s">
        <v>72</v>
      </c>
      <c r="G59" s="30">
        <v>4010.3</v>
      </c>
      <c r="H59" s="30">
        <v>58.04</v>
      </c>
      <c r="I59" s="30"/>
      <c r="J59" s="69" t="s">
        <v>12</v>
      </c>
      <c r="K59" s="30"/>
      <c r="L59" s="60" t="str">
        <f t="shared" si="1"/>
        <v>12023011.4010.300</v>
      </c>
    </row>
    <row r="60" spans="1:12" x14ac:dyDescent="0.2">
      <c r="A60" s="30">
        <v>18974</v>
      </c>
      <c r="B60" s="30" t="s">
        <v>94</v>
      </c>
      <c r="C60" s="30">
        <v>12023011</v>
      </c>
      <c r="D60" s="30" t="s">
        <v>93</v>
      </c>
      <c r="E60" s="30">
        <v>12</v>
      </c>
      <c r="F60" s="30" t="s">
        <v>72</v>
      </c>
      <c r="G60" s="30">
        <v>4010.3</v>
      </c>
      <c r="H60" s="30">
        <v>204.82</v>
      </c>
      <c r="I60" s="30"/>
      <c r="J60" s="69" t="s">
        <v>12</v>
      </c>
      <c r="K60" s="30"/>
      <c r="L60" s="60" t="str">
        <f t="shared" si="1"/>
        <v>12023011.4010.300</v>
      </c>
    </row>
    <row r="61" spans="1:12" x14ac:dyDescent="0.2">
      <c r="A61" s="30">
        <v>18999</v>
      </c>
      <c r="B61" s="30" t="s">
        <v>92</v>
      </c>
      <c r="C61" s="30">
        <v>12023011</v>
      </c>
      <c r="D61" s="30" t="s">
        <v>93</v>
      </c>
      <c r="E61" s="30">
        <v>12</v>
      </c>
      <c r="F61" s="30" t="s">
        <v>72</v>
      </c>
      <c r="G61" s="30">
        <v>4010.3</v>
      </c>
      <c r="H61" s="30">
        <v>159.44</v>
      </c>
      <c r="I61" s="30"/>
      <c r="J61" s="69" t="s">
        <v>12</v>
      </c>
      <c r="K61" s="30"/>
      <c r="L61" s="60" t="str">
        <f t="shared" si="1"/>
        <v>12023011.4010.300</v>
      </c>
    </row>
    <row r="62" spans="1:12" x14ac:dyDescent="0.2">
      <c r="A62" s="30">
        <v>19026</v>
      </c>
      <c r="B62" s="30" t="s">
        <v>187</v>
      </c>
      <c r="C62" s="30">
        <v>12023011</v>
      </c>
      <c r="D62" s="30" t="s">
        <v>93</v>
      </c>
      <c r="E62" s="30">
        <v>12</v>
      </c>
      <c r="F62" s="30" t="s">
        <v>72</v>
      </c>
      <c r="G62" s="30">
        <v>4010.3</v>
      </c>
      <c r="H62" s="30">
        <v>58.04</v>
      </c>
      <c r="I62" s="30"/>
      <c r="J62" s="69" t="s">
        <v>12</v>
      </c>
      <c r="K62" s="30"/>
      <c r="L62" s="60" t="str">
        <f t="shared" si="1"/>
        <v>12023011.4010.300</v>
      </c>
    </row>
    <row r="63" spans="1:12" x14ac:dyDescent="0.2">
      <c r="A63" s="30">
        <v>19006</v>
      </c>
      <c r="B63" s="30" t="s">
        <v>95</v>
      </c>
      <c r="C63" s="30">
        <v>12023011</v>
      </c>
      <c r="D63" s="30" t="s">
        <v>93</v>
      </c>
      <c r="E63" s="30">
        <v>12</v>
      </c>
      <c r="F63" s="30" t="s">
        <v>72</v>
      </c>
      <c r="G63" s="30">
        <v>4010.3</v>
      </c>
      <c r="H63" s="30">
        <v>174.12</v>
      </c>
      <c r="I63" s="30"/>
      <c r="J63" s="69" t="s">
        <v>12</v>
      </c>
      <c r="K63" s="30"/>
      <c r="L63" s="60" t="str">
        <f t="shared" si="1"/>
        <v>12023011.4010.300</v>
      </c>
    </row>
    <row r="64" spans="1:12" x14ac:dyDescent="0.2">
      <c r="A64" s="30">
        <v>19027</v>
      </c>
      <c r="B64" s="30" t="s">
        <v>365</v>
      </c>
      <c r="C64" s="30">
        <v>12023021</v>
      </c>
      <c r="D64" s="30" t="s">
        <v>98</v>
      </c>
      <c r="E64" s="30">
        <v>12</v>
      </c>
      <c r="F64" s="30" t="s">
        <v>72</v>
      </c>
      <c r="G64" s="30">
        <v>4010.3</v>
      </c>
      <c r="H64" s="30">
        <v>25.15</v>
      </c>
      <c r="I64" s="30"/>
      <c r="J64" s="69" t="s">
        <v>12</v>
      </c>
      <c r="K64" s="30"/>
      <c r="L64" s="60" t="str">
        <f t="shared" si="1"/>
        <v>12023021.4010.300</v>
      </c>
    </row>
    <row r="65" spans="1:12" x14ac:dyDescent="0.2">
      <c r="A65" s="30">
        <v>18980</v>
      </c>
      <c r="B65" s="30" t="s">
        <v>97</v>
      </c>
      <c r="C65" s="30">
        <v>12023021</v>
      </c>
      <c r="D65" s="30" t="s">
        <v>98</v>
      </c>
      <c r="E65" s="30">
        <v>12</v>
      </c>
      <c r="F65" s="30" t="s">
        <v>72</v>
      </c>
      <c r="G65" s="30">
        <v>4010.3</v>
      </c>
      <c r="H65" s="30">
        <v>136.07</v>
      </c>
      <c r="I65" s="30"/>
      <c r="J65" s="69" t="s">
        <v>12</v>
      </c>
      <c r="K65" s="30"/>
      <c r="L65" s="60" t="str">
        <f t="shared" si="1"/>
        <v>12023021.4010.300</v>
      </c>
    </row>
    <row r="66" spans="1:12" x14ac:dyDescent="0.2">
      <c r="A66" s="30">
        <v>19021</v>
      </c>
      <c r="B66" s="30" t="s">
        <v>99</v>
      </c>
      <c r="C66" s="30">
        <v>12023021</v>
      </c>
      <c r="D66" s="30" t="s">
        <v>98</v>
      </c>
      <c r="E66" s="30">
        <v>12</v>
      </c>
      <c r="F66" s="30" t="s">
        <v>72</v>
      </c>
      <c r="G66" s="30">
        <v>4010.3</v>
      </c>
      <c r="H66" s="30">
        <v>82.54</v>
      </c>
      <c r="I66" s="30"/>
      <c r="J66" s="69" t="s">
        <v>12</v>
      </c>
      <c r="K66" s="30"/>
      <c r="L66" s="60" t="str">
        <f t="shared" ref="L66:L129" si="2">C66&amp;"."&amp;G66&amp;J66</f>
        <v>12023021.4010.300</v>
      </c>
    </row>
    <row r="67" spans="1:12" x14ac:dyDescent="0.2">
      <c r="A67" s="30">
        <v>18887</v>
      </c>
      <c r="B67" s="30" t="s">
        <v>105</v>
      </c>
      <c r="C67" s="30">
        <v>12030611</v>
      </c>
      <c r="D67" s="30" t="s">
        <v>36</v>
      </c>
      <c r="E67" s="30">
        <v>12</v>
      </c>
      <c r="F67" s="30" t="s">
        <v>72</v>
      </c>
      <c r="G67" s="30">
        <v>4010.3</v>
      </c>
      <c r="H67" s="30">
        <v>556.66999999999996</v>
      </c>
      <c r="I67" s="30"/>
      <c r="J67" s="69" t="s">
        <v>12</v>
      </c>
      <c r="K67" s="30"/>
      <c r="L67" s="60" t="str">
        <f t="shared" si="2"/>
        <v>12030611.4010.300</v>
      </c>
    </row>
    <row r="68" spans="1:12" x14ac:dyDescent="0.2">
      <c r="A68" s="30">
        <v>18827</v>
      </c>
      <c r="B68" s="30" t="s">
        <v>104</v>
      </c>
      <c r="C68" s="30">
        <v>12030611</v>
      </c>
      <c r="D68" s="30" t="s">
        <v>36</v>
      </c>
      <c r="E68" s="30">
        <v>12</v>
      </c>
      <c r="F68" s="30" t="s">
        <v>72</v>
      </c>
      <c r="G68" s="30">
        <v>4010.3</v>
      </c>
      <c r="H68" s="30">
        <v>262.47000000000003</v>
      </c>
      <c r="I68" s="30"/>
      <c r="J68" s="69" t="s">
        <v>12</v>
      </c>
      <c r="K68" s="30"/>
      <c r="L68" s="60" t="str">
        <f t="shared" si="2"/>
        <v>12030611.4010.300</v>
      </c>
    </row>
    <row r="69" spans="1:12" x14ac:dyDescent="0.2">
      <c r="A69" s="30">
        <v>18918</v>
      </c>
      <c r="B69" s="30" t="s">
        <v>38</v>
      </c>
      <c r="C69" s="30">
        <v>12030611</v>
      </c>
      <c r="D69" s="30" t="s">
        <v>36</v>
      </c>
      <c r="E69" s="30">
        <v>12</v>
      </c>
      <c r="F69" s="30" t="s">
        <v>72</v>
      </c>
      <c r="G69" s="30">
        <v>4010.3</v>
      </c>
      <c r="H69" s="30">
        <v>1415.1</v>
      </c>
      <c r="I69" s="30"/>
      <c r="J69" s="69" t="s">
        <v>12</v>
      </c>
      <c r="K69" s="30"/>
      <c r="L69" s="60" t="str">
        <f t="shared" si="2"/>
        <v>12030611.4010.300</v>
      </c>
    </row>
    <row r="70" spans="1:12" x14ac:dyDescent="0.2">
      <c r="A70" s="30">
        <v>18949</v>
      </c>
      <c r="B70" s="30" t="s">
        <v>35</v>
      </c>
      <c r="C70" s="30">
        <v>12030611</v>
      </c>
      <c r="D70" s="30" t="s">
        <v>36</v>
      </c>
      <c r="E70" s="30">
        <v>12</v>
      </c>
      <c r="F70" s="30" t="s">
        <v>72</v>
      </c>
      <c r="G70" s="30">
        <v>4010.3</v>
      </c>
      <c r="H70" s="30">
        <v>667.92</v>
      </c>
      <c r="I70" s="30"/>
      <c r="J70" s="69" t="s">
        <v>12</v>
      </c>
      <c r="K70" s="30"/>
      <c r="L70" s="60" t="str">
        <f t="shared" si="2"/>
        <v>12030611.4010.300</v>
      </c>
    </row>
    <row r="71" spans="1:12" x14ac:dyDescent="0.2">
      <c r="A71" s="30">
        <v>134</v>
      </c>
      <c r="B71" s="30" t="s">
        <v>102</v>
      </c>
      <c r="C71" s="30">
        <v>12030611</v>
      </c>
      <c r="D71" s="30" t="s">
        <v>36</v>
      </c>
      <c r="E71" s="30">
        <v>12</v>
      </c>
      <c r="F71" s="30" t="s">
        <v>72</v>
      </c>
      <c r="G71" s="30">
        <v>4010.3</v>
      </c>
      <c r="H71" s="30">
        <v>109.27</v>
      </c>
      <c r="I71" s="30"/>
      <c r="J71" s="69" t="s">
        <v>12</v>
      </c>
      <c r="K71" s="30"/>
      <c r="L71" s="60" t="str">
        <f t="shared" si="2"/>
        <v>12030611.4010.300</v>
      </c>
    </row>
    <row r="72" spans="1:12" x14ac:dyDescent="0.2">
      <c r="A72" s="30">
        <v>18822</v>
      </c>
      <c r="B72" s="30" t="s">
        <v>103</v>
      </c>
      <c r="C72" s="30">
        <v>12030611</v>
      </c>
      <c r="D72" s="30" t="s">
        <v>36</v>
      </c>
      <c r="E72" s="30">
        <v>12</v>
      </c>
      <c r="F72" s="30" t="s">
        <v>72</v>
      </c>
      <c r="G72" s="30">
        <v>4010.3</v>
      </c>
      <c r="H72" s="30">
        <v>88.99</v>
      </c>
      <c r="I72" s="30"/>
      <c r="J72" s="69" t="s">
        <v>12</v>
      </c>
      <c r="K72" s="30"/>
      <c r="L72" s="60" t="str">
        <f t="shared" si="2"/>
        <v>12030611.4010.300</v>
      </c>
    </row>
    <row r="73" spans="1:12" x14ac:dyDescent="0.2">
      <c r="A73" s="30">
        <v>18797</v>
      </c>
      <c r="B73" s="30" t="s">
        <v>101</v>
      </c>
      <c r="C73" s="30">
        <v>12030611</v>
      </c>
      <c r="D73" s="30" t="s">
        <v>36</v>
      </c>
      <c r="E73" s="30">
        <v>12</v>
      </c>
      <c r="F73" s="30" t="s">
        <v>72</v>
      </c>
      <c r="G73" s="30">
        <v>4010.3</v>
      </c>
      <c r="H73" s="30">
        <v>259.89</v>
      </c>
      <c r="I73" s="30"/>
      <c r="J73" s="69" t="s">
        <v>12</v>
      </c>
      <c r="K73" s="30"/>
      <c r="L73" s="60" t="str">
        <f t="shared" si="2"/>
        <v>12030611.4010.300</v>
      </c>
    </row>
    <row r="74" spans="1:12" x14ac:dyDescent="0.2">
      <c r="A74" s="30">
        <v>18929</v>
      </c>
      <c r="B74" s="30" t="s">
        <v>106</v>
      </c>
      <c r="C74" s="30">
        <v>12030611</v>
      </c>
      <c r="D74" s="30" t="s">
        <v>36</v>
      </c>
      <c r="E74" s="30">
        <v>12</v>
      </c>
      <c r="F74" s="30" t="s">
        <v>72</v>
      </c>
      <c r="G74" s="30">
        <v>4010.3</v>
      </c>
      <c r="H74" s="30">
        <v>386.07</v>
      </c>
      <c r="I74" s="30"/>
      <c r="J74" s="69" t="s">
        <v>12</v>
      </c>
      <c r="K74" s="30"/>
      <c r="L74" s="60" t="str">
        <f t="shared" si="2"/>
        <v>12030611.4010.300</v>
      </c>
    </row>
    <row r="75" spans="1:12" x14ac:dyDescent="0.2">
      <c r="A75" s="30">
        <v>18979</v>
      </c>
      <c r="B75" s="30" t="s">
        <v>39</v>
      </c>
      <c r="C75" s="30">
        <v>12030611</v>
      </c>
      <c r="D75" s="30" t="s">
        <v>36</v>
      </c>
      <c r="E75" s="30">
        <v>12</v>
      </c>
      <c r="F75" s="30" t="s">
        <v>72</v>
      </c>
      <c r="G75" s="30">
        <v>4010.3</v>
      </c>
      <c r="H75" s="30">
        <v>470.88</v>
      </c>
      <c r="I75" s="30"/>
      <c r="J75" s="69" t="s">
        <v>12</v>
      </c>
      <c r="K75" s="30"/>
      <c r="L75" s="60" t="str">
        <f t="shared" si="2"/>
        <v>12030611.4010.300</v>
      </c>
    </row>
    <row r="76" spans="1:12" x14ac:dyDescent="0.2">
      <c r="A76" s="30">
        <v>18989</v>
      </c>
      <c r="B76" s="30" t="s">
        <v>107</v>
      </c>
      <c r="C76" s="30">
        <v>12030800</v>
      </c>
      <c r="D76" s="30" t="s">
        <v>59</v>
      </c>
      <c r="E76" s="30">
        <v>12</v>
      </c>
      <c r="F76" s="30" t="s">
        <v>72</v>
      </c>
      <c r="G76" s="30">
        <v>4010.3</v>
      </c>
      <c r="H76" s="30">
        <v>149.65</v>
      </c>
      <c r="I76" s="30"/>
      <c r="J76" s="69" t="s">
        <v>12</v>
      </c>
      <c r="K76" s="30"/>
      <c r="L76" s="60" t="str">
        <f t="shared" si="2"/>
        <v>12030800.4010.300</v>
      </c>
    </row>
    <row r="77" spans="1:12" x14ac:dyDescent="0.2">
      <c r="A77" s="30">
        <v>18736</v>
      </c>
      <c r="B77" s="30" t="s">
        <v>70</v>
      </c>
      <c r="C77" s="30">
        <v>12032511</v>
      </c>
      <c r="D77" s="30" t="s">
        <v>43</v>
      </c>
      <c r="E77" s="30">
        <v>12</v>
      </c>
      <c r="F77" s="30" t="s">
        <v>72</v>
      </c>
      <c r="G77" s="30">
        <v>4010.3</v>
      </c>
      <c r="H77" s="30">
        <v>743.38</v>
      </c>
      <c r="I77" s="30"/>
      <c r="J77" s="69" t="s">
        <v>12</v>
      </c>
      <c r="K77" s="30"/>
      <c r="L77" s="60" t="str">
        <f t="shared" si="2"/>
        <v>12032511.4010.300</v>
      </c>
    </row>
    <row r="78" spans="1:12" x14ac:dyDescent="0.2">
      <c r="A78" s="30">
        <v>19028</v>
      </c>
      <c r="B78" s="30" t="s">
        <v>367</v>
      </c>
      <c r="C78" s="30">
        <v>12033011</v>
      </c>
      <c r="D78" s="30" t="s">
        <v>45</v>
      </c>
      <c r="E78" s="30">
        <v>12</v>
      </c>
      <c r="F78" s="30" t="s">
        <v>72</v>
      </c>
      <c r="G78" s="30">
        <v>4010.3</v>
      </c>
      <c r="H78" s="30">
        <v>606.46</v>
      </c>
      <c r="I78" s="30"/>
      <c r="J78" s="69" t="s">
        <v>12</v>
      </c>
      <c r="K78" s="30"/>
      <c r="L78" s="60" t="str">
        <f t="shared" si="2"/>
        <v>12033011.4010.300</v>
      </c>
    </row>
    <row r="79" spans="1:12" x14ac:dyDescent="0.2">
      <c r="A79" s="30">
        <v>19017</v>
      </c>
      <c r="B79" s="30" t="s">
        <v>65</v>
      </c>
      <c r="C79" s="30">
        <v>12033011</v>
      </c>
      <c r="D79" s="30" t="s">
        <v>45</v>
      </c>
      <c r="E79" s="30">
        <v>12</v>
      </c>
      <c r="F79" s="30" t="s">
        <v>72</v>
      </c>
      <c r="G79" s="30">
        <v>4010.3</v>
      </c>
      <c r="H79" s="30">
        <v>558.58000000000004</v>
      </c>
      <c r="I79" s="30"/>
      <c r="J79" s="69" t="s">
        <v>12</v>
      </c>
      <c r="K79" s="30"/>
      <c r="L79" s="60" t="str">
        <f t="shared" si="2"/>
        <v>12033011.4010.300</v>
      </c>
    </row>
    <row r="80" spans="1:12" x14ac:dyDescent="0.2">
      <c r="A80" s="30">
        <v>19019</v>
      </c>
      <c r="B80" s="30" t="s">
        <v>108</v>
      </c>
      <c r="C80" s="30">
        <v>12033011</v>
      </c>
      <c r="D80" s="30" t="s">
        <v>45</v>
      </c>
      <c r="E80" s="30">
        <v>12</v>
      </c>
      <c r="F80" s="30" t="s">
        <v>72</v>
      </c>
      <c r="G80" s="30">
        <v>4010.3</v>
      </c>
      <c r="H80" s="30">
        <v>399.69</v>
      </c>
      <c r="I80" s="30"/>
      <c r="J80" s="69" t="s">
        <v>12</v>
      </c>
      <c r="K80" s="30"/>
      <c r="L80" s="60" t="str">
        <f t="shared" si="2"/>
        <v>12033011.4010.300</v>
      </c>
    </row>
    <row r="81" spans="1:12" x14ac:dyDescent="0.2">
      <c r="A81" s="30">
        <v>19011</v>
      </c>
      <c r="B81" s="30" t="s">
        <v>111</v>
      </c>
      <c r="C81" s="30">
        <v>12033011</v>
      </c>
      <c r="D81" s="30" t="s">
        <v>45</v>
      </c>
      <c r="E81" s="30">
        <v>12</v>
      </c>
      <c r="F81" s="30" t="s">
        <v>72</v>
      </c>
      <c r="G81" s="30">
        <v>4010.3</v>
      </c>
      <c r="H81" s="30">
        <v>254.78</v>
      </c>
      <c r="I81" s="30"/>
      <c r="J81" s="69" t="s">
        <v>12</v>
      </c>
      <c r="K81" s="30"/>
      <c r="L81" s="60" t="str">
        <f t="shared" si="2"/>
        <v>12033011.4010.300</v>
      </c>
    </row>
    <row r="82" spans="1:12" x14ac:dyDescent="0.2">
      <c r="A82" s="30">
        <v>19015</v>
      </c>
      <c r="B82" s="30" t="s">
        <v>116</v>
      </c>
      <c r="C82" s="30">
        <v>12033011</v>
      </c>
      <c r="D82" s="30" t="s">
        <v>45</v>
      </c>
      <c r="E82" s="30">
        <v>12</v>
      </c>
      <c r="F82" s="30" t="s">
        <v>72</v>
      </c>
      <c r="G82" s="30">
        <v>4010.3</v>
      </c>
      <c r="H82" s="30">
        <v>535.09</v>
      </c>
      <c r="I82" s="30"/>
      <c r="J82" s="69" t="s">
        <v>12</v>
      </c>
      <c r="K82" s="30"/>
      <c r="L82" s="60" t="str">
        <f t="shared" si="2"/>
        <v>12033011.4010.300</v>
      </c>
    </row>
    <row r="83" spans="1:12" x14ac:dyDescent="0.2">
      <c r="A83" s="30">
        <v>18932</v>
      </c>
      <c r="B83" s="30" t="s">
        <v>44</v>
      </c>
      <c r="C83" s="30">
        <v>12033011</v>
      </c>
      <c r="D83" s="30" t="s">
        <v>45</v>
      </c>
      <c r="E83" s="30">
        <v>12</v>
      </c>
      <c r="F83" s="30" t="s">
        <v>72</v>
      </c>
      <c r="G83" s="30">
        <v>4010.3</v>
      </c>
      <c r="H83" s="30">
        <v>735.89</v>
      </c>
      <c r="I83" s="30"/>
      <c r="J83" s="69" t="s">
        <v>12</v>
      </c>
      <c r="K83" s="30"/>
      <c r="L83" s="60" t="str">
        <f t="shared" si="2"/>
        <v>12033011.4010.300</v>
      </c>
    </row>
    <row r="84" spans="1:12" x14ac:dyDescent="0.2">
      <c r="A84" s="30">
        <v>18607</v>
      </c>
      <c r="B84" s="30" t="s">
        <v>109</v>
      </c>
      <c r="C84" s="30">
        <v>12033011</v>
      </c>
      <c r="D84" s="30" t="s">
        <v>45</v>
      </c>
      <c r="E84" s="30">
        <v>12</v>
      </c>
      <c r="F84" s="30" t="s">
        <v>72</v>
      </c>
      <c r="G84" s="30">
        <v>4010.3</v>
      </c>
      <c r="H84" s="30">
        <v>29.26</v>
      </c>
      <c r="I84" s="30"/>
      <c r="J84" s="69" t="s">
        <v>12</v>
      </c>
      <c r="K84" s="30"/>
      <c r="L84" s="60" t="str">
        <f t="shared" si="2"/>
        <v>12033011.4010.300</v>
      </c>
    </row>
    <row r="85" spans="1:12" x14ac:dyDescent="0.2">
      <c r="A85" s="30">
        <v>18983</v>
      </c>
      <c r="B85" s="30" t="s">
        <v>112</v>
      </c>
      <c r="C85" s="30">
        <v>12033011</v>
      </c>
      <c r="D85" s="30" t="s">
        <v>45</v>
      </c>
      <c r="E85" s="30">
        <v>12</v>
      </c>
      <c r="F85" s="30" t="s">
        <v>72</v>
      </c>
      <c r="G85" s="30">
        <v>4010.3</v>
      </c>
      <c r="H85" s="30">
        <v>854.8</v>
      </c>
      <c r="I85" s="30"/>
      <c r="J85" s="69" t="s">
        <v>12</v>
      </c>
      <c r="K85" s="30"/>
      <c r="L85" s="60" t="str">
        <f t="shared" si="2"/>
        <v>12033011.4010.300</v>
      </c>
    </row>
    <row r="86" spans="1:12" x14ac:dyDescent="0.2">
      <c r="A86" s="30">
        <v>19009</v>
      </c>
      <c r="B86" s="30" t="s">
        <v>117</v>
      </c>
      <c r="C86" s="30">
        <v>12033011</v>
      </c>
      <c r="D86" s="30" t="s">
        <v>45</v>
      </c>
      <c r="E86" s="30">
        <v>12</v>
      </c>
      <c r="F86" s="30" t="s">
        <v>72</v>
      </c>
      <c r="G86" s="30">
        <v>4010.3</v>
      </c>
      <c r="H86" s="30">
        <v>95.62</v>
      </c>
      <c r="I86" s="30"/>
      <c r="J86" s="69" t="s">
        <v>12</v>
      </c>
      <c r="K86" s="30"/>
      <c r="L86" s="60" t="str">
        <f t="shared" si="2"/>
        <v>12033011.4010.300</v>
      </c>
    </row>
    <row r="87" spans="1:12" x14ac:dyDescent="0.2">
      <c r="A87" s="30">
        <v>18679</v>
      </c>
      <c r="B87" s="30" t="s">
        <v>114</v>
      </c>
      <c r="C87" s="30">
        <v>12033011</v>
      </c>
      <c r="D87" s="30" t="s">
        <v>45</v>
      </c>
      <c r="E87" s="30">
        <v>12</v>
      </c>
      <c r="F87" s="30" t="s">
        <v>72</v>
      </c>
      <c r="G87" s="30">
        <v>4010.3</v>
      </c>
      <c r="H87" s="30">
        <v>8.6199999999999992</v>
      </c>
      <c r="I87" s="30"/>
      <c r="J87" s="69" t="s">
        <v>12</v>
      </c>
      <c r="K87" s="30"/>
      <c r="L87" s="60" t="str">
        <f t="shared" si="2"/>
        <v>12033011.4010.300</v>
      </c>
    </row>
    <row r="88" spans="1:12" x14ac:dyDescent="0.2">
      <c r="A88" s="30">
        <v>18829</v>
      </c>
      <c r="B88" s="30" t="s">
        <v>115</v>
      </c>
      <c r="C88" s="30">
        <v>12033011</v>
      </c>
      <c r="D88" s="30" t="s">
        <v>45</v>
      </c>
      <c r="E88" s="30">
        <v>12</v>
      </c>
      <c r="F88" s="30" t="s">
        <v>72</v>
      </c>
      <c r="G88" s="30">
        <v>4010.3</v>
      </c>
      <c r="H88" s="30">
        <v>614.95000000000005</v>
      </c>
      <c r="I88" s="30"/>
      <c r="J88" s="69" t="s">
        <v>12</v>
      </c>
      <c r="K88" s="30"/>
      <c r="L88" s="60" t="str">
        <f t="shared" si="2"/>
        <v>12033011.4010.300</v>
      </c>
    </row>
    <row r="89" spans="1:12" x14ac:dyDescent="0.2">
      <c r="A89" s="30">
        <v>19012</v>
      </c>
      <c r="B89" s="30" t="s">
        <v>110</v>
      </c>
      <c r="C89" s="30">
        <v>12033011</v>
      </c>
      <c r="D89" s="30" t="s">
        <v>45</v>
      </c>
      <c r="E89" s="30">
        <v>12</v>
      </c>
      <c r="F89" s="30" t="s">
        <v>72</v>
      </c>
      <c r="G89" s="30">
        <v>4010.3</v>
      </c>
      <c r="H89" s="30">
        <v>509.59</v>
      </c>
      <c r="I89" s="30"/>
      <c r="J89" s="69" t="s">
        <v>12</v>
      </c>
      <c r="K89" s="30"/>
      <c r="L89" s="60" t="str">
        <f t="shared" si="2"/>
        <v>12033011.4010.300</v>
      </c>
    </row>
    <row r="90" spans="1:12" x14ac:dyDescent="0.2">
      <c r="A90" s="30">
        <v>19008</v>
      </c>
      <c r="B90" s="30" t="s">
        <v>118</v>
      </c>
      <c r="C90" s="30">
        <v>12033011</v>
      </c>
      <c r="D90" s="30" t="s">
        <v>45</v>
      </c>
      <c r="E90" s="30">
        <v>12</v>
      </c>
      <c r="F90" s="30" t="s">
        <v>72</v>
      </c>
      <c r="G90" s="30">
        <v>4010.3</v>
      </c>
      <c r="H90" s="30">
        <v>70.150000000000006</v>
      </c>
      <c r="I90" s="30"/>
      <c r="J90" s="69" t="s">
        <v>12</v>
      </c>
      <c r="K90" s="30"/>
      <c r="L90" s="60" t="str">
        <f t="shared" si="2"/>
        <v>12033011.4010.300</v>
      </c>
    </row>
    <row r="91" spans="1:12" x14ac:dyDescent="0.2">
      <c r="A91" s="30">
        <v>19029</v>
      </c>
      <c r="B91" s="30" t="s">
        <v>366</v>
      </c>
      <c r="C91" s="30">
        <v>12033011</v>
      </c>
      <c r="D91" s="30" t="s">
        <v>45</v>
      </c>
      <c r="E91" s="30">
        <v>12</v>
      </c>
      <c r="F91" s="30" t="s">
        <v>72</v>
      </c>
      <c r="G91" s="30">
        <v>4010.3</v>
      </c>
      <c r="H91" s="30">
        <v>456.88</v>
      </c>
      <c r="I91" s="30"/>
      <c r="J91" s="69" t="s">
        <v>12</v>
      </c>
      <c r="K91" s="30"/>
      <c r="L91" s="60" t="str">
        <f t="shared" si="2"/>
        <v>12033011.4010.300</v>
      </c>
    </row>
    <row r="92" spans="1:12" x14ac:dyDescent="0.2">
      <c r="A92" s="30">
        <v>18923</v>
      </c>
      <c r="B92" s="30" t="s">
        <v>46</v>
      </c>
      <c r="C92" s="30">
        <v>12033011</v>
      </c>
      <c r="D92" s="30" t="s">
        <v>45</v>
      </c>
      <c r="E92" s="30">
        <v>12</v>
      </c>
      <c r="F92" s="30" t="s">
        <v>72</v>
      </c>
      <c r="G92" s="30">
        <v>4010.3</v>
      </c>
      <c r="H92" s="30">
        <v>57.49</v>
      </c>
      <c r="I92" s="30"/>
      <c r="J92" s="69" t="s">
        <v>12</v>
      </c>
      <c r="K92" s="30"/>
      <c r="L92" s="60" t="str">
        <f t="shared" si="2"/>
        <v>12033011.4010.300</v>
      </c>
    </row>
    <row r="93" spans="1:12" x14ac:dyDescent="0.2">
      <c r="A93" s="30">
        <v>18904</v>
      </c>
      <c r="B93" s="30" t="s">
        <v>119</v>
      </c>
      <c r="C93" s="30">
        <v>12040800</v>
      </c>
      <c r="D93" s="30" t="s">
        <v>120</v>
      </c>
      <c r="E93" s="30">
        <v>12</v>
      </c>
      <c r="F93" s="30" t="s">
        <v>72</v>
      </c>
      <c r="G93" s="30">
        <v>4010.3</v>
      </c>
      <c r="H93" s="30">
        <v>47.72</v>
      </c>
      <c r="I93" s="30"/>
      <c r="J93" s="69" t="s">
        <v>12</v>
      </c>
      <c r="K93" s="30"/>
      <c r="L93" s="60" t="str">
        <f t="shared" si="2"/>
        <v>12040800.4010.300</v>
      </c>
    </row>
    <row r="94" spans="1:12" x14ac:dyDescent="0.2">
      <c r="A94" s="30">
        <v>18924</v>
      </c>
      <c r="B94" s="30" t="s">
        <v>121</v>
      </c>
      <c r="C94" s="30">
        <v>12043011</v>
      </c>
      <c r="D94" s="30" t="s">
        <v>52</v>
      </c>
      <c r="E94" s="30">
        <v>12</v>
      </c>
      <c r="F94" s="30" t="s">
        <v>72</v>
      </c>
      <c r="G94" s="30">
        <v>4010.3</v>
      </c>
      <c r="H94" s="30">
        <v>249.43</v>
      </c>
      <c r="I94" s="30"/>
      <c r="J94" s="69" t="s">
        <v>12</v>
      </c>
      <c r="K94" s="30"/>
      <c r="L94" s="60" t="str">
        <f t="shared" si="2"/>
        <v>12043011.4010.300</v>
      </c>
    </row>
    <row r="95" spans="1:12" x14ac:dyDescent="0.2">
      <c r="A95" s="30">
        <v>18850</v>
      </c>
      <c r="B95" s="30" t="s">
        <v>123</v>
      </c>
      <c r="C95" s="30">
        <v>12043011</v>
      </c>
      <c r="D95" s="30" t="s">
        <v>52</v>
      </c>
      <c r="E95" s="30">
        <v>12</v>
      </c>
      <c r="F95" s="30" t="s">
        <v>72</v>
      </c>
      <c r="G95" s="30">
        <v>4010.3</v>
      </c>
      <c r="H95" s="30">
        <v>127.33</v>
      </c>
      <c r="I95" s="30"/>
      <c r="J95" s="69" t="s">
        <v>12</v>
      </c>
      <c r="K95" s="30"/>
      <c r="L95" s="60" t="str">
        <f t="shared" si="2"/>
        <v>12043011.4010.300</v>
      </c>
    </row>
    <row r="96" spans="1:12" x14ac:dyDescent="0.2">
      <c r="A96" s="30">
        <v>18942</v>
      </c>
      <c r="B96" s="30" t="s">
        <v>51</v>
      </c>
      <c r="C96" s="30">
        <v>12043011</v>
      </c>
      <c r="D96" s="30" t="s">
        <v>52</v>
      </c>
      <c r="E96" s="30">
        <v>12</v>
      </c>
      <c r="F96" s="30" t="s">
        <v>72</v>
      </c>
      <c r="G96" s="30">
        <v>4010.3</v>
      </c>
      <c r="H96" s="30">
        <v>17.41</v>
      </c>
      <c r="I96" s="30"/>
      <c r="J96" s="69" t="s">
        <v>12</v>
      </c>
      <c r="K96" s="30"/>
      <c r="L96" s="60" t="str">
        <f t="shared" si="2"/>
        <v>12043011.4010.300</v>
      </c>
    </row>
    <row r="97" spans="1:12" x14ac:dyDescent="0.2">
      <c r="A97" s="30">
        <v>18646</v>
      </c>
      <c r="B97" s="30" t="s">
        <v>124</v>
      </c>
      <c r="C97" s="30">
        <v>12043011</v>
      </c>
      <c r="D97" s="30" t="s">
        <v>52</v>
      </c>
      <c r="E97" s="30">
        <v>12</v>
      </c>
      <c r="F97" s="30" t="s">
        <v>72</v>
      </c>
      <c r="G97" s="30">
        <v>4010.3</v>
      </c>
      <c r="H97" s="30">
        <v>185.48</v>
      </c>
      <c r="I97" s="30"/>
      <c r="J97" s="69" t="s">
        <v>12</v>
      </c>
      <c r="K97" s="30"/>
      <c r="L97" s="60" t="str">
        <f t="shared" si="2"/>
        <v>12043011.4010.300</v>
      </c>
    </row>
    <row r="98" spans="1:12" x14ac:dyDescent="0.2">
      <c r="A98" s="30">
        <v>18986</v>
      </c>
      <c r="B98" s="30" t="s">
        <v>153</v>
      </c>
      <c r="C98" s="30">
        <v>12043011</v>
      </c>
      <c r="D98" s="30" t="s">
        <v>52</v>
      </c>
      <c r="E98" s="30">
        <v>12</v>
      </c>
      <c r="F98" s="30" t="s">
        <v>72</v>
      </c>
      <c r="G98" s="30">
        <v>4010.3</v>
      </c>
      <c r="H98" s="30">
        <v>32.07</v>
      </c>
      <c r="I98" s="30"/>
      <c r="J98" s="69" t="s">
        <v>12</v>
      </c>
      <c r="K98" s="30"/>
      <c r="L98" s="60" t="str">
        <f t="shared" si="2"/>
        <v>12043011.4010.300</v>
      </c>
    </row>
    <row r="99" spans="1:12" x14ac:dyDescent="0.2">
      <c r="A99" s="30">
        <v>18990</v>
      </c>
      <c r="B99" s="30" t="s">
        <v>125</v>
      </c>
      <c r="C99" s="30">
        <v>12043011</v>
      </c>
      <c r="D99" s="30" t="s">
        <v>52</v>
      </c>
      <c r="E99" s="30">
        <v>12</v>
      </c>
      <c r="F99" s="30" t="s">
        <v>72</v>
      </c>
      <c r="G99" s="30">
        <v>4010.3</v>
      </c>
      <c r="H99" s="30">
        <v>46.32</v>
      </c>
      <c r="I99" s="30"/>
      <c r="J99" s="69" t="s">
        <v>12</v>
      </c>
      <c r="K99" s="30"/>
      <c r="L99" s="60" t="str">
        <f t="shared" si="2"/>
        <v>12043011.4010.300</v>
      </c>
    </row>
    <row r="100" spans="1:12" x14ac:dyDescent="0.2">
      <c r="A100" s="30">
        <v>18703</v>
      </c>
      <c r="B100" s="30" t="s">
        <v>126</v>
      </c>
      <c r="C100" s="30">
        <v>12043011</v>
      </c>
      <c r="D100" s="30" t="s">
        <v>52</v>
      </c>
      <c r="E100" s="30">
        <v>12</v>
      </c>
      <c r="F100" s="30" t="s">
        <v>72</v>
      </c>
      <c r="G100" s="30">
        <v>4010.3</v>
      </c>
      <c r="H100" s="30">
        <v>1.58</v>
      </c>
      <c r="I100" s="30"/>
      <c r="J100" s="69" t="s">
        <v>12</v>
      </c>
      <c r="K100" s="30"/>
      <c r="L100" s="60" t="str">
        <f t="shared" si="2"/>
        <v>12043011.4010.300</v>
      </c>
    </row>
    <row r="101" spans="1:12" x14ac:dyDescent="0.2">
      <c r="A101" s="30">
        <v>19039</v>
      </c>
      <c r="B101" s="30" t="s">
        <v>443</v>
      </c>
      <c r="C101" s="30">
        <v>12043011</v>
      </c>
      <c r="D101" s="30" t="s">
        <v>52</v>
      </c>
      <c r="E101" s="30">
        <v>12</v>
      </c>
      <c r="F101" s="30" t="s">
        <v>72</v>
      </c>
      <c r="G101" s="30">
        <v>4010.3</v>
      </c>
      <c r="H101" s="30">
        <v>38.01</v>
      </c>
      <c r="I101" s="30"/>
      <c r="J101" s="69" t="s">
        <v>12</v>
      </c>
      <c r="K101" s="30"/>
      <c r="L101" s="60" t="str">
        <f t="shared" si="2"/>
        <v>12043011.4010.300</v>
      </c>
    </row>
    <row r="102" spans="1:12" x14ac:dyDescent="0.2">
      <c r="A102" s="30">
        <v>18927</v>
      </c>
      <c r="B102" s="30" t="s">
        <v>55</v>
      </c>
      <c r="C102" s="30">
        <v>12060611</v>
      </c>
      <c r="D102" s="30" t="s">
        <v>54</v>
      </c>
      <c r="E102" s="30">
        <v>12</v>
      </c>
      <c r="F102" s="30" t="s">
        <v>72</v>
      </c>
      <c r="G102" s="30">
        <v>4010.3</v>
      </c>
      <c r="H102" s="30">
        <v>39.340000000000003</v>
      </c>
      <c r="I102" s="30"/>
      <c r="J102" s="69" t="s">
        <v>12</v>
      </c>
      <c r="K102" s="30"/>
      <c r="L102" s="60" t="str">
        <f t="shared" si="2"/>
        <v>12060611.4010.300</v>
      </c>
    </row>
    <row r="103" spans="1:12" x14ac:dyDescent="0.2">
      <c r="A103" s="30">
        <v>18823</v>
      </c>
      <c r="B103" s="30" t="s">
        <v>53</v>
      </c>
      <c r="C103" s="30">
        <v>12060611</v>
      </c>
      <c r="D103" s="30" t="s">
        <v>54</v>
      </c>
      <c r="E103" s="30">
        <v>12</v>
      </c>
      <c r="F103" s="30" t="s">
        <v>72</v>
      </c>
      <c r="G103" s="30">
        <v>4010.3</v>
      </c>
      <c r="H103" s="30">
        <v>193.75</v>
      </c>
      <c r="I103" s="30"/>
      <c r="J103" s="69" t="s">
        <v>12</v>
      </c>
      <c r="K103" s="30"/>
      <c r="L103" s="60" t="str">
        <f t="shared" si="2"/>
        <v>12060611.4010.300</v>
      </c>
    </row>
    <row r="104" spans="1:12" x14ac:dyDescent="0.2">
      <c r="A104" s="30">
        <v>18634</v>
      </c>
      <c r="B104" s="30" t="s">
        <v>129</v>
      </c>
      <c r="C104" s="30">
        <v>12060611</v>
      </c>
      <c r="D104" s="30" t="s">
        <v>54</v>
      </c>
      <c r="E104" s="30">
        <v>12</v>
      </c>
      <c r="F104" s="30" t="s">
        <v>72</v>
      </c>
      <c r="G104" s="30">
        <v>4010.3</v>
      </c>
      <c r="H104" s="30">
        <v>48.97</v>
      </c>
      <c r="I104" s="30"/>
      <c r="J104" s="69" t="s">
        <v>12</v>
      </c>
      <c r="K104" s="30"/>
      <c r="L104" s="60" t="str">
        <f t="shared" si="2"/>
        <v>12060611.4010.300</v>
      </c>
    </row>
    <row r="105" spans="1:12" x14ac:dyDescent="0.2">
      <c r="A105" s="30">
        <v>18996</v>
      </c>
      <c r="B105" s="30" t="s">
        <v>127</v>
      </c>
      <c r="C105" s="30">
        <v>12060611</v>
      </c>
      <c r="D105" s="30" t="s">
        <v>54</v>
      </c>
      <c r="E105" s="30">
        <v>12</v>
      </c>
      <c r="F105" s="30" t="s">
        <v>72</v>
      </c>
      <c r="G105" s="30">
        <v>4010.3</v>
      </c>
      <c r="H105" s="30">
        <v>233.44</v>
      </c>
      <c r="I105" s="30"/>
      <c r="J105" s="69" t="s">
        <v>12</v>
      </c>
      <c r="K105" s="30"/>
      <c r="L105" s="60" t="str">
        <f t="shared" si="2"/>
        <v>12060611.4010.300</v>
      </c>
    </row>
    <row r="106" spans="1:12" x14ac:dyDescent="0.2">
      <c r="A106" s="30">
        <v>18895</v>
      </c>
      <c r="B106" s="30" t="s">
        <v>128</v>
      </c>
      <c r="C106" s="30">
        <v>12060611</v>
      </c>
      <c r="D106" s="30" t="s">
        <v>54</v>
      </c>
      <c r="E106" s="30">
        <v>12</v>
      </c>
      <c r="F106" s="30" t="s">
        <v>72</v>
      </c>
      <c r="G106" s="30">
        <v>4010.3</v>
      </c>
      <c r="H106" s="30">
        <v>150.58000000000001</v>
      </c>
      <c r="I106" s="30"/>
      <c r="J106" s="69" t="s">
        <v>12</v>
      </c>
      <c r="K106" s="30"/>
      <c r="L106" s="60" t="str">
        <f t="shared" si="2"/>
        <v>12060611.4010.300</v>
      </c>
    </row>
    <row r="107" spans="1:12" x14ac:dyDescent="0.2">
      <c r="A107" s="30">
        <v>18898</v>
      </c>
      <c r="B107" s="30" t="s">
        <v>130</v>
      </c>
      <c r="C107" s="30">
        <v>12060611</v>
      </c>
      <c r="D107" s="30" t="s">
        <v>54</v>
      </c>
      <c r="E107" s="30">
        <v>12</v>
      </c>
      <c r="F107" s="30" t="s">
        <v>72</v>
      </c>
      <c r="G107" s="30">
        <v>4010.3</v>
      </c>
      <c r="H107" s="30">
        <v>486.9</v>
      </c>
      <c r="I107" s="30"/>
      <c r="J107" s="69" t="s">
        <v>12</v>
      </c>
      <c r="K107" s="30"/>
      <c r="L107" s="60" t="str">
        <f t="shared" si="2"/>
        <v>12060611.4010.300</v>
      </c>
    </row>
    <row r="108" spans="1:12" x14ac:dyDescent="0.2">
      <c r="A108" s="30">
        <v>18561</v>
      </c>
      <c r="B108" s="30" t="s">
        <v>134</v>
      </c>
      <c r="C108" s="30">
        <v>12060800</v>
      </c>
      <c r="D108" s="30" t="s">
        <v>135</v>
      </c>
      <c r="E108" s="30">
        <v>12</v>
      </c>
      <c r="F108" s="30" t="s">
        <v>72</v>
      </c>
      <c r="G108" s="30">
        <v>4010.3</v>
      </c>
      <c r="H108" s="30">
        <v>281.33999999999997</v>
      </c>
      <c r="I108" s="30"/>
      <c r="J108" s="69" t="s">
        <v>12</v>
      </c>
      <c r="K108" s="30"/>
      <c r="L108" s="60" t="str">
        <f t="shared" si="2"/>
        <v>12060800.4010.300</v>
      </c>
    </row>
    <row r="109" spans="1:12" x14ac:dyDescent="0.2">
      <c r="A109" s="30">
        <v>18953</v>
      </c>
      <c r="B109" s="30" t="s">
        <v>136</v>
      </c>
      <c r="C109" s="30">
        <v>12060800</v>
      </c>
      <c r="D109" s="30" t="s">
        <v>135</v>
      </c>
      <c r="E109" s="30">
        <v>12</v>
      </c>
      <c r="F109" s="30" t="s">
        <v>72</v>
      </c>
      <c r="G109" s="30">
        <v>4010.3</v>
      </c>
      <c r="H109" s="30">
        <v>57.61</v>
      </c>
      <c r="I109" s="30"/>
      <c r="J109" s="69" t="s">
        <v>12</v>
      </c>
      <c r="K109" s="30"/>
      <c r="L109" s="60" t="str">
        <f t="shared" si="2"/>
        <v>12060800.4010.300</v>
      </c>
    </row>
    <row r="110" spans="1:12" x14ac:dyDescent="0.2">
      <c r="A110" s="30">
        <v>156</v>
      </c>
      <c r="B110" s="30" t="s">
        <v>137</v>
      </c>
      <c r="C110" s="30">
        <v>12062511</v>
      </c>
      <c r="D110" s="30" t="s">
        <v>57</v>
      </c>
      <c r="E110" s="30">
        <v>12</v>
      </c>
      <c r="F110" s="30" t="s">
        <v>72</v>
      </c>
      <c r="G110" s="30">
        <v>4010.3</v>
      </c>
      <c r="H110" s="30">
        <v>8.0500000000000007</v>
      </c>
      <c r="I110" s="30"/>
      <c r="J110" s="69" t="s">
        <v>12</v>
      </c>
      <c r="K110" s="30"/>
      <c r="L110" s="60" t="str">
        <f t="shared" si="2"/>
        <v>12062511.4010.300</v>
      </c>
    </row>
    <row r="111" spans="1:12" x14ac:dyDescent="0.2">
      <c r="A111" s="30">
        <v>18792</v>
      </c>
      <c r="B111" s="30" t="s">
        <v>56</v>
      </c>
      <c r="C111" s="30">
        <v>12062511</v>
      </c>
      <c r="D111" s="30" t="s">
        <v>57</v>
      </c>
      <c r="E111" s="30">
        <v>12</v>
      </c>
      <c r="F111" s="30" t="s">
        <v>72</v>
      </c>
      <c r="G111" s="30">
        <v>4010.3</v>
      </c>
      <c r="H111" s="30">
        <v>56.75</v>
      </c>
      <c r="I111" s="30"/>
      <c r="J111" s="69" t="s">
        <v>12</v>
      </c>
      <c r="K111" s="30"/>
      <c r="L111" s="60" t="str">
        <f t="shared" si="2"/>
        <v>12062511.4010.300</v>
      </c>
    </row>
    <row r="112" spans="1:12" x14ac:dyDescent="0.2">
      <c r="A112" s="30">
        <v>18506</v>
      </c>
      <c r="B112" s="30" t="s">
        <v>438</v>
      </c>
      <c r="C112" s="30">
        <v>12062511</v>
      </c>
      <c r="D112" s="30" t="s">
        <v>57</v>
      </c>
      <c r="E112" s="30">
        <v>12</v>
      </c>
      <c r="F112" s="30" t="s">
        <v>72</v>
      </c>
      <c r="G112" s="30">
        <v>4010.3</v>
      </c>
      <c r="H112" s="30">
        <v>43.89</v>
      </c>
      <c r="I112" s="30"/>
      <c r="J112" s="69" t="s">
        <v>12</v>
      </c>
      <c r="K112" s="30"/>
      <c r="L112" s="60" t="str">
        <f t="shared" si="2"/>
        <v>12062511.4010.300</v>
      </c>
    </row>
    <row r="113" spans="1:12" x14ac:dyDescent="0.2">
      <c r="A113" s="30">
        <v>19037</v>
      </c>
      <c r="B113" s="30" t="s">
        <v>441</v>
      </c>
      <c r="C113" s="30">
        <v>12063011</v>
      </c>
      <c r="D113" s="30" t="s">
        <v>442</v>
      </c>
      <c r="E113" s="30">
        <v>12</v>
      </c>
      <c r="F113" s="30" t="s">
        <v>72</v>
      </c>
      <c r="G113" s="30">
        <v>4010.3</v>
      </c>
      <c r="H113" s="30">
        <v>331.98</v>
      </c>
      <c r="I113" s="30"/>
      <c r="J113" s="69" t="s">
        <v>12</v>
      </c>
      <c r="K113" s="30"/>
      <c r="L113" s="60" t="str">
        <f t="shared" si="2"/>
        <v>12063011.4010.300</v>
      </c>
    </row>
    <row r="114" spans="1:12" x14ac:dyDescent="0.2">
      <c r="A114" s="30">
        <v>18517</v>
      </c>
      <c r="B114" s="30" t="s">
        <v>140</v>
      </c>
      <c r="C114" s="30">
        <v>12010500</v>
      </c>
      <c r="D114" s="30" t="s">
        <v>60</v>
      </c>
      <c r="E114" s="30">
        <v>20</v>
      </c>
      <c r="F114" s="30" t="s">
        <v>139</v>
      </c>
      <c r="G114" s="30">
        <v>4010.4</v>
      </c>
      <c r="H114" s="30">
        <v>230.77</v>
      </c>
      <c r="I114" s="30"/>
      <c r="J114" s="69" t="s">
        <v>12</v>
      </c>
      <c r="K114" s="30"/>
      <c r="L114" s="60" t="str">
        <f t="shared" si="2"/>
        <v>12010500.4010.400</v>
      </c>
    </row>
    <row r="115" spans="1:12" x14ac:dyDescent="0.2">
      <c r="A115" s="30">
        <v>18736</v>
      </c>
      <c r="B115" s="30" t="s">
        <v>70</v>
      </c>
      <c r="C115" s="30">
        <v>12013012</v>
      </c>
      <c r="D115" s="30" t="s">
        <v>71</v>
      </c>
      <c r="E115" s="30">
        <v>20</v>
      </c>
      <c r="F115" s="30" t="s">
        <v>139</v>
      </c>
      <c r="G115" s="30">
        <v>4010.4</v>
      </c>
      <c r="H115" s="30">
        <v>24.15</v>
      </c>
      <c r="I115" s="30"/>
      <c r="J115" s="69" t="s">
        <v>12</v>
      </c>
      <c r="K115" s="30"/>
      <c r="L115" s="60" t="str">
        <f t="shared" si="2"/>
        <v>12013012.4010.400</v>
      </c>
    </row>
    <row r="116" spans="1:12" x14ac:dyDescent="0.2">
      <c r="A116" s="30">
        <v>18920</v>
      </c>
      <c r="B116" s="30" t="s">
        <v>9</v>
      </c>
      <c r="C116" s="30">
        <v>12013250</v>
      </c>
      <c r="D116" s="30" t="s">
        <v>10</v>
      </c>
      <c r="E116" s="30">
        <v>20</v>
      </c>
      <c r="F116" s="30" t="s">
        <v>139</v>
      </c>
      <c r="G116" s="30">
        <v>4010.4</v>
      </c>
      <c r="H116" s="30">
        <v>692.31</v>
      </c>
      <c r="I116" s="30"/>
      <c r="J116" s="69" t="s">
        <v>12</v>
      </c>
      <c r="K116" s="30"/>
      <c r="L116" s="60" t="str">
        <f t="shared" si="2"/>
        <v>12013250.4010.400</v>
      </c>
    </row>
    <row r="117" spans="1:12" x14ac:dyDescent="0.2">
      <c r="A117" s="30">
        <v>18948</v>
      </c>
      <c r="B117" s="30" t="s">
        <v>142</v>
      </c>
      <c r="C117" s="30">
        <v>12018099</v>
      </c>
      <c r="D117" s="30" t="s">
        <v>17</v>
      </c>
      <c r="E117" s="30">
        <v>20</v>
      </c>
      <c r="F117" s="30" t="s">
        <v>139</v>
      </c>
      <c r="G117" s="30">
        <v>4010.4</v>
      </c>
      <c r="H117" s="30">
        <v>692.31</v>
      </c>
      <c r="I117" s="30"/>
      <c r="J117" s="69" t="s">
        <v>12</v>
      </c>
      <c r="K117" s="30"/>
      <c r="L117" s="60" t="str">
        <f t="shared" si="2"/>
        <v>12018099.4010.400</v>
      </c>
    </row>
    <row r="118" spans="1:12" x14ac:dyDescent="0.2">
      <c r="A118" s="30">
        <v>18716</v>
      </c>
      <c r="B118" s="30" t="s">
        <v>16</v>
      </c>
      <c r="C118" s="30">
        <v>12018099</v>
      </c>
      <c r="D118" s="30" t="s">
        <v>17</v>
      </c>
      <c r="E118" s="30">
        <v>20</v>
      </c>
      <c r="F118" s="30" t="s">
        <v>139</v>
      </c>
      <c r="G118" s="30">
        <v>4010.4</v>
      </c>
      <c r="H118" s="30">
        <v>692.31</v>
      </c>
      <c r="I118" s="30"/>
      <c r="J118" s="69" t="s">
        <v>12</v>
      </c>
      <c r="K118" s="30"/>
      <c r="L118" s="60" t="str">
        <f t="shared" si="2"/>
        <v>12018099.4010.400</v>
      </c>
    </row>
    <row r="119" spans="1:12" x14ac:dyDescent="0.2">
      <c r="A119" s="30">
        <v>18969</v>
      </c>
      <c r="B119" s="30" t="s">
        <v>143</v>
      </c>
      <c r="C119" s="30">
        <v>12018599</v>
      </c>
      <c r="D119" s="30" t="s">
        <v>144</v>
      </c>
      <c r="E119" s="30">
        <v>20</v>
      </c>
      <c r="F119" s="30" t="s">
        <v>139</v>
      </c>
      <c r="G119" s="30">
        <v>4010.4</v>
      </c>
      <c r="H119" s="30">
        <v>267.23</v>
      </c>
      <c r="I119" s="30"/>
      <c r="J119" s="69" t="s">
        <v>12</v>
      </c>
      <c r="K119" s="30"/>
      <c r="L119" s="60" t="str">
        <f t="shared" si="2"/>
        <v>12018599.4010.400</v>
      </c>
    </row>
    <row r="120" spans="1:12" x14ac:dyDescent="0.2">
      <c r="A120" s="30">
        <v>18862</v>
      </c>
      <c r="B120" s="30" t="s">
        <v>145</v>
      </c>
      <c r="C120" s="30">
        <v>12018599</v>
      </c>
      <c r="D120" s="30" t="s">
        <v>144</v>
      </c>
      <c r="E120" s="30">
        <v>20</v>
      </c>
      <c r="F120" s="30" t="s">
        <v>139</v>
      </c>
      <c r="G120" s="30">
        <v>4010.4</v>
      </c>
      <c r="H120" s="30">
        <v>36.46</v>
      </c>
      <c r="I120" s="30"/>
      <c r="J120" s="69" t="s">
        <v>12</v>
      </c>
      <c r="K120" s="30"/>
      <c r="L120" s="60" t="str">
        <f t="shared" si="2"/>
        <v>12018599.4010.400</v>
      </c>
    </row>
    <row r="121" spans="1:12" x14ac:dyDescent="0.2">
      <c r="A121" s="30">
        <v>18886</v>
      </c>
      <c r="B121" s="30" t="s">
        <v>18</v>
      </c>
      <c r="C121" s="30">
        <v>12019099</v>
      </c>
      <c r="D121" s="30" t="s">
        <v>19</v>
      </c>
      <c r="E121" s="30">
        <v>20</v>
      </c>
      <c r="F121" s="30" t="s">
        <v>139</v>
      </c>
      <c r="G121" s="30">
        <v>4010.4</v>
      </c>
      <c r="H121" s="30">
        <v>692.31</v>
      </c>
      <c r="I121" s="30"/>
      <c r="J121" s="69" t="s">
        <v>12</v>
      </c>
      <c r="K121" s="30"/>
      <c r="L121" s="60" t="str">
        <f t="shared" si="2"/>
        <v>12019099.4010.400</v>
      </c>
    </row>
    <row r="122" spans="1:12" x14ac:dyDescent="0.2">
      <c r="A122" s="30">
        <v>18853</v>
      </c>
      <c r="B122" s="30" t="s">
        <v>146</v>
      </c>
      <c r="C122" s="30">
        <v>12019199</v>
      </c>
      <c r="D122" s="30" t="s">
        <v>147</v>
      </c>
      <c r="E122" s="30">
        <v>20</v>
      </c>
      <c r="F122" s="30" t="s">
        <v>139</v>
      </c>
      <c r="G122" s="30">
        <v>4010.4</v>
      </c>
      <c r="H122" s="30">
        <v>692.31</v>
      </c>
      <c r="I122" s="30"/>
      <c r="J122" s="69" t="s">
        <v>12</v>
      </c>
      <c r="K122" s="30"/>
      <c r="L122" s="60" t="str">
        <f t="shared" si="2"/>
        <v>12019199.4010.400</v>
      </c>
    </row>
    <row r="123" spans="1:12" x14ac:dyDescent="0.2">
      <c r="A123" s="30">
        <v>18866</v>
      </c>
      <c r="B123" s="30" t="s">
        <v>76</v>
      </c>
      <c r="C123" s="30">
        <v>12020611</v>
      </c>
      <c r="D123" s="30" t="s">
        <v>23</v>
      </c>
      <c r="E123" s="30">
        <v>20</v>
      </c>
      <c r="F123" s="30" t="s">
        <v>139</v>
      </c>
      <c r="G123" s="30">
        <v>4010.4</v>
      </c>
      <c r="H123" s="30">
        <v>36.46</v>
      </c>
      <c r="I123" s="30"/>
      <c r="J123" s="69" t="s">
        <v>12</v>
      </c>
      <c r="K123" s="30"/>
      <c r="L123" s="60" t="str">
        <f t="shared" si="2"/>
        <v>12020611.4010.400</v>
      </c>
    </row>
    <row r="124" spans="1:12" x14ac:dyDescent="0.2">
      <c r="A124" s="30">
        <v>18831</v>
      </c>
      <c r="B124" s="30" t="s">
        <v>22</v>
      </c>
      <c r="C124" s="30">
        <v>12020611</v>
      </c>
      <c r="D124" s="30" t="s">
        <v>23</v>
      </c>
      <c r="E124" s="30">
        <v>20</v>
      </c>
      <c r="F124" s="30" t="s">
        <v>139</v>
      </c>
      <c r="G124" s="30">
        <v>4010.4</v>
      </c>
      <c r="H124" s="30">
        <v>117.63</v>
      </c>
      <c r="I124" s="30"/>
      <c r="J124" s="69" t="s">
        <v>12</v>
      </c>
      <c r="K124" s="30"/>
      <c r="L124" s="60" t="str">
        <f t="shared" si="2"/>
        <v>12020611.4010.400</v>
      </c>
    </row>
    <row r="125" spans="1:12" x14ac:dyDescent="0.2">
      <c r="A125" s="30">
        <v>18903</v>
      </c>
      <c r="B125" s="30" t="s">
        <v>73</v>
      </c>
      <c r="C125" s="30">
        <v>12020611</v>
      </c>
      <c r="D125" s="30" t="s">
        <v>23</v>
      </c>
      <c r="E125" s="30">
        <v>20</v>
      </c>
      <c r="F125" s="30" t="s">
        <v>139</v>
      </c>
      <c r="G125" s="30">
        <v>4010.4</v>
      </c>
      <c r="H125" s="30">
        <v>181.76</v>
      </c>
      <c r="I125" s="30"/>
      <c r="J125" s="69" t="s">
        <v>12</v>
      </c>
      <c r="K125" s="30"/>
      <c r="L125" s="60" t="str">
        <f t="shared" si="2"/>
        <v>12020611.4010.400</v>
      </c>
    </row>
    <row r="126" spans="1:12" x14ac:dyDescent="0.2">
      <c r="A126" s="30">
        <v>18879</v>
      </c>
      <c r="B126" s="30" t="s">
        <v>79</v>
      </c>
      <c r="C126" s="30">
        <v>12020711</v>
      </c>
      <c r="D126" s="30" t="s">
        <v>25</v>
      </c>
      <c r="E126" s="30">
        <v>20</v>
      </c>
      <c r="F126" s="30" t="s">
        <v>139</v>
      </c>
      <c r="G126" s="30">
        <v>4010.4</v>
      </c>
      <c r="H126" s="30">
        <v>344.28</v>
      </c>
      <c r="I126" s="30"/>
      <c r="J126" s="69" t="s">
        <v>12</v>
      </c>
      <c r="K126" s="30"/>
      <c r="L126" s="60" t="str">
        <f t="shared" si="2"/>
        <v>12020711.4010.400</v>
      </c>
    </row>
    <row r="127" spans="1:12" x14ac:dyDescent="0.2">
      <c r="A127" s="30">
        <v>18631</v>
      </c>
      <c r="B127" s="30" t="s">
        <v>80</v>
      </c>
      <c r="C127" s="30">
        <v>12020711</v>
      </c>
      <c r="D127" s="30" t="s">
        <v>25</v>
      </c>
      <c r="E127" s="30">
        <v>20</v>
      </c>
      <c r="F127" s="30" t="s">
        <v>139</v>
      </c>
      <c r="G127" s="30">
        <v>4010.4</v>
      </c>
      <c r="H127" s="30">
        <v>36.46</v>
      </c>
      <c r="I127" s="30"/>
      <c r="J127" s="69" t="s">
        <v>12</v>
      </c>
      <c r="K127" s="30"/>
      <c r="L127" s="60" t="str">
        <f t="shared" si="2"/>
        <v>12020711.4010.400</v>
      </c>
    </row>
    <row r="128" spans="1:12" x14ac:dyDescent="0.2">
      <c r="A128" s="30">
        <v>19013</v>
      </c>
      <c r="B128" s="30" t="s">
        <v>81</v>
      </c>
      <c r="C128" s="30">
        <v>12020800</v>
      </c>
      <c r="D128" s="30" t="s">
        <v>27</v>
      </c>
      <c r="E128" s="30">
        <v>20</v>
      </c>
      <c r="F128" s="30" t="s">
        <v>139</v>
      </c>
      <c r="G128" s="30">
        <v>4010.4</v>
      </c>
      <c r="H128" s="30">
        <v>355.7</v>
      </c>
      <c r="I128" s="30"/>
      <c r="J128" s="69" t="s">
        <v>12</v>
      </c>
      <c r="K128" s="30"/>
      <c r="L128" s="60" t="str">
        <f t="shared" si="2"/>
        <v>12020800.4010.400</v>
      </c>
    </row>
    <row r="129" spans="1:12" x14ac:dyDescent="0.2">
      <c r="A129" s="30">
        <v>18911</v>
      </c>
      <c r="B129" s="30" t="s">
        <v>28</v>
      </c>
      <c r="C129" s="30">
        <v>12021021</v>
      </c>
      <c r="D129" s="30" t="s">
        <v>29</v>
      </c>
      <c r="E129" s="30">
        <v>20</v>
      </c>
      <c r="F129" s="30" t="s">
        <v>139</v>
      </c>
      <c r="G129" s="30">
        <v>4010.4</v>
      </c>
      <c r="H129" s="30">
        <v>36.46</v>
      </c>
      <c r="I129" s="30"/>
      <c r="J129" s="69" t="s">
        <v>12</v>
      </c>
      <c r="K129" s="30"/>
      <c r="L129" s="60" t="str">
        <f t="shared" si="2"/>
        <v>12021021.4010.400</v>
      </c>
    </row>
    <row r="130" spans="1:12" x14ac:dyDescent="0.2">
      <c r="A130" s="30">
        <v>18967</v>
      </c>
      <c r="B130" s="30" t="s">
        <v>85</v>
      </c>
      <c r="C130" s="30">
        <v>12021021</v>
      </c>
      <c r="D130" s="30" t="s">
        <v>29</v>
      </c>
      <c r="E130" s="30">
        <v>20</v>
      </c>
      <c r="F130" s="30" t="s">
        <v>139</v>
      </c>
      <c r="G130" s="30">
        <v>4010.4</v>
      </c>
      <c r="H130" s="30">
        <v>16.100000000000001</v>
      </c>
      <c r="I130" s="30"/>
      <c r="J130" s="69" t="s">
        <v>12</v>
      </c>
      <c r="K130" s="30"/>
      <c r="L130" s="60" t="str">
        <f t="shared" ref="L130:L193" si="3">C130&amp;"."&amp;G130&amp;J130</f>
        <v>12021021.4010.400</v>
      </c>
    </row>
    <row r="131" spans="1:12" x14ac:dyDescent="0.2">
      <c r="A131" s="30">
        <v>18960</v>
      </c>
      <c r="B131" s="30" t="s">
        <v>84</v>
      </c>
      <c r="C131" s="30">
        <v>12021021</v>
      </c>
      <c r="D131" s="30" t="s">
        <v>29</v>
      </c>
      <c r="E131" s="30">
        <v>20</v>
      </c>
      <c r="F131" s="30" t="s">
        <v>139</v>
      </c>
      <c r="G131" s="30">
        <v>4010.4</v>
      </c>
      <c r="H131" s="30">
        <v>41.33</v>
      </c>
      <c r="I131" s="30"/>
      <c r="J131" s="69" t="s">
        <v>12</v>
      </c>
      <c r="K131" s="30"/>
      <c r="L131" s="60" t="str">
        <f t="shared" si="3"/>
        <v>12021021.4010.400</v>
      </c>
    </row>
    <row r="132" spans="1:12" x14ac:dyDescent="0.2">
      <c r="A132" s="30">
        <v>18687</v>
      </c>
      <c r="B132" s="30" t="s">
        <v>83</v>
      </c>
      <c r="C132" s="30">
        <v>12021021</v>
      </c>
      <c r="D132" s="30" t="s">
        <v>29</v>
      </c>
      <c r="E132" s="30">
        <v>20</v>
      </c>
      <c r="F132" s="30" t="s">
        <v>139</v>
      </c>
      <c r="G132" s="30">
        <v>4010.4</v>
      </c>
      <c r="H132" s="30">
        <v>16.100000000000001</v>
      </c>
      <c r="I132" s="30"/>
      <c r="J132" s="69" t="s">
        <v>12</v>
      </c>
      <c r="K132" s="30"/>
      <c r="L132" s="60" t="str">
        <f t="shared" si="3"/>
        <v>12021021.4010.400</v>
      </c>
    </row>
    <row r="133" spans="1:12" x14ac:dyDescent="0.2">
      <c r="A133" s="30">
        <v>18961</v>
      </c>
      <c r="B133" s="30" t="s">
        <v>90</v>
      </c>
      <c r="C133" s="30">
        <v>12022511</v>
      </c>
      <c r="D133" s="30" t="s">
        <v>32</v>
      </c>
      <c r="E133" s="30">
        <v>20</v>
      </c>
      <c r="F133" s="30" t="s">
        <v>139</v>
      </c>
      <c r="G133" s="30">
        <v>4010.4</v>
      </c>
      <c r="H133" s="30">
        <v>235.25</v>
      </c>
      <c r="I133" s="30"/>
      <c r="J133" s="69" t="s">
        <v>12</v>
      </c>
      <c r="K133" s="30"/>
      <c r="L133" s="60" t="str">
        <f t="shared" si="3"/>
        <v>12022511.4010.400</v>
      </c>
    </row>
    <row r="134" spans="1:12" x14ac:dyDescent="0.2">
      <c r="A134" s="30">
        <v>145</v>
      </c>
      <c r="B134" s="30" t="s">
        <v>91</v>
      </c>
      <c r="C134" s="30">
        <v>12022511</v>
      </c>
      <c r="D134" s="30" t="s">
        <v>32</v>
      </c>
      <c r="E134" s="30">
        <v>20</v>
      </c>
      <c r="F134" s="30" t="s">
        <v>139</v>
      </c>
      <c r="G134" s="30">
        <v>4010.4</v>
      </c>
      <c r="H134" s="30">
        <v>248.89</v>
      </c>
      <c r="I134" s="30"/>
      <c r="J134" s="69" t="s">
        <v>12</v>
      </c>
      <c r="K134" s="30"/>
      <c r="L134" s="60" t="str">
        <f t="shared" si="3"/>
        <v>12022511.4010.400</v>
      </c>
    </row>
    <row r="135" spans="1:12" x14ac:dyDescent="0.2">
      <c r="A135" s="30">
        <v>19007</v>
      </c>
      <c r="B135" s="30" t="s">
        <v>189</v>
      </c>
      <c r="C135" s="30">
        <v>12023011</v>
      </c>
      <c r="D135" s="30" t="s">
        <v>93</v>
      </c>
      <c r="E135" s="30">
        <v>20</v>
      </c>
      <c r="F135" s="30" t="s">
        <v>139</v>
      </c>
      <c r="G135" s="30">
        <v>4010.4</v>
      </c>
      <c r="H135" s="30">
        <v>29.41</v>
      </c>
      <c r="I135" s="30"/>
      <c r="J135" s="69" t="s">
        <v>12</v>
      </c>
      <c r="K135" s="30"/>
      <c r="L135" s="60" t="str">
        <f t="shared" si="3"/>
        <v>12023011.4010.400</v>
      </c>
    </row>
    <row r="136" spans="1:12" x14ac:dyDescent="0.2">
      <c r="A136" s="30">
        <v>18974</v>
      </c>
      <c r="B136" s="30" t="s">
        <v>94</v>
      </c>
      <c r="C136" s="30">
        <v>12023011</v>
      </c>
      <c r="D136" s="30" t="s">
        <v>93</v>
      </c>
      <c r="E136" s="30">
        <v>20</v>
      </c>
      <c r="F136" s="30" t="s">
        <v>139</v>
      </c>
      <c r="G136" s="30">
        <v>4010.4</v>
      </c>
      <c r="H136" s="30">
        <v>52.56</v>
      </c>
      <c r="I136" s="30"/>
      <c r="J136" s="69" t="s">
        <v>12</v>
      </c>
      <c r="K136" s="30"/>
      <c r="L136" s="60" t="str">
        <f t="shared" si="3"/>
        <v>12023011.4010.400</v>
      </c>
    </row>
    <row r="137" spans="1:12" x14ac:dyDescent="0.2">
      <c r="A137" s="30">
        <v>19006</v>
      </c>
      <c r="B137" s="30" t="s">
        <v>95</v>
      </c>
      <c r="C137" s="30">
        <v>12023011</v>
      </c>
      <c r="D137" s="30" t="s">
        <v>93</v>
      </c>
      <c r="E137" s="30">
        <v>20</v>
      </c>
      <c r="F137" s="30" t="s">
        <v>139</v>
      </c>
      <c r="G137" s="30">
        <v>4010.4</v>
      </c>
      <c r="H137" s="30">
        <v>294.07</v>
      </c>
      <c r="I137" s="30"/>
      <c r="J137" s="69" t="s">
        <v>12</v>
      </c>
      <c r="K137" s="30"/>
      <c r="L137" s="60" t="str">
        <f t="shared" si="3"/>
        <v>12023011.4010.400</v>
      </c>
    </row>
    <row r="138" spans="1:12" x14ac:dyDescent="0.2">
      <c r="A138" s="30">
        <v>19041</v>
      </c>
      <c r="B138" s="30" t="s">
        <v>478</v>
      </c>
      <c r="C138" s="30">
        <v>12023011</v>
      </c>
      <c r="D138" s="30" t="s">
        <v>93</v>
      </c>
      <c r="E138" s="30">
        <v>20</v>
      </c>
      <c r="F138" s="30" t="s">
        <v>139</v>
      </c>
      <c r="G138" s="30">
        <v>4010.4</v>
      </c>
      <c r="H138" s="30">
        <v>407.64</v>
      </c>
      <c r="I138" s="30"/>
      <c r="J138" s="69" t="s">
        <v>12</v>
      </c>
      <c r="K138" s="30"/>
      <c r="L138" s="60" t="str">
        <f t="shared" si="3"/>
        <v>12023011.4010.400</v>
      </c>
    </row>
    <row r="139" spans="1:12" x14ac:dyDescent="0.2">
      <c r="A139" s="30">
        <v>18962</v>
      </c>
      <c r="B139" s="30" t="s">
        <v>148</v>
      </c>
      <c r="C139" s="30">
        <v>12023011</v>
      </c>
      <c r="D139" s="30" t="s">
        <v>93</v>
      </c>
      <c r="E139" s="30">
        <v>20</v>
      </c>
      <c r="F139" s="30" t="s">
        <v>139</v>
      </c>
      <c r="G139" s="30">
        <v>4010.4</v>
      </c>
      <c r="H139" s="30">
        <v>230.77</v>
      </c>
      <c r="I139" s="30"/>
      <c r="J139" s="69" t="s">
        <v>12</v>
      </c>
      <c r="K139" s="30"/>
      <c r="L139" s="60" t="str">
        <f t="shared" si="3"/>
        <v>12023011.4010.400</v>
      </c>
    </row>
    <row r="140" spans="1:12" x14ac:dyDescent="0.2">
      <c r="A140" s="30">
        <v>19042</v>
      </c>
      <c r="B140" s="30" t="s">
        <v>479</v>
      </c>
      <c r="C140" s="30">
        <v>12023011</v>
      </c>
      <c r="D140" s="30" t="s">
        <v>93</v>
      </c>
      <c r="E140" s="30">
        <v>20</v>
      </c>
      <c r="F140" s="30" t="s">
        <v>139</v>
      </c>
      <c r="G140" s="30">
        <v>4010.4</v>
      </c>
      <c r="H140" s="30">
        <v>31.11</v>
      </c>
      <c r="I140" s="30"/>
      <c r="J140" s="69" t="s">
        <v>12</v>
      </c>
      <c r="K140" s="30"/>
      <c r="L140" s="60" t="str">
        <f t="shared" si="3"/>
        <v>12023011.4010.400</v>
      </c>
    </row>
    <row r="141" spans="1:12" x14ac:dyDescent="0.2">
      <c r="A141" s="30">
        <v>19034</v>
      </c>
      <c r="B141" s="30" t="s">
        <v>439</v>
      </c>
      <c r="C141" s="30">
        <v>12028099</v>
      </c>
      <c r="D141" s="30" t="s">
        <v>150</v>
      </c>
      <c r="E141" s="30">
        <v>20</v>
      </c>
      <c r="F141" s="30" t="s">
        <v>139</v>
      </c>
      <c r="G141" s="30">
        <v>4010.4</v>
      </c>
      <c r="H141" s="30">
        <v>576.91999999999996</v>
      </c>
      <c r="I141" s="30"/>
      <c r="J141" s="69" t="s">
        <v>12</v>
      </c>
      <c r="K141" s="30"/>
      <c r="L141" s="60" t="str">
        <f t="shared" si="3"/>
        <v>12028099.4010.400</v>
      </c>
    </row>
    <row r="142" spans="1:12" x14ac:dyDescent="0.2">
      <c r="A142" s="30">
        <v>44705</v>
      </c>
      <c r="B142" s="30" t="s">
        <v>149</v>
      </c>
      <c r="C142" s="30">
        <v>12028099</v>
      </c>
      <c r="D142" s="30" t="s">
        <v>150</v>
      </c>
      <c r="E142" s="30">
        <v>20</v>
      </c>
      <c r="F142" s="30" t="s">
        <v>139</v>
      </c>
      <c r="G142" s="30">
        <v>4010.4</v>
      </c>
      <c r="H142" s="30">
        <v>846.15</v>
      </c>
      <c r="I142" s="30"/>
      <c r="J142" s="69" t="s">
        <v>12</v>
      </c>
      <c r="K142" s="30"/>
      <c r="L142" s="60" t="str">
        <f t="shared" si="3"/>
        <v>12028099.4010.400</v>
      </c>
    </row>
    <row r="143" spans="1:12" x14ac:dyDescent="0.2">
      <c r="A143" s="30">
        <v>18797</v>
      </c>
      <c r="B143" s="30" t="s">
        <v>101</v>
      </c>
      <c r="C143" s="30">
        <v>12030611</v>
      </c>
      <c r="D143" s="30" t="s">
        <v>36</v>
      </c>
      <c r="E143" s="30">
        <v>20</v>
      </c>
      <c r="F143" s="30" t="s">
        <v>139</v>
      </c>
      <c r="G143" s="30">
        <v>4010.4</v>
      </c>
      <c r="H143" s="30">
        <v>16.100000000000001</v>
      </c>
      <c r="I143" s="30"/>
      <c r="J143" s="69" t="s">
        <v>12</v>
      </c>
      <c r="K143" s="30"/>
      <c r="L143" s="60" t="str">
        <f t="shared" si="3"/>
        <v>12030611.4010.400</v>
      </c>
    </row>
    <row r="144" spans="1:12" x14ac:dyDescent="0.2">
      <c r="A144" s="30">
        <v>18887</v>
      </c>
      <c r="B144" s="30" t="s">
        <v>105</v>
      </c>
      <c r="C144" s="30">
        <v>12030611</v>
      </c>
      <c r="D144" s="30" t="s">
        <v>36</v>
      </c>
      <c r="E144" s="30">
        <v>20</v>
      </c>
      <c r="F144" s="30" t="s">
        <v>139</v>
      </c>
      <c r="G144" s="30">
        <v>4010.4</v>
      </c>
      <c r="H144" s="30">
        <v>96.6</v>
      </c>
      <c r="I144" s="30"/>
      <c r="J144" s="69" t="s">
        <v>12</v>
      </c>
      <c r="K144" s="30"/>
      <c r="L144" s="60" t="str">
        <f t="shared" si="3"/>
        <v>12030611.4010.400</v>
      </c>
    </row>
    <row r="145" spans="1:12" x14ac:dyDescent="0.2">
      <c r="A145" s="30">
        <v>18827</v>
      </c>
      <c r="B145" s="30" t="s">
        <v>104</v>
      </c>
      <c r="C145" s="30">
        <v>12030611</v>
      </c>
      <c r="D145" s="30" t="s">
        <v>36</v>
      </c>
      <c r="E145" s="30">
        <v>20</v>
      </c>
      <c r="F145" s="30" t="s">
        <v>139</v>
      </c>
      <c r="G145" s="30">
        <v>4010.4</v>
      </c>
      <c r="H145" s="30">
        <v>32.200000000000003</v>
      </c>
      <c r="I145" s="30"/>
      <c r="J145" s="69" t="s">
        <v>12</v>
      </c>
      <c r="K145" s="30"/>
      <c r="L145" s="60" t="str">
        <f t="shared" si="3"/>
        <v>12030611.4010.400</v>
      </c>
    </row>
    <row r="146" spans="1:12" x14ac:dyDescent="0.2">
      <c r="A146" s="30">
        <v>18626</v>
      </c>
      <c r="B146" s="30" t="s">
        <v>195</v>
      </c>
      <c r="C146" s="30">
        <v>12030611</v>
      </c>
      <c r="D146" s="30" t="s">
        <v>36</v>
      </c>
      <c r="E146" s="30">
        <v>20</v>
      </c>
      <c r="F146" s="30" t="s">
        <v>139</v>
      </c>
      <c r="G146" s="30">
        <v>4010.4</v>
      </c>
      <c r="H146" s="30">
        <v>346</v>
      </c>
      <c r="I146" s="30"/>
      <c r="J146" s="69" t="s">
        <v>12</v>
      </c>
      <c r="K146" s="30"/>
      <c r="L146" s="60" t="str">
        <f t="shared" si="3"/>
        <v>12030611.4010.400</v>
      </c>
    </row>
    <row r="147" spans="1:12" x14ac:dyDescent="0.2">
      <c r="A147" s="30">
        <v>18949</v>
      </c>
      <c r="B147" s="30" t="s">
        <v>35</v>
      </c>
      <c r="C147" s="30">
        <v>12030611</v>
      </c>
      <c r="D147" s="30" t="s">
        <v>36</v>
      </c>
      <c r="E147" s="30">
        <v>20</v>
      </c>
      <c r="F147" s="30" t="s">
        <v>139</v>
      </c>
      <c r="G147" s="30">
        <v>4010.4</v>
      </c>
      <c r="H147" s="30">
        <v>112.7</v>
      </c>
      <c r="I147" s="30"/>
      <c r="J147" s="69" t="s">
        <v>12</v>
      </c>
      <c r="K147" s="30"/>
      <c r="L147" s="60" t="str">
        <f t="shared" si="3"/>
        <v>12030611.4010.400</v>
      </c>
    </row>
    <row r="148" spans="1:12" x14ac:dyDescent="0.2">
      <c r="A148" s="30">
        <v>18918</v>
      </c>
      <c r="B148" s="30" t="s">
        <v>38</v>
      </c>
      <c r="C148" s="30">
        <v>12030611</v>
      </c>
      <c r="D148" s="30" t="s">
        <v>36</v>
      </c>
      <c r="E148" s="30">
        <v>20</v>
      </c>
      <c r="F148" s="30" t="s">
        <v>139</v>
      </c>
      <c r="G148" s="30">
        <v>4010.4</v>
      </c>
      <c r="H148" s="30">
        <v>315.75</v>
      </c>
      <c r="I148" s="30"/>
      <c r="J148" s="69" t="s">
        <v>12</v>
      </c>
      <c r="K148" s="30"/>
      <c r="L148" s="60" t="str">
        <f t="shared" si="3"/>
        <v>12030611.4010.400</v>
      </c>
    </row>
    <row r="149" spans="1:12" x14ac:dyDescent="0.2">
      <c r="A149" s="30">
        <v>18822</v>
      </c>
      <c r="B149" s="30" t="s">
        <v>103</v>
      </c>
      <c r="C149" s="30">
        <v>12030611</v>
      </c>
      <c r="D149" s="30" t="s">
        <v>36</v>
      </c>
      <c r="E149" s="30">
        <v>20</v>
      </c>
      <c r="F149" s="30" t="s">
        <v>139</v>
      </c>
      <c r="G149" s="30">
        <v>4010.4</v>
      </c>
      <c r="H149" s="30">
        <v>346</v>
      </c>
      <c r="I149" s="30"/>
      <c r="J149" s="69" t="s">
        <v>12</v>
      </c>
      <c r="K149" s="30"/>
      <c r="L149" s="60" t="str">
        <f t="shared" si="3"/>
        <v>12030611.4010.400</v>
      </c>
    </row>
    <row r="150" spans="1:12" x14ac:dyDescent="0.2">
      <c r="A150" s="30">
        <v>18979</v>
      </c>
      <c r="B150" s="30" t="s">
        <v>39</v>
      </c>
      <c r="C150" s="30">
        <v>12030611</v>
      </c>
      <c r="D150" s="30" t="s">
        <v>36</v>
      </c>
      <c r="E150" s="30">
        <v>20</v>
      </c>
      <c r="F150" s="30" t="s">
        <v>139</v>
      </c>
      <c r="G150" s="30">
        <v>4010.4</v>
      </c>
      <c r="H150" s="30">
        <v>225.84</v>
      </c>
      <c r="I150" s="30"/>
      <c r="J150" s="69" t="s">
        <v>12</v>
      </c>
      <c r="K150" s="30"/>
      <c r="L150" s="60" t="str">
        <f t="shared" si="3"/>
        <v>12030611.4010.400</v>
      </c>
    </row>
    <row r="151" spans="1:12" x14ac:dyDescent="0.2">
      <c r="A151" s="30">
        <v>18989</v>
      </c>
      <c r="B151" s="30" t="s">
        <v>107</v>
      </c>
      <c r="C151" s="30">
        <v>12030800</v>
      </c>
      <c r="D151" s="30" t="s">
        <v>59</v>
      </c>
      <c r="E151" s="30">
        <v>20</v>
      </c>
      <c r="F151" s="30" t="s">
        <v>139</v>
      </c>
      <c r="G151" s="30">
        <v>4010.4</v>
      </c>
      <c r="H151" s="30">
        <v>16.100000000000001</v>
      </c>
      <c r="I151" s="30"/>
      <c r="J151" s="69" t="s">
        <v>12</v>
      </c>
      <c r="K151" s="30"/>
      <c r="L151" s="60" t="str">
        <f t="shared" si="3"/>
        <v>12030800.4010.400</v>
      </c>
    </row>
    <row r="152" spans="1:12" x14ac:dyDescent="0.2">
      <c r="A152" s="30">
        <v>18736</v>
      </c>
      <c r="B152" s="30" t="s">
        <v>70</v>
      </c>
      <c r="C152" s="30">
        <v>12032511</v>
      </c>
      <c r="D152" s="30" t="s">
        <v>43</v>
      </c>
      <c r="E152" s="30">
        <v>20</v>
      </c>
      <c r="F152" s="30" t="s">
        <v>139</v>
      </c>
      <c r="G152" s="30">
        <v>4010.4</v>
      </c>
      <c r="H152" s="30">
        <v>72.45</v>
      </c>
      <c r="I152" s="30"/>
      <c r="J152" s="69" t="s">
        <v>12</v>
      </c>
      <c r="K152" s="30"/>
      <c r="L152" s="60" t="str">
        <f t="shared" si="3"/>
        <v>12032511.4010.400</v>
      </c>
    </row>
    <row r="153" spans="1:12" x14ac:dyDescent="0.2">
      <c r="A153" s="30">
        <v>19028</v>
      </c>
      <c r="B153" s="30" t="s">
        <v>367</v>
      </c>
      <c r="C153" s="30">
        <v>12033011</v>
      </c>
      <c r="D153" s="30" t="s">
        <v>45</v>
      </c>
      <c r="E153" s="30">
        <v>20</v>
      </c>
      <c r="F153" s="30" t="s">
        <v>139</v>
      </c>
      <c r="G153" s="30">
        <v>4010.4</v>
      </c>
      <c r="H153" s="30">
        <v>96.6</v>
      </c>
      <c r="I153" s="30"/>
      <c r="J153" s="69" t="s">
        <v>12</v>
      </c>
      <c r="K153" s="30"/>
      <c r="L153" s="60" t="str">
        <f t="shared" si="3"/>
        <v>12033011.4010.400</v>
      </c>
    </row>
    <row r="154" spans="1:12" x14ac:dyDescent="0.2">
      <c r="A154" s="30">
        <v>18932</v>
      </c>
      <c r="B154" s="30" t="s">
        <v>44</v>
      </c>
      <c r="C154" s="30">
        <v>12033011</v>
      </c>
      <c r="D154" s="30" t="s">
        <v>45</v>
      </c>
      <c r="E154" s="30">
        <v>20</v>
      </c>
      <c r="F154" s="30" t="s">
        <v>139</v>
      </c>
      <c r="G154" s="30">
        <v>4010.4</v>
      </c>
      <c r="H154" s="30">
        <v>249.59</v>
      </c>
      <c r="I154" s="30"/>
      <c r="J154" s="69" t="s">
        <v>12</v>
      </c>
      <c r="K154" s="30"/>
      <c r="L154" s="60" t="str">
        <f t="shared" si="3"/>
        <v>12033011.4010.400</v>
      </c>
    </row>
    <row r="155" spans="1:12" x14ac:dyDescent="0.2">
      <c r="A155" s="30">
        <v>18983</v>
      </c>
      <c r="B155" s="30" t="s">
        <v>112</v>
      </c>
      <c r="C155" s="30">
        <v>12033011</v>
      </c>
      <c r="D155" s="30" t="s">
        <v>45</v>
      </c>
      <c r="E155" s="30">
        <v>20</v>
      </c>
      <c r="F155" s="30" t="s">
        <v>139</v>
      </c>
      <c r="G155" s="30">
        <v>4010.4</v>
      </c>
      <c r="H155" s="30">
        <v>96.6</v>
      </c>
      <c r="I155" s="30"/>
      <c r="J155" s="69" t="s">
        <v>12</v>
      </c>
      <c r="K155" s="30"/>
      <c r="L155" s="60" t="str">
        <f t="shared" si="3"/>
        <v>12033011.4010.400</v>
      </c>
    </row>
    <row r="156" spans="1:12" x14ac:dyDescent="0.2">
      <c r="A156" s="30">
        <v>18829</v>
      </c>
      <c r="B156" s="30" t="s">
        <v>115</v>
      </c>
      <c r="C156" s="30">
        <v>12033011</v>
      </c>
      <c r="D156" s="30" t="s">
        <v>45</v>
      </c>
      <c r="E156" s="30">
        <v>20</v>
      </c>
      <c r="F156" s="30" t="s">
        <v>139</v>
      </c>
      <c r="G156" s="30">
        <v>4010.4</v>
      </c>
      <c r="H156" s="30">
        <v>442.6</v>
      </c>
      <c r="I156" s="30"/>
      <c r="J156" s="69" t="s">
        <v>12</v>
      </c>
      <c r="K156" s="30"/>
      <c r="L156" s="60" t="str">
        <f t="shared" si="3"/>
        <v>12033011.4010.400</v>
      </c>
    </row>
    <row r="157" spans="1:12" x14ac:dyDescent="0.2">
      <c r="A157" s="30">
        <v>19030</v>
      </c>
      <c r="B157" s="30" t="s">
        <v>364</v>
      </c>
      <c r="C157" s="30">
        <v>12033011</v>
      </c>
      <c r="D157" s="30" t="s">
        <v>45</v>
      </c>
      <c r="E157" s="30">
        <v>20</v>
      </c>
      <c r="F157" s="30" t="s">
        <v>139</v>
      </c>
      <c r="G157" s="30">
        <v>4010.4</v>
      </c>
      <c r="H157" s="30">
        <v>424.03</v>
      </c>
      <c r="I157" s="30"/>
      <c r="J157" s="69" t="s">
        <v>12</v>
      </c>
      <c r="K157" s="30"/>
      <c r="L157" s="60" t="str">
        <f t="shared" si="3"/>
        <v>12033011.4010.400</v>
      </c>
    </row>
    <row r="158" spans="1:12" x14ac:dyDescent="0.2">
      <c r="A158" s="30">
        <v>19029</v>
      </c>
      <c r="B158" s="30" t="s">
        <v>366</v>
      </c>
      <c r="C158" s="30">
        <v>12033011</v>
      </c>
      <c r="D158" s="30" t="s">
        <v>45</v>
      </c>
      <c r="E158" s="30">
        <v>20</v>
      </c>
      <c r="F158" s="30" t="s">
        <v>139</v>
      </c>
      <c r="G158" s="30">
        <v>4010.4</v>
      </c>
      <c r="H158" s="30">
        <v>80.5</v>
      </c>
      <c r="I158" s="30"/>
      <c r="J158" s="69" t="s">
        <v>12</v>
      </c>
      <c r="K158" s="30"/>
      <c r="L158" s="60" t="str">
        <f t="shared" si="3"/>
        <v>12033011.4010.400</v>
      </c>
    </row>
    <row r="159" spans="1:12" x14ac:dyDescent="0.2">
      <c r="A159" s="30">
        <v>19011</v>
      </c>
      <c r="B159" s="30" t="s">
        <v>111</v>
      </c>
      <c r="C159" s="30">
        <v>12033011</v>
      </c>
      <c r="D159" s="30" t="s">
        <v>45</v>
      </c>
      <c r="E159" s="30">
        <v>20</v>
      </c>
      <c r="F159" s="30" t="s">
        <v>139</v>
      </c>
      <c r="G159" s="30">
        <v>4010.4</v>
      </c>
      <c r="H159" s="30">
        <v>16.100000000000001</v>
      </c>
      <c r="I159" s="30"/>
      <c r="J159" s="69" t="s">
        <v>12</v>
      </c>
      <c r="K159" s="30"/>
      <c r="L159" s="60" t="str">
        <f t="shared" si="3"/>
        <v>12033011.4010.400</v>
      </c>
    </row>
    <row r="160" spans="1:12" x14ac:dyDescent="0.2">
      <c r="A160" s="30">
        <v>19015</v>
      </c>
      <c r="B160" s="30" t="s">
        <v>116</v>
      </c>
      <c r="C160" s="30">
        <v>12033011</v>
      </c>
      <c r="D160" s="30" t="s">
        <v>45</v>
      </c>
      <c r="E160" s="30">
        <v>20</v>
      </c>
      <c r="F160" s="30" t="s">
        <v>139</v>
      </c>
      <c r="G160" s="30">
        <v>4010.4</v>
      </c>
      <c r="H160" s="30">
        <v>96.6</v>
      </c>
      <c r="I160" s="30"/>
      <c r="J160" s="69" t="s">
        <v>12</v>
      </c>
      <c r="K160" s="30"/>
      <c r="L160" s="60" t="str">
        <f t="shared" si="3"/>
        <v>12033011.4010.400</v>
      </c>
    </row>
    <row r="161" spans="1:12" x14ac:dyDescent="0.2">
      <c r="A161" s="30">
        <v>19012</v>
      </c>
      <c r="B161" s="30" t="s">
        <v>110</v>
      </c>
      <c r="C161" s="30">
        <v>12033011</v>
      </c>
      <c r="D161" s="30" t="s">
        <v>45</v>
      </c>
      <c r="E161" s="30">
        <v>20</v>
      </c>
      <c r="F161" s="30" t="s">
        <v>139</v>
      </c>
      <c r="G161" s="30">
        <v>4010.4</v>
      </c>
      <c r="H161" s="30">
        <v>80.5</v>
      </c>
      <c r="I161" s="30"/>
      <c r="J161" s="69" t="s">
        <v>12</v>
      </c>
      <c r="K161" s="30"/>
      <c r="L161" s="60" t="str">
        <f t="shared" si="3"/>
        <v>12033011.4010.400</v>
      </c>
    </row>
    <row r="162" spans="1:12" x14ac:dyDescent="0.2">
      <c r="A162" s="30">
        <v>19019</v>
      </c>
      <c r="B162" s="30" t="s">
        <v>108</v>
      </c>
      <c r="C162" s="30">
        <v>12033011</v>
      </c>
      <c r="D162" s="30" t="s">
        <v>45</v>
      </c>
      <c r="E162" s="30">
        <v>20</v>
      </c>
      <c r="F162" s="30" t="s">
        <v>139</v>
      </c>
      <c r="G162" s="30">
        <v>4010.4</v>
      </c>
      <c r="H162" s="30">
        <v>80.5</v>
      </c>
      <c r="I162" s="30"/>
      <c r="J162" s="69" t="s">
        <v>12</v>
      </c>
      <c r="K162" s="30"/>
      <c r="L162" s="60" t="str">
        <f t="shared" si="3"/>
        <v>12033011.4010.400</v>
      </c>
    </row>
    <row r="163" spans="1:12" x14ac:dyDescent="0.2">
      <c r="A163" s="30">
        <v>19017</v>
      </c>
      <c r="B163" s="30" t="s">
        <v>65</v>
      </c>
      <c r="C163" s="30">
        <v>12033011</v>
      </c>
      <c r="D163" s="30" t="s">
        <v>45</v>
      </c>
      <c r="E163" s="30">
        <v>20</v>
      </c>
      <c r="F163" s="30" t="s">
        <v>139</v>
      </c>
      <c r="G163" s="30">
        <v>4010.4</v>
      </c>
      <c r="H163" s="30">
        <v>16.100000000000001</v>
      </c>
      <c r="I163" s="30"/>
      <c r="J163" s="69" t="s">
        <v>12</v>
      </c>
      <c r="K163" s="30"/>
      <c r="L163" s="60" t="str">
        <f t="shared" si="3"/>
        <v>12033011.4010.400</v>
      </c>
    </row>
    <row r="164" spans="1:12" x14ac:dyDescent="0.2">
      <c r="A164" s="30">
        <v>18998</v>
      </c>
      <c r="B164" s="30" t="s">
        <v>47</v>
      </c>
      <c r="C164" s="30">
        <v>12038099</v>
      </c>
      <c r="D164" s="30" t="s">
        <v>48</v>
      </c>
      <c r="E164" s="30">
        <v>20</v>
      </c>
      <c r="F164" s="30" t="s">
        <v>139</v>
      </c>
      <c r="G164" s="30">
        <v>4010.4</v>
      </c>
      <c r="H164" s="30">
        <v>692.31</v>
      </c>
      <c r="I164" s="30"/>
      <c r="J164" s="69" t="s">
        <v>12</v>
      </c>
      <c r="K164" s="30"/>
      <c r="L164" s="60" t="str">
        <f t="shared" si="3"/>
        <v>12038099.4010.400</v>
      </c>
    </row>
    <row r="165" spans="1:12" x14ac:dyDescent="0.2">
      <c r="A165" s="30">
        <v>18649</v>
      </c>
      <c r="B165" s="30" t="s">
        <v>152</v>
      </c>
      <c r="C165" s="30">
        <v>12040500</v>
      </c>
      <c r="D165" s="30" t="s">
        <v>67</v>
      </c>
      <c r="E165" s="30">
        <v>20</v>
      </c>
      <c r="F165" s="30" t="s">
        <v>139</v>
      </c>
      <c r="G165" s="30">
        <v>4010.4</v>
      </c>
      <c r="H165" s="30">
        <v>36.46</v>
      </c>
      <c r="I165" s="30"/>
      <c r="J165" s="69" t="s">
        <v>12</v>
      </c>
      <c r="K165" s="30"/>
      <c r="L165" s="60" t="str">
        <f t="shared" si="3"/>
        <v>12040500.4010.400</v>
      </c>
    </row>
    <row r="166" spans="1:12" x14ac:dyDescent="0.2">
      <c r="A166" s="30">
        <v>18713</v>
      </c>
      <c r="B166" s="30" t="s">
        <v>154</v>
      </c>
      <c r="C166" s="30">
        <v>12043011</v>
      </c>
      <c r="D166" s="30" t="s">
        <v>52</v>
      </c>
      <c r="E166" s="30">
        <v>20</v>
      </c>
      <c r="F166" s="30" t="s">
        <v>139</v>
      </c>
      <c r="G166" s="30">
        <v>4010.4</v>
      </c>
      <c r="H166" s="30">
        <v>267.22000000000003</v>
      </c>
      <c r="I166" s="30"/>
      <c r="J166" s="69" t="s">
        <v>12</v>
      </c>
      <c r="K166" s="30"/>
      <c r="L166" s="60" t="str">
        <f t="shared" si="3"/>
        <v>12043011.4010.400</v>
      </c>
    </row>
    <row r="167" spans="1:12" x14ac:dyDescent="0.2">
      <c r="A167" s="30">
        <v>18858</v>
      </c>
      <c r="B167" s="30" t="s">
        <v>122</v>
      </c>
      <c r="C167" s="30">
        <v>12043011</v>
      </c>
      <c r="D167" s="30" t="s">
        <v>52</v>
      </c>
      <c r="E167" s="30">
        <v>20</v>
      </c>
      <c r="F167" s="30" t="s">
        <v>139</v>
      </c>
      <c r="G167" s="30">
        <v>4010.4</v>
      </c>
      <c r="H167" s="30">
        <v>36.46</v>
      </c>
      <c r="I167" s="30"/>
      <c r="J167" s="69" t="s">
        <v>12</v>
      </c>
      <c r="K167" s="30"/>
      <c r="L167" s="60" t="str">
        <f t="shared" si="3"/>
        <v>12043011.4010.400</v>
      </c>
    </row>
    <row r="168" spans="1:12" x14ac:dyDescent="0.2">
      <c r="A168" s="30">
        <v>18917</v>
      </c>
      <c r="B168" s="30" t="s">
        <v>68</v>
      </c>
      <c r="C168" s="30">
        <v>12043011</v>
      </c>
      <c r="D168" s="30" t="s">
        <v>52</v>
      </c>
      <c r="E168" s="30">
        <v>20</v>
      </c>
      <c r="F168" s="30" t="s">
        <v>139</v>
      </c>
      <c r="G168" s="30">
        <v>4010.4</v>
      </c>
      <c r="H168" s="30">
        <v>95.02</v>
      </c>
      <c r="I168" s="30"/>
      <c r="J168" s="69" t="s">
        <v>12</v>
      </c>
      <c r="K168" s="30"/>
      <c r="L168" s="60" t="str">
        <f t="shared" si="3"/>
        <v>12043011.4010.400</v>
      </c>
    </row>
    <row r="169" spans="1:12" x14ac:dyDescent="0.2">
      <c r="A169" s="30">
        <v>18850</v>
      </c>
      <c r="B169" s="30" t="s">
        <v>123</v>
      </c>
      <c r="C169" s="30">
        <v>12043011</v>
      </c>
      <c r="D169" s="30" t="s">
        <v>52</v>
      </c>
      <c r="E169" s="30">
        <v>20</v>
      </c>
      <c r="F169" s="30" t="s">
        <v>139</v>
      </c>
      <c r="G169" s="30">
        <v>4010.4</v>
      </c>
      <c r="H169" s="30">
        <v>36.46</v>
      </c>
      <c r="I169" s="30"/>
      <c r="J169" s="69" t="s">
        <v>12</v>
      </c>
      <c r="K169" s="30"/>
      <c r="L169" s="60" t="str">
        <f t="shared" si="3"/>
        <v>12043011.4010.400</v>
      </c>
    </row>
    <row r="170" spans="1:12" x14ac:dyDescent="0.2">
      <c r="A170" s="30">
        <v>19039</v>
      </c>
      <c r="B170" s="30" t="s">
        <v>443</v>
      </c>
      <c r="C170" s="30">
        <v>12043011</v>
      </c>
      <c r="D170" s="30" t="s">
        <v>52</v>
      </c>
      <c r="E170" s="30">
        <v>20</v>
      </c>
      <c r="F170" s="30" t="s">
        <v>139</v>
      </c>
      <c r="G170" s="30">
        <v>4010.4</v>
      </c>
      <c r="H170" s="30">
        <v>162.49</v>
      </c>
      <c r="I170" s="30"/>
      <c r="J170" s="69" t="s">
        <v>12</v>
      </c>
      <c r="K170" s="30"/>
      <c r="L170" s="60" t="str">
        <f t="shared" si="3"/>
        <v>12043011.4010.400</v>
      </c>
    </row>
    <row r="171" spans="1:12" x14ac:dyDescent="0.2">
      <c r="A171" s="30">
        <v>18942</v>
      </c>
      <c r="B171" s="30" t="s">
        <v>51</v>
      </c>
      <c r="C171" s="30">
        <v>12043011</v>
      </c>
      <c r="D171" s="30" t="s">
        <v>52</v>
      </c>
      <c r="E171" s="30">
        <v>20</v>
      </c>
      <c r="F171" s="30" t="s">
        <v>139</v>
      </c>
      <c r="G171" s="30">
        <v>4010.4</v>
      </c>
      <c r="H171" s="30">
        <v>88.22</v>
      </c>
      <c r="I171" s="30"/>
      <c r="J171" s="69" t="s">
        <v>12</v>
      </c>
      <c r="K171" s="30"/>
      <c r="L171" s="60" t="str">
        <f t="shared" si="3"/>
        <v>12043011.4010.400</v>
      </c>
    </row>
    <row r="172" spans="1:12" x14ac:dyDescent="0.2">
      <c r="A172" s="30">
        <v>19023</v>
      </c>
      <c r="B172" s="30" t="s">
        <v>69</v>
      </c>
      <c r="C172" s="30">
        <v>12043011</v>
      </c>
      <c r="D172" s="30" t="s">
        <v>52</v>
      </c>
      <c r="E172" s="30">
        <v>20</v>
      </c>
      <c r="F172" s="30" t="s">
        <v>139</v>
      </c>
      <c r="G172" s="30">
        <v>4010.4</v>
      </c>
      <c r="H172" s="30">
        <v>189.22</v>
      </c>
      <c r="I172" s="30"/>
      <c r="J172" s="69" t="s">
        <v>12</v>
      </c>
      <c r="K172" s="30"/>
      <c r="L172" s="60" t="str">
        <f t="shared" si="3"/>
        <v>12043011.4010.400</v>
      </c>
    </row>
    <row r="173" spans="1:12" x14ac:dyDescent="0.2">
      <c r="A173" s="30">
        <v>18986</v>
      </c>
      <c r="B173" s="30" t="s">
        <v>153</v>
      </c>
      <c r="C173" s="30">
        <v>12043011</v>
      </c>
      <c r="D173" s="30" t="s">
        <v>52</v>
      </c>
      <c r="E173" s="30">
        <v>20</v>
      </c>
      <c r="F173" s="30" t="s">
        <v>139</v>
      </c>
      <c r="G173" s="30">
        <v>4010.4</v>
      </c>
      <c r="H173" s="30">
        <v>243.73</v>
      </c>
      <c r="I173" s="30"/>
      <c r="J173" s="69" t="s">
        <v>12</v>
      </c>
      <c r="K173" s="30"/>
      <c r="L173" s="60" t="str">
        <f t="shared" si="3"/>
        <v>12043011.4010.400</v>
      </c>
    </row>
    <row r="174" spans="1:12" x14ac:dyDescent="0.2">
      <c r="A174" s="30">
        <v>19031</v>
      </c>
      <c r="B174" s="30" t="s">
        <v>387</v>
      </c>
      <c r="C174" s="30">
        <v>12048099</v>
      </c>
      <c r="D174" s="30" t="s">
        <v>156</v>
      </c>
      <c r="E174" s="30">
        <v>20</v>
      </c>
      <c r="F174" s="30" t="s">
        <v>139</v>
      </c>
      <c r="G174" s="30">
        <v>4010.4</v>
      </c>
      <c r="H174" s="30">
        <v>692.31</v>
      </c>
      <c r="I174" s="30"/>
      <c r="J174" s="69" t="s">
        <v>12</v>
      </c>
      <c r="K174" s="30"/>
      <c r="L174" s="60" t="str">
        <f t="shared" si="3"/>
        <v>12048099.4010.400</v>
      </c>
    </row>
    <row r="175" spans="1:12" x14ac:dyDescent="0.2">
      <c r="A175" s="30">
        <v>18442</v>
      </c>
      <c r="B175" s="30" t="s">
        <v>157</v>
      </c>
      <c r="C175" s="30">
        <v>12060400</v>
      </c>
      <c r="D175" s="30" t="s">
        <v>158</v>
      </c>
      <c r="E175" s="30">
        <v>20</v>
      </c>
      <c r="F175" s="30" t="s">
        <v>139</v>
      </c>
      <c r="G175" s="30">
        <v>4010.4</v>
      </c>
      <c r="H175" s="30">
        <v>36.46</v>
      </c>
      <c r="I175" s="30"/>
      <c r="J175" s="69" t="s">
        <v>12</v>
      </c>
      <c r="K175" s="30"/>
      <c r="L175" s="60" t="str">
        <f t="shared" si="3"/>
        <v>12060400.4010.400</v>
      </c>
    </row>
    <row r="176" spans="1:12" x14ac:dyDescent="0.2">
      <c r="A176" s="30">
        <v>18823</v>
      </c>
      <c r="B176" s="30" t="s">
        <v>53</v>
      </c>
      <c r="C176" s="30">
        <v>12060611</v>
      </c>
      <c r="D176" s="30" t="s">
        <v>54</v>
      </c>
      <c r="E176" s="30">
        <v>20</v>
      </c>
      <c r="F176" s="30" t="s">
        <v>139</v>
      </c>
      <c r="G176" s="30">
        <v>4010.4</v>
      </c>
      <c r="H176" s="30">
        <v>36.46</v>
      </c>
      <c r="I176" s="30"/>
      <c r="J176" s="69" t="s">
        <v>12</v>
      </c>
      <c r="K176" s="30"/>
      <c r="L176" s="60" t="str">
        <f t="shared" si="3"/>
        <v>12060611.4010.400</v>
      </c>
    </row>
    <row r="177" spans="1:12" x14ac:dyDescent="0.2">
      <c r="A177" s="30">
        <v>261</v>
      </c>
      <c r="B177" s="30" t="s">
        <v>159</v>
      </c>
      <c r="C177" s="30">
        <v>12060611</v>
      </c>
      <c r="D177" s="30" t="s">
        <v>54</v>
      </c>
      <c r="E177" s="30">
        <v>20</v>
      </c>
      <c r="F177" s="30" t="s">
        <v>139</v>
      </c>
      <c r="G177" s="30">
        <v>4010.4</v>
      </c>
      <c r="H177" s="30">
        <v>36.46</v>
      </c>
      <c r="I177" s="30"/>
      <c r="J177" s="69" t="s">
        <v>12</v>
      </c>
      <c r="K177" s="30"/>
      <c r="L177" s="60" t="str">
        <f t="shared" si="3"/>
        <v>12060611.4010.400</v>
      </c>
    </row>
    <row r="178" spans="1:12" x14ac:dyDescent="0.2">
      <c r="A178" s="30">
        <v>18895</v>
      </c>
      <c r="B178" s="30" t="s">
        <v>128</v>
      </c>
      <c r="C178" s="30">
        <v>12060611</v>
      </c>
      <c r="D178" s="30" t="s">
        <v>54</v>
      </c>
      <c r="E178" s="30">
        <v>20</v>
      </c>
      <c r="F178" s="30" t="s">
        <v>139</v>
      </c>
      <c r="G178" s="30">
        <v>4010.4</v>
      </c>
      <c r="H178" s="30">
        <v>16.100000000000001</v>
      </c>
      <c r="I178" s="30"/>
      <c r="J178" s="69" t="s">
        <v>12</v>
      </c>
      <c r="K178" s="30"/>
      <c r="L178" s="60" t="str">
        <f t="shared" si="3"/>
        <v>12060611.4010.400</v>
      </c>
    </row>
    <row r="179" spans="1:12" x14ac:dyDescent="0.2">
      <c r="A179" s="30">
        <v>18561</v>
      </c>
      <c r="B179" s="30" t="s">
        <v>134</v>
      </c>
      <c r="C179" s="30">
        <v>12060800</v>
      </c>
      <c r="D179" s="30" t="s">
        <v>135</v>
      </c>
      <c r="E179" s="30">
        <v>20</v>
      </c>
      <c r="F179" s="30" t="s">
        <v>139</v>
      </c>
      <c r="G179" s="30">
        <v>4010.4</v>
      </c>
      <c r="H179" s="30">
        <v>16.100000000000001</v>
      </c>
      <c r="I179" s="30"/>
      <c r="J179" s="69" t="s">
        <v>12</v>
      </c>
      <c r="K179" s="30"/>
      <c r="L179" s="60" t="str">
        <f t="shared" si="3"/>
        <v>12060800.4010.400</v>
      </c>
    </row>
    <row r="180" spans="1:12" x14ac:dyDescent="0.2">
      <c r="A180" s="30">
        <v>18876</v>
      </c>
      <c r="B180" s="30" t="s">
        <v>160</v>
      </c>
      <c r="C180" s="30">
        <v>12068099</v>
      </c>
      <c r="D180" s="30" t="s">
        <v>161</v>
      </c>
      <c r="E180" s="30">
        <v>20</v>
      </c>
      <c r="F180" s="30" t="s">
        <v>139</v>
      </c>
      <c r="G180" s="30">
        <v>4010.4</v>
      </c>
      <c r="H180" s="30">
        <v>692.31</v>
      </c>
      <c r="I180" s="30"/>
      <c r="J180" s="69" t="s">
        <v>12</v>
      </c>
      <c r="K180" s="30"/>
      <c r="L180" s="60" t="str">
        <f t="shared" si="3"/>
        <v>12068099.4010.400</v>
      </c>
    </row>
    <row r="181" spans="1:12" x14ac:dyDescent="0.2">
      <c r="A181" s="30">
        <v>18726</v>
      </c>
      <c r="B181" s="30" t="s">
        <v>162</v>
      </c>
      <c r="C181" s="30">
        <v>12010500</v>
      </c>
      <c r="D181" s="30" t="s">
        <v>60</v>
      </c>
      <c r="E181" s="30">
        <v>40</v>
      </c>
      <c r="F181" s="30" t="s">
        <v>163</v>
      </c>
      <c r="G181" s="30">
        <v>4080.1</v>
      </c>
      <c r="H181" s="30">
        <v>165</v>
      </c>
      <c r="I181" s="30"/>
      <c r="J181" s="69" t="s">
        <v>12</v>
      </c>
      <c r="K181" s="30"/>
      <c r="L181" s="60" t="str">
        <f t="shared" si="3"/>
        <v>12010500.4080.100</v>
      </c>
    </row>
    <row r="182" spans="1:12" x14ac:dyDescent="0.2">
      <c r="A182" s="30">
        <v>18946</v>
      </c>
      <c r="B182" s="30" t="s">
        <v>13</v>
      </c>
      <c r="C182" s="30">
        <v>12013250</v>
      </c>
      <c r="D182" s="30" t="s">
        <v>10</v>
      </c>
      <c r="E182" s="30">
        <v>40</v>
      </c>
      <c r="F182" s="30" t="s">
        <v>163</v>
      </c>
      <c r="G182" s="30">
        <v>4080.1</v>
      </c>
      <c r="H182" s="30">
        <v>300</v>
      </c>
      <c r="I182" s="30"/>
      <c r="J182" s="69" t="s">
        <v>12</v>
      </c>
      <c r="K182" s="30"/>
      <c r="L182" s="60" t="str">
        <f t="shared" si="3"/>
        <v>12013250.4080.100</v>
      </c>
    </row>
    <row r="183" spans="1:12" x14ac:dyDescent="0.2">
      <c r="A183" s="30">
        <v>220</v>
      </c>
      <c r="B183" s="30" t="s">
        <v>14</v>
      </c>
      <c r="C183" s="30">
        <v>12013300</v>
      </c>
      <c r="D183" s="30" t="s">
        <v>15</v>
      </c>
      <c r="E183" s="30">
        <v>40</v>
      </c>
      <c r="F183" s="30" t="s">
        <v>163</v>
      </c>
      <c r="G183" s="30">
        <v>4080.1</v>
      </c>
      <c r="H183" s="30">
        <v>75</v>
      </c>
      <c r="I183" s="30"/>
      <c r="J183" s="69" t="s">
        <v>12</v>
      </c>
      <c r="K183" s="30"/>
      <c r="L183" s="60" t="str">
        <f t="shared" si="3"/>
        <v>12013300.4080.100</v>
      </c>
    </row>
    <row r="184" spans="1:12" x14ac:dyDescent="0.2">
      <c r="A184" s="30">
        <v>18968</v>
      </c>
      <c r="B184" s="30" t="s">
        <v>164</v>
      </c>
      <c r="C184" s="30">
        <v>12019199</v>
      </c>
      <c r="D184" s="30" t="s">
        <v>147</v>
      </c>
      <c r="E184" s="30">
        <v>40</v>
      </c>
      <c r="F184" s="30" t="s">
        <v>163</v>
      </c>
      <c r="G184" s="30">
        <v>4080.1</v>
      </c>
      <c r="H184" s="30">
        <v>400</v>
      </c>
      <c r="I184" s="30"/>
      <c r="J184" s="69" t="s">
        <v>12</v>
      </c>
      <c r="K184" s="30"/>
      <c r="L184" s="60" t="str">
        <f t="shared" si="3"/>
        <v>12019199.4080.100</v>
      </c>
    </row>
    <row r="185" spans="1:12" x14ac:dyDescent="0.2">
      <c r="A185" s="30">
        <v>18550</v>
      </c>
      <c r="B185" s="30" t="s">
        <v>165</v>
      </c>
      <c r="C185" s="30">
        <v>12019199</v>
      </c>
      <c r="D185" s="30" t="s">
        <v>147</v>
      </c>
      <c r="E185" s="30">
        <v>40</v>
      </c>
      <c r="F185" s="30" t="s">
        <v>163</v>
      </c>
      <c r="G185" s="30">
        <v>4080.1</v>
      </c>
      <c r="H185" s="30">
        <v>780</v>
      </c>
      <c r="I185" s="30"/>
      <c r="J185" s="69" t="s">
        <v>12</v>
      </c>
      <c r="K185" s="30"/>
      <c r="L185" s="60" t="str">
        <f t="shared" si="3"/>
        <v>12019199.4080.100</v>
      </c>
    </row>
    <row r="186" spans="1:12" x14ac:dyDescent="0.2">
      <c r="A186" s="30">
        <v>18957</v>
      </c>
      <c r="B186" s="30" t="s">
        <v>74</v>
      </c>
      <c r="C186" s="30">
        <v>12020611</v>
      </c>
      <c r="D186" s="30" t="s">
        <v>23</v>
      </c>
      <c r="E186" s="30">
        <v>40</v>
      </c>
      <c r="F186" s="30" t="s">
        <v>163</v>
      </c>
      <c r="G186" s="30">
        <v>4080.1</v>
      </c>
      <c r="H186" s="30">
        <v>860</v>
      </c>
      <c r="I186" s="30"/>
      <c r="J186" s="69" t="s">
        <v>12</v>
      </c>
      <c r="K186" s="30"/>
      <c r="L186" s="60" t="str">
        <f t="shared" si="3"/>
        <v>12020611.4080.100</v>
      </c>
    </row>
    <row r="187" spans="1:12" x14ac:dyDescent="0.2">
      <c r="A187" s="30">
        <v>261</v>
      </c>
      <c r="B187" s="30" t="s">
        <v>159</v>
      </c>
      <c r="C187" s="30">
        <v>12060611</v>
      </c>
      <c r="D187" s="30" t="s">
        <v>54</v>
      </c>
      <c r="E187" s="30">
        <v>40</v>
      </c>
      <c r="F187" s="30" t="s">
        <v>163</v>
      </c>
      <c r="G187" s="30">
        <v>4080.1</v>
      </c>
      <c r="H187" s="30">
        <v>150</v>
      </c>
      <c r="I187" s="30"/>
      <c r="J187" s="69" t="s">
        <v>12</v>
      </c>
      <c r="K187" s="30"/>
      <c r="L187" s="60" t="str">
        <f t="shared" si="3"/>
        <v>12060611.4080.100</v>
      </c>
    </row>
    <row r="188" spans="1:12" x14ac:dyDescent="0.2">
      <c r="A188" s="30">
        <v>18647</v>
      </c>
      <c r="B188" s="30" t="s">
        <v>167</v>
      </c>
      <c r="C188" s="30">
        <v>12010500</v>
      </c>
      <c r="D188" s="30" t="s">
        <v>60</v>
      </c>
      <c r="E188" s="30">
        <v>50</v>
      </c>
      <c r="F188" s="30" t="s">
        <v>166</v>
      </c>
      <c r="G188" s="30">
        <v>4080.1</v>
      </c>
      <c r="H188" s="30">
        <v>437.55</v>
      </c>
      <c r="I188" s="30"/>
      <c r="J188" s="69" t="s">
        <v>12</v>
      </c>
      <c r="K188" s="30"/>
      <c r="L188" s="60" t="str">
        <f t="shared" si="3"/>
        <v>12010500.4080.100</v>
      </c>
    </row>
    <row r="189" spans="1:12" x14ac:dyDescent="0.2">
      <c r="A189" s="30">
        <v>18871</v>
      </c>
      <c r="B189" s="30" t="s">
        <v>168</v>
      </c>
      <c r="C189" s="30">
        <v>12010500</v>
      </c>
      <c r="D189" s="30" t="s">
        <v>60</v>
      </c>
      <c r="E189" s="30">
        <v>50</v>
      </c>
      <c r="F189" s="30" t="s">
        <v>166</v>
      </c>
      <c r="G189" s="30">
        <v>4080.1</v>
      </c>
      <c r="H189" s="30">
        <v>444.23</v>
      </c>
      <c r="I189" s="30"/>
      <c r="J189" s="69" t="s">
        <v>12</v>
      </c>
      <c r="K189" s="30"/>
      <c r="L189" s="60" t="str">
        <f t="shared" si="3"/>
        <v>12010500.4080.100</v>
      </c>
    </row>
    <row r="190" spans="1:12" x14ac:dyDescent="0.2">
      <c r="A190" s="30">
        <v>18517</v>
      </c>
      <c r="B190" s="30" t="s">
        <v>140</v>
      </c>
      <c r="C190" s="30">
        <v>12010500</v>
      </c>
      <c r="D190" s="30" t="s">
        <v>60</v>
      </c>
      <c r="E190" s="30">
        <v>50</v>
      </c>
      <c r="F190" s="30" t="s">
        <v>166</v>
      </c>
      <c r="G190" s="30">
        <v>4080.1</v>
      </c>
      <c r="H190" s="30">
        <v>565.39</v>
      </c>
      <c r="I190" s="30"/>
      <c r="J190" s="69" t="s">
        <v>12</v>
      </c>
      <c r="K190" s="30"/>
      <c r="L190" s="60" t="str">
        <f t="shared" si="3"/>
        <v>12010500.4080.100</v>
      </c>
    </row>
    <row r="191" spans="1:12" x14ac:dyDescent="0.2">
      <c r="A191" s="30">
        <v>18726</v>
      </c>
      <c r="B191" s="30" t="s">
        <v>162</v>
      </c>
      <c r="C191" s="30">
        <v>12010500</v>
      </c>
      <c r="D191" s="30" t="s">
        <v>60</v>
      </c>
      <c r="E191" s="30">
        <v>50</v>
      </c>
      <c r="F191" s="30" t="s">
        <v>166</v>
      </c>
      <c r="G191" s="30">
        <v>4080.1</v>
      </c>
      <c r="H191" s="30">
        <v>102.98</v>
      </c>
      <c r="I191" s="30"/>
      <c r="J191" s="69" t="s">
        <v>12</v>
      </c>
      <c r="K191" s="30"/>
      <c r="L191" s="60" t="str">
        <f t="shared" si="3"/>
        <v>12010500.4080.100</v>
      </c>
    </row>
    <row r="192" spans="1:12" x14ac:dyDescent="0.2">
      <c r="A192" s="30">
        <v>152</v>
      </c>
      <c r="B192" s="30" t="s">
        <v>169</v>
      </c>
      <c r="C192" s="30">
        <v>12010700</v>
      </c>
      <c r="D192" s="30" t="s">
        <v>170</v>
      </c>
      <c r="E192" s="30">
        <v>50</v>
      </c>
      <c r="F192" s="30" t="s">
        <v>166</v>
      </c>
      <c r="G192" s="30">
        <v>4080.1</v>
      </c>
      <c r="H192" s="30">
        <v>403.85</v>
      </c>
      <c r="I192" s="30"/>
      <c r="J192" s="69" t="s">
        <v>12</v>
      </c>
      <c r="K192" s="30"/>
      <c r="L192" s="60" t="str">
        <f t="shared" si="3"/>
        <v>12010700.4080.100</v>
      </c>
    </row>
    <row r="193" spans="1:12" x14ac:dyDescent="0.2">
      <c r="A193" s="30">
        <v>19014</v>
      </c>
      <c r="B193" s="30" t="s">
        <v>171</v>
      </c>
      <c r="C193" s="30">
        <v>12013012</v>
      </c>
      <c r="D193" s="30" t="s">
        <v>71</v>
      </c>
      <c r="E193" s="30">
        <v>50</v>
      </c>
      <c r="F193" s="30" t="s">
        <v>166</v>
      </c>
      <c r="G193" s="30">
        <v>4080.1</v>
      </c>
      <c r="H193" s="30">
        <v>262.5</v>
      </c>
      <c r="I193" s="30"/>
      <c r="J193" s="69" t="s">
        <v>12</v>
      </c>
      <c r="K193" s="30"/>
      <c r="L193" s="60" t="str">
        <f t="shared" si="3"/>
        <v>12013012.4080.100</v>
      </c>
    </row>
    <row r="194" spans="1:12" x14ac:dyDescent="0.2">
      <c r="A194" s="30">
        <v>18736</v>
      </c>
      <c r="B194" s="30" t="s">
        <v>70</v>
      </c>
      <c r="C194" s="30">
        <v>12013012</v>
      </c>
      <c r="D194" s="30" t="s">
        <v>71</v>
      </c>
      <c r="E194" s="30">
        <v>50</v>
      </c>
      <c r="F194" s="30" t="s">
        <v>166</v>
      </c>
      <c r="G194" s="30">
        <v>4080.1</v>
      </c>
      <c r="H194" s="30">
        <v>61.44</v>
      </c>
      <c r="I194" s="30"/>
      <c r="J194" s="69" t="s">
        <v>12</v>
      </c>
      <c r="K194" s="30"/>
      <c r="L194" s="60" t="str">
        <f t="shared" ref="L194:L257" si="4">C194&amp;"."&amp;G194&amp;J194</f>
        <v>12013012.4080.100</v>
      </c>
    </row>
    <row r="195" spans="1:12" x14ac:dyDescent="0.2">
      <c r="A195" s="30">
        <v>18920</v>
      </c>
      <c r="B195" s="30" t="s">
        <v>9</v>
      </c>
      <c r="C195" s="30">
        <v>12013250</v>
      </c>
      <c r="D195" s="30" t="s">
        <v>10</v>
      </c>
      <c r="E195" s="30">
        <v>50</v>
      </c>
      <c r="F195" s="30" t="s">
        <v>166</v>
      </c>
      <c r="G195" s="30">
        <v>4080.1</v>
      </c>
      <c r="H195" s="30">
        <v>500.77</v>
      </c>
      <c r="I195" s="30"/>
      <c r="J195" s="69" t="s">
        <v>12</v>
      </c>
      <c r="K195" s="30"/>
      <c r="L195" s="60" t="str">
        <f t="shared" si="4"/>
        <v>12013250.4080.100</v>
      </c>
    </row>
    <row r="196" spans="1:12" x14ac:dyDescent="0.2">
      <c r="A196" s="30">
        <v>18988</v>
      </c>
      <c r="B196" s="30" t="s">
        <v>175</v>
      </c>
      <c r="C196" s="30">
        <v>12013250</v>
      </c>
      <c r="D196" s="30" t="s">
        <v>10</v>
      </c>
      <c r="E196" s="30">
        <v>50</v>
      </c>
      <c r="F196" s="30" t="s">
        <v>166</v>
      </c>
      <c r="G196" s="30">
        <v>4080.1</v>
      </c>
      <c r="H196" s="30">
        <v>282.69</v>
      </c>
      <c r="I196" s="30"/>
      <c r="J196" s="69" t="s">
        <v>12</v>
      </c>
      <c r="K196" s="30"/>
      <c r="L196" s="60" t="str">
        <f t="shared" si="4"/>
        <v>12013250.4080.100</v>
      </c>
    </row>
    <row r="197" spans="1:12" x14ac:dyDescent="0.2">
      <c r="A197" s="30">
        <v>18721</v>
      </c>
      <c r="B197" s="30" t="s">
        <v>172</v>
      </c>
      <c r="C197" s="30">
        <v>12013250</v>
      </c>
      <c r="D197" s="30" t="s">
        <v>10</v>
      </c>
      <c r="E197" s="30">
        <v>50</v>
      </c>
      <c r="F197" s="30" t="s">
        <v>166</v>
      </c>
      <c r="G197" s="30">
        <v>4080.1</v>
      </c>
      <c r="H197" s="30">
        <v>294.81</v>
      </c>
      <c r="I197" s="30"/>
      <c r="J197" s="69" t="s">
        <v>12</v>
      </c>
      <c r="K197" s="30"/>
      <c r="L197" s="60" t="str">
        <f t="shared" si="4"/>
        <v>12013250.4080.100</v>
      </c>
    </row>
    <row r="198" spans="1:12" x14ac:dyDescent="0.2">
      <c r="A198" s="30">
        <v>18995</v>
      </c>
      <c r="B198" s="30" t="s">
        <v>174</v>
      </c>
      <c r="C198" s="30">
        <v>12013250</v>
      </c>
      <c r="D198" s="30" t="s">
        <v>10</v>
      </c>
      <c r="E198" s="30">
        <v>50</v>
      </c>
      <c r="F198" s="30" t="s">
        <v>166</v>
      </c>
      <c r="G198" s="30">
        <v>4080.1</v>
      </c>
      <c r="H198" s="30">
        <v>242.31</v>
      </c>
      <c r="I198" s="30"/>
      <c r="J198" s="69" t="s">
        <v>12</v>
      </c>
      <c r="K198" s="30"/>
      <c r="L198" s="60" t="str">
        <f t="shared" si="4"/>
        <v>12013250.4080.100</v>
      </c>
    </row>
    <row r="199" spans="1:12" x14ac:dyDescent="0.2">
      <c r="A199" s="30">
        <v>18946</v>
      </c>
      <c r="B199" s="30" t="s">
        <v>13</v>
      </c>
      <c r="C199" s="30">
        <v>12013250</v>
      </c>
      <c r="D199" s="30" t="s">
        <v>10</v>
      </c>
      <c r="E199" s="30">
        <v>50</v>
      </c>
      <c r="F199" s="30" t="s">
        <v>166</v>
      </c>
      <c r="G199" s="30">
        <v>4080.1</v>
      </c>
      <c r="H199" s="30">
        <v>253.51</v>
      </c>
      <c r="I199" s="30"/>
      <c r="J199" s="69" t="s">
        <v>12</v>
      </c>
      <c r="K199" s="30"/>
      <c r="L199" s="60" t="str">
        <f t="shared" si="4"/>
        <v>12013250.4080.100</v>
      </c>
    </row>
    <row r="200" spans="1:12" x14ac:dyDescent="0.2">
      <c r="A200" s="30">
        <v>18987</v>
      </c>
      <c r="B200" s="30" t="s">
        <v>173</v>
      </c>
      <c r="C200" s="30">
        <v>12013250</v>
      </c>
      <c r="D200" s="30" t="s">
        <v>10</v>
      </c>
      <c r="E200" s="30">
        <v>50</v>
      </c>
      <c r="F200" s="30" t="s">
        <v>166</v>
      </c>
      <c r="G200" s="30">
        <v>4080.1</v>
      </c>
      <c r="H200" s="30">
        <v>323.08</v>
      </c>
      <c r="I200" s="30"/>
      <c r="J200" s="69" t="s">
        <v>12</v>
      </c>
      <c r="K200" s="30"/>
      <c r="L200" s="60" t="str">
        <f t="shared" si="4"/>
        <v>12013250.4080.100</v>
      </c>
    </row>
    <row r="201" spans="1:12" x14ac:dyDescent="0.2">
      <c r="A201" s="30">
        <v>220</v>
      </c>
      <c r="B201" s="30" t="s">
        <v>14</v>
      </c>
      <c r="C201" s="30">
        <v>12013300</v>
      </c>
      <c r="D201" s="30" t="s">
        <v>15</v>
      </c>
      <c r="E201" s="30">
        <v>50</v>
      </c>
      <c r="F201" s="30" t="s">
        <v>166</v>
      </c>
      <c r="G201" s="30">
        <v>4080.1</v>
      </c>
      <c r="H201" s="30">
        <v>337.9</v>
      </c>
      <c r="I201" s="30"/>
      <c r="J201" s="69" t="s">
        <v>12</v>
      </c>
      <c r="K201" s="30"/>
      <c r="L201" s="60" t="str">
        <f t="shared" si="4"/>
        <v>12013300.4080.100</v>
      </c>
    </row>
    <row r="202" spans="1:12" x14ac:dyDescent="0.2">
      <c r="A202" s="30">
        <v>18716</v>
      </c>
      <c r="B202" s="30" t="s">
        <v>16</v>
      </c>
      <c r="C202" s="30">
        <v>12018099</v>
      </c>
      <c r="D202" s="30" t="s">
        <v>17</v>
      </c>
      <c r="E202" s="30">
        <v>50</v>
      </c>
      <c r="F202" s="30" t="s">
        <v>166</v>
      </c>
      <c r="G202" s="30">
        <v>4080.1</v>
      </c>
      <c r="H202" s="30">
        <v>565.39</v>
      </c>
      <c r="I202" s="30"/>
      <c r="J202" s="69" t="s">
        <v>12</v>
      </c>
      <c r="K202" s="30"/>
      <c r="L202" s="60" t="str">
        <f t="shared" si="4"/>
        <v>12018099.4080.100</v>
      </c>
    </row>
    <row r="203" spans="1:12" x14ac:dyDescent="0.2">
      <c r="A203" s="30">
        <v>18948</v>
      </c>
      <c r="B203" s="30" t="s">
        <v>142</v>
      </c>
      <c r="C203" s="30">
        <v>12018099</v>
      </c>
      <c r="D203" s="30" t="s">
        <v>17</v>
      </c>
      <c r="E203" s="30">
        <v>50</v>
      </c>
      <c r="F203" s="30" t="s">
        <v>166</v>
      </c>
      <c r="G203" s="30">
        <v>4080.1</v>
      </c>
      <c r="H203" s="30">
        <v>274.62</v>
      </c>
      <c r="I203" s="30"/>
      <c r="J203" s="69" t="s">
        <v>12</v>
      </c>
      <c r="K203" s="30"/>
      <c r="L203" s="60" t="str">
        <f t="shared" si="4"/>
        <v>12018099.4080.100</v>
      </c>
    </row>
    <row r="204" spans="1:12" x14ac:dyDescent="0.2">
      <c r="A204" s="30">
        <v>18862</v>
      </c>
      <c r="B204" s="30" t="s">
        <v>145</v>
      </c>
      <c r="C204" s="30">
        <v>12018599</v>
      </c>
      <c r="D204" s="30" t="s">
        <v>144</v>
      </c>
      <c r="E204" s="30">
        <v>50</v>
      </c>
      <c r="F204" s="30" t="s">
        <v>166</v>
      </c>
      <c r="G204" s="30">
        <v>4080.1</v>
      </c>
      <c r="H204" s="30">
        <v>274.62</v>
      </c>
      <c r="I204" s="30"/>
      <c r="J204" s="69" t="s">
        <v>12</v>
      </c>
      <c r="K204" s="30"/>
      <c r="L204" s="60" t="str">
        <f t="shared" si="4"/>
        <v>12018599.4080.100</v>
      </c>
    </row>
    <row r="205" spans="1:12" x14ac:dyDescent="0.2">
      <c r="A205" s="30">
        <v>18969</v>
      </c>
      <c r="B205" s="30" t="s">
        <v>143</v>
      </c>
      <c r="C205" s="30">
        <v>12018599</v>
      </c>
      <c r="D205" s="30" t="s">
        <v>144</v>
      </c>
      <c r="E205" s="30">
        <v>50</v>
      </c>
      <c r="F205" s="30" t="s">
        <v>166</v>
      </c>
      <c r="G205" s="30">
        <v>4080.1</v>
      </c>
      <c r="H205" s="30">
        <v>565.39</v>
      </c>
      <c r="I205" s="30"/>
      <c r="J205" s="69" t="s">
        <v>12</v>
      </c>
      <c r="K205" s="30"/>
      <c r="L205" s="60" t="str">
        <f t="shared" si="4"/>
        <v>12018599.4080.100</v>
      </c>
    </row>
    <row r="206" spans="1:12" x14ac:dyDescent="0.2">
      <c r="A206" s="30">
        <v>18886</v>
      </c>
      <c r="B206" s="30" t="s">
        <v>18</v>
      </c>
      <c r="C206" s="30">
        <v>12019099</v>
      </c>
      <c r="D206" s="30" t="s">
        <v>19</v>
      </c>
      <c r="E206" s="30">
        <v>50</v>
      </c>
      <c r="F206" s="30" t="s">
        <v>166</v>
      </c>
      <c r="G206" s="30">
        <v>4080.1</v>
      </c>
      <c r="H206" s="30">
        <v>857.42</v>
      </c>
      <c r="I206" s="30"/>
      <c r="J206" s="69" t="s">
        <v>12</v>
      </c>
      <c r="K206" s="30"/>
      <c r="L206" s="60" t="str">
        <f t="shared" si="4"/>
        <v>12019099.4080.100</v>
      </c>
    </row>
    <row r="207" spans="1:12" x14ac:dyDescent="0.2">
      <c r="A207" s="30">
        <v>18968</v>
      </c>
      <c r="B207" s="30" t="s">
        <v>164</v>
      </c>
      <c r="C207" s="30">
        <v>12019199</v>
      </c>
      <c r="D207" s="30" t="s">
        <v>147</v>
      </c>
      <c r="E207" s="30">
        <v>50</v>
      </c>
      <c r="F207" s="30" t="s">
        <v>166</v>
      </c>
      <c r="G207" s="30">
        <v>4080.1</v>
      </c>
      <c r="H207" s="30">
        <v>282.69</v>
      </c>
      <c r="I207" s="30"/>
      <c r="J207" s="69" t="s">
        <v>12</v>
      </c>
      <c r="K207" s="30"/>
      <c r="L207" s="60" t="str">
        <f t="shared" si="4"/>
        <v>12019199.4080.100</v>
      </c>
    </row>
    <row r="208" spans="1:12" x14ac:dyDescent="0.2">
      <c r="A208" s="30">
        <v>19022</v>
      </c>
      <c r="B208" s="30" t="s">
        <v>113</v>
      </c>
      <c r="C208" s="30">
        <v>12019199</v>
      </c>
      <c r="D208" s="30" t="s">
        <v>147</v>
      </c>
      <c r="E208" s="30">
        <v>50</v>
      </c>
      <c r="F208" s="30" t="s">
        <v>166</v>
      </c>
      <c r="G208" s="30">
        <v>4080.1</v>
      </c>
      <c r="H208" s="30">
        <v>221.9</v>
      </c>
      <c r="I208" s="30"/>
      <c r="J208" s="69" t="s">
        <v>12</v>
      </c>
      <c r="K208" s="30"/>
      <c r="L208" s="60" t="str">
        <f t="shared" si="4"/>
        <v>12019199.4080.100</v>
      </c>
    </row>
    <row r="209" spans="1:12" x14ac:dyDescent="0.2">
      <c r="A209" s="30">
        <v>18853</v>
      </c>
      <c r="B209" s="30" t="s">
        <v>146</v>
      </c>
      <c r="C209" s="30">
        <v>12019199</v>
      </c>
      <c r="D209" s="30" t="s">
        <v>147</v>
      </c>
      <c r="E209" s="30">
        <v>50</v>
      </c>
      <c r="F209" s="30" t="s">
        <v>166</v>
      </c>
      <c r="G209" s="30">
        <v>4080.1</v>
      </c>
      <c r="H209" s="30">
        <v>677.78</v>
      </c>
      <c r="I209" s="30"/>
      <c r="J209" s="69" t="s">
        <v>12</v>
      </c>
      <c r="K209" s="30"/>
      <c r="L209" s="60" t="str">
        <f t="shared" si="4"/>
        <v>12019199.4080.100</v>
      </c>
    </row>
    <row r="210" spans="1:12" x14ac:dyDescent="0.2">
      <c r="A210" s="30">
        <v>18550</v>
      </c>
      <c r="B210" s="30" t="s">
        <v>165</v>
      </c>
      <c r="C210" s="30">
        <v>12019199</v>
      </c>
      <c r="D210" s="30" t="s">
        <v>147</v>
      </c>
      <c r="E210" s="30">
        <v>50</v>
      </c>
      <c r="F210" s="30" t="s">
        <v>166</v>
      </c>
      <c r="G210" s="30">
        <v>4080.1</v>
      </c>
      <c r="H210" s="30">
        <v>272.56</v>
      </c>
      <c r="I210" s="30"/>
      <c r="J210" s="69" t="s">
        <v>12</v>
      </c>
      <c r="K210" s="30"/>
      <c r="L210" s="60" t="str">
        <f t="shared" si="4"/>
        <v>12019199.4080.100</v>
      </c>
    </row>
    <row r="211" spans="1:12" x14ac:dyDescent="0.2">
      <c r="A211" s="30">
        <v>18741</v>
      </c>
      <c r="B211" s="30" t="s">
        <v>179</v>
      </c>
      <c r="C211" s="30">
        <v>12019199</v>
      </c>
      <c r="D211" s="30" t="s">
        <v>147</v>
      </c>
      <c r="E211" s="30">
        <v>50</v>
      </c>
      <c r="F211" s="30" t="s">
        <v>166</v>
      </c>
      <c r="G211" s="30">
        <v>4080.1</v>
      </c>
      <c r="H211" s="30">
        <v>343.27</v>
      </c>
      <c r="I211" s="30"/>
      <c r="J211" s="69" t="s">
        <v>12</v>
      </c>
      <c r="K211" s="30"/>
      <c r="L211" s="60" t="str">
        <f t="shared" si="4"/>
        <v>12019199.4080.100</v>
      </c>
    </row>
    <row r="212" spans="1:12" x14ac:dyDescent="0.2">
      <c r="A212" s="30">
        <v>19003</v>
      </c>
      <c r="B212" s="30" t="s">
        <v>388</v>
      </c>
      <c r="C212" s="30">
        <v>12019199</v>
      </c>
      <c r="D212" s="30" t="s">
        <v>147</v>
      </c>
      <c r="E212" s="30">
        <v>50</v>
      </c>
      <c r="F212" s="30" t="s">
        <v>166</v>
      </c>
      <c r="G212" s="30">
        <v>4080.1</v>
      </c>
      <c r="H212" s="30">
        <v>327.11</v>
      </c>
      <c r="I212" s="30"/>
      <c r="J212" s="69" t="s">
        <v>12</v>
      </c>
      <c r="K212" s="30"/>
      <c r="L212" s="60" t="str">
        <f t="shared" si="4"/>
        <v>12019199.4080.100</v>
      </c>
    </row>
    <row r="213" spans="1:12" x14ac:dyDescent="0.2">
      <c r="A213" s="30">
        <v>19025</v>
      </c>
      <c r="B213" s="30" t="s">
        <v>180</v>
      </c>
      <c r="C213" s="30">
        <v>12019199</v>
      </c>
      <c r="D213" s="30" t="s">
        <v>147</v>
      </c>
      <c r="E213" s="30">
        <v>50</v>
      </c>
      <c r="F213" s="30" t="s">
        <v>166</v>
      </c>
      <c r="G213" s="30">
        <v>4080.1</v>
      </c>
      <c r="H213" s="30">
        <v>262.5</v>
      </c>
      <c r="I213" s="30"/>
      <c r="J213" s="69" t="s">
        <v>12</v>
      </c>
      <c r="K213" s="30"/>
      <c r="L213" s="60" t="str">
        <f t="shared" si="4"/>
        <v>12019199.4080.100</v>
      </c>
    </row>
    <row r="214" spans="1:12" x14ac:dyDescent="0.2">
      <c r="A214" s="30">
        <v>18836</v>
      </c>
      <c r="B214" s="30" t="s">
        <v>182</v>
      </c>
      <c r="C214" s="30">
        <v>12020400</v>
      </c>
      <c r="D214" s="30" t="s">
        <v>21</v>
      </c>
      <c r="E214" s="30">
        <v>50</v>
      </c>
      <c r="F214" s="30" t="s">
        <v>166</v>
      </c>
      <c r="G214" s="30">
        <v>4080.1</v>
      </c>
      <c r="H214" s="30">
        <v>269.19</v>
      </c>
      <c r="I214" s="30"/>
      <c r="J214" s="69" t="s">
        <v>12</v>
      </c>
      <c r="K214" s="30"/>
      <c r="L214" s="60" t="str">
        <f t="shared" si="4"/>
        <v>12020400.4080.100</v>
      </c>
    </row>
    <row r="215" spans="1:12" x14ac:dyDescent="0.2">
      <c r="A215" s="30">
        <v>18619</v>
      </c>
      <c r="B215" s="30" t="s">
        <v>20</v>
      </c>
      <c r="C215" s="30">
        <v>12020400</v>
      </c>
      <c r="D215" s="30" t="s">
        <v>21</v>
      </c>
      <c r="E215" s="30">
        <v>50</v>
      </c>
      <c r="F215" s="30" t="s">
        <v>166</v>
      </c>
      <c r="G215" s="30">
        <v>4080.1</v>
      </c>
      <c r="H215" s="30">
        <v>266.14</v>
      </c>
      <c r="I215" s="30"/>
      <c r="J215" s="69" t="s">
        <v>12</v>
      </c>
      <c r="K215" s="30"/>
      <c r="L215" s="60" t="str">
        <f t="shared" si="4"/>
        <v>12020400.4080.100</v>
      </c>
    </row>
    <row r="216" spans="1:12" x14ac:dyDescent="0.2">
      <c r="A216" s="30">
        <v>18893</v>
      </c>
      <c r="B216" s="30" t="s">
        <v>444</v>
      </c>
      <c r="C216" s="30">
        <v>12020500</v>
      </c>
      <c r="D216" s="30" t="s">
        <v>454</v>
      </c>
      <c r="E216" s="30">
        <v>50</v>
      </c>
      <c r="F216" s="30" t="s">
        <v>166</v>
      </c>
      <c r="G216" s="30">
        <v>4080.1</v>
      </c>
      <c r="H216" s="30">
        <v>133.27000000000001</v>
      </c>
      <c r="I216" s="30"/>
      <c r="J216" s="69" t="s">
        <v>12</v>
      </c>
      <c r="K216" s="30"/>
      <c r="L216" s="60" t="str">
        <f t="shared" si="4"/>
        <v>12020500.4080.100</v>
      </c>
    </row>
    <row r="217" spans="1:12" x14ac:dyDescent="0.2">
      <c r="A217" s="30">
        <v>19040</v>
      </c>
      <c r="B217" s="30" t="s">
        <v>453</v>
      </c>
      <c r="C217" s="30">
        <v>12020500</v>
      </c>
      <c r="D217" s="30" t="s">
        <v>454</v>
      </c>
      <c r="E217" s="30">
        <v>50</v>
      </c>
      <c r="F217" s="30" t="s">
        <v>166</v>
      </c>
      <c r="G217" s="30">
        <v>4080.1</v>
      </c>
      <c r="H217" s="30">
        <v>131.78</v>
      </c>
      <c r="I217" s="30"/>
      <c r="J217" s="69" t="s">
        <v>12</v>
      </c>
      <c r="K217" s="30"/>
      <c r="L217" s="60" t="str">
        <f t="shared" si="4"/>
        <v>12020500.4080.100</v>
      </c>
    </row>
    <row r="218" spans="1:12" x14ac:dyDescent="0.2">
      <c r="A218" s="30">
        <v>18957</v>
      </c>
      <c r="B218" s="30" t="s">
        <v>74</v>
      </c>
      <c r="C218" s="30">
        <v>12020611</v>
      </c>
      <c r="D218" s="30" t="s">
        <v>23</v>
      </c>
      <c r="E218" s="30">
        <v>50</v>
      </c>
      <c r="F218" s="30" t="s">
        <v>166</v>
      </c>
      <c r="G218" s="30">
        <v>4080.1</v>
      </c>
      <c r="H218" s="30">
        <v>272.01</v>
      </c>
      <c r="I218" s="30"/>
      <c r="J218" s="69" t="s">
        <v>12</v>
      </c>
      <c r="K218" s="30"/>
      <c r="L218" s="60" t="str">
        <f t="shared" si="4"/>
        <v>12020611.4080.100</v>
      </c>
    </row>
    <row r="219" spans="1:12" x14ac:dyDescent="0.2">
      <c r="A219" s="30">
        <v>18903</v>
      </c>
      <c r="B219" s="30" t="s">
        <v>73</v>
      </c>
      <c r="C219" s="30">
        <v>12020611</v>
      </c>
      <c r="D219" s="30" t="s">
        <v>23</v>
      </c>
      <c r="E219" s="30">
        <v>50</v>
      </c>
      <c r="F219" s="30" t="s">
        <v>166</v>
      </c>
      <c r="G219" s="30">
        <v>4080.1</v>
      </c>
      <c r="H219" s="30">
        <v>244.04</v>
      </c>
      <c r="I219" s="30"/>
      <c r="J219" s="69" t="s">
        <v>12</v>
      </c>
      <c r="K219" s="30"/>
      <c r="L219" s="60" t="str">
        <f t="shared" si="4"/>
        <v>12020611.4080.100</v>
      </c>
    </row>
    <row r="220" spans="1:12" x14ac:dyDescent="0.2">
      <c r="A220" s="30">
        <v>18831</v>
      </c>
      <c r="B220" s="30" t="s">
        <v>22</v>
      </c>
      <c r="C220" s="30">
        <v>12020611</v>
      </c>
      <c r="D220" s="30" t="s">
        <v>23</v>
      </c>
      <c r="E220" s="30">
        <v>50</v>
      </c>
      <c r="F220" s="30" t="s">
        <v>166</v>
      </c>
      <c r="G220" s="30">
        <v>4080.1</v>
      </c>
      <c r="H220" s="30">
        <v>157.93</v>
      </c>
      <c r="I220" s="30"/>
      <c r="J220" s="69" t="s">
        <v>12</v>
      </c>
      <c r="K220" s="30"/>
      <c r="L220" s="60" t="str">
        <f t="shared" si="4"/>
        <v>12020611.4080.100</v>
      </c>
    </row>
    <row r="221" spans="1:12" x14ac:dyDescent="0.2">
      <c r="A221" s="30">
        <v>18589</v>
      </c>
      <c r="B221" s="30" t="s">
        <v>75</v>
      </c>
      <c r="C221" s="30">
        <v>12020611</v>
      </c>
      <c r="D221" s="30" t="s">
        <v>23</v>
      </c>
      <c r="E221" s="30">
        <v>50</v>
      </c>
      <c r="F221" s="30" t="s">
        <v>166</v>
      </c>
      <c r="G221" s="30">
        <v>4080.1</v>
      </c>
      <c r="H221" s="30">
        <v>282.86</v>
      </c>
      <c r="I221" s="30"/>
      <c r="J221" s="69" t="s">
        <v>12</v>
      </c>
      <c r="K221" s="30"/>
      <c r="L221" s="60" t="str">
        <f t="shared" si="4"/>
        <v>12020611.4080.100</v>
      </c>
    </row>
    <row r="222" spans="1:12" x14ac:dyDescent="0.2">
      <c r="A222" s="30">
        <v>18891</v>
      </c>
      <c r="B222" s="30" t="s">
        <v>77</v>
      </c>
      <c r="C222" s="30">
        <v>12020611</v>
      </c>
      <c r="D222" s="30" t="s">
        <v>23</v>
      </c>
      <c r="E222" s="30">
        <v>50</v>
      </c>
      <c r="F222" s="30" t="s">
        <v>166</v>
      </c>
      <c r="G222" s="30">
        <v>4080.1</v>
      </c>
      <c r="H222" s="30">
        <v>193.59</v>
      </c>
      <c r="I222" s="30"/>
      <c r="J222" s="69" t="s">
        <v>12</v>
      </c>
      <c r="K222" s="30"/>
      <c r="L222" s="60" t="str">
        <f t="shared" si="4"/>
        <v>12020611.4080.100</v>
      </c>
    </row>
    <row r="223" spans="1:12" x14ac:dyDescent="0.2">
      <c r="A223" s="30">
        <v>18866</v>
      </c>
      <c r="B223" s="30" t="s">
        <v>76</v>
      </c>
      <c r="C223" s="30">
        <v>12020611</v>
      </c>
      <c r="D223" s="30" t="s">
        <v>23</v>
      </c>
      <c r="E223" s="30">
        <v>50</v>
      </c>
      <c r="F223" s="30" t="s">
        <v>166</v>
      </c>
      <c r="G223" s="30">
        <v>4080.1</v>
      </c>
      <c r="H223" s="30">
        <v>263.82</v>
      </c>
      <c r="I223" s="30"/>
      <c r="J223" s="69" t="s">
        <v>12</v>
      </c>
      <c r="K223" s="30"/>
      <c r="L223" s="60" t="str">
        <f t="shared" si="4"/>
        <v>12020611.4080.100</v>
      </c>
    </row>
    <row r="224" spans="1:12" x14ac:dyDescent="0.2">
      <c r="A224" s="30">
        <v>18631</v>
      </c>
      <c r="B224" s="30" t="s">
        <v>80</v>
      </c>
      <c r="C224" s="30">
        <v>12020711</v>
      </c>
      <c r="D224" s="30" t="s">
        <v>25</v>
      </c>
      <c r="E224" s="30">
        <v>50</v>
      </c>
      <c r="F224" s="30" t="s">
        <v>166</v>
      </c>
      <c r="G224" s="30">
        <v>4080.1</v>
      </c>
      <c r="H224" s="30">
        <v>139.13999999999999</v>
      </c>
      <c r="I224" s="30"/>
      <c r="J224" s="69" t="s">
        <v>12</v>
      </c>
      <c r="K224" s="30"/>
      <c r="L224" s="60" t="str">
        <f t="shared" si="4"/>
        <v>12020711.4080.100</v>
      </c>
    </row>
    <row r="225" spans="1:12" x14ac:dyDescent="0.2">
      <c r="A225" s="30">
        <v>18879</v>
      </c>
      <c r="B225" s="30" t="s">
        <v>79</v>
      </c>
      <c r="C225" s="30">
        <v>12020711</v>
      </c>
      <c r="D225" s="30" t="s">
        <v>25</v>
      </c>
      <c r="E225" s="30">
        <v>50</v>
      </c>
      <c r="F225" s="30" t="s">
        <v>166</v>
      </c>
      <c r="G225" s="30">
        <v>4080.1</v>
      </c>
      <c r="H225" s="30">
        <v>274.64999999999998</v>
      </c>
      <c r="I225" s="30"/>
      <c r="J225" s="69" t="s">
        <v>12</v>
      </c>
      <c r="K225" s="30"/>
      <c r="L225" s="60" t="str">
        <f t="shared" si="4"/>
        <v>12020711.4080.100</v>
      </c>
    </row>
    <row r="226" spans="1:12" x14ac:dyDescent="0.2">
      <c r="A226" s="30">
        <v>18954</v>
      </c>
      <c r="B226" s="30" t="s">
        <v>183</v>
      </c>
      <c r="C226" s="30">
        <v>12020711</v>
      </c>
      <c r="D226" s="30" t="s">
        <v>25</v>
      </c>
      <c r="E226" s="30">
        <v>50</v>
      </c>
      <c r="F226" s="30" t="s">
        <v>166</v>
      </c>
      <c r="G226" s="30">
        <v>4080.1</v>
      </c>
      <c r="H226" s="30">
        <v>323.08</v>
      </c>
      <c r="I226" s="30"/>
      <c r="J226" s="69" t="s">
        <v>12</v>
      </c>
      <c r="K226" s="30"/>
      <c r="L226" s="60" t="str">
        <f t="shared" si="4"/>
        <v>12020711.4080.100</v>
      </c>
    </row>
    <row r="227" spans="1:12" x14ac:dyDescent="0.2">
      <c r="A227" s="30">
        <v>18</v>
      </c>
      <c r="B227" s="30" t="s">
        <v>24</v>
      </c>
      <c r="C227" s="30">
        <v>12020711</v>
      </c>
      <c r="D227" s="30" t="s">
        <v>25</v>
      </c>
      <c r="E227" s="30">
        <v>50</v>
      </c>
      <c r="F227" s="30" t="s">
        <v>166</v>
      </c>
      <c r="G227" s="30">
        <v>4080.1</v>
      </c>
      <c r="H227" s="30">
        <v>113.93</v>
      </c>
      <c r="I227" s="30"/>
      <c r="J227" s="69" t="s">
        <v>12</v>
      </c>
      <c r="K227" s="30"/>
      <c r="L227" s="60" t="str">
        <f t="shared" si="4"/>
        <v>12020711.4080.100</v>
      </c>
    </row>
    <row r="228" spans="1:12" x14ac:dyDescent="0.2">
      <c r="A228" s="30">
        <v>19013</v>
      </c>
      <c r="B228" s="30" t="s">
        <v>81</v>
      </c>
      <c r="C228" s="30">
        <v>12020800</v>
      </c>
      <c r="D228" s="30" t="s">
        <v>27</v>
      </c>
      <c r="E228" s="30">
        <v>50</v>
      </c>
      <c r="F228" s="30" t="s">
        <v>166</v>
      </c>
      <c r="G228" s="30">
        <v>4080.1</v>
      </c>
      <c r="H228" s="30">
        <v>304.33999999999997</v>
      </c>
      <c r="I228" s="30"/>
      <c r="J228" s="69" t="s">
        <v>12</v>
      </c>
      <c r="K228" s="30"/>
      <c r="L228" s="60" t="str">
        <f t="shared" si="4"/>
        <v>12020800.4080.100</v>
      </c>
    </row>
    <row r="229" spans="1:12" x14ac:dyDescent="0.2">
      <c r="A229" s="30">
        <v>18630</v>
      </c>
      <c r="B229" s="30" t="s">
        <v>204</v>
      </c>
      <c r="C229" s="30">
        <v>12020800</v>
      </c>
      <c r="D229" s="30" t="s">
        <v>27</v>
      </c>
      <c r="E229" s="30">
        <v>50</v>
      </c>
      <c r="F229" s="30" t="s">
        <v>166</v>
      </c>
      <c r="G229" s="30">
        <v>4080.1</v>
      </c>
      <c r="H229" s="30">
        <v>235.71</v>
      </c>
      <c r="I229" s="30"/>
      <c r="J229" s="69" t="s">
        <v>12</v>
      </c>
      <c r="K229" s="30"/>
      <c r="L229" s="60" t="str">
        <f t="shared" si="4"/>
        <v>12020800.4080.100</v>
      </c>
    </row>
    <row r="230" spans="1:12" x14ac:dyDescent="0.2">
      <c r="A230" s="30">
        <v>18687</v>
      </c>
      <c r="B230" s="30" t="s">
        <v>83</v>
      </c>
      <c r="C230" s="30">
        <v>12021021</v>
      </c>
      <c r="D230" s="30" t="s">
        <v>29</v>
      </c>
      <c r="E230" s="30">
        <v>50</v>
      </c>
      <c r="F230" s="30" t="s">
        <v>166</v>
      </c>
      <c r="G230" s="30">
        <v>4080.1</v>
      </c>
      <c r="H230" s="30">
        <v>242.13</v>
      </c>
      <c r="I230" s="30"/>
      <c r="J230" s="69" t="s">
        <v>12</v>
      </c>
      <c r="K230" s="30"/>
      <c r="L230" s="60" t="str">
        <f t="shared" si="4"/>
        <v>12021021.4080.100</v>
      </c>
    </row>
    <row r="231" spans="1:12" x14ac:dyDescent="0.2">
      <c r="A231" s="30">
        <v>18781</v>
      </c>
      <c r="B231" s="30" t="s">
        <v>82</v>
      </c>
      <c r="C231" s="30">
        <v>12021021</v>
      </c>
      <c r="D231" s="30" t="s">
        <v>29</v>
      </c>
      <c r="E231" s="30">
        <v>50</v>
      </c>
      <c r="F231" s="30" t="s">
        <v>166</v>
      </c>
      <c r="G231" s="30">
        <v>4080.1</v>
      </c>
      <c r="H231" s="30">
        <v>272.01</v>
      </c>
      <c r="I231" s="30"/>
      <c r="J231" s="69" t="s">
        <v>12</v>
      </c>
      <c r="K231" s="30"/>
      <c r="L231" s="60" t="str">
        <f t="shared" si="4"/>
        <v>12021021.4080.100</v>
      </c>
    </row>
    <row r="232" spans="1:12" x14ac:dyDescent="0.2">
      <c r="A232" s="30">
        <v>18733</v>
      </c>
      <c r="B232" s="30" t="s">
        <v>86</v>
      </c>
      <c r="C232" s="30">
        <v>12021021</v>
      </c>
      <c r="D232" s="30" t="s">
        <v>29</v>
      </c>
      <c r="E232" s="30">
        <v>50</v>
      </c>
      <c r="F232" s="30" t="s">
        <v>166</v>
      </c>
      <c r="G232" s="30">
        <v>4080.1</v>
      </c>
      <c r="H232" s="30">
        <v>232</v>
      </c>
      <c r="I232" s="30"/>
      <c r="J232" s="69" t="s">
        <v>12</v>
      </c>
      <c r="K232" s="30"/>
      <c r="L232" s="60" t="str">
        <f t="shared" si="4"/>
        <v>12021021.4080.100</v>
      </c>
    </row>
    <row r="233" spans="1:12" x14ac:dyDescent="0.2">
      <c r="A233" s="30">
        <v>18659</v>
      </c>
      <c r="B233" s="30" t="s">
        <v>88</v>
      </c>
      <c r="C233" s="30">
        <v>12021021</v>
      </c>
      <c r="D233" s="30" t="s">
        <v>29</v>
      </c>
      <c r="E233" s="30">
        <v>50</v>
      </c>
      <c r="F233" s="30" t="s">
        <v>166</v>
      </c>
      <c r="G233" s="30">
        <v>4080.1</v>
      </c>
      <c r="H233" s="30">
        <v>250.44</v>
      </c>
      <c r="I233" s="30"/>
      <c r="J233" s="69" t="s">
        <v>12</v>
      </c>
      <c r="K233" s="30"/>
      <c r="L233" s="60" t="str">
        <f t="shared" si="4"/>
        <v>12021021.4080.100</v>
      </c>
    </row>
    <row r="234" spans="1:12" x14ac:dyDescent="0.2">
      <c r="A234" s="30">
        <v>18960</v>
      </c>
      <c r="B234" s="30" t="s">
        <v>84</v>
      </c>
      <c r="C234" s="30">
        <v>12021021</v>
      </c>
      <c r="D234" s="30" t="s">
        <v>29</v>
      </c>
      <c r="E234" s="30">
        <v>50</v>
      </c>
      <c r="F234" s="30" t="s">
        <v>166</v>
      </c>
      <c r="G234" s="30">
        <v>4080.1</v>
      </c>
      <c r="H234" s="30">
        <v>99.19</v>
      </c>
      <c r="I234" s="30"/>
      <c r="J234" s="69" t="s">
        <v>12</v>
      </c>
      <c r="K234" s="30"/>
      <c r="L234" s="60" t="str">
        <f t="shared" si="4"/>
        <v>12021021.4080.100</v>
      </c>
    </row>
    <row r="235" spans="1:12" x14ac:dyDescent="0.2">
      <c r="A235" s="30">
        <v>18911</v>
      </c>
      <c r="B235" s="30" t="s">
        <v>28</v>
      </c>
      <c r="C235" s="30">
        <v>12021021</v>
      </c>
      <c r="D235" s="30" t="s">
        <v>29</v>
      </c>
      <c r="E235" s="30">
        <v>50</v>
      </c>
      <c r="F235" s="30" t="s">
        <v>166</v>
      </c>
      <c r="G235" s="30">
        <v>4080.1</v>
      </c>
      <c r="H235" s="30">
        <v>266.64999999999998</v>
      </c>
      <c r="I235" s="30"/>
      <c r="J235" s="69" t="s">
        <v>12</v>
      </c>
      <c r="K235" s="30"/>
      <c r="L235" s="60" t="str">
        <f t="shared" si="4"/>
        <v>12021021.4080.100</v>
      </c>
    </row>
    <row r="236" spans="1:12" x14ac:dyDescent="0.2">
      <c r="A236" s="30">
        <v>18967</v>
      </c>
      <c r="B236" s="30" t="s">
        <v>85</v>
      </c>
      <c r="C236" s="30">
        <v>12021021</v>
      </c>
      <c r="D236" s="30" t="s">
        <v>29</v>
      </c>
      <c r="E236" s="30">
        <v>50</v>
      </c>
      <c r="F236" s="30" t="s">
        <v>166</v>
      </c>
      <c r="G236" s="30">
        <v>4080.1</v>
      </c>
      <c r="H236" s="30">
        <v>273.7</v>
      </c>
      <c r="I236" s="30"/>
      <c r="J236" s="69" t="s">
        <v>12</v>
      </c>
      <c r="K236" s="30"/>
      <c r="L236" s="60" t="str">
        <f t="shared" si="4"/>
        <v>12021021.4080.100</v>
      </c>
    </row>
    <row r="237" spans="1:12" x14ac:dyDescent="0.2">
      <c r="A237" s="30">
        <v>19033</v>
      </c>
      <c r="B237" s="30" t="s">
        <v>389</v>
      </c>
      <c r="C237" s="30">
        <v>12021021</v>
      </c>
      <c r="D237" s="30" t="s">
        <v>29</v>
      </c>
      <c r="E237" s="30">
        <v>50</v>
      </c>
      <c r="F237" s="30" t="s">
        <v>166</v>
      </c>
      <c r="G237" s="30">
        <v>4080.1</v>
      </c>
      <c r="H237" s="30">
        <v>187.55</v>
      </c>
      <c r="I237" s="30"/>
      <c r="J237" s="69" t="s">
        <v>12</v>
      </c>
      <c r="K237" s="30"/>
      <c r="L237" s="60" t="str">
        <f t="shared" si="4"/>
        <v>12021021.4080.100</v>
      </c>
    </row>
    <row r="238" spans="1:12" x14ac:dyDescent="0.2">
      <c r="A238" s="30">
        <v>18892</v>
      </c>
      <c r="B238" s="30" t="s">
        <v>184</v>
      </c>
      <c r="C238" s="30">
        <v>12021021</v>
      </c>
      <c r="D238" s="30" t="s">
        <v>29</v>
      </c>
      <c r="E238" s="30">
        <v>50</v>
      </c>
      <c r="F238" s="30" t="s">
        <v>166</v>
      </c>
      <c r="G238" s="30">
        <v>4080.1</v>
      </c>
      <c r="H238" s="30">
        <v>221.4</v>
      </c>
      <c r="I238" s="30"/>
      <c r="J238" s="69" t="s">
        <v>12</v>
      </c>
      <c r="K238" s="30"/>
      <c r="L238" s="60" t="str">
        <f t="shared" si="4"/>
        <v>12021021.4080.100</v>
      </c>
    </row>
    <row r="239" spans="1:12" x14ac:dyDescent="0.2">
      <c r="A239" s="30">
        <v>18894</v>
      </c>
      <c r="B239" s="30" t="s">
        <v>89</v>
      </c>
      <c r="C239" s="30">
        <v>12021021</v>
      </c>
      <c r="D239" s="30" t="s">
        <v>29</v>
      </c>
      <c r="E239" s="30">
        <v>50</v>
      </c>
      <c r="F239" s="30" t="s">
        <v>166</v>
      </c>
      <c r="G239" s="30">
        <v>4080.1</v>
      </c>
      <c r="H239" s="30">
        <v>144.88</v>
      </c>
      <c r="I239" s="30"/>
      <c r="J239" s="69" t="s">
        <v>12</v>
      </c>
      <c r="K239" s="30"/>
      <c r="L239" s="60" t="str">
        <f t="shared" si="4"/>
        <v>12021021.4080.100</v>
      </c>
    </row>
    <row r="240" spans="1:12" x14ac:dyDescent="0.2">
      <c r="A240" s="30">
        <v>18559</v>
      </c>
      <c r="B240" s="30" t="s">
        <v>87</v>
      </c>
      <c r="C240" s="30">
        <v>12021021</v>
      </c>
      <c r="D240" s="30" t="s">
        <v>29</v>
      </c>
      <c r="E240" s="30">
        <v>50</v>
      </c>
      <c r="F240" s="30" t="s">
        <v>166</v>
      </c>
      <c r="G240" s="30">
        <v>4080.1</v>
      </c>
      <c r="H240" s="30">
        <v>424.04</v>
      </c>
      <c r="I240" s="30"/>
      <c r="J240" s="69" t="s">
        <v>12</v>
      </c>
      <c r="K240" s="30"/>
      <c r="L240" s="60" t="str">
        <f t="shared" si="4"/>
        <v>12021021.4080.100</v>
      </c>
    </row>
    <row r="241" spans="1:12" x14ac:dyDescent="0.2">
      <c r="A241" s="30">
        <v>141</v>
      </c>
      <c r="B241" s="30" t="s">
        <v>185</v>
      </c>
      <c r="C241" s="30">
        <v>12022511</v>
      </c>
      <c r="D241" s="30" t="s">
        <v>32</v>
      </c>
      <c r="E241" s="30">
        <v>50</v>
      </c>
      <c r="F241" s="30" t="s">
        <v>166</v>
      </c>
      <c r="G241" s="30">
        <v>4080.1</v>
      </c>
      <c r="H241" s="30">
        <v>114.82</v>
      </c>
      <c r="I241" s="30"/>
      <c r="J241" s="69" t="s">
        <v>12</v>
      </c>
      <c r="K241" s="30"/>
      <c r="L241" s="60" t="str">
        <f t="shared" si="4"/>
        <v>12022511.4080.100</v>
      </c>
    </row>
    <row r="242" spans="1:12" x14ac:dyDescent="0.2">
      <c r="A242" s="30">
        <v>145</v>
      </c>
      <c r="B242" s="30" t="s">
        <v>91</v>
      </c>
      <c r="C242" s="30">
        <v>12022511</v>
      </c>
      <c r="D242" s="30" t="s">
        <v>32</v>
      </c>
      <c r="E242" s="30">
        <v>50</v>
      </c>
      <c r="F242" s="30" t="s">
        <v>166</v>
      </c>
      <c r="G242" s="30">
        <v>4080.1</v>
      </c>
      <c r="H242" s="30">
        <v>246.23</v>
      </c>
      <c r="I242" s="30"/>
      <c r="J242" s="69" t="s">
        <v>12</v>
      </c>
      <c r="K242" s="30"/>
      <c r="L242" s="60" t="str">
        <f t="shared" si="4"/>
        <v>12022511.4080.100</v>
      </c>
    </row>
    <row r="243" spans="1:12" x14ac:dyDescent="0.2">
      <c r="A243" s="30">
        <v>18961</v>
      </c>
      <c r="B243" s="30" t="s">
        <v>90</v>
      </c>
      <c r="C243" s="30">
        <v>12022511</v>
      </c>
      <c r="D243" s="30" t="s">
        <v>32</v>
      </c>
      <c r="E243" s="30">
        <v>50</v>
      </c>
      <c r="F243" s="30" t="s">
        <v>166</v>
      </c>
      <c r="G243" s="30">
        <v>4080.1</v>
      </c>
      <c r="H243" s="30">
        <v>253.52</v>
      </c>
      <c r="I243" s="30"/>
      <c r="J243" s="69" t="s">
        <v>12</v>
      </c>
      <c r="K243" s="30"/>
      <c r="L243" s="60" t="str">
        <f t="shared" si="4"/>
        <v>12022511.4080.100</v>
      </c>
    </row>
    <row r="244" spans="1:12" x14ac:dyDescent="0.2">
      <c r="A244" s="30">
        <v>18973</v>
      </c>
      <c r="B244" s="30" t="s">
        <v>188</v>
      </c>
      <c r="C244" s="30">
        <v>12023011</v>
      </c>
      <c r="D244" s="30" t="s">
        <v>93</v>
      </c>
      <c r="E244" s="30">
        <v>50</v>
      </c>
      <c r="F244" s="30" t="s">
        <v>166</v>
      </c>
      <c r="G244" s="30">
        <v>4080.1</v>
      </c>
      <c r="H244" s="30">
        <v>174.47</v>
      </c>
      <c r="I244" s="30"/>
      <c r="J244" s="69" t="s">
        <v>12</v>
      </c>
      <c r="K244" s="30"/>
      <c r="L244" s="60" t="str">
        <f t="shared" si="4"/>
        <v>12023011.4080.100</v>
      </c>
    </row>
    <row r="245" spans="1:12" x14ac:dyDescent="0.2">
      <c r="A245" s="30">
        <v>18974</v>
      </c>
      <c r="B245" s="30" t="s">
        <v>94</v>
      </c>
      <c r="C245" s="30">
        <v>12023011</v>
      </c>
      <c r="D245" s="30" t="s">
        <v>93</v>
      </c>
      <c r="E245" s="30">
        <v>50</v>
      </c>
      <c r="F245" s="30" t="s">
        <v>166</v>
      </c>
      <c r="G245" s="30">
        <v>4080.1</v>
      </c>
      <c r="H245" s="30">
        <v>308.12</v>
      </c>
      <c r="I245" s="30"/>
      <c r="J245" s="69" t="s">
        <v>12</v>
      </c>
      <c r="K245" s="30"/>
      <c r="L245" s="60" t="str">
        <f t="shared" si="4"/>
        <v>12023011.4080.100</v>
      </c>
    </row>
    <row r="246" spans="1:12" x14ac:dyDescent="0.2">
      <c r="A246" s="30">
        <v>19035</v>
      </c>
      <c r="B246" s="30" t="s">
        <v>440</v>
      </c>
      <c r="C246" s="30">
        <v>12023011</v>
      </c>
      <c r="D246" s="30" t="s">
        <v>93</v>
      </c>
      <c r="E246" s="30">
        <v>50</v>
      </c>
      <c r="F246" s="30" t="s">
        <v>166</v>
      </c>
      <c r="G246" s="30">
        <v>4080.1</v>
      </c>
      <c r="H246" s="30">
        <v>197.87</v>
      </c>
      <c r="I246" s="30"/>
      <c r="J246" s="69" t="s">
        <v>12</v>
      </c>
      <c r="K246" s="30"/>
      <c r="L246" s="60" t="str">
        <f t="shared" si="4"/>
        <v>12023011.4080.100</v>
      </c>
    </row>
    <row r="247" spans="1:12" x14ac:dyDescent="0.2">
      <c r="A247" s="30">
        <v>19042</v>
      </c>
      <c r="B247" s="30" t="s">
        <v>479</v>
      </c>
      <c r="C247" s="30">
        <v>12023011</v>
      </c>
      <c r="D247" s="30" t="s">
        <v>93</v>
      </c>
      <c r="E247" s="30">
        <v>50</v>
      </c>
      <c r="F247" s="30" t="s">
        <v>166</v>
      </c>
      <c r="G247" s="30">
        <v>4080.1</v>
      </c>
      <c r="H247" s="30">
        <v>25.28</v>
      </c>
      <c r="I247" s="30"/>
      <c r="J247" s="69" t="s">
        <v>12</v>
      </c>
      <c r="K247" s="30"/>
      <c r="L247" s="60" t="str">
        <f t="shared" si="4"/>
        <v>12023011.4080.100</v>
      </c>
    </row>
    <row r="248" spans="1:12" x14ac:dyDescent="0.2">
      <c r="A248" s="30">
        <v>19026</v>
      </c>
      <c r="B248" s="30" t="s">
        <v>187</v>
      </c>
      <c r="C248" s="30">
        <v>12023011</v>
      </c>
      <c r="D248" s="30" t="s">
        <v>93</v>
      </c>
      <c r="E248" s="30">
        <v>50</v>
      </c>
      <c r="F248" s="30" t="s">
        <v>166</v>
      </c>
      <c r="G248" s="30">
        <v>4080.1</v>
      </c>
      <c r="H248" s="30">
        <v>124.69</v>
      </c>
      <c r="I248" s="30"/>
      <c r="J248" s="69" t="s">
        <v>12</v>
      </c>
      <c r="K248" s="30"/>
      <c r="L248" s="60" t="str">
        <f t="shared" si="4"/>
        <v>12023011.4080.100</v>
      </c>
    </row>
    <row r="249" spans="1:12" x14ac:dyDescent="0.2">
      <c r="A249" s="30">
        <v>19007</v>
      </c>
      <c r="B249" s="30" t="s">
        <v>189</v>
      </c>
      <c r="C249" s="30">
        <v>12023011</v>
      </c>
      <c r="D249" s="30" t="s">
        <v>93</v>
      </c>
      <c r="E249" s="30">
        <v>50</v>
      </c>
      <c r="F249" s="30" t="s">
        <v>166</v>
      </c>
      <c r="G249" s="30">
        <v>4080.1</v>
      </c>
      <c r="H249" s="30">
        <v>252.49</v>
      </c>
      <c r="I249" s="30"/>
      <c r="J249" s="69" t="s">
        <v>12</v>
      </c>
      <c r="K249" s="30"/>
      <c r="L249" s="60" t="str">
        <f t="shared" si="4"/>
        <v>12023011.4080.100</v>
      </c>
    </row>
    <row r="250" spans="1:12" x14ac:dyDescent="0.2">
      <c r="A250" s="30">
        <v>19032</v>
      </c>
      <c r="B250" s="30" t="s">
        <v>386</v>
      </c>
      <c r="C250" s="30">
        <v>12023011</v>
      </c>
      <c r="D250" s="30" t="s">
        <v>93</v>
      </c>
      <c r="E250" s="30">
        <v>50</v>
      </c>
      <c r="F250" s="30" t="s">
        <v>166</v>
      </c>
      <c r="G250" s="30">
        <v>4080.1</v>
      </c>
      <c r="H250" s="30">
        <v>124.69</v>
      </c>
      <c r="I250" s="30"/>
      <c r="J250" s="69" t="s">
        <v>12</v>
      </c>
      <c r="K250" s="30"/>
      <c r="L250" s="60" t="str">
        <f t="shared" si="4"/>
        <v>12023011.4080.100</v>
      </c>
    </row>
    <row r="251" spans="1:12" x14ac:dyDescent="0.2">
      <c r="A251" s="30">
        <v>19041</v>
      </c>
      <c r="B251" s="30" t="s">
        <v>478</v>
      </c>
      <c r="C251" s="30">
        <v>12023011</v>
      </c>
      <c r="D251" s="30" t="s">
        <v>93</v>
      </c>
      <c r="E251" s="30">
        <v>50</v>
      </c>
      <c r="F251" s="30" t="s">
        <v>166</v>
      </c>
      <c r="G251" s="30">
        <v>4080.1</v>
      </c>
      <c r="H251" s="30">
        <v>216.05</v>
      </c>
      <c r="I251" s="30"/>
      <c r="J251" s="69" t="s">
        <v>12</v>
      </c>
      <c r="K251" s="30"/>
      <c r="L251" s="60" t="str">
        <f t="shared" si="4"/>
        <v>12023011.4080.100</v>
      </c>
    </row>
    <row r="252" spans="1:12" x14ac:dyDescent="0.2">
      <c r="A252" s="30">
        <v>19006</v>
      </c>
      <c r="B252" s="30" t="s">
        <v>95</v>
      </c>
      <c r="C252" s="30">
        <v>12023011</v>
      </c>
      <c r="D252" s="30" t="s">
        <v>93</v>
      </c>
      <c r="E252" s="30">
        <v>50</v>
      </c>
      <c r="F252" s="30" t="s">
        <v>166</v>
      </c>
      <c r="G252" s="30">
        <v>4080.1</v>
      </c>
      <c r="H252" s="30">
        <v>238.97</v>
      </c>
      <c r="I252" s="30"/>
      <c r="J252" s="69" t="s">
        <v>12</v>
      </c>
      <c r="K252" s="30"/>
      <c r="L252" s="60" t="str">
        <f t="shared" si="4"/>
        <v>12023011.4080.100</v>
      </c>
    </row>
    <row r="253" spans="1:12" x14ac:dyDescent="0.2">
      <c r="A253" s="30">
        <v>18999</v>
      </c>
      <c r="B253" s="30" t="s">
        <v>92</v>
      </c>
      <c r="C253" s="30">
        <v>12023011</v>
      </c>
      <c r="D253" s="30" t="s">
        <v>93</v>
      </c>
      <c r="E253" s="30">
        <v>50</v>
      </c>
      <c r="F253" s="30" t="s">
        <v>166</v>
      </c>
      <c r="G253" s="30">
        <v>4080.1</v>
      </c>
      <c r="H253" s="30">
        <v>235.48</v>
      </c>
      <c r="I253" s="30"/>
      <c r="J253" s="69" t="s">
        <v>12</v>
      </c>
      <c r="K253" s="30"/>
      <c r="L253" s="60" t="str">
        <f t="shared" si="4"/>
        <v>12023011.4080.100</v>
      </c>
    </row>
    <row r="254" spans="1:12" x14ac:dyDescent="0.2">
      <c r="A254" s="30">
        <v>18962</v>
      </c>
      <c r="B254" s="30" t="s">
        <v>148</v>
      </c>
      <c r="C254" s="30">
        <v>12023011</v>
      </c>
      <c r="D254" s="30" t="s">
        <v>93</v>
      </c>
      <c r="E254" s="30">
        <v>50</v>
      </c>
      <c r="F254" s="30" t="s">
        <v>166</v>
      </c>
      <c r="G254" s="30">
        <v>4080.1</v>
      </c>
      <c r="H254" s="30">
        <v>525</v>
      </c>
      <c r="I254" s="30"/>
      <c r="J254" s="69" t="s">
        <v>12</v>
      </c>
      <c r="K254" s="30"/>
      <c r="L254" s="60" t="str">
        <f t="shared" si="4"/>
        <v>12023011.4080.100</v>
      </c>
    </row>
    <row r="255" spans="1:12" x14ac:dyDescent="0.2">
      <c r="A255" s="30">
        <v>18980</v>
      </c>
      <c r="B255" s="30" t="s">
        <v>97</v>
      </c>
      <c r="C255" s="30">
        <v>12023021</v>
      </c>
      <c r="D255" s="30" t="s">
        <v>98</v>
      </c>
      <c r="E255" s="30">
        <v>50</v>
      </c>
      <c r="F255" s="30" t="s">
        <v>166</v>
      </c>
      <c r="G255" s="30">
        <v>4080.1</v>
      </c>
      <c r="H255" s="30">
        <v>207.58</v>
      </c>
      <c r="I255" s="30"/>
      <c r="J255" s="69" t="s">
        <v>12</v>
      </c>
      <c r="K255" s="30"/>
      <c r="L255" s="60" t="str">
        <f t="shared" si="4"/>
        <v>12023021.4080.100</v>
      </c>
    </row>
    <row r="256" spans="1:12" x14ac:dyDescent="0.2">
      <c r="A256" s="30">
        <v>19038</v>
      </c>
      <c r="B256" s="30" t="s">
        <v>449</v>
      </c>
      <c r="C256" s="30">
        <v>12023021</v>
      </c>
      <c r="D256" s="30" t="s">
        <v>98</v>
      </c>
      <c r="E256" s="30">
        <v>50</v>
      </c>
      <c r="F256" s="30" t="s">
        <v>166</v>
      </c>
      <c r="G256" s="30">
        <v>4080.1</v>
      </c>
      <c r="H256" s="30">
        <v>343.27</v>
      </c>
      <c r="I256" s="30"/>
      <c r="J256" s="69" t="s">
        <v>12</v>
      </c>
      <c r="K256" s="30"/>
      <c r="L256" s="60" t="str">
        <f t="shared" si="4"/>
        <v>12023021.4080.100</v>
      </c>
    </row>
    <row r="257" spans="1:12" x14ac:dyDescent="0.2">
      <c r="A257" s="30">
        <v>19027</v>
      </c>
      <c r="B257" s="30" t="s">
        <v>365</v>
      </c>
      <c r="C257" s="30">
        <v>12023021</v>
      </c>
      <c r="D257" s="30" t="s">
        <v>98</v>
      </c>
      <c r="E257" s="30">
        <v>50</v>
      </c>
      <c r="F257" s="30" t="s">
        <v>166</v>
      </c>
      <c r="G257" s="30">
        <v>4080.1</v>
      </c>
      <c r="H257" s="30">
        <v>202.61</v>
      </c>
      <c r="I257" s="30"/>
      <c r="J257" s="69" t="s">
        <v>12</v>
      </c>
      <c r="K257" s="30"/>
      <c r="L257" s="60" t="str">
        <f t="shared" si="4"/>
        <v>12023021.4080.100</v>
      </c>
    </row>
    <row r="258" spans="1:12" x14ac:dyDescent="0.2">
      <c r="A258" s="30">
        <v>19021</v>
      </c>
      <c r="B258" s="30" t="s">
        <v>99</v>
      </c>
      <c r="C258" s="30">
        <v>12023021</v>
      </c>
      <c r="D258" s="30" t="s">
        <v>98</v>
      </c>
      <c r="E258" s="30">
        <v>50</v>
      </c>
      <c r="F258" s="30" t="s">
        <v>166</v>
      </c>
      <c r="G258" s="30">
        <v>4080.1</v>
      </c>
      <c r="H258" s="30">
        <v>207.81</v>
      </c>
      <c r="I258" s="30"/>
      <c r="J258" s="69" t="s">
        <v>12</v>
      </c>
      <c r="K258" s="30"/>
      <c r="L258" s="60" t="str">
        <f t="shared" ref="L258:L321" si="5">C258&amp;"."&amp;G258&amp;J258</f>
        <v>12023021.4080.100</v>
      </c>
    </row>
    <row r="259" spans="1:12" x14ac:dyDescent="0.2">
      <c r="A259" s="30">
        <v>18581</v>
      </c>
      <c r="B259" s="30" t="s">
        <v>190</v>
      </c>
      <c r="C259" s="30">
        <v>12024021</v>
      </c>
      <c r="D259" s="30" t="s">
        <v>191</v>
      </c>
      <c r="E259" s="30">
        <v>50</v>
      </c>
      <c r="F259" s="30" t="s">
        <v>166</v>
      </c>
      <c r="G259" s="30">
        <v>4080.1</v>
      </c>
      <c r="H259" s="30">
        <v>332.07</v>
      </c>
      <c r="I259" s="30"/>
      <c r="J259" s="69" t="s">
        <v>12</v>
      </c>
      <c r="K259" s="30"/>
      <c r="L259" s="60" t="str">
        <f t="shared" si="5"/>
        <v>12024021.4080.100</v>
      </c>
    </row>
    <row r="260" spans="1:12" x14ac:dyDescent="0.2">
      <c r="A260" s="30">
        <v>44705</v>
      </c>
      <c r="B260" s="30" t="s">
        <v>149</v>
      </c>
      <c r="C260" s="30">
        <v>12028099</v>
      </c>
      <c r="D260" s="30" t="s">
        <v>150</v>
      </c>
      <c r="E260" s="30">
        <v>50</v>
      </c>
      <c r="F260" s="30" t="s">
        <v>166</v>
      </c>
      <c r="G260" s="30">
        <v>4080.1</v>
      </c>
      <c r="H260" s="30">
        <v>565.39</v>
      </c>
      <c r="I260" s="30"/>
      <c r="J260" s="69" t="s">
        <v>12</v>
      </c>
      <c r="K260" s="30"/>
      <c r="L260" s="60" t="str">
        <f t="shared" si="5"/>
        <v>12028099.4080.100</v>
      </c>
    </row>
    <row r="261" spans="1:12" x14ac:dyDescent="0.2">
      <c r="A261" s="30">
        <v>19034</v>
      </c>
      <c r="B261" s="30" t="s">
        <v>439</v>
      </c>
      <c r="C261" s="30">
        <v>12028099</v>
      </c>
      <c r="D261" s="30" t="s">
        <v>150</v>
      </c>
      <c r="E261" s="30">
        <v>50</v>
      </c>
      <c r="F261" s="30" t="s">
        <v>166</v>
      </c>
      <c r="G261" s="30">
        <v>4080.1</v>
      </c>
      <c r="H261" s="30">
        <v>262.5</v>
      </c>
      <c r="I261" s="30"/>
      <c r="J261" s="69" t="s">
        <v>12</v>
      </c>
      <c r="K261" s="30"/>
      <c r="L261" s="60" t="str">
        <f t="shared" si="5"/>
        <v>12028099.4080.100</v>
      </c>
    </row>
    <row r="262" spans="1:12" x14ac:dyDescent="0.2">
      <c r="A262" s="30">
        <v>18805</v>
      </c>
      <c r="B262" s="30" t="s">
        <v>192</v>
      </c>
      <c r="C262" s="30">
        <v>12030400</v>
      </c>
      <c r="D262" s="30" t="s">
        <v>62</v>
      </c>
      <c r="E262" s="30">
        <v>50</v>
      </c>
      <c r="F262" s="30" t="s">
        <v>166</v>
      </c>
      <c r="G262" s="30">
        <v>4080.1</v>
      </c>
      <c r="H262" s="30">
        <v>242.31</v>
      </c>
      <c r="I262" s="30"/>
      <c r="J262" s="69" t="s">
        <v>12</v>
      </c>
      <c r="K262" s="30"/>
      <c r="L262" s="60" t="str">
        <f t="shared" si="5"/>
        <v>12030400.4080.100</v>
      </c>
    </row>
    <row r="263" spans="1:12" x14ac:dyDescent="0.2">
      <c r="A263" s="30">
        <v>18982</v>
      </c>
      <c r="B263" s="30" t="s">
        <v>100</v>
      </c>
      <c r="C263" s="30">
        <v>12030400</v>
      </c>
      <c r="D263" s="30" t="s">
        <v>62</v>
      </c>
      <c r="E263" s="30">
        <v>50</v>
      </c>
      <c r="F263" s="30" t="s">
        <v>166</v>
      </c>
      <c r="G263" s="30">
        <v>4080.1</v>
      </c>
      <c r="H263" s="30">
        <v>242.31</v>
      </c>
      <c r="I263" s="30"/>
      <c r="J263" s="69" t="s">
        <v>12</v>
      </c>
      <c r="K263" s="30"/>
      <c r="L263" s="60" t="str">
        <f t="shared" si="5"/>
        <v>12030400.4080.100</v>
      </c>
    </row>
    <row r="264" spans="1:12" x14ac:dyDescent="0.2">
      <c r="A264" s="30">
        <v>266</v>
      </c>
      <c r="B264" s="30" t="s">
        <v>194</v>
      </c>
      <c r="C264" s="30">
        <v>12030500</v>
      </c>
      <c r="D264" s="30" t="s">
        <v>34</v>
      </c>
      <c r="E264" s="30">
        <v>50</v>
      </c>
      <c r="F264" s="30" t="s">
        <v>166</v>
      </c>
      <c r="G264" s="30">
        <v>4080.1</v>
      </c>
      <c r="H264" s="30">
        <v>259.95999999999998</v>
      </c>
      <c r="I264" s="30"/>
      <c r="J264" s="69" t="s">
        <v>12</v>
      </c>
      <c r="K264" s="30"/>
      <c r="L264" s="60" t="str">
        <f t="shared" si="5"/>
        <v>12030500.4080.100</v>
      </c>
    </row>
    <row r="265" spans="1:12" x14ac:dyDescent="0.2">
      <c r="A265" s="30">
        <v>18841</v>
      </c>
      <c r="B265" s="30" t="s">
        <v>193</v>
      </c>
      <c r="C265" s="30">
        <v>12030500</v>
      </c>
      <c r="D265" s="30" t="s">
        <v>34</v>
      </c>
      <c r="E265" s="30">
        <v>50</v>
      </c>
      <c r="F265" s="30" t="s">
        <v>166</v>
      </c>
      <c r="G265" s="30">
        <v>4080.1</v>
      </c>
      <c r="H265" s="30">
        <v>226.15</v>
      </c>
      <c r="I265" s="30"/>
      <c r="J265" s="69" t="s">
        <v>12</v>
      </c>
      <c r="K265" s="30"/>
      <c r="L265" s="60" t="str">
        <f t="shared" si="5"/>
        <v>12030500.4080.100</v>
      </c>
    </row>
    <row r="266" spans="1:12" x14ac:dyDescent="0.2">
      <c r="A266" s="30">
        <v>18918</v>
      </c>
      <c r="B266" s="30" t="s">
        <v>38</v>
      </c>
      <c r="C266" s="30">
        <v>12030611</v>
      </c>
      <c r="D266" s="30" t="s">
        <v>36</v>
      </c>
      <c r="E266" s="30">
        <v>50</v>
      </c>
      <c r="F266" s="30" t="s">
        <v>166</v>
      </c>
      <c r="G266" s="30">
        <v>4080.1</v>
      </c>
      <c r="H266" s="30">
        <v>199.63</v>
      </c>
      <c r="I266" s="30"/>
      <c r="J266" s="69" t="s">
        <v>12</v>
      </c>
      <c r="K266" s="30"/>
      <c r="L266" s="60" t="str">
        <f t="shared" si="5"/>
        <v>12030611.4080.100</v>
      </c>
    </row>
    <row r="267" spans="1:12" x14ac:dyDescent="0.2">
      <c r="A267" s="30">
        <v>18949</v>
      </c>
      <c r="B267" s="30" t="s">
        <v>35</v>
      </c>
      <c r="C267" s="30">
        <v>12030611</v>
      </c>
      <c r="D267" s="30" t="s">
        <v>36</v>
      </c>
      <c r="E267" s="30">
        <v>50</v>
      </c>
      <c r="F267" s="30" t="s">
        <v>166</v>
      </c>
      <c r="G267" s="30">
        <v>4080.1</v>
      </c>
      <c r="H267" s="30">
        <v>202.78</v>
      </c>
      <c r="I267" s="30"/>
      <c r="J267" s="69" t="s">
        <v>12</v>
      </c>
      <c r="K267" s="30"/>
      <c r="L267" s="60" t="str">
        <f t="shared" si="5"/>
        <v>12030611.4080.100</v>
      </c>
    </row>
    <row r="268" spans="1:12" x14ac:dyDescent="0.2">
      <c r="A268" s="30">
        <v>18827</v>
      </c>
      <c r="B268" s="30" t="s">
        <v>104</v>
      </c>
      <c r="C268" s="30">
        <v>12030611</v>
      </c>
      <c r="D268" s="30" t="s">
        <v>36</v>
      </c>
      <c r="E268" s="30">
        <v>50</v>
      </c>
      <c r="F268" s="30" t="s">
        <v>166</v>
      </c>
      <c r="G268" s="30">
        <v>4080.1</v>
      </c>
      <c r="H268" s="30">
        <v>251.74</v>
      </c>
      <c r="I268" s="30"/>
      <c r="J268" s="69" t="s">
        <v>12</v>
      </c>
      <c r="K268" s="30"/>
      <c r="L268" s="60" t="str">
        <f t="shared" si="5"/>
        <v>12030611.4080.100</v>
      </c>
    </row>
    <row r="269" spans="1:12" x14ac:dyDescent="0.2">
      <c r="A269" s="30">
        <v>18979</v>
      </c>
      <c r="B269" s="30" t="s">
        <v>39</v>
      </c>
      <c r="C269" s="30">
        <v>12030611</v>
      </c>
      <c r="D269" s="30" t="s">
        <v>36</v>
      </c>
      <c r="E269" s="30">
        <v>50</v>
      </c>
      <c r="F269" s="30" t="s">
        <v>166</v>
      </c>
      <c r="G269" s="30">
        <v>4080.1</v>
      </c>
      <c r="H269" s="30">
        <v>209.19</v>
      </c>
      <c r="I269" s="30"/>
      <c r="J269" s="69" t="s">
        <v>12</v>
      </c>
      <c r="K269" s="30"/>
      <c r="L269" s="60" t="str">
        <f t="shared" si="5"/>
        <v>12030611.4080.100</v>
      </c>
    </row>
    <row r="270" spans="1:12" x14ac:dyDescent="0.2">
      <c r="A270" s="30">
        <v>18626</v>
      </c>
      <c r="B270" s="30" t="s">
        <v>195</v>
      </c>
      <c r="C270" s="30">
        <v>12030611</v>
      </c>
      <c r="D270" s="30" t="s">
        <v>36</v>
      </c>
      <c r="E270" s="30">
        <v>50</v>
      </c>
      <c r="F270" s="30" t="s">
        <v>166</v>
      </c>
      <c r="G270" s="30">
        <v>4080.1</v>
      </c>
      <c r="H270" s="30">
        <v>363.46</v>
      </c>
      <c r="I270" s="30"/>
      <c r="J270" s="69" t="s">
        <v>12</v>
      </c>
      <c r="K270" s="30"/>
      <c r="L270" s="60" t="str">
        <f t="shared" si="5"/>
        <v>12030611.4080.100</v>
      </c>
    </row>
    <row r="271" spans="1:12" x14ac:dyDescent="0.2">
      <c r="A271" s="30">
        <v>18822</v>
      </c>
      <c r="B271" s="30" t="s">
        <v>103</v>
      </c>
      <c r="C271" s="30">
        <v>12030611</v>
      </c>
      <c r="D271" s="30" t="s">
        <v>36</v>
      </c>
      <c r="E271" s="30">
        <v>50</v>
      </c>
      <c r="F271" s="30" t="s">
        <v>166</v>
      </c>
      <c r="G271" s="30">
        <v>4080.1</v>
      </c>
      <c r="H271" s="30">
        <v>207.17</v>
      </c>
      <c r="I271" s="30"/>
      <c r="J271" s="69" t="s">
        <v>12</v>
      </c>
      <c r="K271" s="30"/>
      <c r="L271" s="60" t="str">
        <f t="shared" si="5"/>
        <v>12030611.4080.100</v>
      </c>
    </row>
    <row r="272" spans="1:12" x14ac:dyDescent="0.2">
      <c r="A272" s="30">
        <v>18929</v>
      </c>
      <c r="B272" s="30" t="s">
        <v>106</v>
      </c>
      <c r="C272" s="30">
        <v>12030611</v>
      </c>
      <c r="D272" s="30" t="s">
        <v>36</v>
      </c>
      <c r="E272" s="30">
        <v>50</v>
      </c>
      <c r="F272" s="30" t="s">
        <v>166</v>
      </c>
      <c r="G272" s="30">
        <v>4080.1</v>
      </c>
      <c r="H272" s="30">
        <v>97.55</v>
      </c>
      <c r="I272" s="30"/>
      <c r="J272" s="69" t="s">
        <v>12</v>
      </c>
      <c r="K272" s="30"/>
      <c r="L272" s="60" t="str">
        <f t="shared" si="5"/>
        <v>12030611.4080.100</v>
      </c>
    </row>
    <row r="273" spans="1:12" x14ac:dyDescent="0.2">
      <c r="A273" s="30">
        <v>134</v>
      </c>
      <c r="B273" s="30" t="s">
        <v>102</v>
      </c>
      <c r="C273" s="30">
        <v>12030611</v>
      </c>
      <c r="D273" s="30" t="s">
        <v>36</v>
      </c>
      <c r="E273" s="30">
        <v>50</v>
      </c>
      <c r="F273" s="30" t="s">
        <v>166</v>
      </c>
      <c r="G273" s="30">
        <v>4080.1</v>
      </c>
      <c r="H273" s="30">
        <v>100.72</v>
      </c>
      <c r="I273" s="30"/>
      <c r="J273" s="69" t="s">
        <v>12</v>
      </c>
      <c r="K273" s="30"/>
      <c r="L273" s="60" t="str">
        <f t="shared" si="5"/>
        <v>12030611.4080.100</v>
      </c>
    </row>
    <row r="274" spans="1:12" x14ac:dyDescent="0.2">
      <c r="A274" s="30">
        <v>18797</v>
      </c>
      <c r="B274" s="30" t="s">
        <v>101</v>
      </c>
      <c r="C274" s="30">
        <v>12030611</v>
      </c>
      <c r="D274" s="30" t="s">
        <v>36</v>
      </c>
      <c r="E274" s="30">
        <v>50</v>
      </c>
      <c r="F274" s="30" t="s">
        <v>166</v>
      </c>
      <c r="G274" s="30">
        <v>4080.1</v>
      </c>
      <c r="H274" s="30">
        <v>230.28</v>
      </c>
      <c r="I274" s="30"/>
      <c r="J274" s="69" t="s">
        <v>12</v>
      </c>
      <c r="K274" s="30"/>
      <c r="L274" s="60" t="str">
        <f t="shared" si="5"/>
        <v>12030611.4080.100</v>
      </c>
    </row>
    <row r="275" spans="1:12" x14ac:dyDescent="0.2">
      <c r="A275" s="30">
        <v>18887</v>
      </c>
      <c r="B275" s="30" t="s">
        <v>105</v>
      </c>
      <c r="C275" s="30">
        <v>12030611</v>
      </c>
      <c r="D275" s="30" t="s">
        <v>36</v>
      </c>
      <c r="E275" s="30">
        <v>50</v>
      </c>
      <c r="F275" s="30" t="s">
        <v>166</v>
      </c>
      <c r="G275" s="30">
        <v>4080.1</v>
      </c>
      <c r="H275" s="30">
        <v>201.52</v>
      </c>
      <c r="I275" s="30"/>
      <c r="J275" s="69" t="s">
        <v>12</v>
      </c>
      <c r="K275" s="30"/>
      <c r="L275" s="60" t="str">
        <f t="shared" si="5"/>
        <v>12030611.4080.100</v>
      </c>
    </row>
    <row r="276" spans="1:12" x14ac:dyDescent="0.2">
      <c r="A276" s="30">
        <v>18793</v>
      </c>
      <c r="B276" s="30" t="s">
        <v>480</v>
      </c>
      <c r="C276" s="30">
        <v>12030711</v>
      </c>
      <c r="D276" s="30" t="s">
        <v>41</v>
      </c>
      <c r="E276" s="30">
        <v>50</v>
      </c>
      <c r="F276" s="30" t="s">
        <v>166</v>
      </c>
      <c r="G276" s="30">
        <v>4080.1</v>
      </c>
      <c r="H276" s="30">
        <v>45.46</v>
      </c>
      <c r="I276" s="30"/>
      <c r="J276" s="69" t="s">
        <v>12</v>
      </c>
      <c r="K276" s="30"/>
      <c r="L276" s="60" t="str">
        <f t="shared" si="5"/>
        <v>12030711.4080.100</v>
      </c>
    </row>
    <row r="277" spans="1:12" x14ac:dyDescent="0.2">
      <c r="A277" s="30">
        <v>18989</v>
      </c>
      <c r="B277" s="30" t="s">
        <v>107</v>
      </c>
      <c r="C277" s="30">
        <v>12030800</v>
      </c>
      <c r="D277" s="30" t="s">
        <v>59</v>
      </c>
      <c r="E277" s="30">
        <v>50</v>
      </c>
      <c r="F277" s="30" t="s">
        <v>166</v>
      </c>
      <c r="G277" s="30">
        <v>4080.1</v>
      </c>
      <c r="H277" s="30">
        <v>182.91</v>
      </c>
      <c r="I277" s="30"/>
      <c r="J277" s="69" t="s">
        <v>12</v>
      </c>
      <c r="K277" s="30"/>
      <c r="L277" s="60" t="str">
        <f t="shared" si="5"/>
        <v>12030800.4080.100</v>
      </c>
    </row>
    <row r="278" spans="1:12" x14ac:dyDescent="0.2">
      <c r="A278" s="30">
        <v>18736</v>
      </c>
      <c r="B278" s="30" t="s">
        <v>70</v>
      </c>
      <c r="C278" s="30">
        <v>12032511</v>
      </c>
      <c r="D278" s="30" t="s">
        <v>43</v>
      </c>
      <c r="E278" s="30">
        <v>50</v>
      </c>
      <c r="F278" s="30" t="s">
        <v>166</v>
      </c>
      <c r="G278" s="30">
        <v>4080.1</v>
      </c>
      <c r="H278" s="30">
        <v>184.31</v>
      </c>
      <c r="I278" s="30"/>
      <c r="J278" s="69" t="s">
        <v>12</v>
      </c>
      <c r="K278" s="30"/>
      <c r="L278" s="60" t="str">
        <f t="shared" si="5"/>
        <v>12032511.4080.100</v>
      </c>
    </row>
    <row r="279" spans="1:12" x14ac:dyDescent="0.2">
      <c r="A279" s="30">
        <v>19009</v>
      </c>
      <c r="B279" s="30" t="s">
        <v>117</v>
      </c>
      <c r="C279" s="30">
        <v>12033011</v>
      </c>
      <c r="D279" s="30" t="s">
        <v>45</v>
      </c>
      <c r="E279" s="30">
        <v>50</v>
      </c>
      <c r="F279" s="30" t="s">
        <v>166</v>
      </c>
      <c r="G279" s="30">
        <v>4080.1</v>
      </c>
      <c r="H279" s="30">
        <v>200.69</v>
      </c>
      <c r="I279" s="30"/>
      <c r="J279" s="69" t="s">
        <v>12</v>
      </c>
      <c r="K279" s="30"/>
      <c r="L279" s="60" t="str">
        <f t="shared" si="5"/>
        <v>12033011.4080.100</v>
      </c>
    </row>
    <row r="280" spans="1:12" x14ac:dyDescent="0.2">
      <c r="A280" s="30">
        <v>19028</v>
      </c>
      <c r="B280" s="30" t="s">
        <v>367</v>
      </c>
      <c r="C280" s="30">
        <v>12033011</v>
      </c>
      <c r="D280" s="30" t="s">
        <v>45</v>
      </c>
      <c r="E280" s="30">
        <v>50</v>
      </c>
      <c r="F280" s="30" t="s">
        <v>166</v>
      </c>
      <c r="G280" s="30">
        <v>4080.1</v>
      </c>
      <c r="H280" s="30">
        <v>199.88</v>
      </c>
      <c r="I280" s="30"/>
      <c r="J280" s="69" t="s">
        <v>12</v>
      </c>
      <c r="K280" s="30"/>
      <c r="L280" s="60" t="str">
        <f t="shared" si="5"/>
        <v>12033011.4080.100</v>
      </c>
    </row>
    <row r="281" spans="1:12" x14ac:dyDescent="0.2">
      <c r="A281" s="30">
        <v>18829</v>
      </c>
      <c r="B281" s="30" t="s">
        <v>115</v>
      </c>
      <c r="C281" s="30">
        <v>12033011</v>
      </c>
      <c r="D281" s="30" t="s">
        <v>45</v>
      </c>
      <c r="E281" s="30">
        <v>50</v>
      </c>
      <c r="F281" s="30" t="s">
        <v>166</v>
      </c>
      <c r="G281" s="30">
        <v>4080.1</v>
      </c>
      <c r="H281" s="30">
        <v>245.62</v>
      </c>
      <c r="I281" s="30"/>
      <c r="J281" s="69" t="s">
        <v>12</v>
      </c>
      <c r="K281" s="30"/>
      <c r="L281" s="60" t="str">
        <f t="shared" si="5"/>
        <v>12033011.4080.100</v>
      </c>
    </row>
    <row r="282" spans="1:12" x14ac:dyDescent="0.2">
      <c r="A282" s="30">
        <v>19015</v>
      </c>
      <c r="B282" s="30" t="s">
        <v>116</v>
      </c>
      <c r="C282" s="30">
        <v>12033011</v>
      </c>
      <c r="D282" s="30" t="s">
        <v>45</v>
      </c>
      <c r="E282" s="30">
        <v>50</v>
      </c>
      <c r="F282" s="30" t="s">
        <v>166</v>
      </c>
      <c r="G282" s="30">
        <v>4080.1</v>
      </c>
      <c r="H282" s="30">
        <v>220.02</v>
      </c>
      <c r="I282" s="30"/>
      <c r="J282" s="69" t="s">
        <v>12</v>
      </c>
      <c r="K282" s="30"/>
      <c r="L282" s="60" t="str">
        <f t="shared" si="5"/>
        <v>12033011.4080.100</v>
      </c>
    </row>
    <row r="283" spans="1:12" x14ac:dyDescent="0.2">
      <c r="A283" s="30">
        <v>19011</v>
      </c>
      <c r="B283" s="30" t="s">
        <v>111</v>
      </c>
      <c r="C283" s="30">
        <v>12033011</v>
      </c>
      <c r="D283" s="30" t="s">
        <v>45</v>
      </c>
      <c r="E283" s="30">
        <v>50</v>
      </c>
      <c r="F283" s="30" t="s">
        <v>166</v>
      </c>
      <c r="G283" s="30">
        <v>4080.1</v>
      </c>
      <c r="H283" s="30">
        <v>192.97</v>
      </c>
      <c r="I283" s="30"/>
      <c r="J283" s="69" t="s">
        <v>12</v>
      </c>
      <c r="K283" s="30"/>
      <c r="L283" s="60" t="str">
        <f t="shared" si="5"/>
        <v>12033011.4080.100</v>
      </c>
    </row>
    <row r="284" spans="1:12" x14ac:dyDescent="0.2">
      <c r="A284" s="30">
        <v>19017</v>
      </c>
      <c r="B284" s="30" t="s">
        <v>65</v>
      </c>
      <c r="C284" s="30">
        <v>12033011</v>
      </c>
      <c r="D284" s="30" t="s">
        <v>45</v>
      </c>
      <c r="E284" s="30">
        <v>50</v>
      </c>
      <c r="F284" s="30" t="s">
        <v>166</v>
      </c>
      <c r="G284" s="30">
        <v>4080.1</v>
      </c>
      <c r="H284" s="30">
        <v>161.76</v>
      </c>
      <c r="I284" s="30"/>
      <c r="J284" s="69" t="s">
        <v>12</v>
      </c>
      <c r="K284" s="30"/>
      <c r="L284" s="60" t="str">
        <f t="shared" si="5"/>
        <v>12033011.4080.100</v>
      </c>
    </row>
    <row r="285" spans="1:12" x14ac:dyDescent="0.2">
      <c r="A285" s="30">
        <v>19012</v>
      </c>
      <c r="B285" s="30" t="s">
        <v>110</v>
      </c>
      <c r="C285" s="30">
        <v>12033011</v>
      </c>
      <c r="D285" s="30" t="s">
        <v>45</v>
      </c>
      <c r="E285" s="30">
        <v>50</v>
      </c>
      <c r="F285" s="30" t="s">
        <v>166</v>
      </c>
      <c r="G285" s="30">
        <v>4080.1</v>
      </c>
      <c r="H285" s="30">
        <v>212.25</v>
      </c>
      <c r="I285" s="30"/>
      <c r="J285" s="69" t="s">
        <v>12</v>
      </c>
      <c r="K285" s="30"/>
      <c r="L285" s="60" t="str">
        <f t="shared" si="5"/>
        <v>12033011.4080.100</v>
      </c>
    </row>
    <row r="286" spans="1:12" x14ac:dyDescent="0.2">
      <c r="A286" s="30">
        <v>18607</v>
      </c>
      <c r="B286" s="30" t="s">
        <v>109</v>
      </c>
      <c r="C286" s="30">
        <v>12033011</v>
      </c>
      <c r="D286" s="30" t="s">
        <v>45</v>
      </c>
      <c r="E286" s="30">
        <v>50</v>
      </c>
      <c r="F286" s="30" t="s">
        <v>166</v>
      </c>
      <c r="G286" s="30">
        <v>4080.1</v>
      </c>
      <c r="H286" s="30">
        <v>210.28</v>
      </c>
      <c r="I286" s="30"/>
      <c r="J286" s="69" t="s">
        <v>12</v>
      </c>
      <c r="K286" s="30"/>
      <c r="L286" s="60" t="str">
        <f t="shared" si="5"/>
        <v>12033011.4080.100</v>
      </c>
    </row>
    <row r="287" spans="1:12" x14ac:dyDescent="0.2">
      <c r="A287" s="30">
        <v>18932</v>
      </c>
      <c r="B287" s="30" t="s">
        <v>44</v>
      </c>
      <c r="C287" s="30">
        <v>12033011</v>
      </c>
      <c r="D287" s="30" t="s">
        <v>45</v>
      </c>
      <c r="E287" s="30">
        <v>50</v>
      </c>
      <c r="F287" s="30" t="s">
        <v>166</v>
      </c>
      <c r="G287" s="30">
        <v>4080.1</v>
      </c>
      <c r="H287" s="30">
        <v>262.16000000000003</v>
      </c>
      <c r="I287" s="30"/>
      <c r="J287" s="69" t="s">
        <v>12</v>
      </c>
      <c r="K287" s="30"/>
      <c r="L287" s="60" t="str">
        <f t="shared" si="5"/>
        <v>12033011.4080.100</v>
      </c>
    </row>
    <row r="288" spans="1:12" x14ac:dyDescent="0.2">
      <c r="A288" s="30">
        <v>18923</v>
      </c>
      <c r="B288" s="30" t="s">
        <v>46</v>
      </c>
      <c r="C288" s="30">
        <v>12033011</v>
      </c>
      <c r="D288" s="30" t="s">
        <v>45</v>
      </c>
      <c r="E288" s="30">
        <v>50</v>
      </c>
      <c r="F288" s="30" t="s">
        <v>166</v>
      </c>
      <c r="G288" s="30">
        <v>4080.1</v>
      </c>
      <c r="H288" s="30">
        <v>185.27</v>
      </c>
      <c r="I288" s="30"/>
      <c r="J288" s="69" t="s">
        <v>12</v>
      </c>
      <c r="K288" s="30"/>
      <c r="L288" s="60" t="str">
        <f t="shared" si="5"/>
        <v>12033011.4080.100</v>
      </c>
    </row>
    <row r="289" spans="1:12" x14ac:dyDescent="0.2">
      <c r="A289" s="30">
        <v>18983</v>
      </c>
      <c r="B289" s="30" t="s">
        <v>112</v>
      </c>
      <c r="C289" s="30">
        <v>12033011</v>
      </c>
      <c r="D289" s="30" t="s">
        <v>45</v>
      </c>
      <c r="E289" s="30">
        <v>50</v>
      </c>
      <c r="F289" s="30" t="s">
        <v>166</v>
      </c>
      <c r="G289" s="30">
        <v>4080.1</v>
      </c>
      <c r="H289" s="30">
        <v>219.26</v>
      </c>
      <c r="I289" s="30"/>
      <c r="J289" s="69" t="s">
        <v>12</v>
      </c>
      <c r="K289" s="30"/>
      <c r="L289" s="60" t="str">
        <f t="shared" si="5"/>
        <v>12033011.4080.100</v>
      </c>
    </row>
    <row r="290" spans="1:12" x14ac:dyDescent="0.2">
      <c r="A290" s="30">
        <v>18679</v>
      </c>
      <c r="B290" s="30" t="s">
        <v>114</v>
      </c>
      <c r="C290" s="30">
        <v>12033011</v>
      </c>
      <c r="D290" s="30" t="s">
        <v>45</v>
      </c>
      <c r="E290" s="30">
        <v>50</v>
      </c>
      <c r="F290" s="30" t="s">
        <v>166</v>
      </c>
      <c r="G290" s="30">
        <v>4080.1</v>
      </c>
      <c r="H290" s="30">
        <v>184.09</v>
      </c>
      <c r="I290" s="30"/>
      <c r="J290" s="69" t="s">
        <v>12</v>
      </c>
      <c r="K290" s="30"/>
      <c r="L290" s="60" t="str">
        <f t="shared" si="5"/>
        <v>12033011.4080.100</v>
      </c>
    </row>
    <row r="291" spans="1:12" x14ac:dyDescent="0.2">
      <c r="A291" s="30">
        <v>19030</v>
      </c>
      <c r="B291" s="30" t="s">
        <v>364</v>
      </c>
      <c r="C291" s="30">
        <v>12033011</v>
      </c>
      <c r="D291" s="30" t="s">
        <v>45</v>
      </c>
      <c r="E291" s="30">
        <v>50</v>
      </c>
      <c r="F291" s="30" t="s">
        <v>166</v>
      </c>
      <c r="G291" s="30">
        <v>4080.1</v>
      </c>
      <c r="H291" s="30">
        <v>224.74</v>
      </c>
      <c r="I291" s="30"/>
      <c r="J291" s="69" t="s">
        <v>12</v>
      </c>
      <c r="K291" s="30"/>
      <c r="L291" s="60" t="str">
        <f t="shared" si="5"/>
        <v>12033011.4080.100</v>
      </c>
    </row>
    <row r="292" spans="1:12" x14ac:dyDescent="0.2">
      <c r="A292" s="30">
        <v>19029</v>
      </c>
      <c r="B292" s="30" t="s">
        <v>366</v>
      </c>
      <c r="C292" s="30">
        <v>12033011</v>
      </c>
      <c r="D292" s="30" t="s">
        <v>45</v>
      </c>
      <c r="E292" s="30">
        <v>50</v>
      </c>
      <c r="F292" s="30" t="s">
        <v>166</v>
      </c>
      <c r="G292" s="30">
        <v>4080.1</v>
      </c>
      <c r="H292" s="30">
        <v>211.79</v>
      </c>
      <c r="I292" s="30"/>
      <c r="J292" s="69" t="s">
        <v>12</v>
      </c>
      <c r="K292" s="30"/>
      <c r="L292" s="60" t="str">
        <f t="shared" si="5"/>
        <v>12033011.4080.100</v>
      </c>
    </row>
    <row r="293" spans="1:12" x14ac:dyDescent="0.2">
      <c r="A293" s="30">
        <v>19019</v>
      </c>
      <c r="B293" s="30" t="s">
        <v>108</v>
      </c>
      <c r="C293" s="30">
        <v>12033011</v>
      </c>
      <c r="D293" s="30" t="s">
        <v>45</v>
      </c>
      <c r="E293" s="30">
        <v>50</v>
      </c>
      <c r="F293" s="30" t="s">
        <v>166</v>
      </c>
      <c r="G293" s="30">
        <v>4080.1</v>
      </c>
      <c r="H293" s="30">
        <v>218.33</v>
      </c>
      <c r="I293" s="30"/>
      <c r="J293" s="69" t="s">
        <v>12</v>
      </c>
      <c r="K293" s="30"/>
      <c r="L293" s="60" t="str">
        <f t="shared" si="5"/>
        <v>12033011.4080.100</v>
      </c>
    </row>
    <row r="294" spans="1:12" x14ac:dyDescent="0.2">
      <c r="A294" s="30">
        <v>19008</v>
      </c>
      <c r="B294" s="30" t="s">
        <v>118</v>
      </c>
      <c r="C294" s="30">
        <v>12033011</v>
      </c>
      <c r="D294" s="30" t="s">
        <v>45</v>
      </c>
      <c r="E294" s="30">
        <v>50</v>
      </c>
      <c r="F294" s="30" t="s">
        <v>166</v>
      </c>
      <c r="G294" s="30">
        <v>4080.1</v>
      </c>
      <c r="H294" s="30">
        <v>148.58000000000001</v>
      </c>
      <c r="I294" s="30"/>
      <c r="J294" s="69" t="s">
        <v>12</v>
      </c>
      <c r="K294" s="30"/>
      <c r="L294" s="60" t="str">
        <f t="shared" si="5"/>
        <v>12033011.4080.100</v>
      </c>
    </row>
    <row r="295" spans="1:12" x14ac:dyDescent="0.2">
      <c r="A295" s="30">
        <v>18998</v>
      </c>
      <c r="B295" s="30" t="s">
        <v>47</v>
      </c>
      <c r="C295" s="30">
        <v>12038099</v>
      </c>
      <c r="D295" s="30" t="s">
        <v>48</v>
      </c>
      <c r="E295" s="30">
        <v>50</v>
      </c>
      <c r="F295" s="30" t="s">
        <v>166</v>
      </c>
      <c r="G295" s="30">
        <v>4080.1</v>
      </c>
      <c r="H295" s="30">
        <v>302.89</v>
      </c>
      <c r="I295" s="30"/>
      <c r="J295" s="69" t="s">
        <v>12</v>
      </c>
      <c r="K295" s="30"/>
      <c r="L295" s="60" t="str">
        <f t="shared" si="5"/>
        <v>12038099.4080.100</v>
      </c>
    </row>
    <row r="296" spans="1:12" x14ac:dyDescent="0.2">
      <c r="A296" s="30">
        <v>115</v>
      </c>
      <c r="B296" s="30" t="s">
        <v>196</v>
      </c>
      <c r="C296" s="30">
        <v>12040400</v>
      </c>
      <c r="D296" s="30" t="s">
        <v>197</v>
      </c>
      <c r="E296" s="30">
        <v>50</v>
      </c>
      <c r="F296" s="30" t="s">
        <v>166</v>
      </c>
      <c r="G296" s="30">
        <v>4080.1</v>
      </c>
      <c r="H296" s="30">
        <v>310.76</v>
      </c>
      <c r="I296" s="30"/>
      <c r="J296" s="69" t="s">
        <v>12</v>
      </c>
      <c r="K296" s="30"/>
      <c r="L296" s="60" t="str">
        <f t="shared" si="5"/>
        <v>12040400.4080.100</v>
      </c>
    </row>
    <row r="297" spans="1:12" x14ac:dyDescent="0.2">
      <c r="A297" s="30">
        <v>19020</v>
      </c>
      <c r="B297" s="30" t="s">
        <v>66</v>
      </c>
      <c r="C297" s="30">
        <v>12040500</v>
      </c>
      <c r="D297" s="30" t="s">
        <v>67</v>
      </c>
      <c r="E297" s="30">
        <v>50</v>
      </c>
      <c r="F297" s="30" t="s">
        <v>166</v>
      </c>
      <c r="G297" s="30">
        <v>4080.1</v>
      </c>
      <c r="H297" s="30">
        <v>214.44</v>
      </c>
      <c r="I297" s="30"/>
      <c r="J297" s="69" t="s">
        <v>12</v>
      </c>
      <c r="K297" s="30"/>
      <c r="L297" s="60" t="str">
        <f t="shared" si="5"/>
        <v>12040500.4080.100</v>
      </c>
    </row>
    <row r="298" spans="1:12" x14ac:dyDescent="0.2">
      <c r="A298" s="30">
        <v>18649</v>
      </c>
      <c r="B298" s="30" t="s">
        <v>152</v>
      </c>
      <c r="C298" s="30">
        <v>12040500</v>
      </c>
      <c r="D298" s="30" t="s">
        <v>67</v>
      </c>
      <c r="E298" s="30">
        <v>50</v>
      </c>
      <c r="F298" s="30" t="s">
        <v>166</v>
      </c>
      <c r="G298" s="30">
        <v>4080.1</v>
      </c>
      <c r="H298" s="30">
        <v>323.08</v>
      </c>
      <c r="I298" s="30"/>
      <c r="J298" s="69" t="s">
        <v>12</v>
      </c>
      <c r="K298" s="30"/>
      <c r="L298" s="60" t="str">
        <f t="shared" si="5"/>
        <v>12040500.4080.100</v>
      </c>
    </row>
    <row r="299" spans="1:12" x14ac:dyDescent="0.2">
      <c r="A299" s="30">
        <v>18839</v>
      </c>
      <c r="B299" s="30" t="s">
        <v>198</v>
      </c>
      <c r="C299" s="30">
        <v>12040800</v>
      </c>
      <c r="D299" s="30" t="s">
        <v>120</v>
      </c>
      <c r="E299" s="30">
        <v>50</v>
      </c>
      <c r="F299" s="30" t="s">
        <v>166</v>
      </c>
      <c r="G299" s="30">
        <v>4080.1</v>
      </c>
      <c r="H299" s="30">
        <v>126.76</v>
      </c>
      <c r="I299" s="30"/>
      <c r="J299" s="69" t="s">
        <v>12</v>
      </c>
      <c r="K299" s="30"/>
      <c r="L299" s="60" t="str">
        <f t="shared" si="5"/>
        <v>12040800.4080.100</v>
      </c>
    </row>
    <row r="300" spans="1:12" x14ac:dyDescent="0.2">
      <c r="A300" s="30">
        <v>18904</v>
      </c>
      <c r="B300" s="30" t="s">
        <v>119</v>
      </c>
      <c r="C300" s="30">
        <v>12040800</v>
      </c>
      <c r="D300" s="30" t="s">
        <v>120</v>
      </c>
      <c r="E300" s="30">
        <v>50</v>
      </c>
      <c r="F300" s="30" t="s">
        <v>166</v>
      </c>
      <c r="G300" s="30">
        <v>4080.1</v>
      </c>
      <c r="H300" s="30">
        <v>206.31</v>
      </c>
      <c r="I300" s="30"/>
      <c r="J300" s="69" t="s">
        <v>12</v>
      </c>
      <c r="K300" s="30"/>
      <c r="L300" s="60" t="str">
        <f t="shared" si="5"/>
        <v>12040800.4080.100</v>
      </c>
    </row>
    <row r="301" spans="1:12" x14ac:dyDescent="0.2">
      <c r="A301" s="30">
        <v>18650</v>
      </c>
      <c r="B301" s="30" t="s">
        <v>49</v>
      </c>
      <c r="C301" s="30">
        <v>12042511</v>
      </c>
      <c r="D301" s="30" t="s">
        <v>50</v>
      </c>
      <c r="E301" s="30">
        <v>50</v>
      </c>
      <c r="F301" s="30" t="s">
        <v>166</v>
      </c>
      <c r="G301" s="30">
        <v>4080.1</v>
      </c>
      <c r="H301" s="30">
        <v>196.25</v>
      </c>
      <c r="I301" s="30"/>
      <c r="J301" s="69" t="s">
        <v>12</v>
      </c>
      <c r="K301" s="30"/>
      <c r="L301" s="60" t="str">
        <f t="shared" si="5"/>
        <v>12042511.4080.100</v>
      </c>
    </row>
    <row r="302" spans="1:12" x14ac:dyDescent="0.2">
      <c r="A302" s="30">
        <v>18924</v>
      </c>
      <c r="B302" s="30" t="s">
        <v>121</v>
      </c>
      <c r="C302" s="30">
        <v>12043011</v>
      </c>
      <c r="D302" s="30" t="s">
        <v>52</v>
      </c>
      <c r="E302" s="30">
        <v>50</v>
      </c>
      <c r="F302" s="30" t="s">
        <v>166</v>
      </c>
      <c r="G302" s="30">
        <v>4080.1</v>
      </c>
      <c r="H302" s="30">
        <v>139</v>
      </c>
      <c r="I302" s="30"/>
      <c r="J302" s="69" t="s">
        <v>12</v>
      </c>
      <c r="K302" s="30"/>
      <c r="L302" s="60" t="str">
        <f t="shared" si="5"/>
        <v>12043011.4080.100</v>
      </c>
    </row>
    <row r="303" spans="1:12" x14ac:dyDescent="0.2">
      <c r="A303" s="30">
        <v>18713</v>
      </c>
      <c r="B303" s="30" t="s">
        <v>154</v>
      </c>
      <c r="C303" s="30">
        <v>12043011</v>
      </c>
      <c r="D303" s="30" t="s">
        <v>52</v>
      </c>
      <c r="E303" s="30">
        <v>50</v>
      </c>
      <c r="F303" s="30" t="s">
        <v>166</v>
      </c>
      <c r="G303" s="30">
        <v>4080.1</v>
      </c>
      <c r="H303" s="30">
        <v>331.2</v>
      </c>
      <c r="I303" s="30"/>
      <c r="J303" s="69" t="s">
        <v>12</v>
      </c>
      <c r="K303" s="30"/>
      <c r="L303" s="60" t="str">
        <f t="shared" si="5"/>
        <v>12043011.4080.100</v>
      </c>
    </row>
    <row r="304" spans="1:12" x14ac:dyDescent="0.2">
      <c r="A304" s="30">
        <v>18917</v>
      </c>
      <c r="B304" s="30" t="s">
        <v>68</v>
      </c>
      <c r="C304" s="30">
        <v>12043011</v>
      </c>
      <c r="D304" s="30" t="s">
        <v>52</v>
      </c>
      <c r="E304" s="30">
        <v>50</v>
      </c>
      <c r="F304" s="30" t="s">
        <v>166</v>
      </c>
      <c r="G304" s="30">
        <v>4080.1</v>
      </c>
      <c r="H304" s="30">
        <v>50.37</v>
      </c>
      <c r="I304" s="30"/>
      <c r="J304" s="69" t="s">
        <v>12</v>
      </c>
      <c r="K304" s="30"/>
      <c r="L304" s="60" t="str">
        <f t="shared" si="5"/>
        <v>12043011.4080.100</v>
      </c>
    </row>
    <row r="305" spans="1:12" x14ac:dyDescent="0.2">
      <c r="A305" s="30">
        <v>18942</v>
      </c>
      <c r="B305" s="30" t="s">
        <v>51</v>
      </c>
      <c r="C305" s="30">
        <v>12043011</v>
      </c>
      <c r="D305" s="30" t="s">
        <v>52</v>
      </c>
      <c r="E305" s="30">
        <v>50</v>
      </c>
      <c r="F305" s="30" t="s">
        <v>166</v>
      </c>
      <c r="G305" s="30">
        <v>4080.1</v>
      </c>
      <c r="H305" s="30">
        <v>256.52999999999997</v>
      </c>
      <c r="I305" s="30"/>
      <c r="J305" s="69" t="s">
        <v>12</v>
      </c>
      <c r="L305" s="60" t="str">
        <f t="shared" si="5"/>
        <v>12043011.4080.100</v>
      </c>
    </row>
    <row r="306" spans="1:12" x14ac:dyDescent="0.2">
      <c r="A306" s="30">
        <v>18990</v>
      </c>
      <c r="B306" s="30" t="s">
        <v>125</v>
      </c>
      <c r="C306" s="30">
        <v>12043011</v>
      </c>
      <c r="D306" s="30" t="s">
        <v>52</v>
      </c>
      <c r="E306" s="30">
        <v>50</v>
      </c>
      <c r="F306" s="30" t="s">
        <v>166</v>
      </c>
      <c r="G306" s="30">
        <v>4080.1</v>
      </c>
      <c r="H306" s="30">
        <v>190.11</v>
      </c>
      <c r="I306" s="30"/>
      <c r="J306" s="44" t="s">
        <v>12</v>
      </c>
      <c r="L306" s="60" t="str">
        <f t="shared" si="5"/>
        <v>12043011.4080.100</v>
      </c>
    </row>
    <row r="307" spans="1:12" x14ac:dyDescent="0.2">
      <c r="A307" s="30">
        <v>18703</v>
      </c>
      <c r="B307" s="30" t="s">
        <v>126</v>
      </c>
      <c r="C307" s="30">
        <v>12043011</v>
      </c>
      <c r="D307" s="30" t="s">
        <v>52</v>
      </c>
      <c r="E307" s="30">
        <v>50</v>
      </c>
      <c r="F307" s="30" t="s">
        <v>166</v>
      </c>
      <c r="G307" s="30">
        <v>4080.1</v>
      </c>
      <c r="H307" s="30">
        <v>253.17</v>
      </c>
      <c r="I307" s="30"/>
      <c r="J307" s="69" t="s">
        <v>12</v>
      </c>
      <c r="L307" s="60" t="str">
        <f t="shared" si="5"/>
        <v>12043011.4080.100</v>
      </c>
    </row>
    <row r="308" spans="1:12" x14ac:dyDescent="0.2">
      <c r="A308" s="30">
        <v>19023</v>
      </c>
      <c r="B308" s="30" t="s">
        <v>69</v>
      </c>
      <c r="C308" s="30">
        <v>12043011</v>
      </c>
      <c r="D308" s="30" t="s">
        <v>52</v>
      </c>
      <c r="E308" s="30">
        <v>50</v>
      </c>
      <c r="F308" s="30" t="s">
        <v>166</v>
      </c>
      <c r="G308" s="30">
        <v>4080.1</v>
      </c>
      <c r="H308" s="30">
        <v>100.29</v>
      </c>
      <c r="I308" s="30"/>
      <c r="J308" s="44" t="s">
        <v>12</v>
      </c>
      <c r="L308" s="60" t="str">
        <f t="shared" si="5"/>
        <v>12043011.4080.100</v>
      </c>
    </row>
    <row r="309" spans="1:12" x14ac:dyDescent="0.2">
      <c r="A309" s="30">
        <v>18850</v>
      </c>
      <c r="B309" s="30" t="s">
        <v>123</v>
      </c>
      <c r="C309" s="30">
        <v>12043011</v>
      </c>
      <c r="D309" s="30" t="s">
        <v>52</v>
      </c>
      <c r="E309" s="30">
        <v>50</v>
      </c>
      <c r="F309" s="30" t="s">
        <v>166</v>
      </c>
      <c r="G309" s="30">
        <v>4080.1</v>
      </c>
      <c r="H309" s="30">
        <v>235.15</v>
      </c>
      <c r="I309" s="30"/>
      <c r="J309" s="69" t="s">
        <v>12</v>
      </c>
      <c r="L309" s="60" t="str">
        <f t="shared" si="5"/>
        <v>12043011.4080.100</v>
      </c>
    </row>
    <row r="310" spans="1:12" x14ac:dyDescent="0.2">
      <c r="A310" s="30">
        <v>18986</v>
      </c>
      <c r="B310" s="30" t="s">
        <v>153</v>
      </c>
      <c r="C310" s="30">
        <v>12043011</v>
      </c>
      <c r="D310" s="30" t="s">
        <v>52</v>
      </c>
      <c r="E310" s="30">
        <v>50</v>
      </c>
      <c r="F310" s="30" t="s">
        <v>166</v>
      </c>
      <c r="G310" s="30">
        <v>4080.1</v>
      </c>
      <c r="H310" s="30">
        <v>215.11</v>
      </c>
      <c r="I310" s="30"/>
      <c r="J310" s="44" t="s">
        <v>12</v>
      </c>
      <c r="L310" s="60" t="str">
        <f t="shared" si="5"/>
        <v>12043011.4080.100</v>
      </c>
    </row>
    <row r="311" spans="1:12" x14ac:dyDescent="0.2">
      <c r="A311" s="30">
        <v>18646</v>
      </c>
      <c r="B311" s="30" t="s">
        <v>124</v>
      </c>
      <c r="C311" s="30">
        <v>12043011</v>
      </c>
      <c r="D311" s="30" t="s">
        <v>52</v>
      </c>
      <c r="E311" s="30">
        <v>50</v>
      </c>
      <c r="F311" s="30" t="s">
        <v>166</v>
      </c>
      <c r="G311" s="30">
        <v>4080.1</v>
      </c>
      <c r="H311" s="30">
        <v>248.35</v>
      </c>
      <c r="I311" s="30"/>
      <c r="J311" s="69" t="s">
        <v>12</v>
      </c>
      <c r="L311" s="60" t="str">
        <f t="shared" si="5"/>
        <v>12043011.4080.100</v>
      </c>
    </row>
    <row r="312" spans="1:12" x14ac:dyDescent="0.2">
      <c r="A312" s="30">
        <v>19039</v>
      </c>
      <c r="B312" s="30" t="s">
        <v>443</v>
      </c>
      <c r="C312" s="30">
        <v>12043011</v>
      </c>
      <c r="D312" s="30" t="s">
        <v>52</v>
      </c>
      <c r="E312" s="30">
        <v>50</v>
      </c>
      <c r="F312" s="30" t="s">
        <v>166</v>
      </c>
      <c r="G312" s="30">
        <v>4080.1</v>
      </c>
      <c r="H312" s="30">
        <v>202.68</v>
      </c>
      <c r="I312" s="30"/>
      <c r="J312" s="69" t="s">
        <v>12</v>
      </c>
      <c r="L312" s="60" t="str">
        <f t="shared" si="5"/>
        <v>12043011.4080.100</v>
      </c>
    </row>
    <row r="313" spans="1:12" x14ac:dyDescent="0.2">
      <c r="A313" s="30">
        <v>18970</v>
      </c>
      <c r="B313" s="30" t="s">
        <v>200</v>
      </c>
      <c r="C313" s="30">
        <v>12043123</v>
      </c>
      <c r="D313" s="30" t="s">
        <v>201</v>
      </c>
      <c r="E313" s="30">
        <v>50</v>
      </c>
      <c r="F313" s="30" t="s">
        <v>166</v>
      </c>
      <c r="G313" s="30">
        <v>4080.1</v>
      </c>
      <c r="H313" s="30">
        <v>185.34</v>
      </c>
      <c r="I313" s="30"/>
      <c r="J313" s="44" t="s">
        <v>12</v>
      </c>
      <c r="L313" s="60" t="str">
        <f t="shared" si="5"/>
        <v>12043123.4080.100</v>
      </c>
    </row>
    <row r="314" spans="1:12" x14ac:dyDescent="0.2">
      <c r="A314" s="30">
        <v>18976</v>
      </c>
      <c r="B314" s="30" t="s">
        <v>202</v>
      </c>
      <c r="C314" s="30">
        <v>12048099</v>
      </c>
      <c r="D314" s="30" t="s">
        <v>156</v>
      </c>
      <c r="E314" s="30">
        <v>50</v>
      </c>
      <c r="F314" s="30" t="s">
        <v>166</v>
      </c>
      <c r="G314" s="30">
        <v>4080.1</v>
      </c>
      <c r="H314" s="30">
        <v>230.19</v>
      </c>
      <c r="I314" s="30"/>
      <c r="J314" s="69" t="s">
        <v>12</v>
      </c>
      <c r="L314" s="60" t="str">
        <f t="shared" si="5"/>
        <v>12048099.4080.100</v>
      </c>
    </row>
    <row r="315" spans="1:12" x14ac:dyDescent="0.2">
      <c r="A315" s="30">
        <v>19031</v>
      </c>
      <c r="B315" s="30" t="s">
        <v>387</v>
      </c>
      <c r="C315" s="30">
        <v>12048099</v>
      </c>
      <c r="D315" s="30" t="s">
        <v>156</v>
      </c>
      <c r="E315" s="30">
        <v>50</v>
      </c>
      <c r="F315" s="30" t="s">
        <v>166</v>
      </c>
      <c r="G315" s="30">
        <v>4080.1</v>
      </c>
      <c r="H315" s="30">
        <v>343.27</v>
      </c>
      <c r="I315" s="30"/>
      <c r="J315" s="69" t="s">
        <v>12</v>
      </c>
      <c r="L315" s="60" t="str">
        <f t="shared" si="5"/>
        <v>12048099.4080.100</v>
      </c>
    </row>
    <row r="316" spans="1:12" x14ac:dyDescent="0.2">
      <c r="A316" s="30">
        <v>18442</v>
      </c>
      <c r="B316" s="30" t="s">
        <v>157</v>
      </c>
      <c r="C316" s="30">
        <v>12060400</v>
      </c>
      <c r="D316" s="30" t="s">
        <v>158</v>
      </c>
      <c r="E316" s="30">
        <v>50</v>
      </c>
      <c r="F316" s="30" t="s">
        <v>166</v>
      </c>
      <c r="G316" s="30">
        <v>4080.1</v>
      </c>
      <c r="H316" s="30">
        <v>266.54000000000002</v>
      </c>
      <c r="I316" s="30"/>
      <c r="J316" s="44" t="s">
        <v>12</v>
      </c>
      <c r="L316" s="60" t="str">
        <f t="shared" si="5"/>
        <v>12060400.4080.100</v>
      </c>
    </row>
    <row r="317" spans="1:12" x14ac:dyDescent="0.2">
      <c r="A317" s="30">
        <v>18634</v>
      </c>
      <c r="B317" s="30" t="s">
        <v>129</v>
      </c>
      <c r="C317" s="30">
        <v>12060611</v>
      </c>
      <c r="D317" s="30" t="s">
        <v>54</v>
      </c>
      <c r="E317" s="30">
        <v>50</v>
      </c>
      <c r="F317" s="30" t="s">
        <v>166</v>
      </c>
      <c r="G317" s="30">
        <v>4080.1</v>
      </c>
      <c r="H317" s="30">
        <v>138.07</v>
      </c>
      <c r="I317" s="30"/>
      <c r="J317" s="69" t="s">
        <v>12</v>
      </c>
      <c r="L317" s="60" t="str">
        <f t="shared" si="5"/>
        <v>12060611.4080.100</v>
      </c>
    </row>
    <row r="318" spans="1:12" x14ac:dyDescent="0.2">
      <c r="A318" s="30">
        <v>18996</v>
      </c>
      <c r="B318" s="30" t="s">
        <v>127</v>
      </c>
      <c r="C318" s="30">
        <v>12060611</v>
      </c>
      <c r="D318" s="30" t="s">
        <v>54</v>
      </c>
      <c r="E318" s="30">
        <v>50</v>
      </c>
      <c r="F318" s="30" t="s">
        <v>166</v>
      </c>
      <c r="G318" s="30">
        <v>4080.1</v>
      </c>
      <c r="H318" s="30">
        <v>168.71</v>
      </c>
      <c r="I318" s="30"/>
      <c r="J318" s="44" t="s">
        <v>12</v>
      </c>
      <c r="L318" s="60" t="str">
        <f t="shared" si="5"/>
        <v>12060611.4080.100</v>
      </c>
    </row>
    <row r="319" spans="1:12" x14ac:dyDescent="0.2">
      <c r="A319" s="30">
        <v>18898</v>
      </c>
      <c r="B319" s="30" t="s">
        <v>130</v>
      </c>
      <c r="C319" s="30">
        <v>12060611</v>
      </c>
      <c r="D319" s="30" t="s">
        <v>54</v>
      </c>
      <c r="E319" s="30">
        <v>50</v>
      </c>
      <c r="F319" s="30" t="s">
        <v>166</v>
      </c>
      <c r="G319" s="30">
        <v>4080.1</v>
      </c>
      <c r="H319" s="30">
        <v>187.02</v>
      </c>
      <c r="I319" s="30"/>
      <c r="J319" s="69" t="s">
        <v>12</v>
      </c>
      <c r="L319" s="60" t="str">
        <f t="shared" si="5"/>
        <v>12060611.4080.100</v>
      </c>
    </row>
    <row r="320" spans="1:12" x14ac:dyDescent="0.2">
      <c r="A320" s="30">
        <v>18927</v>
      </c>
      <c r="B320" s="30" t="s">
        <v>55</v>
      </c>
      <c r="C320" s="30">
        <v>12060611</v>
      </c>
      <c r="D320" s="30" t="s">
        <v>54</v>
      </c>
      <c r="E320" s="30">
        <v>50</v>
      </c>
      <c r="F320" s="30" t="s">
        <v>166</v>
      </c>
      <c r="G320" s="30">
        <v>4080.1</v>
      </c>
      <c r="H320" s="30">
        <v>72.5</v>
      </c>
      <c r="I320" s="30"/>
      <c r="J320" s="44" t="s">
        <v>12</v>
      </c>
      <c r="L320" s="60" t="str">
        <f t="shared" si="5"/>
        <v>12060611.4080.100</v>
      </c>
    </row>
    <row r="321" spans="1:12" x14ac:dyDescent="0.2">
      <c r="A321" s="30">
        <v>261</v>
      </c>
      <c r="B321" s="30" t="s">
        <v>159</v>
      </c>
      <c r="C321" s="30">
        <v>12060611</v>
      </c>
      <c r="D321" s="30" t="s">
        <v>54</v>
      </c>
      <c r="E321" s="30">
        <v>50</v>
      </c>
      <c r="F321" s="30" t="s">
        <v>166</v>
      </c>
      <c r="G321" s="30">
        <v>4080.1</v>
      </c>
      <c r="H321" s="30">
        <v>323.08</v>
      </c>
      <c r="I321" s="30"/>
      <c r="J321" s="69" t="s">
        <v>12</v>
      </c>
      <c r="L321" s="60" t="str">
        <f t="shared" si="5"/>
        <v>12060611.4080.100</v>
      </c>
    </row>
    <row r="322" spans="1:12" x14ac:dyDescent="0.2">
      <c r="A322" s="30">
        <v>18895</v>
      </c>
      <c r="B322" s="30" t="s">
        <v>128</v>
      </c>
      <c r="C322" s="30">
        <v>12060611</v>
      </c>
      <c r="D322" s="30" t="s">
        <v>54</v>
      </c>
      <c r="E322" s="30">
        <v>50</v>
      </c>
      <c r="F322" s="30" t="s">
        <v>166</v>
      </c>
      <c r="G322" s="30">
        <v>4080.1</v>
      </c>
      <c r="H322" s="30">
        <v>172.95</v>
      </c>
      <c r="I322" s="30"/>
      <c r="J322" s="69" t="s">
        <v>12</v>
      </c>
      <c r="L322" s="60" t="str">
        <f t="shared" ref="L322:L385" si="6">C322&amp;"."&amp;G322&amp;J322</f>
        <v>12060611.4080.100</v>
      </c>
    </row>
    <row r="323" spans="1:12" x14ac:dyDescent="0.2">
      <c r="A323" s="22">
        <v>18823</v>
      </c>
      <c r="B323" s="22" t="s">
        <v>53</v>
      </c>
      <c r="C323" s="22">
        <v>12060611</v>
      </c>
      <c r="D323" s="22" t="s">
        <v>54</v>
      </c>
      <c r="E323" s="22">
        <v>50</v>
      </c>
      <c r="F323" s="22" t="s">
        <v>166</v>
      </c>
      <c r="G323" s="22">
        <v>4080.1</v>
      </c>
      <c r="H323" s="22">
        <v>254.35</v>
      </c>
      <c r="J323" s="44" t="s">
        <v>12</v>
      </c>
      <c r="L323" s="66" t="str">
        <f t="shared" si="6"/>
        <v>12060611.4080.100</v>
      </c>
    </row>
    <row r="324" spans="1:12" x14ac:dyDescent="0.2">
      <c r="A324" s="22">
        <v>18791</v>
      </c>
      <c r="B324" s="22" t="s">
        <v>132</v>
      </c>
      <c r="C324" s="22">
        <v>12060711</v>
      </c>
      <c r="D324" s="22" t="s">
        <v>133</v>
      </c>
      <c r="E324" s="22">
        <v>50</v>
      </c>
      <c r="F324" s="22" t="s">
        <v>166</v>
      </c>
      <c r="G324" s="22">
        <v>4080.1</v>
      </c>
      <c r="H324" s="22">
        <v>50.93</v>
      </c>
      <c r="J324" s="44" t="s">
        <v>12</v>
      </c>
      <c r="L324" s="66" t="str">
        <f t="shared" si="6"/>
        <v>12060711.4080.100</v>
      </c>
    </row>
    <row r="325" spans="1:12" x14ac:dyDescent="0.2">
      <c r="A325" s="22">
        <v>18561</v>
      </c>
      <c r="B325" s="22" t="s">
        <v>134</v>
      </c>
      <c r="C325" s="22">
        <v>12060800</v>
      </c>
      <c r="D325" s="22" t="s">
        <v>135</v>
      </c>
      <c r="E325" s="22">
        <v>50</v>
      </c>
      <c r="F325" s="22" t="s">
        <v>166</v>
      </c>
      <c r="G325" s="22">
        <v>4080.1</v>
      </c>
      <c r="H325" s="22">
        <v>268.33999999999997</v>
      </c>
      <c r="J325" s="44" t="s">
        <v>12</v>
      </c>
      <c r="L325" s="66" t="str">
        <f t="shared" si="6"/>
        <v>12060800.4080.100</v>
      </c>
    </row>
    <row r="326" spans="1:12" x14ac:dyDescent="0.2">
      <c r="A326" s="22">
        <v>18953</v>
      </c>
      <c r="B326" s="22" t="s">
        <v>136</v>
      </c>
      <c r="C326" s="22">
        <v>12060800</v>
      </c>
      <c r="D326" s="22" t="s">
        <v>135</v>
      </c>
      <c r="E326" s="22">
        <v>50</v>
      </c>
      <c r="F326" s="22" t="s">
        <v>166</v>
      </c>
      <c r="G326" s="22">
        <v>4080.1</v>
      </c>
      <c r="H326" s="22">
        <v>191.34</v>
      </c>
      <c r="J326" s="44" t="s">
        <v>12</v>
      </c>
      <c r="L326" s="66" t="str">
        <f t="shared" si="6"/>
        <v>12060800.4080.100</v>
      </c>
    </row>
    <row r="327" spans="1:12" x14ac:dyDescent="0.2">
      <c r="A327" s="22">
        <v>156</v>
      </c>
      <c r="B327" s="22" t="s">
        <v>137</v>
      </c>
      <c r="C327" s="22">
        <v>12062511</v>
      </c>
      <c r="D327" s="22" t="s">
        <v>57</v>
      </c>
      <c r="E327" s="22">
        <v>50</v>
      </c>
      <c r="F327" s="22" t="s">
        <v>166</v>
      </c>
      <c r="G327" s="22">
        <v>4080.1</v>
      </c>
      <c r="H327" s="22">
        <v>58.5</v>
      </c>
      <c r="J327" s="44" t="s">
        <v>12</v>
      </c>
      <c r="L327" s="66" t="str">
        <f t="shared" si="6"/>
        <v>12062511.4080.100</v>
      </c>
    </row>
    <row r="328" spans="1:12" x14ac:dyDescent="0.2">
      <c r="A328" s="22">
        <v>18792</v>
      </c>
      <c r="B328" s="22" t="s">
        <v>56</v>
      </c>
      <c r="C328" s="22">
        <v>12062511</v>
      </c>
      <c r="D328" s="22" t="s">
        <v>57</v>
      </c>
      <c r="E328" s="22">
        <v>50</v>
      </c>
      <c r="F328" s="22" t="s">
        <v>166</v>
      </c>
      <c r="G328" s="22">
        <v>4080.1</v>
      </c>
      <c r="H328" s="22">
        <v>206.76</v>
      </c>
      <c r="J328" s="44" t="s">
        <v>12</v>
      </c>
      <c r="L328" s="66" t="str">
        <f t="shared" si="6"/>
        <v>12062511.4080.100</v>
      </c>
    </row>
    <row r="329" spans="1:12" x14ac:dyDescent="0.2">
      <c r="A329" s="22">
        <v>18506</v>
      </c>
      <c r="B329" s="22" t="s">
        <v>438</v>
      </c>
      <c r="C329" s="22">
        <v>12062511</v>
      </c>
      <c r="D329" s="22" t="s">
        <v>57</v>
      </c>
      <c r="E329" s="22">
        <v>50</v>
      </c>
      <c r="F329" s="22" t="s">
        <v>166</v>
      </c>
      <c r="G329" s="22">
        <v>4080.1</v>
      </c>
      <c r="H329" s="22">
        <v>74.430000000000007</v>
      </c>
      <c r="J329" s="44" t="s">
        <v>12</v>
      </c>
      <c r="L329" s="66" t="str">
        <f t="shared" si="6"/>
        <v>12062511.4080.100</v>
      </c>
    </row>
    <row r="330" spans="1:12" x14ac:dyDescent="0.2">
      <c r="A330" s="22">
        <v>19037</v>
      </c>
      <c r="B330" s="22" t="s">
        <v>441</v>
      </c>
      <c r="C330" s="22">
        <v>12063011</v>
      </c>
      <c r="D330" s="22" t="s">
        <v>442</v>
      </c>
      <c r="E330" s="22">
        <v>50</v>
      </c>
      <c r="F330" s="22" t="s">
        <v>166</v>
      </c>
      <c r="G330" s="22">
        <v>4080.1</v>
      </c>
      <c r="H330" s="22">
        <v>66.48</v>
      </c>
      <c r="J330" s="44" t="s">
        <v>12</v>
      </c>
      <c r="L330" s="66" t="str">
        <f t="shared" si="6"/>
        <v>12063011.4080.100</v>
      </c>
    </row>
    <row r="331" spans="1:12" x14ac:dyDescent="0.2">
      <c r="A331" s="22">
        <v>19043</v>
      </c>
      <c r="B331" s="22" t="s">
        <v>481</v>
      </c>
      <c r="C331" s="22">
        <v>12063011</v>
      </c>
      <c r="D331" s="22" t="s">
        <v>442</v>
      </c>
      <c r="E331" s="22">
        <v>50</v>
      </c>
      <c r="F331" s="22" t="s">
        <v>166</v>
      </c>
      <c r="G331" s="22">
        <v>4080.1</v>
      </c>
      <c r="H331" s="22">
        <v>38.270000000000003</v>
      </c>
      <c r="J331" s="44" t="s">
        <v>12</v>
      </c>
      <c r="L331" s="66" t="str">
        <f t="shared" si="6"/>
        <v>12063011.4080.100</v>
      </c>
    </row>
    <row r="332" spans="1:12" x14ac:dyDescent="0.2">
      <c r="A332" s="22">
        <v>18876</v>
      </c>
      <c r="B332" s="22" t="s">
        <v>160</v>
      </c>
      <c r="C332" s="22">
        <v>12068099</v>
      </c>
      <c r="D332" s="22" t="s">
        <v>161</v>
      </c>
      <c r="E332" s="22">
        <v>50</v>
      </c>
      <c r="F332" s="22" t="s">
        <v>166</v>
      </c>
      <c r="G332" s="22">
        <v>4080.1</v>
      </c>
      <c r="H332" s="22">
        <v>302.89</v>
      </c>
      <c r="J332" s="44" t="s">
        <v>12</v>
      </c>
      <c r="L332" s="66" t="str">
        <f t="shared" si="6"/>
        <v>12068099.4080.100</v>
      </c>
    </row>
    <row r="333" spans="1:12" x14ac:dyDescent="0.2">
      <c r="A333" s="22">
        <v>18871</v>
      </c>
      <c r="B333" s="22" t="s">
        <v>168</v>
      </c>
      <c r="C333" s="22">
        <v>12010500</v>
      </c>
      <c r="D333" s="22" t="s">
        <v>60</v>
      </c>
      <c r="E333" s="22">
        <v>100</v>
      </c>
      <c r="F333" s="22" t="s">
        <v>203</v>
      </c>
      <c r="G333" s="22">
        <v>4010.1</v>
      </c>
      <c r="H333" s="22">
        <v>4230.78</v>
      </c>
      <c r="J333" s="44" t="s">
        <v>12</v>
      </c>
      <c r="L333" s="66" t="str">
        <f t="shared" si="6"/>
        <v>12010500.4010.100</v>
      </c>
    </row>
    <row r="334" spans="1:12" x14ac:dyDescent="0.2">
      <c r="A334" s="22">
        <v>18647</v>
      </c>
      <c r="B334" s="22" t="s">
        <v>167</v>
      </c>
      <c r="C334" s="22">
        <v>12010500</v>
      </c>
      <c r="D334" s="22" t="s">
        <v>60</v>
      </c>
      <c r="E334" s="22">
        <v>100</v>
      </c>
      <c r="F334" s="22" t="s">
        <v>203</v>
      </c>
      <c r="G334" s="22">
        <v>4010.1</v>
      </c>
      <c r="H334" s="22">
        <v>4167.12</v>
      </c>
      <c r="J334" s="44" t="s">
        <v>12</v>
      </c>
      <c r="L334" s="66" t="str">
        <f t="shared" si="6"/>
        <v>12010500.4010.100</v>
      </c>
    </row>
    <row r="335" spans="1:12" x14ac:dyDescent="0.2">
      <c r="A335" s="22">
        <v>18517</v>
      </c>
      <c r="B335" s="22" t="s">
        <v>140</v>
      </c>
      <c r="C335" s="22">
        <v>12010500</v>
      </c>
      <c r="D335" s="22" t="s">
        <v>60</v>
      </c>
      <c r="E335" s="22">
        <v>100</v>
      </c>
      <c r="F335" s="22" t="s">
        <v>203</v>
      </c>
      <c r="G335" s="22">
        <v>4010.1</v>
      </c>
      <c r="H335" s="22">
        <v>5384.62</v>
      </c>
      <c r="J335" s="44" t="s">
        <v>12</v>
      </c>
      <c r="L335" s="66" t="str">
        <f t="shared" si="6"/>
        <v>12010500.4010.100</v>
      </c>
    </row>
    <row r="336" spans="1:12" x14ac:dyDescent="0.2">
      <c r="A336" s="22">
        <v>18726</v>
      </c>
      <c r="B336" s="22" t="s">
        <v>162</v>
      </c>
      <c r="C336" s="22">
        <v>12010500</v>
      </c>
      <c r="D336" s="22" t="s">
        <v>60</v>
      </c>
      <c r="E336" s="22">
        <v>100</v>
      </c>
      <c r="F336" s="22" t="s">
        <v>203</v>
      </c>
      <c r="G336" s="22">
        <v>4010.1</v>
      </c>
      <c r="H336" s="22">
        <v>815.77</v>
      </c>
      <c r="J336" s="44" t="s">
        <v>12</v>
      </c>
      <c r="L336" s="66" t="str">
        <f t="shared" si="6"/>
        <v>12010500.4010.100</v>
      </c>
    </row>
    <row r="337" spans="1:12" x14ac:dyDescent="0.2">
      <c r="A337" s="22">
        <v>152</v>
      </c>
      <c r="B337" s="22" t="s">
        <v>169</v>
      </c>
      <c r="C337" s="22">
        <v>12010700</v>
      </c>
      <c r="D337" s="22" t="s">
        <v>170</v>
      </c>
      <c r="E337" s="22">
        <v>100</v>
      </c>
      <c r="F337" s="22" t="s">
        <v>203</v>
      </c>
      <c r="G337" s="22">
        <v>4010.1</v>
      </c>
      <c r="H337" s="22">
        <v>3846.15</v>
      </c>
      <c r="J337" s="44" t="s">
        <v>12</v>
      </c>
      <c r="L337" s="66" t="str">
        <f t="shared" si="6"/>
        <v>12010700.4010.100</v>
      </c>
    </row>
    <row r="338" spans="1:12" x14ac:dyDescent="0.2">
      <c r="A338" s="22">
        <v>19014</v>
      </c>
      <c r="B338" s="22" t="s">
        <v>171</v>
      </c>
      <c r="C338" s="22">
        <v>12013012</v>
      </c>
      <c r="D338" s="22" t="s">
        <v>71</v>
      </c>
      <c r="E338" s="22">
        <v>100</v>
      </c>
      <c r="F338" s="22" t="s">
        <v>203</v>
      </c>
      <c r="G338" s="22">
        <v>4010.1</v>
      </c>
      <c r="H338" s="22">
        <v>2500</v>
      </c>
      <c r="J338" s="44" t="s">
        <v>12</v>
      </c>
      <c r="L338" s="66" t="str">
        <f t="shared" si="6"/>
        <v>12013012.4010.100</v>
      </c>
    </row>
    <row r="339" spans="1:12" x14ac:dyDescent="0.2">
      <c r="A339" s="22">
        <v>18736</v>
      </c>
      <c r="B339" s="22" t="s">
        <v>70</v>
      </c>
      <c r="C339" s="22">
        <v>12013012</v>
      </c>
      <c r="D339" s="22" t="s">
        <v>71</v>
      </c>
      <c r="E339" s="22">
        <v>100</v>
      </c>
      <c r="F339" s="22" t="s">
        <v>203</v>
      </c>
      <c r="G339" s="22">
        <v>4010.1</v>
      </c>
      <c r="H339" s="22">
        <v>555.69000000000005</v>
      </c>
      <c r="J339" s="44" t="s">
        <v>12</v>
      </c>
      <c r="L339" s="66" t="str">
        <f t="shared" si="6"/>
        <v>12013012.4010.100</v>
      </c>
    </row>
    <row r="340" spans="1:12" x14ac:dyDescent="0.2">
      <c r="A340" s="22">
        <v>18987</v>
      </c>
      <c r="B340" s="22" t="s">
        <v>173</v>
      </c>
      <c r="C340" s="22">
        <v>12013250</v>
      </c>
      <c r="D340" s="22" t="s">
        <v>10</v>
      </c>
      <c r="E340" s="22">
        <v>100</v>
      </c>
      <c r="F340" s="22" t="s">
        <v>203</v>
      </c>
      <c r="G340" s="22">
        <v>4010.1</v>
      </c>
      <c r="H340" s="22">
        <v>3076.93</v>
      </c>
      <c r="J340" s="44" t="s">
        <v>12</v>
      </c>
      <c r="L340" s="66" t="str">
        <f t="shared" si="6"/>
        <v>12013250.4010.100</v>
      </c>
    </row>
    <row r="341" spans="1:12" x14ac:dyDescent="0.2">
      <c r="A341" s="22">
        <v>18988</v>
      </c>
      <c r="B341" s="22" t="s">
        <v>175</v>
      </c>
      <c r="C341" s="22">
        <v>12013250</v>
      </c>
      <c r="D341" s="22" t="s">
        <v>10</v>
      </c>
      <c r="E341" s="22">
        <v>100</v>
      </c>
      <c r="F341" s="22" t="s">
        <v>203</v>
      </c>
      <c r="G341" s="22">
        <v>4010.1</v>
      </c>
      <c r="H341" s="22">
        <v>2692.31</v>
      </c>
      <c r="J341" s="44" t="s">
        <v>12</v>
      </c>
      <c r="L341" s="66" t="str">
        <f t="shared" si="6"/>
        <v>12013250.4010.100</v>
      </c>
    </row>
    <row r="342" spans="1:12" x14ac:dyDescent="0.2">
      <c r="A342" s="22">
        <v>18995</v>
      </c>
      <c r="B342" s="22" t="s">
        <v>174</v>
      </c>
      <c r="C342" s="22">
        <v>12013250</v>
      </c>
      <c r="D342" s="22" t="s">
        <v>10</v>
      </c>
      <c r="E342" s="22">
        <v>100</v>
      </c>
      <c r="F342" s="22" t="s">
        <v>203</v>
      </c>
      <c r="G342" s="22">
        <v>4010.1</v>
      </c>
      <c r="H342" s="22">
        <v>2307.69</v>
      </c>
      <c r="J342" s="44" t="s">
        <v>12</v>
      </c>
      <c r="L342" s="66" t="str">
        <f t="shared" si="6"/>
        <v>12013250.4010.100</v>
      </c>
    </row>
    <row r="343" spans="1:12" x14ac:dyDescent="0.2">
      <c r="A343" s="22">
        <v>18920</v>
      </c>
      <c r="B343" s="22" t="s">
        <v>9</v>
      </c>
      <c r="C343" s="22">
        <v>12013250</v>
      </c>
      <c r="D343" s="22" t="s">
        <v>10</v>
      </c>
      <c r="E343" s="22">
        <v>100</v>
      </c>
      <c r="F343" s="22" t="s">
        <v>203</v>
      </c>
      <c r="G343" s="22">
        <v>4010.1</v>
      </c>
      <c r="H343" s="22">
        <v>4769.2299999999996</v>
      </c>
      <c r="J343" s="44" t="s">
        <v>12</v>
      </c>
      <c r="L343" s="66" t="str">
        <f t="shared" si="6"/>
        <v>12013250.4010.100</v>
      </c>
    </row>
    <row r="344" spans="1:12" x14ac:dyDescent="0.2">
      <c r="A344" s="22">
        <v>18946</v>
      </c>
      <c r="B344" s="22" t="s">
        <v>13</v>
      </c>
      <c r="C344" s="22">
        <v>12013250</v>
      </c>
      <c r="D344" s="22" t="s">
        <v>10</v>
      </c>
      <c r="E344" s="22">
        <v>100</v>
      </c>
      <c r="F344" s="22" t="s">
        <v>203</v>
      </c>
      <c r="G344" s="22">
        <v>4010.1</v>
      </c>
      <c r="H344" s="22">
        <v>2114.42</v>
      </c>
      <c r="J344" s="44" t="s">
        <v>12</v>
      </c>
      <c r="L344" s="66" t="str">
        <f t="shared" si="6"/>
        <v>12013250.4010.100</v>
      </c>
    </row>
    <row r="345" spans="1:12" x14ac:dyDescent="0.2">
      <c r="A345" s="22">
        <v>18721</v>
      </c>
      <c r="B345" s="22" t="s">
        <v>172</v>
      </c>
      <c r="C345" s="22">
        <v>12013250</v>
      </c>
      <c r="D345" s="22" t="s">
        <v>10</v>
      </c>
      <c r="E345" s="22">
        <v>100</v>
      </c>
      <c r="F345" s="22" t="s">
        <v>203</v>
      </c>
      <c r="G345" s="22">
        <v>4010.1</v>
      </c>
      <c r="H345" s="22">
        <v>2807.7</v>
      </c>
      <c r="J345" s="44" t="s">
        <v>12</v>
      </c>
      <c r="L345" s="66" t="str">
        <f t="shared" si="6"/>
        <v>12013250.4010.100</v>
      </c>
    </row>
    <row r="346" spans="1:12" x14ac:dyDescent="0.2">
      <c r="A346" s="22">
        <v>220</v>
      </c>
      <c r="B346" s="22" t="s">
        <v>14</v>
      </c>
      <c r="C346" s="22">
        <v>12013300</v>
      </c>
      <c r="D346" s="22" t="s">
        <v>15</v>
      </c>
      <c r="E346" s="22">
        <v>100</v>
      </c>
      <c r="F346" s="22" t="s">
        <v>203</v>
      </c>
      <c r="G346" s="22">
        <v>4010.1</v>
      </c>
      <c r="H346" s="22">
        <v>3143.1</v>
      </c>
      <c r="J346" s="44" t="s">
        <v>12</v>
      </c>
      <c r="L346" s="66" t="str">
        <f t="shared" si="6"/>
        <v>12013300.4010.100</v>
      </c>
    </row>
    <row r="347" spans="1:12" x14ac:dyDescent="0.2">
      <c r="A347" s="22">
        <v>18716</v>
      </c>
      <c r="B347" s="22" t="s">
        <v>16</v>
      </c>
      <c r="C347" s="22">
        <v>12018099</v>
      </c>
      <c r="D347" s="22" t="s">
        <v>17</v>
      </c>
      <c r="E347" s="22">
        <v>100</v>
      </c>
      <c r="F347" s="22" t="s">
        <v>203</v>
      </c>
      <c r="G347" s="22">
        <v>4010.1</v>
      </c>
      <c r="H347" s="22">
        <v>5384.62</v>
      </c>
      <c r="J347" s="44" t="s">
        <v>12</v>
      </c>
      <c r="L347" s="66" t="str">
        <f t="shared" si="6"/>
        <v>12018099.4010.100</v>
      </c>
    </row>
    <row r="348" spans="1:12" x14ac:dyDescent="0.2">
      <c r="A348" s="22">
        <v>18948</v>
      </c>
      <c r="B348" s="22" t="s">
        <v>142</v>
      </c>
      <c r="C348" s="22">
        <v>12018099</v>
      </c>
      <c r="D348" s="22" t="s">
        <v>17</v>
      </c>
      <c r="E348" s="22">
        <v>100</v>
      </c>
      <c r="F348" s="22" t="s">
        <v>203</v>
      </c>
      <c r="G348" s="22">
        <v>4010.1</v>
      </c>
      <c r="H348" s="22">
        <v>2615.39</v>
      </c>
      <c r="J348" s="44" t="s">
        <v>12</v>
      </c>
      <c r="L348" s="66" t="str">
        <f t="shared" si="6"/>
        <v>12018099.4010.100</v>
      </c>
    </row>
    <row r="349" spans="1:12" x14ac:dyDescent="0.2">
      <c r="A349" s="22">
        <v>18969</v>
      </c>
      <c r="B349" s="22" t="s">
        <v>143</v>
      </c>
      <c r="C349" s="22">
        <v>12018599</v>
      </c>
      <c r="D349" s="22" t="s">
        <v>144</v>
      </c>
      <c r="E349" s="22">
        <v>100</v>
      </c>
      <c r="F349" s="22" t="s">
        <v>203</v>
      </c>
      <c r="G349" s="22">
        <v>4010.1</v>
      </c>
      <c r="H349" s="22">
        <v>5384.62</v>
      </c>
      <c r="J349" s="44" t="s">
        <v>12</v>
      </c>
      <c r="L349" s="66" t="str">
        <f t="shared" si="6"/>
        <v>12018599.4010.100</v>
      </c>
    </row>
    <row r="350" spans="1:12" x14ac:dyDescent="0.2">
      <c r="A350" s="22">
        <v>18862</v>
      </c>
      <c r="B350" s="22" t="s">
        <v>145</v>
      </c>
      <c r="C350" s="22">
        <v>12018599</v>
      </c>
      <c r="D350" s="22" t="s">
        <v>144</v>
      </c>
      <c r="E350" s="22">
        <v>100</v>
      </c>
      <c r="F350" s="22" t="s">
        <v>203</v>
      </c>
      <c r="G350" s="22">
        <v>4010.1</v>
      </c>
      <c r="H350" s="22">
        <v>2615.39</v>
      </c>
      <c r="J350" s="44" t="s">
        <v>12</v>
      </c>
      <c r="L350" s="66" t="str">
        <f t="shared" si="6"/>
        <v>12018599.4010.100</v>
      </c>
    </row>
    <row r="351" spans="1:12" x14ac:dyDescent="0.2">
      <c r="A351" s="22">
        <v>18886</v>
      </c>
      <c r="B351" s="22" t="s">
        <v>18</v>
      </c>
      <c r="C351" s="22">
        <v>12019099</v>
      </c>
      <c r="D351" s="22" t="s">
        <v>19</v>
      </c>
      <c r="E351" s="22">
        <v>100</v>
      </c>
      <c r="F351" s="22" t="s">
        <v>203</v>
      </c>
      <c r="G351" s="22">
        <v>4010.1</v>
      </c>
      <c r="H351" s="22">
        <v>8165.89</v>
      </c>
      <c r="J351" s="44" t="s">
        <v>12</v>
      </c>
      <c r="L351" s="66" t="str">
        <f t="shared" si="6"/>
        <v>12019099.4010.100</v>
      </c>
    </row>
    <row r="352" spans="1:12" x14ac:dyDescent="0.2">
      <c r="A352" s="22">
        <v>18853</v>
      </c>
      <c r="B352" s="22" t="s">
        <v>146</v>
      </c>
      <c r="C352" s="22">
        <v>12019199</v>
      </c>
      <c r="D352" s="22" t="s">
        <v>147</v>
      </c>
      <c r="E352" s="22">
        <v>100</v>
      </c>
      <c r="F352" s="22" t="s">
        <v>203</v>
      </c>
      <c r="G352" s="22">
        <v>4010.1</v>
      </c>
      <c r="H352" s="22">
        <v>6455.08</v>
      </c>
      <c r="J352" s="44" t="s">
        <v>12</v>
      </c>
      <c r="L352" s="66" t="str">
        <f t="shared" si="6"/>
        <v>12019199.4010.100</v>
      </c>
    </row>
    <row r="353" spans="1:12" x14ac:dyDescent="0.2">
      <c r="A353" s="22">
        <v>18550</v>
      </c>
      <c r="B353" s="22" t="s">
        <v>165</v>
      </c>
      <c r="C353" s="22">
        <v>12019199</v>
      </c>
      <c r="D353" s="22" t="s">
        <v>147</v>
      </c>
      <c r="E353" s="22">
        <v>100</v>
      </c>
      <c r="F353" s="22" t="s">
        <v>203</v>
      </c>
      <c r="G353" s="22">
        <v>4010.1</v>
      </c>
      <c r="H353" s="22">
        <v>1815.85</v>
      </c>
      <c r="J353" s="44" t="s">
        <v>12</v>
      </c>
      <c r="L353" s="66" t="str">
        <f t="shared" si="6"/>
        <v>12019199.4010.100</v>
      </c>
    </row>
    <row r="354" spans="1:12" x14ac:dyDescent="0.2">
      <c r="A354" s="22">
        <v>19025</v>
      </c>
      <c r="B354" s="22" t="s">
        <v>180</v>
      </c>
      <c r="C354" s="22">
        <v>12019199</v>
      </c>
      <c r="D354" s="22" t="s">
        <v>147</v>
      </c>
      <c r="E354" s="22">
        <v>100</v>
      </c>
      <c r="F354" s="22" t="s">
        <v>203</v>
      </c>
      <c r="G354" s="22">
        <v>4010.1</v>
      </c>
      <c r="H354" s="22">
        <v>2500</v>
      </c>
      <c r="J354" s="44" t="s">
        <v>12</v>
      </c>
      <c r="L354" s="66" t="str">
        <f t="shared" si="6"/>
        <v>12019199.4010.100</v>
      </c>
    </row>
    <row r="355" spans="1:12" x14ac:dyDescent="0.2">
      <c r="A355" s="22">
        <v>19003</v>
      </c>
      <c r="B355" s="22" t="s">
        <v>388</v>
      </c>
      <c r="C355" s="22">
        <v>12019199</v>
      </c>
      <c r="D355" s="22" t="s">
        <v>147</v>
      </c>
      <c r="E355" s="22">
        <v>100</v>
      </c>
      <c r="F355" s="22" t="s">
        <v>203</v>
      </c>
      <c r="G355" s="22">
        <v>4010.1</v>
      </c>
      <c r="H355" s="22">
        <v>3115.38</v>
      </c>
      <c r="J355" s="44" t="s">
        <v>12</v>
      </c>
      <c r="L355" s="66" t="str">
        <f t="shared" si="6"/>
        <v>12019199.4010.100</v>
      </c>
    </row>
    <row r="356" spans="1:12" x14ac:dyDescent="0.2">
      <c r="A356" s="22">
        <v>18741</v>
      </c>
      <c r="B356" s="22" t="s">
        <v>179</v>
      </c>
      <c r="C356" s="22">
        <v>12019199</v>
      </c>
      <c r="D356" s="22" t="s">
        <v>147</v>
      </c>
      <c r="E356" s="22">
        <v>100</v>
      </c>
      <c r="F356" s="22" t="s">
        <v>203</v>
      </c>
      <c r="G356" s="22">
        <v>4010.1</v>
      </c>
      <c r="H356" s="22">
        <v>3269.23</v>
      </c>
      <c r="J356" s="44" t="s">
        <v>12</v>
      </c>
      <c r="L356" s="66" t="str">
        <f t="shared" si="6"/>
        <v>12019199.4010.100</v>
      </c>
    </row>
    <row r="357" spans="1:12" x14ac:dyDescent="0.2">
      <c r="A357" s="22">
        <v>18968</v>
      </c>
      <c r="B357" s="22" t="s">
        <v>164</v>
      </c>
      <c r="C357" s="22">
        <v>12019199</v>
      </c>
      <c r="D357" s="22" t="s">
        <v>147</v>
      </c>
      <c r="E357" s="22">
        <v>100</v>
      </c>
      <c r="F357" s="22" t="s">
        <v>203</v>
      </c>
      <c r="G357" s="22">
        <v>4010.1</v>
      </c>
      <c r="H357" s="22">
        <v>2292.31</v>
      </c>
      <c r="J357" s="44" t="s">
        <v>12</v>
      </c>
      <c r="L357" s="66" t="str">
        <f t="shared" si="6"/>
        <v>12019199.4010.100</v>
      </c>
    </row>
    <row r="358" spans="1:12" x14ac:dyDescent="0.2">
      <c r="A358" s="22">
        <v>19022</v>
      </c>
      <c r="B358" s="22" t="s">
        <v>113</v>
      </c>
      <c r="C358" s="22">
        <v>12019199</v>
      </c>
      <c r="D358" s="22" t="s">
        <v>147</v>
      </c>
      <c r="E358" s="22">
        <v>100</v>
      </c>
      <c r="F358" s="22" t="s">
        <v>203</v>
      </c>
      <c r="G358" s="22">
        <v>4010.1</v>
      </c>
      <c r="H358" s="22">
        <v>1878.54</v>
      </c>
      <c r="J358" s="44" t="s">
        <v>12</v>
      </c>
      <c r="L358" s="66" t="str">
        <f t="shared" si="6"/>
        <v>12019199.4010.100</v>
      </c>
    </row>
    <row r="359" spans="1:12" x14ac:dyDescent="0.2">
      <c r="A359" s="22">
        <v>18619</v>
      </c>
      <c r="B359" s="22" t="s">
        <v>20</v>
      </c>
      <c r="C359" s="22">
        <v>12020400</v>
      </c>
      <c r="D359" s="22" t="s">
        <v>21</v>
      </c>
      <c r="E359" s="22">
        <v>100</v>
      </c>
      <c r="F359" s="22" t="s">
        <v>203</v>
      </c>
      <c r="G359" s="22">
        <v>4010.1</v>
      </c>
      <c r="H359" s="22">
        <v>2534.62</v>
      </c>
      <c r="J359" s="44" t="s">
        <v>12</v>
      </c>
      <c r="L359" s="66" t="str">
        <f t="shared" si="6"/>
        <v>12020400.4010.100</v>
      </c>
    </row>
    <row r="360" spans="1:12" x14ac:dyDescent="0.2">
      <c r="A360" s="22">
        <v>18836</v>
      </c>
      <c r="B360" s="22" t="s">
        <v>182</v>
      </c>
      <c r="C360" s="22">
        <v>12020400</v>
      </c>
      <c r="D360" s="22" t="s">
        <v>21</v>
      </c>
      <c r="E360" s="22">
        <v>100</v>
      </c>
      <c r="F360" s="22" t="s">
        <v>203</v>
      </c>
      <c r="G360" s="22">
        <v>4010.1</v>
      </c>
      <c r="H360" s="22">
        <v>2563.6999999999998</v>
      </c>
      <c r="J360" s="44" t="s">
        <v>12</v>
      </c>
      <c r="L360" s="66" t="str">
        <f t="shared" si="6"/>
        <v>12020400.4010.100</v>
      </c>
    </row>
    <row r="361" spans="1:12" x14ac:dyDescent="0.2">
      <c r="A361" s="22">
        <v>18893</v>
      </c>
      <c r="B361" s="22" t="s">
        <v>444</v>
      </c>
      <c r="C361" s="22">
        <v>12020500</v>
      </c>
      <c r="D361" s="22" t="s">
        <v>454</v>
      </c>
      <c r="E361" s="22">
        <v>100</v>
      </c>
      <c r="F361" s="22" t="s">
        <v>203</v>
      </c>
      <c r="G361" s="22">
        <v>4010.1</v>
      </c>
      <c r="H361" s="22">
        <v>1269.23</v>
      </c>
      <c r="J361" s="44" t="s">
        <v>12</v>
      </c>
      <c r="L361" s="66" t="str">
        <f t="shared" si="6"/>
        <v>12020500.4010.100</v>
      </c>
    </row>
    <row r="362" spans="1:12" x14ac:dyDescent="0.2">
      <c r="A362" s="22">
        <v>19040</v>
      </c>
      <c r="B362" s="22" t="s">
        <v>453</v>
      </c>
      <c r="C362" s="22">
        <v>12020500</v>
      </c>
      <c r="D362" s="22" t="s">
        <v>454</v>
      </c>
      <c r="E362" s="22">
        <v>100</v>
      </c>
      <c r="F362" s="22" t="s">
        <v>203</v>
      </c>
      <c r="G362" s="22">
        <v>4010.1</v>
      </c>
      <c r="H362" s="22">
        <v>1255.06</v>
      </c>
      <c r="J362" s="44" t="s">
        <v>12</v>
      </c>
      <c r="L362" s="66" t="str">
        <f t="shared" si="6"/>
        <v>12020500.4010.100</v>
      </c>
    </row>
    <row r="363" spans="1:12" x14ac:dyDescent="0.2">
      <c r="A363" s="22">
        <v>18866</v>
      </c>
      <c r="B363" s="22" t="s">
        <v>76</v>
      </c>
      <c r="C363" s="22">
        <v>12020611</v>
      </c>
      <c r="D363" s="22" t="s">
        <v>23</v>
      </c>
      <c r="E363" s="22">
        <v>100</v>
      </c>
      <c r="F363" s="22" t="s">
        <v>203</v>
      </c>
      <c r="G363" s="22">
        <v>4010.1</v>
      </c>
      <c r="H363" s="22">
        <v>2488.87</v>
      </c>
      <c r="J363" s="44" t="s">
        <v>12</v>
      </c>
      <c r="L363" s="66" t="str">
        <f t="shared" si="6"/>
        <v>12020611.4010.100</v>
      </c>
    </row>
    <row r="364" spans="1:12" x14ac:dyDescent="0.2">
      <c r="A364" s="22">
        <v>18957</v>
      </c>
      <c r="B364" s="22" t="s">
        <v>74</v>
      </c>
      <c r="C364" s="22">
        <v>12020611</v>
      </c>
      <c r="D364" s="22" t="s">
        <v>23</v>
      </c>
      <c r="E364" s="22">
        <v>100</v>
      </c>
      <c r="F364" s="22" t="s">
        <v>203</v>
      </c>
      <c r="G364" s="22">
        <v>4010.1</v>
      </c>
      <c r="H364" s="22">
        <v>1706.09</v>
      </c>
      <c r="J364" s="44" t="s">
        <v>12</v>
      </c>
      <c r="L364" s="66" t="str">
        <f t="shared" si="6"/>
        <v>12020611.4010.100</v>
      </c>
    </row>
    <row r="365" spans="1:12" x14ac:dyDescent="0.2">
      <c r="A365" s="22">
        <v>18903</v>
      </c>
      <c r="B365" s="22" t="s">
        <v>73</v>
      </c>
      <c r="C365" s="22">
        <v>12020611</v>
      </c>
      <c r="D365" s="22" t="s">
        <v>23</v>
      </c>
      <c r="E365" s="22">
        <v>100</v>
      </c>
      <c r="F365" s="22" t="s">
        <v>203</v>
      </c>
      <c r="G365" s="22">
        <v>4010.1</v>
      </c>
      <c r="H365" s="22">
        <v>1514.66</v>
      </c>
      <c r="J365" s="44" t="s">
        <v>12</v>
      </c>
      <c r="L365" s="66" t="str">
        <f t="shared" si="6"/>
        <v>12020611.4010.100</v>
      </c>
    </row>
    <row r="366" spans="1:12" x14ac:dyDescent="0.2">
      <c r="A366" s="22">
        <v>18831</v>
      </c>
      <c r="B366" s="22" t="s">
        <v>22</v>
      </c>
      <c r="C366" s="22">
        <v>12020611</v>
      </c>
      <c r="D366" s="22" t="s">
        <v>23</v>
      </c>
      <c r="E366" s="22">
        <v>100</v>
      </c>
      <c r="F366" s="22" t="s">
        <v>203</v>
      </c>
      <c r="G366" s="22">
        <v>4010.1</v>
      </c>
      <c r="H366" s="22">
        <v>1176.27</v>
      </c>
      <c r="J366" s="44" t="s">
        <v>12</v>
      </c>
      <c r="L366" s="66" t="str">
        <f t="shared" si="6"/>
        <v>12020611.4010.100</v>
      </c>
    </row>
    <row r="367" spans="1:12" x14ac:dyDescent="0.2">
      <c r="A367" s="22">
        <v>18589</v>
      </c>
      <c r="B367" s="22" t="s">
        <v>75</v>
      </c>
      <c r="C367" s="22">
        <v>12020611</v>
      </c>
      <c r="D367" s="22" t="s">
        <v>23</v>
      </c>
      <c r="E367" s="22">
        <v>100</v>
      </c>
      <c r="F367" s="22" t="s">
        <v>203</v>
      </c>
      <c r="G367" s="22">
        <v>4010.1</v>
      </c>
      <c r="H367" s="22">
        <v>2223.73</v>
      </c>
      <c r="J367" s="111" t="s">
        <v>12</v>
      </c>
      <c r="L367" s="66" t="str">
        <f t="shared" si="6"/>
        <v>12020611.4010.100</v>
      </c>
    </row>
    <row r="368" spans="1:12" x14ac:dyDescent="0.2">
      <c r="A368" s="22">
        <v>18891</v>
      </c>
      <c r="B368" s="22" t="s">
        <v>77</v>
      </c>
      <c r="C368" s="22">
        <v>12020611</v>
      </c>
      <c r="D368" s="22" t="s">
        <v>23</v>
      </c>
      <c r="E368" s="22">
        <v>100</v>
      </c>
      <c r="F368" s="22" t="s">
        <v>203</v>
      </c>
      <c r="G368" s="22">
        <v>4010.1</v>
      </c>
      <c r="H368" s="22">
        <v>1597.99</v>
      </c>
      <c r="J368" s="111" t="s">
        <v>12</v>
      </c>
      <c r="L368" s="66" t="str">
        <f t="shared" si="6"/>
        <v>12020611.4010.100</v>
      </c>
    </row>
    <row r="369" spans="1:12" x14ac:dyDescent="0.2">
      <c r="A369" s="22">
        <v>18631</v>
      </c>
      <c r="B369" s="22" t="s">
        <v>80</v>
      </c>
      <c r="C369" s="22">
        <v>12020711</v>
      </c>
      <c r="D369" s="22" t="s">
        <v>25</v>
      </c>
      <c r="E369" s="22">
        <v>100</v>
      </c>
      <c r="F369" s="22" t="s">
        <v>203</v>
      </c>
      <c r="G369" s="22">
        <v>4010.1</v>
      </c>
      <c r="H369" s="22">
        <v>1110.75</v>
      </c>
      <c r="J369" s="111" t="s">
        <v>12</v>
      </c>
      <c r="L369" s="66" t="str">
        <f t="shared" si="6"/>
        <v>12020711.4010.100</v>
      </c>
    </row>
    <row r="370" spans="1:12" x14ac:dyDescent="0.2">
      <c r="A370" s="22">
        <v>18954</v>
      </c>
      <c r="B370" s="22" t="s">
        <v>183</v>
      </c>
      <c r="C370" s="22">
        <v>12020711</v>
      </c>
      <c r="D370" s="22" t="s">
        <v>25</v>
      </c>
      <c r="E370" s="22">
        <v>100</v>
      </c>
      <c r="F370" s="22" t="s">
        <v>203</v>
      </c>
      <c r="G370" s="22">
        <v>4010.1</v>
      </c>
      <c r="H370" s="22">
        <v>3076.92</v>
      </c>
      <c r="J370" s="111" t="s">
        <v>12</v>
      </c>
      <c r="L370" s="66" t="str">
        <f t="shared" si="6"/>
        <v>12020711.4010.100</v>
      </c>
    </row>
    <row r="371" spans="1:12" x14ac:dyDescent="0.2">
      <c r="A371" s="22">
        <v>18</v>
      </c>
      <c r="B371" s="22" t="s">
        <v>24</v>
      </c>
      <c r="C371" s="22">
        <v>12020711</v>
      </c>
      <c r="D371" s="22" t="s">
        <v>25</v>
      </c>
      <c r="E371" s="22">
        <v>100</v>
      </c>
      <c r="F371" s="22" t="s">
        <v>203</v>
      </c>
      <c r="G371" s="22">
        <v>4010.1</v>
      </c>
      <c r="H371" s="22">
        <v>1074.81</v>
      </c>
      <c r="J371" s="111" t="s">
        <v>12</v>
      </c>
      <c r="L371" s="66" t="str">
        <f t="shared" si="6"/>
        <v>12020711.4010.100</v>
      </c>
    </row>
    <row r="372" spans="1:12" x14ac:dyDescent="0.2">
      <c r="A372" s="22">
        <v>18879</v>
      </c>
      <c r="B372" s="22" t="s">
        <v>79</v>
      </c>
      <c r="C372" s="22">
        <v>12020711</v>
      </c>
      <c r="D372" s="22" t="s">
        <v>25</v>
      </c>
      <c r="E372" s="22">
        <v>100</v>
      </c>
      <c r="F372" s="22" t="s">
        <v>203</v>
      </c>
      <c r="G372" s="22">
        <v>4010.1</v>
      </c>
      <c r="H372" s="22">
        <v>2282.84</v>
      </c>
      <c r="J372" s="111" t="s">
        <v>12</v>
      </c>
      <c r="L372" s="66" t="str">
        <f t="shared" si="6"/>
        <v>12020711.4010.100</v>
      </c>
    </row>
    <row r="373" spans="1:12" x14ac:dyDescent="0.2">
      <c r="A373" s="22">
        <v>18630</v>
      </c>
      <c r="B373" s="22" t="s">
        <v>204</v>
      </c>
      <c r="C373" s="22">
        <v>12020800</v>
      </c>
      <c r="D373" s="22" t="s">
        <v>27</v>
      </c>
      <c r="E373" s="22">
        <v>100</v>
      </c>
      <c r="F373" s="22" t="s">
        <v>203</v>
      </c>
      <c r="G373" s="22">
        <v>4010.1</v>
      </c>
      <c r="H373" s="22">
        <v>2223.7399999999998</v>
      </c>
      <c r="J373" s="111" t="s">
        <v>12</v>
      </c>
      <c r="L373" s="66" t="str">
        <f t="shared" si="6"/>
        <v>12020800.4010.100</v>
      </c>
    </row>
    <row r="374" spans="1:12" x14ac:dyDescent="0.2">
      <c r="A374" s="22">
        <v>19013</v>
      </c>
      <c r="B374" s="22" t="s">
        <v>81</v>
      </c>
      <c r="C374" s="22">
        <v>12020800</v>
      </c>
      <c r="D374" s="22" t="s">
        <v>27</v>
      </c>
      <c r="E374" s="22">
        <v>100</v>
      </c>
      <c r="F374" s="22" t="s">
        <v>203</v>
      </c>
      <c r="G374" s="22">
        <v>4010.1</v>
      </c>
      <c r="H374" s="22">
        <v>2515.5500000000002</v>
      </c>
      <c r="J374" s="111" t="s">
        <v>12</v>
      </c>
      <c r="L374" s="66" t="str">
        <f t="shared" si="6"/>
        <v>12020800.4010.100</v>
      </c>
    </row>
    <row r="375" spans="1:12" x14ac:dyDescent="0.2">
      <c r="A375" s="22">
        <v>18960</v>
      </c>
      <c r="B375" s="22" t="s">
        <v>84</v>
      </c>
      <c r="C375" s="22">
        <v>12021021</v>
      </c>
      <c r="D375" s="22" t="s">
        <v>29</v>
      </c>
      <c r="E375" s="22">
        <v>100</v>
      </c>
      <c r="F375" s="22" t="s">
        <v>203</v>
      </c>
      <c r="G375" s="22">
        <v>4010.1</v>
      </c>
      <c r="H375" s="22">
        <v>894.38</v>
      </c>
      <c r="J375" s="111" t="s">
        <v>12</v>
      </c>
      <c r="L375" s="66" t="str">
        <f t="shared" si="6"/>
        <v>12021021.4010.100</v>
      </c>
    </row>
    <row r="376" spans="1:12" x14ac:dyDescent="0.2">
      <c r="A376" s="22">
        <v>18687</v>
      </c>
      <c r="B376" s="22" t="s">
        <v>83</v>
      </c>
      <c r="C376" s="22">
        <v>12021021</v>
      </c>
      <c r="D376" s="22" t="s">
        <v>29</v>
      </c>
      <c r="E376" s="22">
        <v>100</v>
      </c>
      <c r="F376" s="22" t="s">
        <v>203</v>
      </c>
      <c r="G376" s="22">
        <v>4010.1</v>
      </c>
      <c r="H376" s="22">
        <v>2041.43</v>
      </c>
      <c r="J376" s="111" t="s">
        <v>12</v>
      </c>
      <c r="L376" s="66" t="str">
        <f t="shared" si="6"/>
        <v>12021021.4010.100</v>
      </c>
    </row>
    <row r="377" spans="1:12" x14ac:dyDescent="0.2">
      <c r="A377" s="22">
        <v>18894</v>
      </c>
      <c r="B377" s="22" t="s">
        <v>89</v>
      </c>
      <c r="C377" s="22">
        <v>12021021</v>
      </c>
      <c r="D377" s="22" t="s">
        <v>29</v>
      </c>
      <c r="E377" s="22">
        <v>100</v>
      </c>
      <c r="F377" s="22" t="s">
        <v>203</v>
      </c>
      <c r="G377" s="22">
        <v>4010.1</v>
      </c>
      <c r="H377" s="22">
        <v>1164.79</v>
      </c>
      <c r="J377" s="111" t="s">
        <v>12</v>
      </c>
      <c r="L377" s="66" t="str">
        <f t="shared" si="6"/>
        <v>12021021.4010.100</v>
      </c>
    </row>
    <row r="378" spans="1:12" x14ac:dyDescent="0.2">
      <c r="A378" s="22">
        <v>18781</v>
      </c>
      <c r="B378" s="22" t="s">
        <v>82</v>
      </c>
      <c r="C378" s="22">
        <v>12021021</v>
      </c>
      <c r="D378" s="22" t="s">
        <v>29</v>
      </c>
      <c r="E378" s="22">
        <v>100</v>
      </c>
      <c r="F378" s="22" t="s">
        <v>203</v>
      </c>
      <c r="G378" s="22">
        <v>4010.1</v>
      </c>
      <c r="H378" s="22">
        <v>2052.87</v>
      </c>
      <c r="J378" s="111" t="s">
        <v>12</v>
      </c>
      <c r="L378" s="66" t="str">
        <f t="shared" si="6"/>
        <v>12021021.4010.100</v>
      </c>
    </row>
    <row r="379" spans="1:12" x14ac:dyDescent="0.2">
      <c r="A379" s="22">
        <v>18967</v>
      </c>
      <c r="B379" s="22" t="s">
        <v>85</v>
      </c>
      <c r="C379" s="22">
        <v>12021021</v>
      </c>
      <c r="D379" s="22" t="s">
        <v>29</v>
      </c>
      <c r="E379" s="22">
        <v>100</v>
      </c>
      <c r="F379" s="22" t="s">
        <v>203</v>
      </c>
      <c r="G379" s="22">
        <v>4010.1</v>
      </c>
      <c r="H379" s="22">
        <v>2309.48</v>
      </c>
      <c r="J379" s="111" t="s">
        <v>12</v>
      </c>
      <c r="L379" s="66" t="str">
        <f t="shared" si="6"/>
        <v>12021021.4010.100</v>
      </c>
    </row>
    <row r="380" spans="1:12" x14ac:dyDescent="0.2">
      <c r="A380" s="22">
        <v>18733</v>
      </c>
      <c r="B380" s="22" t="s">
        <v>86</v>
      </c>
      <c r="C380" s="22">
        <v>12021021</v>
      </c>
      <c r="D380" s="22" t="s">
        <v>29</v>
      </c>
      <c r="E380" s="22">
        <v>100</v>
      </c>
      <c r="F380" s="22" t="s">
        <v>203</v>
      </c>
      <c r="G380" s="22">
        <v>4010.1</v>
      </c>
      <c r="H380" s="22">
        <v>2188.62</v>
      </c>
      <c r="J380" s="111" t="s">
        <v>12</v>
      </c>
      <c r="L380" s="66" t="str">
        <f t="shared" si="6"/>
        <v>12021021.4010.100</v>
      </c>
    </row>
    <row r="381" spans="1:12" x14ac:dyDescent="0.2">
      <c r="A381" s="22">
        <v>18559</v>
      </c>
      <c r="B381" s="22" t="s">
        <v>87</v>
      </c>
      <c r="C381" s="22">
        <v>12021021</v>
      </c>
      <c r="D381" s="22" t="s">
        <v>29</v>
      </c>
      <c r="E381" s="22">
        <v>100</v>
      </c>
      <c r="F381" s="22" t="s">
        <v>203</v>
      </c>
      <c r="G381" s="22">
        <v>4010.1</v>
      </c>
      <c r="H381" s="22">
        <v>4038.47</v>
      </c>
      <c r="J381" s="111" t="s">
        <v>12</v>
      </c>
      <c r="L381" s="66" t="str">
        <f t="shared" si="6"/>
        <v>12021021.4010.100</v>
      </c>
    </row>
    <row r="382" spans="1:12" x14ac:dyDescent="0.2">
      <c r="A382" s="22">
        <v>19033</v>
      </c>
      <c r="B382" s="22" t="s">
        <v>389</v>
      </c>
      <c r="C382" s="22">
        <v>12021021</v>
      </c>
      <c r="D382" s="22" t="s">
        <v>29</v>
      </c>
      <c r="E382" s="22">
        <v>100</v>
      </c>
      <c r="F382" s="22" t="s">
        <v>203</v>
      </c>
      <c r="G382" s="22">
        <v>4010.1</v>
      </c>
      <c r="H382" s="22">
        <v>1769.37</v>
      </c>
      <c r="J382" s="111" t="s">
        <v>12</v>
      </c>
      <c r="L382" s="66" t="str">
        <f t="shared" si="6"/>
        <v>12021021.4010.100</v>
      </c>
    </row>
    <row r="383" spans="1:12" x14ac:dyDescent="0.2">
      <c r="A383" s="22">
        <v>18892</v>
      </c>
      <c r="B383" s="22" t="s">
        <v>184</v>
      </c>
      <c r="C383" s="22">
        <v>12021021</v>
      </c>
      <c r="D383" s="22" t="s">
        <v>29</v>
      </c>
      <c r="E383" s="22">
        <v>100</v>
      </c>
      <c r="F383" s="22" t="s">
        <v>203</v>
      </c>
      <c r="G383" s="22">
        <v>4010.1</v>
      </c>
      <c r="H383" s="22">
        <v>2088.66</v>
      </c>
      <c r="J383" s="111" t="s">
        <v>12</v>
      </c>
      <c r="L383" s="66" t="str">
        <f t="shared" si="6"/>
        <v>12021021.4010.100</v>
      </c>
    </row>
    <row r="384" spans="1:12" x14ac:dyDescent="0.2">
      <c r="A384" s="22">
        <v>18659</v>
      </c>
      <c r="B384" s="22" t="s">
        <v>88</v>
      </c>
      <c r="C384" s="22">
        <v>12021021</v>
      </c>
      <c r="D384" s="22" t="s">
        <v>29</v>
      </c>
      <c r="E384" s="22">
        <v>100</v>
      </c>
      <c r="F384" s="22" t="s">
        <v>203</v>
      </c>
      <c r="G384" s="22">
        <v>4010.1</v>
      </c>
      <c r="H384" s="22">
        <v>2362.67</v>
      </c>
      <c r="J384" s="111" t="s">
        <v>12</v>
      </c>
      <c r="L384" s="66" t="str">
        <f t="shared" si="6"/>
        <v>12021021.4010.100</v>
      </c>
    </row>
    <row r="385" spans="1:12" x14ac:dyDescent="0.2">
      <c r="A385" s="22">
        <v>18911</v>
      </c>
      <c r="B385" s="22" t="s">
        <v>28</v>
      </c>
      <c r="C385" s="22">
        <v>12021021</v>
      </c>
      <c r="D385" s="22" t="s">
        <v>29</v>
      </c>
      <c r="E385" s="22">
        <v>100</v>
      </c>
      <c r="F385" s="22" t="s">
        <v>203</v>
      </c>
      <c r="G385" s="22">
        <v>4010.1</v>
      </c>
      <c r="H385" s="22">
        <v>2515.5500000000002</v>
      </c>
      <c r="J385" s="111" t="s">
        <v>12</v>
      </c>
      <c r="L385" s="66" t="str">
        <f t="shared" si="6"/>
        <v>12021021.4010.100</v>
      </c>
    </row>
    <row r="386" spans="1:12" x14ac:dyDescent="0.2">
      <c r="A386" s="22">
        <v>18961</v>
      </c>
      <c r="B386" s="22" t="s">
        <v>90</v>
      </c>
      <c r="C386" s="22">
        <v>12022511</v>
      </c>
      <c r="D386" s="22" t="s">
        <v>32</v>
      </c>
      <c r="E386" s="22">
        <v>100</v>
      </c>
      <c r="F386" s="22" t="s">
        <v>203</v>
      </c>
      <c r="G386" s="22">
        <v>4010.1</v>
      </c>
      <c r="H386" s="22">
        <v>2156.5</v>
      </c>
      <c r="J386" s="111" t="s">
        <v>12</v>
      </c>
      <c r="L386" s="66" t="str">
        <f t="shared" ref="L386:L449" si="7">C386&amp;"."&amp;G386&amp;J386</f>
        <v>12022511.4010.100</v>
      </c>
    </row>
    <row r="387" spans="1:12" x14ac:dyDescent="0.2">
      <c r="A387" s="22">
        <v>145</v>
      </c>
      <c r="B387" s="22" t="s">
        <v>91</v>
      </c>
      <c r="C387" s="22">
        <v>12022511</v>
      </c>
      <c r="D387" s="22" t="s">
        <v>32</v>
      </c>
      <c r="E387" s="22">
        <v>100</v>
      </c>
      <c r="F387" s="22" t="s">
        <v>203</v>
      </c>
      <c r="G387" s="22">
        <v>4010.1</v>
      </c>
      <c r="H387" s="22">
        <v>1866.65</v>
      </c>
      <c r="J387" s="111" t="s">
        <v>12</v>
      </c>
      <c r="L387" s="66" t="str">
        <f t="shared" si="7"/>
        <v>12022511.4010.100</v>
      </c>
    </row>
    <row r="388" spans="1:12" x14ac:dyDescent="0.2">
      <c r="A388" s="22">
        <v>141</v>
      </c>
      <c r="B388" s="22" t="s">
        <v>185</v>
      </c>
      <c r="C388" s="22">
        <v>12022511</v>
      </c>
      <c r="D388" s="22" t="s">
        <v>32</v>
      </c>
      <c r="E388" s="22">
        <v>100</v>
      </c>
      <c r="F388" s="22" t="s">
        <v>203</v>
      </c>
      <c r="G388" s="22">
        <v>4010.1</v>
      </c>
      <c r="H388" s="22">
        <v>902.7</v>
      </c>
      <c r="J388" s="111" t="s">
        <v>12</v>
      </c>
      <c r="L388" s="66" t="str">
        <f t="shared" si="7"/>
        <v>12022511.4010.100</v>
      </c>
    </row>
    <row r="389" spans="1:12" x14ac:dyDescent="0.2">
      <c r="A389" s="22">
        <v>19035</v>
      </c>
      <c r="B389" s="22" t="s">
        <v>440</v>
      </c>
      <c r="C389" s="22">
        <v>12023011</v>
      </c>
      <c r="D389" s="22" t="s">
        <v>93</v>
      </c>
      <c r="E389" s="22">
        <v>100</v>
      </c>
      <c r="F389" s="22" t="s">
        <v>203</v>
      </c>
      <c r="G389" s="22">
        <v>4010.1</v>
      </c>
      <c r="H389" s="22">
        <v>1866.65</v>
      </c>
      <c r="J389" s="111" t="s">
        <v>12</v>
      </c>
      <c r="L389" s="66" t="str">
        <f t="shared" si="7"/>
        <v>12023011.4010.100</v>
      </c>
    </row>
    <row r="390" spans="1:12" x14ac:dyDescent="0.2">
      <c r="A390" s="22">
        <v>19006</v>
      </c>
      <c r="B390" s="22" t="s">
        <v>95</v>
      </c>
      <c r="C390" s="22">
        <v>12023011</v>
      </c>
      <c r="D390" s="22" t="s">
        <v>93</v>
      </c>
      <c r="E390" s="22">
        <v>100</v>
      </c>
      <c r="F390" s="22" t="s">
        <v>203</v>
      </c>
      <c r="G390" s="22">
        <v>4010.1</v>
      </c>
      <c r="H390" s="22">
        <v>1960.45</v>
      </c>
      <c r="J390" s="111" t="s">
        <v>12</v>
      </c>
      <c r="L390" s="66" t="str">
        <f t="shared" si="7"/>
        <v>12023011.4010.100</v>
      </c>
    </row>
    <row r="391" spans="1:12" x14ac:dyDescent="0.2">
      <c r="A391" s="22">
        <v>19007</v>
      </c>
      <c r="B391" s="22" t="s">
        <v>189</v>
      </c>
      <c r="C391" s="22">
        <v>12023011</v>
      </c>
      <c r="D391" s="22" t="s">
        <v>93</v>
      </c>
      <c r="E391" s="22">
        <v>100</v>
      </c>
      <c r="F391" s="22" t="s">
        <v>203</v>
      </c>
      <c r="G391" s="22">
        <v>4010.1</v>
      </c>
      <c r="H391" s="22">
        <v>2275.16</v>
      </c>
      <c r="J391" s="111" t="s">
        <v>12</v>
      </c>
      <c r="L391" s="66" t="str">
        <f t="shared" si="7"/>
        <v>12023011.4010.100</v>
      </c>
    </row>
    <row r="392" spans="1:12" x14ac:dyDescent="0.2">
      <c r="A392" s="22">
        <v>19042</v>
      </c>
      <c r="B392" s="22" t="s">
        <v>479</v>
      </c>
      <c r="C392" s="22">
        <v>12023011</v>
      </c>
      <c r="D392" s="22" t="s">
        <v>93</v>
      </c>
      <c r="E392" s="22">
        <v>100</v>
      </c>
      <c r="F392" s="22" t="s">
        <v>203</v>
      </c>
      <c r="G392" s="22">
        <v>4010.1</v>
      </c>
      <c r="H392" s="22">
        <v>207.41</v>
      </c>
      <c r="J392" s="111" t="s">
        <v>12</v>
      </c>
      <c r="L392" s="66" t="str">
        <f t="shared" si="7"/>
        <v>12023011.4010.100</v>
      </c>
    </row>
    <row r="393" spans="1:12" x14ac:dyDescent="0.2">
      <c r="A393" s="22">
        <v>18974</v>
      </c>
      <c r="B393" s="22" t="s">
        <v>94</v>
      </c>
      <c r="C393" s="22">
        <v>12023011</v>
      </c>
      <c r="D393" s="22" t="s">
        <v>93</v>
      </c>
      <c r="E393" s="22">
        <v>100</v>
      </c>
      <c r="F393" s="22" t="s">
        <v>203</v>
      </c>
      <c r="G393" s="22">
        <v>4010.1</v>
      </c>
      <c r="H393" s="22">
        <v>2890.85</v>
      </c>
      <c r="J393" s="111" t="s">
        <v>12</v>
      </c>
      <c r="L393" s="66" t="str">
        <f t="shared" si="7"/>
        <v>12023011.4010.100</v>
      </c>
    </row>
    <row r="394" spans="1:12" x14ac:dyDescent="0.2">
      <c r="A394" s="22">
        <v>18999</v>
      </c>
      <c r="B394" s="22" t="s">
        <v>92</v>
      </c>
      <c r="C394" s="22">
        <v>12023011</v>
      </c>
      <c r="D394" s="22" t="s">
        <v>93</v>
      </c>
      <c r="E394" s="22">
        <v>100</v>
      </c>
      <c r="F394" s="22" t="s">
        <v>203</v>
      </c>
      <c r="G394" s="22">
        <v>4010.1</v>
      </c>
      <c r="H394" s="22">
        <v>2221.52</v>
      </c>
      <c r="J394" s="111" t="s">
        <v>12</v>
      </c>
      <c r="L394" s="66" t="str">
        <f t="shared" si="7"/>
        <v>12023011.4010.100</v>
      </c>
    </row>
    <row r="395" spans="1:12" x14ac:dyDescent="0.2">
      <c r="A395" s="22">
        <v>19026</v>
      </c>
      <c r="B395" s="22" t="s">
        <v>187</v>
      </c>
      <c r="C395" s="22">
        <v>12023011</v>
      </c>
      <c r="D395" s="22" t="s">
        <v>93</v>
      </c>
      <c r="E395" s="22">
        <v>100</v>
      </c>
      <c r="F395" s="22" t="s">
        <v>203</v>
      </c>
      <c r="G395" s="22">
        <v>4010.1</v>
      </c>
      <c r="H395" s="22">
        <v>1176.27</v>
      </c>
      <c r="J395" s="111" t="s">
        <v>12</v>
      </c>
      <c r="L395" s="66" t="str">
        <f t="shared" si="7"/>
        <v>12023011.4010.100</v>
      </c>
    </row>
    <row r="396" spans="1:12" x14ac:dyDescent="0.2">
      <c r="A396" s="22">
        <v>19032</v>
      </c>
      <c r="B396" s="22" t="s">
        <v>386</v>
      </c>
      <c r="C396" s="22">
        <v>12023011</v>
      </c>
      <c r="D396" s="22" t="s">
        <v>93</v>
      </c>
      <c r="E396" s="22">
        <v>100</v>
      </c>
      <c r="F396" s="22" t="s">
        <v>203</v>
      </c>
      <c r="G396" s="22">
        <v>4010.1</v>
      </c>
      <c r="H396" s="22">
        <v>1176.27</v>
      </c>
      <c r="J396" s="111" t="s">
        <v>12</v>
      </c>
      <c r="L396" s="66" t="str">
        <f t="shared" si="7"/>
        <v>12023011.4010.100</v>
      </c>
    </row>
    <row r="397" spans="1:12" x14ac:dyDescent="0.2">
      <c r="A397" s="22">
        <v>18962</v>
      </c>
      <c r="B397" s="22" t="s">
        <v>148</v>
      </c>
      <c r="C397" s="22">
        <v>12023011</v>
      </c>
      <c r="D397" s="22" t="s">
        <v>93</v>
      </c>
      <c r="E397" s="22">
        <v>100</v>
      </c>
      <c r="F397" s="22" t="s">
        <v>203</v>
      </c>
      <c r="G397" s="22">
        <v>4010.1</v>
      </c>
      <c r="H397" s="22">
        <v>5000</v>
      </c>
      <c r="J397" s="111" t="s">
        <v>12</v>
      </c>
      <c r="L397" s="66" t="str">
        <f t="shared" si="7"/>
        <v>12023011.4010.100</v>
      </c>
    </row>
    <row r="398" spans="1:12" x14ac:dyDescent="0.2">
      <c r="A398" s="22">
        <v>18973</v>
      </c>
      <c r="B398" s="22" t="s">
        <v>188</v>
      </c>
      <c r="C398" s="22">
        <v>12023011</v>
      </c>
      <c r="D398" s="22" t="s">
        <v>93</v>
      </c>
      <c r="E398" s="22">
        <v>100</v>
      </c>
      <c r="F398" s="22" t="s">
        <v>203</v>
      </c>
      <c r="G398" s="22">
        <v>4010.1</v>
      </c>
      <c r="H398" s="22">
        <v>1645.89</v>
      </c>
      <c r="J398" s="111" t="s">
        <v>12</v>
      </c>
      <c r="L398" s="66" t="str">
        <f t="shared" si="7"/>
        <v>12023011.4010.100</v>
      </c>
    </row>
    <row r="399" spans="1:12" x14ac:dyDescent="0.2">
      <c r="A399" s="22">
        <v>19038</v>
      </c>
      <c r="B399" s="22" t="s">
        <v>449</v>
      </c>
      <c r="C399" s="22">
        <v>12023021</v>
      </c>
      <c r="D399" s="22" t="s">
        <v>98</v>
      </c>
      <c r="E399" s="22">
        <v>100</v>
      </c>
      <c r="F399" s="22" t="s">
        <v>203</v>
      </c>
      <c r="G399" s="22">
        <v>4010.1</v>
      </c>
      <c r="H399" s="22">
        <v>3269.23</v>
      </c>
      <c r="J399" s="111" t="s">
        <v>12</v>
      </c>
      <c r="L399" s="66" t="str">
        <f t="shared" si="7"/>
        <v>12023021.4010.100</v>
      </c>
    </row>
    <row r="400" spans="1:12" x14ac:dyDescent="0.2">
      <c r="A400" s="22">
        <v>19027</v>
      </c>
      <c r="B400" s="22" t="s">
        <v>365</v>
      </c>
      <c r="C400" s="22">
        <v>12023021</v>
      </c>
      <c r="D400" s="22" t="s">
        <v>98</v>
      </c>
      <c r="E400" s="22">
        <v>100</v>
      </c>
      <c r="F400" s="22" t="s">
        <v>203</v>
      </c>
      <c r="G400" s="22">
        <v>4010.1</v>
      </c>
      <c r="H400" s="22">
        <v>1911.44</v>
      </c>
      <c r="J400" s="111" t="s">
        <v>12</v>
      </c>
      <c r="L400" s="66" t="str">
        <f t="shared" si="7"/>
        <v>12023021.4010.100</v>
      </c>
    </row>
    <row r="401" spans="1:12" x14ac:dyDescent="0.2">
      <c r="A401" s="22">
        <v>19021</v>
      </c>
      <c r="B401" s="22" t="s">
        <v>99</v>
      </c>
      <c r="C401" s="22">
        <v>12023021</v>
      </c>
      <c r="D401" s="22" t="s">
        <v>98</v>
      </c>
      <c r="E401" s="22">
        <v>100</v>
      </c>
      <c r="F401" s="22" t="s">
        <v>203</v>
      </c>
      <c r="G401" s="22">
        <v>4010.1</v>
      </c>
      <c r="H401" s="22">
        <v>1960.46</v>
      </c>
      <c r="J401" s="111" t="s">
        <v>12</v>
      </c>
      <c r="L401" s="66" t="str">
        <f t="shared" si="7"/>
        <v>12023021.4010.100</v>
      </c>
    </row>
    <row r="402" spans="1:12" x14ac:dyDescent="0.2">
      <c r="A402" s="22">
        <v>18980</v>
      </c>
      <c r="B402" s="22" t="s">
        <v>97</v>
      </c>
      <c r="C402" s="22">
        <v>12023021</v>
      </c>
      <c r="D402" s="22" t="s">
        <v>98</v>
      </c>
      <c r="E402" s="22">
        <v>100</v>
      </c>
      <c r="F402" s="22" t="s">
        <v>203</v>
      </c>
      <c r="G402" s="22">
        <v>4010.1</v>
      </c>
      <c r="H402" s="22">
        <v>1958.3</v>
      </c>
      <c r="J402" s="111" t="s">
        <v>12</v>
      </c>
      <c r="L402" s="66" t="str">
        <f t="shared" si="7"/>
        <v>12023021.4010.100</v>
      </c>
    </row>
    <row r="403" spans="1:12" x14ac:dyDescent="0.2">
      <c r="A403" s="22">
        <v>18581</v>
      </c>
      <c r="B403" s="22" t="s">
        <v>190</v>
      </c>
      <c r="C403" s="22">
        <v>12024021</v>
      </c>
      <c r="D403" s="22" t="s">
        <v>191</v>
      </c>
      <c r="E403" s="22">
        <v>100</v>
      </c>
      <c r="F403" s="22" t="s">
        <v>203</v>
      </c>
      <c r="G403" s="22">
        <v>4010.1</v>
      </c>
      <c r="H403" s="22">
        <v>2846.34</v>
      </c>
      <c r="J403" s="111" t="s">
        <v>12</v>
      </c>
      <c r="L403" s="66" t="str">
        <f t="shared" si="7"/>
        <v>12024021.4010.100</v>
      </c>
    </row>
    <row r="404" spans="1:12" x14ac:dyDescent="0.2">
      <c r="A404" s="22">
        <v>19034</v>
      </c>
      <c r="B404" s="22" t="s">
        <v>439</v>
      </c>
      <c r="C404" s="22">
        <v>12028099</v>
      </c>
      <c r="D404" s="22" t="s">
        <v>150</v>
      </c>
      <c r="E404" s="22">
        <v>100</v>
      </c>
      <c r="F404" s="22" t="s">
        <v>203</v>
      </c>
      <c r="G404" s="22">
        <v>4010.1</v>
      </c>
      <c r="H404" s="22">
        <v>2500</v>
      </c>
      <c r="J404" s="111" t="s">
        <v>12</v>
      </c>
      <c r="L404" s="66" t="str">
        <f t="shared" si="7"/>
        <v>12028099.4010.100</v>
      </c>
    </row>
    <row r="405" spans="1:12" x14ac:dyDescent="0.2">
      <c r="A405" s="22">
        <v>44705</v>
      </c>
      <c r="B405" s="22" t="s">
        <v>149</v>
      </c>
      <c r="C405" s="22">
        <v>12028099</v>
      </c>
      <c r="D405" s="22" t="s">
        <v>150</v>
      </c>
      <c r="E405" s="22">
        <v>100</v>
      </c>
      <c r="F405" s="22" t="s">
        <v>203</v>
      </c>
      <c r="G405" s="22">
        <v>4010.1</v>
      </c>
      <c r="H405" s="22">
        <v>5384.62</v>
      </c>
      <c r="J405" s="111" t="s">
        <v>12</v>
      </c>
      <c r="L405" s="66" t="str">
        <f t="shared" si="7"/>
        <v>12028099.4010.100</v>
      </c>
    </row>
    <row r="406" spans="1:12" x14ac:dyDescent="0.2">
      <c r="A406" s="22">
        <v>18805</v>
      </c>
      <c r="B406" s="22" t="s">
        <v>192</v>
      </c>
      <c r="C406" s="22">
        <v>12030400</v>
      </c>
      <c r="D406" s="22" t="s">
        <v>62</v>
      </c>
      <c r="E406" s="22">
        <v>100</v>
      </c>
      <c r="F406" s="22" t="s">
        <v>203</v>
      </c>
      <c r="G406" s="22">
        <v>4010.1</v>
      </c>
      <c r="H406" s="22">
        <v>2307.69</v>
      </c>
      <c r="J406" s="111" t="s">
        <v>12</v>
      </c>
      <c r="L406" s="66" t="str">
        <f t="shared" si="7"/>
        <v>12030400.4010.100</v>
      </c>
    </row>
    <row r="407" spans="1:12" x14ac:dyDescent="0.2">
      <c r="A407" s="22">
        <v>18982</v>
      </c>
      <c r="B407" s="22" t="s">
        <v>100</v>
      </c>
      <c r="C407" s="22">
        <v>12030400</v>
      </c>
      <c r="D407" s="22" t="s">
        <v>62</v>
      </c>
      <c r="E407" s="22">
        <v>100</v>
      </c>
      <c r="F407" s="22" t="s">
        <v>203</v>
      </c>
      <c r="G407" s="22">
        <v>4010.1</v>
      </c>
      <c r="H407" s="22">
        <v>2307.6799999999998</v>
      </c>
      <c r="J407" s="111" t="s">
        <v>12</v>
      </c>
      <c r="L407" s="66" t="str">
        <f t="shared" si="7"/>
        <v>12030400.4010.100</v>
      </c>
    </row>
    <row r="408" spans="1:12" x14ac:dyDescent="0.2">
      <c r="A408" s="22">
        <v>18841</v>
      </c>
      <c r="B408" s="22" t="s">
        <v>193</v>
      </c>
      <c r="C408" s="22">
        <v>12030500</v>
      </c>
      <c r="D408" s="22" t="s">
        <v>34</v>
      </c>
      <c r="E408" s="22">
        <v>100</v>
      </c>
      <c r="F408" s="22" t="s">
        <v>203</v>
      </c>
      <c r="G408" s="22">
        <v>4010.1</v>
      </c>
      <c r="H408" s="22">
        <v>2153.85</v>
      </c>
      <c r="J408" s="111" t="s">
        <v>12</v>
      </c>
      <c r="L408" s="66" t="str">
        <f t="shared" si="7"/>
        <v>12030500.4010.100</v>
      </c>
    </row>
    <row r="409" spans="1:12" x14ac:dyDescent="0.2">
      <c r="A409" s="22">
        <v>266</v>
      </c>
      <c r="B409" s="22" t="s">
        <v>194</v>
      </c>
      <c r="C409" s="22">
        <v>12030500</v>
      </c>
      <c r="D409" s="22" t="s">
        <v>34</v>
      </c>
      <c r="E409" s="22">
        <v>100</v>
      </c>
      <c r="F409" s="22" t="s">
        <v>203</v>
      </c>
      <c r="G409" s="22">
        <v>4010.1</v>
      </c>
      <c r="H409" s="22">
        <v>2475.8000000000002</v>
      </c>
      <c r="J409" s="111" t="s">
        <v>12</v>
      </c>
      <c r="L409" s="66" t="str">
        <f t="shared" si="7"/>
        <v>12030500.4010.100</v>
      </c>
    </row>
    <row r="410" spans="1:12" x14ac:dyDescent="0.2">
      <c r="A410" s="22">
        <v>134</v>
      </c>
      <c r="B410" s="22" t="s">
        <v>102</v>
      </c>
      <c r="C410" s="22">
        <v>12030611</v>
      </c>
      <c r="D410" s="22" t="s">
        <v>36</v>
      </c>
      <c r="E410" s="22">
        <v>100</v>
      </c>
      <c r="F410" s="22" t="s">
        <v>203</v>
      </c>
      <c r="G410" s="22">
        <v>4010.1</v>
      </c>
      <c r="H410" s="22">
        <v>950.21</v>
      </c>
      <c r="J410" s="111" t="s">
        <v>12</v>
      </c>
      <c r="L410" s="66" t="str">
        <f t="shared" si="7"/>
        <v>12030611.4010.100</v>
      </c>
    </row>
    <row r="411" spans="1:12" x14ac:dyDescent="0.2">
      <c r="A411" s="22">
        <v>18918</v>
      </c>
      <c r="B411" s="22" t="s">
        <v>38</v>
      </c>
      <c r="C411" s="22">
        <v>12030611</v>
      </c>
      <c r="D411" s="22" t="s">
        <v>36</v>
      </c>
      <c r="E411" s="22">
        <v>100</v>
      </c>
      <c r="F411" s="22" t="s">
        <v>203</v>
      </c>
      <c r="G411" s="22">
        <v>4010.1</v>
      </c>
      <c r="H411" s="22">
        <v>1568.36</v>
      </c>
      <c r="J411" s="111" t="s">
        <v>12</v>
      </c>
      <c r="L411" s="66" t="str">
        <f t="shared" si="7"/>
        <v>12030611.4010.100</v>
      </c>
    </row>
    <row r="412" spans="1:12" x14ac:dyDescent="0.2">
      <c r="A412" s="22">
        <v>18797</v>
      </c>
      <c r="B412" s="22" t="s">
        <v>101</v>
      </c>
      <c r="C412" s="22">
        <v>12030611</v>
      </c>
      <c r="D412" s="22" t="s">
        <v>36</v>
      </c>
      <c r="E412" s="22">
        <v>100</v>
      </c>
      <c r="F412" s="22" t="s">
        <v>203</v>
      </c>
      <c r="G412" s="22">
        <v>4010.1</v>
      </c>
      <c r="H412" s="22">
        <v>2156.5</v>
      </c>
      <c r="J412" s="111" t="s">
        <v>12</v>
      </c>
      <c r="L412" s="66" t="str">
        <f t="shared" si="7"/>
        <v>12030611.4010.100</v>
      </c>
    </row>
    <row r="413" spans="1:12" x14ac:dyDescent="0.2">
      <c r="A413" s="22">
        <v>18822</v>
      </c>
      <c r="B413" s="22" t="s">
        <v>103</v>
      </c>
      <c r="C413" s="22">
        <v>12030611</v>
      </c>
      <c r="D413" s="22" t="s">
        <v>36</v>
      </c>
      <c r="E413" s="22">
        <v>100</v>
      </c>
      <c r="F413" s="22" t="s">
        <v>203</v>
      </c>
      <c r="G413" s="22">
        <v>4010.1</v>
      </c>
      <c r="H413" s="22">
        <v>1758.39</v>
      </c>
      <c r="J413" s="111" t="s">
        <v>12</v>
      </c>
      <c r="L413" s="66" t="str">
        <f t="shared" si="7"/>
        <v>12030611.4010.100</v>
      </c>
    </row>
    <row r="414" spans="1:12" x14ac:dyDescent="0.2">
      <c r="A414" s="22">
        <v>18887</v>
      </c>
      <c r="B414" s="22" t="s">
        <v>105</v>
      </c>
      <c r="C414" s="22">
        <v>12030611</v>
      </c>
      <c r="D414" s="22" t="s">
        <v>36</v>
      </c>
      <c r="E414" s="22">
        <v>100</v>
      </c>
      <c r="F414" s="22" t="s">
        <v>203</v>
      </c>
      <c r="G414" s="22">
        <v>4010.1</v>
      </c>
      <c r="H414" s="22">
        <v>1805.4</v>
      </c>
      <c r="J414" s="111" t="s">
        <v>12</v>
      </c>
      <c r="L414" s="66" t="str">
        <f t="shared" si="7"/>
        <v>12030611.4010.100</v>
      </c>
    </row>
    <row r="415" spans="1:12" x14ac:dyDescent="0.2">
      <c r="A415" s="22">
        <v>18949</v>
      </c>
      <c r="B415" s="22" t="s">
        <v>35</v>
      </c>
      <c r="C415" s="22">
        <v>12030611</v>
      </c>
      <c r="D415" s="22" t="s">
        <v>36</v>
      </c>
      <c r="E415" s="22">
        <v>100</v>
      </c>
      <c r="F415" s="22" t="s">
        <v>203</v>
      </c>
      <c r="G415" s="22">
        <v>4010.1</v>
      </c>
      <c r="H415" s="22">
        <v>1801.44</v>
      </c>
      <c r="J415" s="111" t="s">
        <v>12</v>
      </c>
      <c r="L415" s="66" t="str">
        <f t="shared" si="7"/>
        <v>12030611.4010.100</v>
      </c>
    </row>
    <row r="416" spans="1:12" x14ac:dyDescent="0.2">
      <c r="A416" s="22">
        <v>18979</v>
      </c>
      <c r="B416" s="22" t="s">
        <v>39</v>
      </c>
      <c r="C416" s="22">
        <v>12030611</v>
      </c>
      <c r="D416" s="22" t="s">
        <v>36</v>
      </c>
      <c r="E416" s="22">
        <v>100</v>
      </c>
      <c r="F416" s="22" t="s">
        <v>203</v>
      </c>
      <c r="G416" s="22">
        <v>4010.1</v>
      </c>
      <c r="H416" s="22">
        <v>1573.04</v>
      </c>
      <c r="J416" s="111" t="s">
        <v>12</v>
      </c>
      <c r="L416" s="66" t="str">
        <f t="shared" si="7"/>
        <v>12030611.4010.100</v>
      </c>
    </row>
    <row r="417" spans="1:12" x14ac:dyDescent="0.2">
      <c r="A417" s="22">
        <v>18929</v>
      </c>
      <c r="B417" s="22" t="s">
        <v>106</v>
      </c>
      <c r="C417" s="22">
        <v>12030611</v>
      </c>
      <c r="D417" s="22" t="s">
        <v>36</v>
      </c>
      <c r="E417" s="22">
        <v>100</v>
      </c>
      <c r="F417" s="22" t="s">
        <v>203</v>
      </c>
      <c r="G417" s="22">
        <v>4010.1</v>
      </c>
      <c r="H417" s="22">
        <v>920.25</v>
      </c>
      <c r="J417" s="111" t="s">
        <v>12</v>
      </c>
      <c r="L417" s="66" t="str">
        <f t="shared" si="7"/>
        <v>12030611.4010.100</v>
      </c>
    </row>
    <row r="418" spans="1:12" x14ac:dyDescent="0.2">
      <c r="A418" s="22">
        <v>18827</v>
      </c>
      <c r="B418" s="22" t="s">
        <v>104</v>
      </c>
      <c r="C418" s="22">
        <v>12030611</v>
      </c>
      <c r="D418" s="22" t="s">
        <v>36</v>
      </c>
      <c r="E418" s="22">
        <v>100</v>
      </c>
      <c r="F418" s="22" t="s">
        <v>203</v>
      </c>
      <c r="G418" s="22">
        <v>4010.1</v>
      </c>
      <c r="H418" s="22">
        <v>2343.08</v>
      </c>
      <c r="J418" s="111" t="s">
        <v>12</v>
      </c>
      <c r="L418" s="66" t="str">
        <f t="shared" si="7"/>
        <v>12030611.4010.100</v>
      </c>
    </row>
    <row r="419" spans="1:12" x14ac:dyDescent="0.2">
      <c r="A419" s="22">
        <v>18626</v>
      </c>
      <c r="B419" s="22" t="s">
        <v>195</v>
      </c>
      <c r="C419" s="22">
        <v>12030611</v>
      </c>
      <c r="D419" s="22" t="s">
        <v>36</v>
      </c>
      <c r="E419" s="22">
        <v>100</v>
      </c>
      <c r="F419" s="22" t="s">
        <v>203</v>
      </c>
      <c r="G419" s="22">
        <v>4010.1</v>
      </c>
      <c r="H419" s="22">
        <v>3461.54</v>
      </c>
      <c r="J419" s="111" t="s">
        <v>12</v>
      </c>
      <c r="L419" s="66" t="str">
        <f t="shared" si="7"/>
        <v>12030611.4010.100</v>
      </c>
    </row>
    <row r="420" spans="1:12" x14ac:dyDescent="0.2">
      <c r="A420" s="22">
        <v>18793</v>
      </c>
      <c r="B420" s="22" t="s">
        <v>480</v>
      </c>
      <c r="C420" s="22">
        <v>12030711</v>
      </c>
      <c r="D420" s="22" t="s">
        <v>41</v>
      </c>
      <c r="E420" s="22">
        <v>100</v>
      </c>
      <c r="F420" s="22" t="s">
        <v>203</v>
      </c>
      <c r="G420" s="22">
        <v>4010.1</v>
      </c>
      <c r="H420" s="22">
        <v>428.81</v>
      </c>
      <c r="J420" s="111" t="s">
        <v>12</v>
      </c>
      <c r="L420" s="66" t="str">
        <f t="shared" si="7"/>
        <v>12030711.4010.100</v>
      </c>
    </row>
    <row r="421" spans="1:12" x14ac:dyDescent="0.2">
      <c r="A421" s="22">
        <v>18989</v>
      </c>
      <c r="B421" s="22" t="s">
        <v>107</v>
      </c>
      <c r="C421" s="22">
        <v>12030800</v>
      </c>
      <c r="D421" s="22" t="s">
        <v>59</v>
      </c>
      <c r="E421" s="22">
        <v>100</v>
      </c>
      <c r="F421" s="22" t="s">
        <v>203</v>
      </c>
      <c r="G421" s="22">
        <v>4010.1</v>
      </c>
      <c r="H421" s="22">
        <v>1709.58</v>
      </c>
      <c r="J421" s="111" t="s">
        <v>12</v>
      </c>
      <c r="L421" s="66" t="str">
        <f t="shared" si="7"/>
        <v>12030800.4010.100</v>
      </c>
    </row>
    <row r="422" spans="1:12" x14ac:dyDescent="0.2">
      <c r="A422" s="22">
        <v>18736</v>
      </c>
      <c r="B422" s="22" t="s">
        <v>70</v>
      </c>
      <c r="C422" s="22">
        <v>12032511</v>
      </c>
      <c r="D422" s="22" t="s">
        <v>43</v>
      </c>
      <c r="E422" s="22">
        <v>100</v>
      </c>
      <c r="F422" s="22" t="s">
        <v>203</v>
      </c>
      <c r="G422" s="22">
        <v>4010.1</v>
      </c>
      <c r="H422" s="22">
        <v>1667.07</v>
      </c>
      <c r="J422" s="111" t="s">
        <v>12</v>
      </c>
      <c r="L422" s="66" t="str">
        <f t="shared" si="7"/>
        <v>12032511.4010.100</v>
      </c>
    </row>
    <row r="423" spans="1:12" x14ac:dyDescent="0.2">
      <c r="A423" s="22">
        <v>19019</v>
      </c>
      <c r="B423" s="22" t="s">
        <v>108</v>
      </c>
      <c r="C423" s="22">
        <v>12033011</v>
      </c>
      <c r="D423" s="22" t="s">
        <v>45</v>
      </c>
      <c r="E423" s="22">
        <v>100</v>
      </c>
      <c r="F423" s="22" t="s">
        <v>203</v>
      </c>
      <c r="G423" s="22">
        <v>4010.1</v>
      </c>
      <c r="H423" s="22">
        <v>1799.46</v>
      </c>
      <c r="J423" s="111" t="s">
        <v>12</v>
      </c>
      <c r="L423" s="66" t="str">
        <f t="shared" si="7"/>
        <v>12033011.4010.100</v>
      </c>
    </row>
    <row r="424" spans="1:12" x14ac:dyDescent="0.2">
      <c r="A424" s="22">
        <v>19017</v>
      </c>
      <c r="B424" s="22" t="s">
        <v>65</v>
      </c>
      <c r="C424" s="22">
        <v>12033011</v>
      </c>
      <c r="D424" s="22" t="s">
        <v>45</v>
      </c>
      <c r="E424" s="22">
        <v>100</v>
      </c>
      <c r="F424" s="22" t="s">
        <v>203</v>
      </c>
      <c r="G424" s="22">
        <v>4010.1</v>
      </c>
      <c r="H424" s="22">
        <v>1510.07</v>
      </c>
      <c r="J424" s="111" t="s">
        <v>12</v>
      </c>
      <c r="L424" s="66" t="str">
        <f t="shared" si="7"/>
        <v>12033011.4010.100</v>
      </c>
    </row>
    <row r="425" spans="1:12" x14ac:dyDescent="0.2">
      <c r="A425" s="22">
        <v>19028</v>
      </c>
      <c r="B425" s="22" t="s">
        <v>367</v>
      </c>
      <c r="C425" s="22">
        <v>12033011</v>
      </c>
      <c r="D425" s="22" t="s">
        <v>45</v>
      </c>
      <c r="E425" s="22">
        <v>100</v>
      </c>
      <c r="F425" s="22" t="s">
        <v>203</v>
      </c>
      <c r="G425" s="22">
        <v>4010.1</v>
      </c>
      <c r="H425" s="22">
        <v>1789.96</v>
      </c>
      <c r="J425" s="111" t="s">
        <v>12</v>
      </c>
      <c r="L425" s="66" t="str">
        <f t="shared" si="7"/>
        <v>12033011.4010.100</v>
      </c>
    </row>
    <row r="426" spans="1:12" x14ac:dyDescent="0.2">
      <c r="A426" s="22">
        <v>18607</v>
      </c>
      <c r="B426" s="22" t="s">
        <v>109</v>
      </c>
      <c r="C426" s="22">
        <v>12033011</v>
      </c>
      <c r="D426" s="22" t="s">
        <v>45</v>
      </c>
      <c r="E426" s="22">
        <v>100</v>
      </c>
      <c r="F426" s="22" t="s">
        <v>203</v>
      </c>
      <c r="G426" s="22">
        <v>4010.1</v>
      </c>
      <c r="H426" s="22">
        <v>1094.32</v>
      </c>
      <c r="J426" s="111" t="s">
        <v>12</v>
      </c>
      <c r="L426" s="66" t="str">
        <f t="shared" si="7"/>
        <v>12033011.4010.100</v>
      </c>
    </row>
    <row r="427" spans="1:12" x14ac:dyDescent="0.2">
      <c r="A427" s="22">
        <v>19011</v>
      </c>
      <c r="B427" s="22" t="s">
        <v>111</v>
      </c>
      <c r="C427" s="22">
        <v>12033011</v>
      </c>
      <c r="D427" s="22" t="s">
        <v>45</v>
      </c>
      <c r="E427" s="22">
        <v>100</v>
      </c>
      <c r="F427" s="22" t="s">
        <v>203</v>
      </c>
      <c r="G427" s="22">
        <v>4010.1</v>
      </c>
      <c r="H427" s="22">
        <v>1804.6</v>
      </c>
      <c r="J427" s="111" t="s">
        <v>12</v>
      </c>
      <c r="L427" s="66" t="str">
        <f t="shared" si="7"/>
        <v>12033011.4010.100</v>
      </c>
    </row>
    <row r="428" spans="1:12" x14ac:dyDescent="0.2">
      <c r="A428" s="22">
        <v>19009</v>
      </c>
      <c r="B428" s="22" t="s">
        <v>117</v>
      </c>
      <c r="C428" s="22">
        <v>12033011</v>
      </c>
      <c r="D428" s="22" t="s">
        <v>45</v>
      </c>
      <c r="E428" s="22">
        <v>100</v>
      </c>
      <c r="F428" s="22" t="s">
        <v>203</v>
      </c>
      <c r="G428" s="22">
        <v>4010.1</v>
      </c>
      <c r="H428" s="22">
        <v>1893.29</v>
      </c>
      <c r="J428" s="111" t="s">
        <v>12</v>
      </c>
      <c r="L428" s="66" t="str">
        <f t="shared" si="7"/>
        <v>12033011.4010.100</v>
      </c>
    </row>
    <row r="429" spans="1:12" x14ac:dyDescent="0.2">
      <c r="A429" s="22">
        <v>19012</v>
      </c>
      <c r="B429" s="22" t="s">
        <v>110</v>
      </c>
      <c r="C429" s="22">
        <v>12033011</v>
      </c>
      <c r="D429" s="22" t="s">
        <v>45</v>
      </c>
      <c r="E429" s="22">
        <v>100</v>
      </c>
      <c r="F429" s="22" t="s">
        <v>203</v>
      </c>
      <c r="G429" s="22">
        <v>4010.1</v>
      </c>
      <c r="H429" s="22">
        <v>1922.61</v>
      </c>
      <c r="J429" s="111" t="s">
        <v>12</v>
      </c>
      <c r="L429" s="66" t="str">
        <f t="shared" si="7"/>
        <v>12033011.4010.100</v>
      </c>
    </row>
    <row r="430" spans="1:12" x14ac:dyDescent="0.2">
      <c r="A430" s="22">
        <v>18983</v>
      </c>
      <c r="B430" s="22" t="s">
        <v>112</v>
      </c>
      <c r="C430" s="22">
        <v>12033011</v>
      </c>
      <c r="D430" s="22" t="s">
        <v>45</v>
      </c>
      <c r="E430" s="22">
        <v>100</v>
      </c>
      <c r="F430" s="22" t="s">
        <v>203</v>
      </c>
      <c r="G430" s="22">
        <v>4010.1</v>
      </c>
      <c r="H430" s="22">
        <v>1972.87</v>
      </c>
      <c r="J430" s="111" t="s">
        <v>12</v>
      </c>
      <c r="L430" s="66" t="str">
        <f t="shared" si="7"/>
        <v>12033011.4010.100</v>
      </c>
    </row>
    <row r="431" spans="1:12" x14ac:dyDescent="0.2">
      <c r="A431" s="22">
        <v>18829</v>
      </c>
      <c r="B431" s="22" t="s">
        <v>115</v>
      </c>
      <c r="C431" s="22">
        <v>12033011</v>
      </c>
      <c r="D431" s="22" t="s">
        <v>45</v>
      </c>
      <c r="E431" s="22">
        <v>100</v>
      </c>
      <c r="F431" s="22" t="s">
        <v>203</v>
      </c>
      <c r="G431" s="22">
        <v>4010.1</v>
      </c>
      <c r="H431" s="22">
        <v>2221.52</v>
      </c>
      <c r="J431" s="111" t="s">
        <v>12</v>
      </c>
      <c r="L431" s="66" t="str">
        <f t="shared" si="7"/>
        <v>12033011.4010.100</v>
      </c>
    </row>
    <row r="432" spans="1:12" x14ac:dyDescent="0.2">
      <c r="A432" s="22">
        <v>19029</v>
      </c>
      <c r="B432" s="22" t="s">
        <v>366</v>
      </c>
      <c r="C432" s="22">
        <v>12033011</v>
      </c>
      <c r="D432" s="22" t="s">
        <v>45</v>
      </c>
      <c r="E432" s="22">
        <v>100</v>
      </c>
      <c r="F432" s="22" t="s">
        <v>203</v>
      </c>
      <c r="G432" s="22">
        <v>4010.1</v>
      </c>
      <c r="H432" s="22">
        <v>1918.24</v>
      </c>
      <c r="J432" s="111" t="s">
        <v>12</v>
      </c>
      <c r="L432" s="66" t="str">
        <f t="shared" si="7"/>
        <v>12033011.4010.100</v>
      </c>
    </row>
    <row r="433" spans="1:12" x14ac:dyDescent="0.2">
      <c r="A433" s="22">
        <v>18932</v>
      </c>
      <c r="B433" s="22" t="s">
        <v>44</v>
      </c>
      <c r="C433" s="22">
        <v>12033011</v>
      </c>
      <c r="D433" s="22" t="s">
        <v>45</v>
      </c>
      <c r="E433" s="22">
        <v>100</v>
      </c>
      <c r="F433" s="22" t="s">
        <v>203</v>
      </c>
      <c r="G433" s="22">
        <v>4010.1</v>
      </c>
      <c r="H433" s="22">
        <v>2223.7399999999998</v>
      </c>
      <c r="J433" s="111" t="s">
        <v>12</v>
      </c>
      <c r="L433" s="66" t="str">
        <f t="shared" si="7"/>
        <v>12033011.4010.100</v>
      </c>
    </row>
    <row r="434" spans="1:12" x14ac:dyDescent="0.2">
      <c r="A434" s="22">
        <v>18923</v>
      </c>
      <c r="B434" s="22" t="s">
        <v>46</v>
      </c>
      <c r="C434" s="22">
        <v>12033011</v>
      </c>
      <c r="D434" s="22" t="s">
        <v>45</v>
      </c>
      <c r="E434" s="22">
        <v>100</v>
      </c>
      <c r="F434" s="22" t="s">
        <v>203</v>
      </c>
      <c r="G434" s="22">
        <v>4010.1</v>
      </c>
      <c r="H434" s="22">
        <v>1223.48</v>
      </c>
      <c r="J434" s="111" t="s">
        <v>12</v>
      </c>
      <c r="L434" s="66" t="str">
        <f t="shared" si="7"/>
        <v>12033011.4010.100</v>
      </c>
    </row>
    <row r="435" spans="1:12" x14ac:dyDescent="0.2">
      <c r="A435" s="22">
        <v>19015</v>
      </c>
      <c r="B435" s="22" t="s">
        <v>116</v>
      </c>
      <c r="C435" s="22">
        <v>12033011</v>
      </c>
      <c r="D435" s="22" t="s">
        <v>45</v>
      </c>
      <c r="E435" s="22">
        <v>100</v>
      </c>
      <c r="F435" s="22" t="s">
        <v>203</v>
      </c>
      <c r="G435" s="22">
        <v>4010.1</v>
      </c>
      <c r="H435" s="22">
        <v>1980</v>
      </c>
      <c r="J435" s="111" t="s">
        <v>12</v>
      </c>
      <c r="L435" s="66" t="str">
        <f t="shared" si="7"/>
        <v>12033011.4010.100</v>
      </c>
    </row>
    <row r="436" spans="1:12" x14ac:dyDescent="0.2">
      <c r="A436" s="22">
        <v>19008</v>
      </c>
      <c r="B436" s="22" t="s">
        <v>118</v>
      </c>
      <c r="C436" s="22">
        <v>12033011</v>
      </c>
      <c r="D436" s="22" t="s">
        <v>45</v>
      </c>
      <c r="E436" s="22">
        <v>100</v>
      </c>
      <c r="F436" s="22" t="s">
        <v>203</v>
      </c>
      <c r="G436" s="22">
        <v>4010.1</v>
      </c>
      <c r="H436" s="22">
        <v>1401.72</v>
      </c>
      <c r="J436" s="111" t="s">
        <v>12</v>
      </c>
      <c r="L436" s="66" t="str">
        <f t="shared" si="7"/>
        <v>12033011.4010.100</v>
      </c>
    </row>
    <row r="437" spans="1:12" x14ac:dyDescent="0.2">
      <c r="A437" s="22">
        <v>18679</v>
      </c>
      <c r="B437" s="22" t="s">
        <v>114</v>
      </c>
      <c r="C437" s="22">
        <v>12033011</v>
      </c>
      <c r="D437" s="22" t="s">
        <v>45</v>
      </c>
      <c r="E437" s="22">
        <v>100</v>
      </c>
      <c r="F437" s="22" t="s">
        <v>203</v>
      </c>
      <c r="G437" s="22">
        <v>4010.1</v>
      </c>
      <c r="H437" s="22">
        <v>1736.71</v>
      </c>
      <c r="J437" s="111" t="s">
        <v>12</v>
      </c>
      <c r="L437" s="66" t="str">
        <f t="shared" si="7"/>
        <v>12033011.4010.100</v>
      </c>
    </row>
    <row r="438" spans="1:12" x14ac:dyDescent="0.2">
      <c r="A438" s="22">
        <v>18998</v>
      </c>
      <c r="B438" s="22" t="s">
        <v>47</v>
      </c>
      <c r="C438" s="22">
        <v>12038099</v>
      </c>
      <c r="D438" s="22" t="s">
        <v>48</v>
      </c>
      <c r="E438" s="22">
        <v>100</v>
      </c>
      <c r="F438" s="22" t="s">
        <v>203</v>
      </c>
      <c r="G438" s="22">
        <v>4010.1</v>
      </c>
      <c r="H438" s="22">
        <v>2884.62</v>
      </c>
      <c r="J438" s="111" t="s">
        <v>12</v>
      </c>
      <c r="L438" s="66" t="str">
        <f t="shared" si="7"/>
        <v>12038099.4010.100</v>
      </c>
    </row>
    <row r="439" spans="1:12" x14ac:dyDescent="0.2">
      <c r="A439" s="22">
        <v>115</v>
      </c>
      <c r="B439" s="22" t="s">
        <v>196</v>
      </c>
      <c r="C439" s="22">
        <v>12040400</v>
      </c>
      <c r="D439" s="22" t="s">
        <v>197</v>
      </c>
      <c r="E439" s="22">
        <v>100</v>
      </c>
      <c r="F439" s="22" t="s">
        <v>203</v>
      </c>
      <c r="G439" s="22">
        <v>4010.1</v>
      </c>
      <c r="H439" s="22">
        <v>2959.62</v>
      </c>
      <c r="J439" s="111" t="s">
        <v>12</v>
      </c>
      <c r="L439" s="66" t="str">
        <f t="shared" si="7"/>
        <v>12040400.4010.100</v>
      </c>
    </row>
    <row r="440" spans="1:12" x14ac:dyDescent="0.2">
      <c r="A440" s="22">
        <v>19020</v>
      </c>
      <c r="B440" s="22" t="s">
        <v>66</v>
      </c>
      <c r="C440" s="22">
        <v>12040500</v>
      </c>
      <c r="D440" s="22" t="s">
        <v>67</v>
      </c>
      <c r="E440" s="22">
        <v>100</v>
      </c>
      <c r="F440" s="22" t="s">
        <v>203</v>
      </c>
      <c r="G440" s="22">
        <v>4010.1</v>
      </c>
      <c r="H440" s="22">
        <v>2042.31</v>
      </c>
      <c r="J440" s="111" t="s">
        <v>12</v>
      </c>
      <c r="L440" s="66" t="str">
        <f t="shared" si="7"/>
        <v>12040500.4010.100</v>
      </c>
    </row>
    <row r="441" spans="1:12" x14ac:dyDescent="0.2">
      <c r="A441" s="22">
        <v>18649</v>
      </c>
      <c r="B441" s="22" t="s">
        <v>152</v>
      </c>
      <c r="C441" s="22">
        <v>12040500</v>
      </c>
      <c r="D441" s="22" t="s">
        <v>67</v>
      </c>
      <c r="E441" s="22">
        <v>100</v>
      </c>
      <c r="F441" s="22" t="s">
        <v>203</v>
      </c>
      <c r="G441" s="22">
        <v>4010.1</v>
      </c>
      <c r="H441" s="22">
        <v>3076.92</v>
      </c>
      <c r="J441" s="111" t="s">
        <v>12</v>
      </c>
      <c r="L441" s="66" t="str">
        <f t="shared" si="7"/>
        <v>12040500.4010.100</v>
      </c>
    </row>
    <row r="442" spans="1:12" x14ac:dyDescent="0.2">
      <c r="A442" s="22">
        <v>18839</v>
      </c>
      <c r="B442" s="22" t="s">
        <v>198</v>
      </c>
      <c r="C442" s="22">
        <v>12040800</v>
      </c>
      <c r="D442" s="22" t="s">
        <v>120</v>
      </c>
      <c r="E442" s="22">
        <v>100</v>
      </c>
      <c r="F442" s="22" t="s">
        <v>203</v>
      </c>
      <c r="G442" s="22">
        <v>4010.1</v>
      </c>
      <c r="H442" s="22">
        <v>1195.79</v>
      </c>
      <c r="J442" s="111" t="s">
        <v>12</v>
      </c>
      <c r="L442" s="66" t="str">
        <f t="shared" si="7"/>
        <v>12040800.4010.100</v>
      </c>
    </row>
    <row r="443" spans="1:12" x14ac:dyDescent="0.2">
      <c r="A443" s="22">
        <v>18904</v>
      </c>
      <c r="B443" s="22" t="s">
        <v>119</v>
      </c>
      <c r="C443" s="22">
        <v>12040800</v>
      </c>
      <c r="D443" s="22" t="s">
        <v>120</v>
      </c>
      <c r="E443" s="22">
        <v>100</v>
      </c>
      <c r="F443" s="22" t="s">
        <v>203</v>
      </c>
      <c r="G443" s="22">
        <v>4010.1</v>
      </c>
      <c r="H443" s="22">
        <v>1946.26</v>
      </c>
      <c r="J443" s="111" t="s">
        <v>12</v>
      </c>
      <c r="L443" s="66" t="str">
        <f t="shared" si="7"/>
        <v>12040800.4010.100</v>
      </c>
    </row>
    <row r="444" spans="1:12" x14ac:dyDescent="0.2">
      <c r="A444" s="22">
        <v>18650</v>
      </c>
      <c r="B444" s="22" t="s">
        <v>49</v>
      </c>
      <c r="C444" s="22">
        <v>12042511</v>
      </c>
      <c r="D444" s="22" t="s">
        <v>50</v>
      </c>
      <c r="E444" s="22">
        <v>100</v>
      </c>
      <c r="F444" s="22" t="s">
        <v>203</v>
      </c>
      <c r="G444" s="22">
        <v>4010.1</v>
      </c>
      <c r="H444" s="22">
        <v>1153.8900000000001</v>
      </c>
      <c r="J444" s="111" t="s">
        <v>12</v>
      </c>
      <c r="L444" s="66" t="str">
        <f t="shared" si="7"/>
        <v>12042511.4010.100</v>
      </c>
    </row>
    <row r="445" spans="1:12" x14ac:dyDescent="0.2">
      <c r="A445" s="22">
        <v>18986</v>
      </c>
      <c r="B445" s="22" t="s">
        <v>153</v>
      </c>
      <c r="C445" s="22">
        <v>12043011</v>
      </c>
      <c r="D445" s="22" t="s">
        <v>52</v>
      </c>
      <c r="E445" s="22">
        <v>100</v>
      </c>
      <c r="F445" s="22" t="s">
        <v>203</v>
      </c>
      <c r="G445" s="22">
        <v>4010.1</v>
      </c>
      <c r="H445" s="22">
        <v>1785.6</v>
      </c>
      <c r="J445" s="111" t="s">
        <v>12</v>
      </c>
      <c r="L445" s="66" t="str">
        <f t="shared" si="7"/>
        <v>12043011.4010.100</v>
      </c>
    </row>
    <row r="446" spans="1:12" x14ac:dyDescent="0.2">
      <c r="A446" s="22">
        <v>18924</v>
      </c>
      <c r="B446" s="22" t="s">
        <v>121</v>
      </c>
      <c r="C446" s="22">
        <v>12043011</v>
      </c>
      <c r="D446" s="22" t="s">
        <v>52</v>
      </c>
      <c r="E446" s="22">
        <v>100</v>
      </c>
      <c r="F446" s="22" t="s">
        <v>203</v>
      </c>
      <c r="G446" s="22">
        <v>4010.1</v>
      </c>
      <c r="H446" s="22">
        <v>950.21</v>
      </c>
      <c r="J446" s="111" t="s">
        <v>12</v>
      </c>
      <c r="L446" s="66" t="str">
        <f t="shared" si="7"/>
        <v>12043011.4010.100</v>
      </c>
    </row>
    <row r="447" spans="1:12" x14ac:dyDescent="0.2">
      <c r="A447" s="22">
        <v>18942</v>
      </c>
      <c r="B447" s="22" t="s">
        <v>51</v>
      </c>
      <c r="C447" s="22">
        <v>12043011</v>
      </c>
      <c r="D447" s="22" t="s">
        <v>52</v>
      </c>
      <c r="E447" s="22">
        <v>100</v>
      </c>
      <c r="F447" s="22" t="s">
        <v>203</v>
      </c>
      <c r="G447" s="22">
        <v>4010.1</v>
      </c>
      <c r="H447" s="22">
        <v>2331.91</v>
      </c>
      <c r="J447" s="111" t="s">
        <v>12</v>
      </c>
      <c r="L447" s="66" t="str">
        <f t="shared" si="7"/>
        <v>12043011.4010.100</v>
      </c>
    </row>
    <row r="448" spans="1:12" x14ac:dyDescent="0.2">
      <c r="A448" s="22">
        <v>19039</v>
      </c>
      <c r="B448" s="22" t="s">
        <v>443</v>
      </c>
      <c r="C448" s="22">
        <v>12043011</v>
      </c>
      <c r="D448" s="22" t="s">
        <v>52</v>
      </c>
      <c r="E448" s="22">
        <v>100</v>
      </c>
      <c r="F448" s="22" t="s">
        <v>203</v>
      </c>
      <c r="G448" s="22">
        <v>4010.1</v>
      </c>
      <c r="H448" s="22">
        <v>1749.57</v>
      </c>
      <c r="J448" s="111" t="s">
        <v>12</v>
      </c>
      <c r="L448" s="66" t="str">
        <f t="shared" si="7"/>
        <v>12043011.4010.100</v>
      </c>
    </row>
    <row r="449" spans="1:12" x14ac:dyDescent="0.2">
      <c r="A449" s="22">
        <v>18850</v>
      </c>
      <c r="B449" s="22" t="s">
        <v>123</v>
      </c>
      <c r="C449" s="22">
        <v>12043011</v>
      </c>
      <c r="D449" s="22" t="s">
        <v>52</v>
      </c>
      <c r="E449" s="22">
        <v>100</v>
      </c>
      <c r="F449" s="22" t="s">
        <v>203</v>
      </c>
      <c r="G449" s="22">
        <v>4010.1</v>
      </c>
      <c r="H449" s="22">
        <v>2218.41</v>
      </c>
      <c r="J449" s="111" t="s">
        <v>12</v>
      </c>
      <c r="L449" s="66" t="str">
        <f t="shared" si="7"/>
        <v>12043011.4010.100</v>
      </c>
    </row>
    <row r="450" spans="1:12" x14ac:dyDescent="0.2">
      <c r="A450" s="22">
        <v>18703</v>
      </c>
      <c r="B450" s="22" t="s">
        <v>126</v>
      </c>
      <c r="C450" s="22">
        <v>12043011</v>
      </c>
      <c r="D450" s="22" t="s">
        <v>52</v>
      </c>
      <c r="E450" s="22">
        <v>100</v>
      </c>
      <c r="F450" s="22" t="s">
        <v>203</v>
      </c>
      <c r="G450" s="22">
        <v>4010.1</v>
      </c>
      <c r="H450" s="22">
        <v>1907.84</v>
      </c>
      <c r="J450" s="111" t="s">
        <v>12</v>
      </c>
      <c r="L450" s="66" t="str">
        <f t="shared" ref="L450:L473" si="8">C450&amp;"."&amp;G450&amp;J450</f>
        <v>12043011.4010.100</v>
      </c>
    </row>
    <row r="451" spans="1:12" x14ac:dyDescent="0.2">
      <c r="A451" s="22">
        <v>18646</v>
      </c>
      <c r="B451" s="22" t="s">
        <v>124</v>
      </c>
      <c r="C451" s="22">
        <v>12043011</v>
      </c>
      <c r="D451" s="22" t="s">
        <v>52</v>
      </c>
      <c r="E451" s="22">
        <v>100</v>
      </c>
      <c r="F451" s="22" t="s">
        <v>203</v>
      </c>
      <c r="G451" s="22">
        <v>4010.1</v>
      </c>
      <c r="H451" s="22">
        <v>2342.91</v>
      </c>
      <c r="J451" s="111" t="s">
        <v>12</v>
      </c>
      <c r="L451" s="66" t="str">
        <f t="shared" si="8"/>
        <v>12043011.4010.100</v>
      </c>
    </row>
    <row r="452" spans="1:12" x14ac:dyDescent="0.2">
      <c r="A452" s="22">
        <v>18713</v>
      </c>
      <c r="B452" s="22" t="s">
        <v>154</v>
      </c>
      <c r="C452" s="22">
        <v>12043011</v>
      </c>
      <c r="D452" s="22" t="s">
        <v>52</v>
      </c>
      <c r="E452" s="22">
        <v>100</v>
      </c>
      <c r="F452" s="22" t="s">
        <v>203</v>
      </c>
      <c r="G452" s="22">
        <v>4010.1</v>
      </c>
      <c r="H452" s="22">
        <v>3154.33</v>
      </c>
      <c r="J452" s="111" t="s">
        <v>12</v>
      </c>
      <c r="L452" s="66" t="str">
        <f t="shared" si="8"/>
        <v>12043011.4010.100</v>
      </c>
    </row>
    <row r="453" spans="1:12" x14ac:dyDescent="0.2">
      <c r="A453" s="22">
        <v>18990</v>
      </c>
      <c r="B453" s="22" t="s">
        <v>125</v>
      </c>
      <c r="C453" s="22">
        <v>12043011</v>
      </c>
      <c r="D453" s="22" t="s">
        <v>52</v>
      </c>
      <c r="E453" s="22">
        <v>100</v>
      </c>
      <c r="F453" s="22" t="s">
        <v>203</v>
      </c>
      <c r="G453" s="22">
        <v>4010.1</v>
      </c>
      <c r="H453" s="22">
        <v>1793.52</v>
      </c>
      <c r="J453" s="111" t="s">
        <v>12</v>
      </c>
      <c r="L453" s="66" t="str">
        <f t="shared" si="8"/>
        <v>12043011.4010.100</v>
      </c>
    </row>
    <row r="454" spans="1:12" x14ac:dyDescent="0.2">
      <c r="A454" s="22">
        <v>18970</v>
      </c>
      <c r="B454" s="22" t="s">
        <v>200</v>
      </c>
      <c r="C454" s="22">
        <v>12043123</v>
      </c>
      <c r="D454" s="22" t="s">
        <v>201</v>
      </c>
      <c r="E454" s="22">
        <v>100</v>
      </c>
      <c r="F454" s="22" t="s">
        <v>203</v>
      </c>
      <c r="G454" s="22">
        <v>4010.1</v>
      </c>
      <c r="H454" s="22">
        <v>1748.49</v>
      </c>
      <c r="J454" s="111" t="s">
        <v>12</v>
      </c>
      <c r="L454" s="66" t="str">
        <f t="shared" si="8"/>
        <v>12043123.4010.100</v>
      </c>
    </row>
    <row r="455" spans="1:12" x14ac:dyDescent="0.2">
      <c r="A455" s="22">
        <v>18976</v>
      </c>
      <c r="B455" s="22" t="s">
        <v>202</v>
      </c>
      <c r="C455" s="22">
        <v>12048099</v>
      </c>
      <c r="D455" s="22" t="s">
        <v>156</v>
      </c>
      <c r="E455" s="22">
        <v>100</v>
      </c>
      <c r="F455" s="22" t="s">
        <v>203</v>
      </c>
      <c r="G455" s="22">
        <v>4010.1</v>
      </c>
      <c r="H455" s="22">
        <v>2192.31</v>
      </c>
      <c r="J455" s="111" t="s">
        <v>12</v>
      </c>
      <c r="L455" s="66" t="str">
        <f t="shared" si="8"/>
        <v>12048099.4010.100</v>
      </c>
    </row>
    <row r="456" spans="1:12" x14ac:dyDescent="0.2">
      <c r="A456" s="22">
        <v>19031</v>
      </c>
      <c r="B456" s="22" t="s">
        <v>387</v>
      </c>
      <c r="C456" s="22">
        <v>12048099</v>
      </c>
      <c r="D456" s="22" t="s">
        <v>156</v>
      </c>
      <c r="E456" s="22">
        <v>100</v>
      </c>
      <c r="F456" s="22" t="s">
        <v>203</v>
      </c>
      <c r="G456" s="22">
        <v>4010.1</v>
      </c>
      <c r="H456" s="22">
        <v>3269.23</v>
      </c>
      <c r="J456" s="111" t="s">
        <v>12</v>
      </c>
      <c r="L456" s="66" t="str">
        <f t="shared" si="8"/>
        <v>12048099.4010.100</v>
      </c>
    </row>
    <row r="457" spans="1:12" x14ac:dyDescent="0.2">
      <c r="A457" s="22">
        <v>18442</v>
      </c>
      <c r="B457" s="22" t="s">
        <v>157</v>
      </c>
      <c r="C457" s="22">
        <v>12060400</v>
      </c>
      <c r="D457" s="22" t="s">
        <v>158</v>
      </c>
      <c r="E457" s="22">
        <v>100</v>
      </c>
      <c r="F457" s="22" t="s">
        <v>203</v>
      </c>
      <c r="G457" s="22">
        <v>4010.1</v>
      </c>
      <c r="H457" s="22">
        <v>2538.46</v>
      </c>
      <c r="J457" s="111" t="s">
        <v>12</v>
      </c>
      <c r="L457" s="66" t="str">
        <f t="shared" si="8"/>
        <v>12060400.4010.100</v>
      </c>
    </row>
    <row r="458" spans="1:12" x14ac:dyDescent="0.2">
      <c r="A458" s="22">
        <v>18823</v>
      </c>
      <c r="B458" s="22" t="s">
        <v>53</v>
      </c>
      <c r="C458" s="22">
        <v>12060611</v>
      </c>
      <c r="D458" s="22" t="s">
        <v>54</v>
      </c>
      <c r="E458" s="22">
        <v>100</v>
      </c>
      <c r="F458" s="22" t="s">
        <v>203</v>
      </c>
      <c r="G458" s="22">
        <v>4010.1</v>
      </c>
      <c r="H458" s="22">
        <v>2399.5500000000002</v>
      </c>
      <c r="J458" s="111" t="s">
        <v>12</v>
      </c>
      <c r="L458" s="66" t="str">
        <f t="shared" si="8"/>
        <v>12060611.4010.100</v>
      </c>
    </row>
    <row r="459" spans="1:12" x14ac:dyDescent="0.2">
      <c r="A459" s="22">
        <v>18996</v>
      </c>
      <c r="B459" s="22" t="s">
        <v>127</v>
      </c>
      <c r="C459" s="22">
        <v>12060611</v>
      </c>
      <c r="D459" s="22" t="s">
        <v>54</v>
      </c>
      <c r="E459" s="22">
        <v>100</v>
      </c>
      <c r="F459" s="22" t="s">
        <v>203</v>
      </c>
      <c r="G459" s="22">
        <v>4010.1</v>
      </c>
      <c r="H459" s="22">
        <v>1591.58</v>
      </c>
      <c r="J459" s="111" t="s">
        <v>12</v>
      </c>
      <c r="L459" s="66" t="str">
        <f t="shared" si="8"/>
        <v>12060611.4010.100</v>
      </c>
    </row>
    <row r="460" spans="1:12" x14ac:dyDescent="0.2">
      <c r="A460" s="22">
        <v>18927</v>
      </c>
      <c r="B460" s="22" t="s">
        <v>55</v>
      </c>
      <c r="C460" s="22">
        <v>12060611</v>
      </c>
      <c r="D460" s="22" t="s">
        <v>54</v>
      </c>
      <c r="E460" s="22">
        <v>100</v>
      </c>
      <c r="F460" s="22" t="s">
        <v>203</v>
      </c>
      <c r="G460" s="22">
        <v>4010.1</v>
      </c>
      <c r="H460" s="22">
        <v>580.83000000000004</v>
      </c>
      <c r="J460" s="111" t="s">
        <v>12</v>
      </c>
      <c r="L460" s="66" t="str">
        <f t="shared" si="8"/>
        <v>12060611.4010.100</v>
      </c>
    </row>
    <row r="461" spans="1:12" x14ac:dyDescent="0.2">
      <c r="A461" s="22">
        <v>18895</v>
      </c>
      <c r="B461" s="22" t="s">
        <v>128</v>
      </c>
      <c r="C461" s="22">
        <v>12060611</v>
      </c>
      <c r="D461" s="22" t="s">
        <v>54</v>
      </c>
      <c r="E461" s="22">
        <v>100</v>
      </c>
      <c r="F461" s="22" t="s">
        <v>203</v>
      </c>
      <c r="G461" s="22">
        <v>4010.1</v>
      </c>
      <c r="H461" s="22">
        <v>1615.64</v>
      </c>
      <c r="J461" s="111" t="s">
        <v>12</v>
      </c>
      <c r="L461" s="66" t="str">
        <f t="shared" si="8"/>
        <v>12060611.4010.100</v>
      </c>
    </row>
    <row r="462" spans="1:12" x14ac:dyDescent="0.2">
      <c r="A462" s="22">
        <v>261</v>
      </c>
      <c r="B462" s="22" t="s">
        <v>159</v>
      </c>
      <c r="C462" s="22">
        <v>12060611</v>
      </c>
      <c r="D462" s="22" t="s">
        <v>54</v>
      </c>
      <c r="E462" s="22">
        <v>100</v>
      </c>
      <c r="F462" s="22" t="s">
        <v>203</v>
      </c>
      <c r="G462" s="22">
        <v>4010.1</v>
      </c>
      <c r="H462" s="22">
        <v>2926.92</v>
      </c>
      <c r="J462" s="111" t="s">
        <v>12</v>
      </c>
      <c r="L462" s="66" t="str">
        <f t="shared" si="8"/>
        <v>12060611.4010.100</v>
      </c>
    </row>
    <row r="463" spans="1:12" x14ac:dyDescent="0.2">
      <c r="A463" s="22">
        <v>18898</v>
      </c>
      <c r="B463" s="22" t="s">
        <v>130</v>
      </c>
      <c r="C463" s="22">
        <v>12060611</v>
      </c>
      <c r="D463" s="22" t="s">
        <v>54</v>
      </c>
      <c r="E463" s="22">
        <v>100</v>
      </c>
      <c r="F463" s="22" t="s">
        <v>203</v>
      </c>
      <c r="G463" s="22">
        <v>4010.1</v>
      </c>
      <c r="H463" s="22">
        <v>1764.41</v>
      </c>
      <c r="J463" s="111" t="s">
        <v>12</v>
      </c>
      <c r="L463" s="66" t="str">
        <f t="shared" si="8"/>
        <v>12060611.4010.100</v>
      </c>
    </row>
    <row r="464" spans="1:12" x14ac:dyDescent="0.2">
      <c r="A464" s="22">
        <v>18634</v>
      </c>
      <c r="B464" s="22" t="s">
        <v>129</v>
      </c>
      <c r="C464" s="22">
        <v>12060611</v>
      </c>
      <c r="D464" s="22" t="s">
        <v>54</v>
      </c>
      <c r="E464" s="22">
        <v>100</v>
      </c>
      <c r="F464" s="22" t="s">
        <v>203</v>
      </c>
      <c r="G464" s="22">
        <v>4010.1</v>
      </c>
      <c r="H464" s="22">
        <v>1302.57</v>
      </c>
      <c r="J464" s="111" t="s">
        <v>12</v>
      </c>
      <c r="L464" s="66" t="str">
        <f t="shared" si="8"/>
        <v>12060611.4010.100</v>
      </c>
    </row>
    <row r="465" spans="1:12" x14ac:dyDescent="0.2">
      <c r="A465" s="22">
        <v>18791</v>
      </c>
      <c r="B465" s="22" t="s">
        <v>132</v>
      </c>
      <c r="C465" s="22">
        <v>12060711</v>
      </c>
      <c r="D465" s="22" t="s">
        <v>133</v>
      </c>
      <c r="E465" s="22">
        <v>100</v>
      </c>
      <c r="F465" s="22" t="s">
        <v>203</v>
      </c>
      <c r="G465" s="22">
        <v>4010.1</v>
      </c>
      <c r="H465" s="22">
        <v>240.26</v>
      </c>
      <c r="J465" s="111" t="s">
        <v>12</v>
      </c>
      <c r="L465" s="66" t="str">
        <f t="shared" si="8"/>
        <v>12060711.4010.100</v>
      </c>
    </row>
    <row r="466" spans="1:12" x14ac:dyDescent="0.2">
      <c r="A466" s="22">
        <v>18953</v>
      </c>
      <c r="B466" s="22" t="s">
        <v>136</v>
      </c>
      <c r="C466" s="22">
        <v>12060800</v>
      </c>
      <c r="D466" s="22" t="s">
        <v>135</v>
      </c>
      <c r="E466" s="22">
        <v>100</v>
      </c>
      <c r="F466" s="22" t="s">
        <v>203</v>
      </c>
      <c r="G466" s="22">
        <v>4010.1</v>
      </c>
      <c r="H466" s="22">
        <v>1263.3800000000001</v>
      </c>
      <c r="J466" s="111" t="s">
        <v>12</v>
      </c>
      <c r="L466" s="66" t="str">
        <f t="shared" si="8"/>
        <v>12060800.4010.100</v>
      </c>
    </row>
    <row r="467" spans="1:12" x14ac:dyDescent="0.2">
      <c r="A467" s="22">
        <v>18561</v>
      </c>
      <c r="B467" s="22" t="s">
        <v>134</v>
      </c>
      <c r="C467" s="22">
        <v>12060800</v>
      </c>
      <c r="D467" s="22" t="s">
        <v>135</v>
      </c>
      <c r="E467" s="22">
        <v>100</v>
      </c>
      <c r="F467" s="22" t="s">
        <v>203</v>
      </c>
      <c r="G467" s="22">
        <v>4010.1</v>
      </c>
      <c r="H467" s="22">
        <v>2515.54</v>
      </c>
      <c r="J467" s="111" t="s">
        <v>12</v>
      </c>
      <c r="L467" s="66" t="str">
        <f t="shared" si="8"/>
        <v>12060800.4010.100</v>
      </c>
    </row>
    <row r="468" spans="1:12" x14ac:dyDescent="0.2">
      <c r="A468" s="22">
        <v>18506</v>
      </c>
      <c r="B468" s="22" t="s">
        <v>438</v>
      </c>
      <c r="C468" s="22">
        <v>12062511</v>
      </c>
      <c r="D468" s="22" t="s">
        <v>57</v>
      </c>
      <c r="E468" s="22">
        <v>100</v>
      </c>
      <c r="F468" s="22" t="s">
        <v>203</v>
      </c>
      <c r="G468" s="22">
        <v>4010.1</v>
      </c>
      <c r="H468" s="22">
        <v>702.23</v>
      </c>
      <c r="J468" s="111" t="s">
        <v>12</v>
      </c>
      <c r="L468" s="66" t="str">
        <f t="shared" si="8"/>
        <v>12062511.4010.100</v>
      </c>
    </row>
    <row r="469" spans="1:12" x14ac:dyDescent="0.2">
      <c r="A469" s="22">
        <v>156</v>
      </c>
      <c r="B469" s="22" t="s">
        <v>137</v>
      </c>
      <c r="C469" s="22">
        <v>12062511</v>
      </c>
      <c r="D469" s="22" t="s">
        <v>57</v>
      </c>
      <c r="E469" s="22">
        <v>100</v>
      </c>
      <c r="F469" s="22" t="s">
        <v>203</v>
      </c>
      <c r="G469" s="22">
        <v>4010.1</v>
      </c>
      <c r="H469" s="22">
        <v>551.94000000000005</v>
      </c>
      <c r="J469" s="111" t="s">
        <v>12</v>
      </c>
      <c r="L469" s="66" t="str">
        <f t="shared" si="8"/>
        <v>12062511.4010.100</v>
      </c>
    </row>
    <row r="470" spans="1:12" x14ac:dyDescent="0.2">
      <c r="A470" s="22">
        <v>18792</v>
      </c>
      <c r="B470" s="22" t="s">
        <v>56</v>
      </c>
      <c r="C470" s="22">
        <v>12062511</v>
      </c>
      <c r="D470" s="22" t="s">
        <v>57</v>
      </c>
      <c r="E470" s="22">
        <v>100</v>
      </c>
      <c r="F470" s="22" t="s">
        <v>203</v>
      </c>
      <c r="G470" s="22">
        <v>4010.1</v>
      </c>
      <c r="H470" s="22">
        <v>1754.52</v>
      </c>
      <c r="J470" s="111" t="s">
        <v>12</v>
      </c>
      <c r="L470" s="66" t="str">
        <f t="shared" si="8"/>
        <v>12062511.4010.100</v>
      </c>
    </row>
    <row r="471" spans="1:12" x14ac:dyDescent="0.2">
      <c r="A471" s="22">
        <v>19043</v>
      </c>
      <c r="B471" s="22" t="s">
        <v>481</v>
      </c>
      <c r="C471" s="22">
        <v>12063011</v>
      </c>
      <c r="D471" s="22" t="s">
        <v>442</v>
      </c>
      <c r="E471" s="22">
        <v>100</v>
      </c>
      <c r="F471" s="22" t="s">
        <v>203</v>
      </c>
      <c r="G471" s="22">
        <v>4010.1</v>
      </c>
      <c r="H471" s="22">
        <v>361.08</v>
      </c>
      <c r="J471" s="111" t="s">
        <v>12</v>
      </c>
      <c r="L471" s="66" t="str">
        <f t="shared" si="8"/>
        <v>12063011.4010.100</v>
      </c>
    </row>
    <row r="472" spans="1:12" x14ac:dyDescent="0.2">
      <c r="A472" s="22">
        <v>19037</v>
      </c>
      <c r="B472" s="22" t="s">
        <v>441</v>
      </c>
      <c r="C472" s="22">
        <v>12063011</v>
      </c>
      <c r="D472" s="22" t="s">
        <v>442</v>
      </c>
      <c r="E472" s="22">
        <v>100</v>
      </c>
      <c r="F472" s="22" t="s">
        <v>203</v>
      </c>
      <c r="G472" s="22">
        <v>4010.1</v>
      </c>
      <c r="H472" s="22">
        <v>627.14</v>
      </c>
      <c r="J472" s="111" t="s">
        <v>12</v>
      </c>
      <c r="L472" s="66" t="str">
        <f t="shared" si="8"/>
        <v>12063011.4010.100</v>
      </c>
    </row>
    <row r="473" spans="1:12" x14ac:dyDescent="0.2">
      <c r="A473" s="22">
        <v>18876</v>
      </c>
      <c r="B473" s="22" t="s">
        <v>160</v>
      </c>
      <c r="C473" s="22">
        <v>12068099</v>
      </c>
      <c r="D473" s="22" t="s">
        <v>161</v>
      </c>
      <c r="E473" s="22">
        <v>100</v>
      </c>
      <c r="F473" s="22" t="s">
        <v>203</v>
      </c>
      <c r="G473" s="22">
        <v>4010.1</v>
      </c>
      <c r="H473" s="22">
        <v>2884.62</v>
      </c>
      <c r="J473" s="111" t="s">
        <v>12</v>
      </c>
      <c r="L473" s="66" t="str">
        <f t="shared" si="8"/>
        <v>12068099.4010.100</v>
      </c>
    </row>
    <row r="474" spans="1:12" x14ac:dyDescent="0.2">
      <c r="A474" s="22">
        <v>19022</v>
      </c>
      <c r="B474" s="22" t="s">
        <v>113</v>
      </c>
      <c r="C474" s="22">
        <v>12019199</v>
      </c>
      <c r="D474" s="22" t="s">
        <v>147</v>
      </c>
      <c r="E474" s="22">
        <v>151</v>
      </c>
      <c r="F474" s="22" t="s">
        <v>205</v>
      </c>
      <c r="G474" s="22" t="s">
        <v>206</v>
      </c>
      <c r="I474" s="22">
        <v>234.82</v>
      </c>
      <c r="J474" s="111" t="s">
        <v>12</v>
      </c>
      <c r="L474" s="66" t="str">
        <f t="shared" ref="L474:L537" si="9">G474</f>
        <v>112.2160.100</v>
      </c>
    </row>
    <row r="475" spans="1:12" x14ac:dyDescent="0.2">
      <c r="A475" s="22">
        <v>18589</v>
      </c>
      <c r="B475" s="22" t="s">
        <v>75</v>
      </c>
      <c r="C475" s="22">
        <v>12020611</v>
      </c>
      <c r="D475" s="22" t="s">
        <v>23</v>
      </c>
      <c r="E475" s="22">
        <v>151</v>
      </c>
      <c r="F475" s="22" t="s">
        <v>205</v>
      </c>
      <c r="G475" s="22" t="s">
        <v>206</v>
      </c>
      <c r="I475" s="22">
        <v>444.74</v>
      </c>
      <c r="J475" s="111" t="s">
        <v>12</v>
      </c>
      <c r="L475" s="66" t="str">
        <f t="shared" si="9"/>
        <v>112.2160.100</v>
      </c>
    </row>
    <row r="476" spans="1:12" x14ac:dyDescent="0.2">
      <c r="A476" s="22">
        <v>18903</v>
      </c>
      <c r="B476" s="22" t="s">
        <v>73</v>
      </c>
      <c r="C476" s="22">
        <v>12020611</v>
      </c>
      <c r="D476" s="22" t="s">
        <v>23</v>
      </c>
      <c r="E476" s="22">
        <v>151</v>
      </c>
      <c r="F476" s="22" t="s">
        <v>205</v>
      </c>
      <c r="G476" s="22" t="s">
        <v>206</v>
      </c>
      <c r="I476" s="22">
        <v>605.88</v>
      </c>
      <c r="J476" s="111" t="s">
        <v>12</v>
      </c>
      <c r="L476" s="66" t="str">
        <f t="shared" si="9"/>
        <v>112.2160.100</v>
      </c>
    </row>
    <row r="477" spans="1:12" x14ac:dyDescent="0.2">
      <c r="A477" s="22">
        <v>18891</v>
      </c>
      <c r="B477" s="22" t="s">
        <v>77</v>
      </c>
      <c r="C477" s="22">
        <v>12020611</v>
      </c>
      <c r="D477" s="22" t="s">
        <v>23</v>
      </c>
      <c r="E477" s="22">
        <v>151</v>
      </c>
      <c r="F477" s="22" t="s">
        <v>205</v>
      </c>
      <c r="G477" s="22" t="s">
        <v>206</v>
      </c>
      <c r="I477" s="22">
        <v>228.28</v>
      </c>
      <c r="J477" s="111" t="s">
        <v>12</v>
      </c>
      <c r="L477" s="66" t="str">
        <f t="shared" si="9"/>
        <v>112.2160.100</v>
      </c>
    </row>
    <row r="478" spans="1:12" x14ac:dyDescent="0.2">
      <c r="A478" s="22">
        <v>18831</v>
      </c>
      <c r="B478" s="22" t="s">
        <v>22</v>
      </c>
      <c r="C478" s="22">
        <v>12020611</v>
      </c>
      <c r="D478" s="22" t="s">
        <v>23</v>
      </c>
      <c r="E478" s="22">
        <v>151</v>
      </c>
      <c r="F478" s="22" t="s">
        <v>205</v>
      </c>
      <c r="G478" s="22" t="s">
        <v>206</v>
      </c>
      <c r="I478" s="22">
        <v>196.05</v>
      </c>
      <c r="J478" s="111" t="s">
        <v>12</v>
      </c>
      <c r="L478" s="66" t="str">
        <f t="shared" si="9"/>
        <v>112.2160.100</v>
      </c>
    </row>
    <row r="479" spans="1:12" x14ac:dyDescent="0.2">
      <c r="A479" s="22">
        <v>18631</v>
      </c>
      <c r="B479" s="22" t="s">
        <v>80</v>
      </c>
      <c r="C479" s="22">
        <v>12020711</v>
      </c>
      <c r="D479" s="22" t="s">
        <v>25</v>
      </c>
      <c r="E479" s="22">
        <v>151</v>
      </c>
      <c r="F479" s="22" t="s">
        <v>205</v>
      </c>
      <c r="G479" s="22" t="s">
        <v>206</v>
      </c>
      <c r="I479" s="22">
        <v>201.96</v>
      </c>
      <c r="J479" s="111" t="s">
        <v>12</v>
      </c>
      <c r="L479" s="66" t="str">
        <f t="shared" si="9"/>
        <v>112.2160.100</v>
      </c>
    </row>
    <row r="480" spans="1:12" x14ac:dyDescent="0.2">
      <c r="A480" s="22">
        <v>18781</v>
      </c>
      <c r="B480" s="22" t="s">
        <v>82</v>
      </c>
      <c r="C480" s="22">
        <v>12021021</v>
      </c>
      <c r="D480" s="22" t="s">
        <v>29</v>
      </c>
      <c r="E480" s="22">
        <v>151</v>
      </c>
      <c r="F480" s="22" t="s">
        <v>205</v>
      </c>
      <c r="G480" s="22" t="s">
        <v>206</v>
      </c>
      <c r="I480" s="22">
        <v>513.22</v>
      </c>
      <c r="J480" s="111" t="s">
        <v>12</v>
      </c>
      <c r="L480" s="66" t="str">
        <f t="shared" si="9"/>
        <v>112.2160.100</v>
      </c>
    </row>
    <row r="481" spans="1:12" x14ac:dyDescent="0.2">
      <c r="A481" s="22">
        <v>18687</v>
      </c>
      <c r="B481" s="22" t="s">
        <v>83</v>
      </c>
      <c r="C481" s="22">
        <v>12021021</v>
      </c>
      <c r="D481" s="22" t="s">
        <v>29</v>
      </c>
      <c r="E481" s="22">
        <v>151</v>
      </c>
      <c r="F481" s="22" t="s">
        <v>205</v>
      </c>
      <c r="G481" s="22" t="s">
        <v>206</v>
      </c>
      <c r="I481" s="22">
        <v>226.83</v>
      </c>
      <c r="J481" s="111" t="s">
        <v>12</v>
      </c>
      <c r="L481" s="66" t="str">
        <f t="shared" si="9"/>
        <v>112.2160.100</v>
      </c>
    </row>
    <row r="482" spans="1:12" x14ac:dyDescent="0.2">
      <c r="A482" s="22">
        <v>18967</v>
      </c>
      <c r="B482" s="22" t="s">
        <v>85</v>
      </c>
      <c r="C482" s="22">
        <v>12021021</v>
      </c>
      <c r="D482" s="22" t="s">
        <v>29</v>
      </c>
      <c r="E482" s="22">
        <v>151</v>
      </c>
      <c r="F482" s="22" t="s">
        <v>205</v>
      </c>
      <c r="G482" s="22" t="s">
        <v>206</v>
      </c>
      <c r="I482" s="22">
        <v>256.61</v>
      </c>
      <c r="J482" s="111" t="s">
        <v>12</v>
      </c>
      <c r="L482" s="66" t="str">
        <f t="shared" si="9"/>
        <v>112.2160.100</v>
      </c>
    </row>
    <row r="483" spans="1:12" x14ac:dyDescent="0.2">
      <c r="A483" s="22">
        <v>18894</v>
      </c>
      <c r="B483" s="22" t="s">
        <v>89</v>
      </c>
      <c r="C483" s="22">
        <v>12021021</v>
      </c>
      <c r="D483" s="22" t="s">
        <v>29</v>
      </c>
      <c r="E483" s="22">
        <v>151</v>
      </c>
      <c r="F483" s="22" t="s">
        <v>205</v>
      </c>
      <c r="G483" s="22" t="s">
        <v>206</v>
      </c>
      <c r="I483" s="22">
        <v>201.96</v>
      </c>
      <c r="J483" s="111" t="s">
        <v>12</v>
      </c>
      <c r="L483" s="66" t="str">
        <f t="shared" si="9"/>
        <v>112.2160.100</v>
      </c>
    </row>
    <row r="484" spans="1:12" x14ac:dyDescent="0.2">
      <c r="A484" s="22">
        <v>141</v>
      </c>
      <c r="B484" s="22" t="s">
        <v>185</v>
      </c>
      <c r="C484" s="22">
        <v>12022511</v>
      </c>
      <c r="D484" s="22" t="s">
        <v>32</v>
      </c>
      <c r="E484" s="22">
        <v>151</v>
      </c>
      <c r="F484" s="22" t="s">
        <v>205</v>
      </c>
      <c r="G484" s="22" t="s">
        <v>206</v>
      </c>
      <c r="I484" s="22">
        <v>180.54</v>
      </c>
      <c r="J484" s="111" t="s">
        <v>12</v>
      </c>
      <c r="L484" s="66" t="str">
        <f t="shared" si="9"/>
        <v>112.2160.100</v>
      </c>
    </row>
    <row r="485" spans="1:12" x14ac:dyDescent="0.2">
      <c r="A485" s="22">
        <v>145</v>
      </c>
      <c r="B485" s="22" t="s">
        <v>91</v>
      </c>
      <c r="C485" s="22">
        <v>12022511</v>
      </c>
      <c r="D485" s="22" t="s">
        <v>32</v>
      </c>
      <c r="E485" s="22">
        <v>151</v>
      </c>
      <c r="F485" s="22" t="s">
        <v>205</v>
      </c>
      <c r="G485" s="22" t="s">
        <v>206</v>
      </c>
      <c r="I485" s="22">
        <v>207.41</v>
      </c>
      <c r="J485" s="111" t="s">
        <v>12</v>
      </c>
      <c r="L485" s="66" t="str">
        <f t="shared" si="9"/>
        <v>112.2160.100</v>
      </c>
    </row>
    <row r="486" spans="1:12" x14ac:dyDescent="0.2">
      <c r="A486" s="22">
        <v>19007</v>
      </c>
      <c r="B486" s="22" t="s">
        <v>189</v>
      </c>
      <c r="C486" s="22">
        <v>12023011</v>
      </c>
      <c r="D486" s="22" t="s">
        <v>93</v>
      </c>
      <c r="E486" s="22">
        <v>151</v>
      </c>
      <c r="F486" s="22" t="s">
        <v>205</v>
      </c>
      <c r="G486" s="22" t="s">
        <v>206</v>
      </c>
      <c r="I486" s="22">
        <v>77.39</v>
      </c>
      <c r="J486" s="111" t="s">
        <v>12</v>
      </c>
      <c r="L486" s="66" t="str">
        <f t="shared" si="9"/>
        <v>112.2160.100</v>
      </c>
    </row>
    <row r="487" spans="1:12" x14ac:dyDescent="0.2">
      <c r="A487" s="22">
        <v>18581</v>
      </c>
      <c r="B487" s="22" t="s">
        <v>190</v>
      </c>
      <c r="C487" s="22">
        <v>12024021</v>
      </c>
      <c r="D487" s="22" t="s">
        <v>191</v>
      </c>
      <c r="E487" s="22">
        <v>151</v>
      </c>
      <c r="F487" s="22" t="s">
        <v>205</v>
      </c>
      <c r="G487" s="22" t="s">
        <v>206</v>
      </c>
      <c r="I487" s="22">
        <v>316.26</v>
      </c>
      <c r="J487" s="111" t="s">
        <v>12</v>
      </c>
      <c r="L487" s="66" t="str">
        <f t="shared" si="9"/>
        <v>112.2160.100</v>
      </c>
    </row>
    <row r="488" spans="1:12" x14ac:dyDescent="0.2">
      <c r="A488" s="22">
        <v>18979</v>
      </c>
      <c r="B488" s="22" t="s">
        <v>39</v>
      </c>
      <c r="C488" s="22">
        <v>12030611</v>
      </c>
      <c r="D488" s="22" t="s">
        <v>36</v>
      </c>
      <c r="E488" s="22">
        <v>151</v>
      </c>
      <c r="F488" s="22" t="s">
        <v>205</v>
      </c>
      <c r="G488" s="22" t="s">
        <v>206</v>
      </c>
      <c r="I488" s="22">
        <v>174.78</v>
      </c>
      <c r="J488" s="111" t="s">
        <v>12</v>
      </c>
      <c r="L488" s="66" t="str">
        <f t="shared" si="9"/>
        <v>112.2160.100</v>
      </c>
    </row>
    <row r="489" spans="1:12" x14ac:dyDescent="0.2">
      <c r="A489" s="22">
        <v>18822</v>
      </c>
      <c r="B489" s="22" t="s">
        <v>103</v>
      </c>
      <c r="C489" s="22">
        <v>12030611</v>
      </c>
      <c r="D489" s="22" t="s">
        <v>36</v>
      </c>
      <c r="E489" s="22">
        <v>151</v>
      </c>
      <c r="F489" s="22" t="s">
        <v>205</v>
      </c>
      <c r="G489" s="22" t="s">
        <v>206</v>
      </c>
      <c r="I489" s="22">
        <v>196.05</v>
      </c>
      <c r="J489" s="111" t="s">
        <v>12</v>
      </c>
      <c r="L489" s="66" t="str">
        <f t="shared" si="9"/>
        <v>112.2160.100</v>
      </c>
    </row>
    <row r="490" spans="1:12" x14ac:dyDescent="0.2">
      <c r="A490" s="22">
        <v>18923</v>
      </c>
      <c r="B490" s="22" t="s">
        <v>46</v>
      </c>
      <c r="C490" s="22">
        <v>12033011</v>
      </c>
      <c r="D490" s="22" t="s">
        <v>45</v>
      </c>
      <c r="E490" s="22">
        <v>151</v>
      </c>
      <c r="F490" s="22" t="s">
        <v>205</v>
      </c>
      <c r="G490" s="22" t="s">
        <v>206</v>
      </c>
      <c r="I490" s="22">
        <v>524.34</v>
      </c>
      <c r="J490" s="111" t="s">
        <v>12</v>
      </c>
      <c r="L490" s="66" t="str">
        <f t="shared" si="9"/>
        <v>112.2160.100</v>
      </c>
    </row>
    <row r="491" spans="1:12" x14ac:dyDescent="0.2">
      <c r="A491" s="22">
        <v>18607</v>
      </c>
      <c r="B491" s="22" t="s">
        <v>109</v>
      </c>
      <c r="C491" s="22">
        <v>12033011</v>
      </c>
      <c r="D491" s="22" t="s">
        <v>45</v>
      </c>
      <c r="E491" s="22">
        <v>151</v>
      </c>
      <c r="F491" s="22" t="s">
        <v>205</v>
      </c>
      <c r="G491" s="22" t="s">
        <v>206</v>
      </c>
      <c r="I491" s="22">
        <v>889.48</v>
      </c>
      <c r="J491" s="111" t="s">
        <v>12</v>
      </c>
      <c r="L491" s="66" t="str">
        <f t="shared" si="9"/>
        <v>112.2160.100</v>
      </c>
    </row>
    <row r="492" spans="1:12" x14ac:dyDescent="0.2">
      <c r="A492" s="22">
        <v>19019</v>
      </c>
      <c r="B492" s="22" t="s">
        <v>108</v>
      </c>
      <c r="C492" s="22">
        <v>12033011</v>
      </c>
      <c r="D492" s="22" t="s">
        <v>45</v>
      </c>
      <c r="E492" s="22">
        <v>151</v>
      </c>
      <c r="F492" s="22" t="s">
        <v>205</v>
      </c>
      <c r="G492" s="22" t="s">
        <v>206</v>
      </c>
      <c r="I492" s="22">
        <v>180.54</v>
      </c>
      <c r="J492" s="111" t="s">
        <v>12</v>
      </c>
      <c r="L492" s="66" t="str">
        <f t="shared" si="9"/>
        <v>112.2160.100</v>
      </c>
    </row>
    <row r="493" spans="1:12" x14ac:dyDescent="0.2">
      <c r="A493" s="22">
        <v>18650</v>
      </c>
      <c r="B493" s="22" t="s">
        <v>49</v>
      </c>
      <c r="C493" s="22">
        <v>12042511</v>
      </c>
      <c r="D493" s="22" t="s">
        <v>50</v>
      </c>
      <c r="E493" s="22">
        <v>151</v>
      </c>
      <c r="F493" s="22" t="s">
        <v>205</v>
      </c>
      <c r="G493" s="22" t="s">
        <v>206</v>
      </c>
      <c r="I493" s="22">
        <v>697.53</v>
      </c>
      <c r="J493" s="111" t="s">
        <v>12</v>
      </c>
      <c r="L493" s="66" t="str">
        <f t="shared" si="9"/>
        <v>112.2160.100</v>
      </c>
    </row>
    <row r="494" spans="1:12" x14ac:dyDescent="0.2">
      <c r="A494" s="22">
        <v>18703</v>
      </c>
      <c r="B494" s="22" t="s">
        <v>126</v>
      </c>
      <c r="C494" s="22">
        <v>12043011</v>
      </c>
      <c r="D494" s="22" t="s">
        <v>52</v>
      </c>
      <c r="E494" s="22">
        <v>151</v>
      </c>
      <c r="F494" s="22" t="s">
        <v>205</v>
      </c>
      <c r="G494" s="22" t="s">
        <v>206</v>
      </c>
      <c r="I494" s="22">
        <v>480.52</v>
      </c>
      <c r="J494" s="111" t="s">
        <v>12</v>
      </c>
      <c r="L494" s="66" t="str">
        <f t="shared" si="9"/>
        <v>112.2160.100</v>
      </c>
    </row>
    <row r="495" spans="1:12" x14ac:dyDescent="0.2">
      <c r="A495" s="22">
        <v>18924</v>
      </c>
      <c r="B495" s="22" t="s">
        <v>121</v>
      </c>
      <c r="C495" s="22">
        <v>12043011</v>
      </c>
      <c r="D495" s="22" t="s">
        <v>52</v>
      </c>
      <c r="E495" s="22">
        <v>151</v>
      </c>
      <c r="F495" s="22" t="s">
        <v>205</v>
      </c>
      <c r="G495" s="22" t="s">
        <v>206</v>
      </c>
      <c r="I495" s="22">
        <v>361.08</v>
      </c>
      <c r="J495" s="111" t="s">
        <v>12</v>
      </c>
      <c r="L495" s="66" t="str">
        <f t="shared" si="9"/>
        <v>112.2160.100</v>
      </c>
    </row>
    <row r="496" spans="1:12" x14ac:dyDescent="0.2">
      <c r="A496" s="22">
        <v>18927</v>
      </c>
      <c r="B496" s="22" t="s">
        <v>55</v>
      </c>
      <c r="C496" s="22">
        <v>12060611</v>
      </c>
      <c r="D496" s="22" t="s">
        <v>54</v>
      </c>
      <c r="E496" s="22">
        <v>151</v>
      </c>
      <c r="F496" s="22" t="s">
        <v>205</v>
      </c>
      <c r="G496" s="22" t="s">
        <v>206</v>
      </c>
      <c r="I496" s="22">
        <v>103.18</v>
      </c>
      <c r="J496" s="111" t="s">
        <v>12</v>
      </c>
      <c r="L496" s="66" t="str">
        <f t="shared" si="9"/>
        <v>112.2160.100</v>
      </c>
    </row>
    <row r="497" spans="1:12" x14ac:dyDescent="0.2">
      <c r="A497" s="22">
        <v>18791</v>
      </c>
      <c r="B497" s="22" t="s">
        <v>132</v>
      </c>
      <c r="C497" s="22">
        <v>12060711</v>
      </c>
      <c r="D497" s="22" t="s">
        <v>133</v>
      </c>
      <c r="E497" s="22">
        <v>151</v>
      </c>
      <c r="F497" s="22" t="s">
        <v>205</v>
      </c>
      <c r="G497" s="22" t="s">
        <v>206</v>
      </c>
      <c r="I497" s="22">
        <v>240.26</v>
      </c>
      <c r="J497" s="111" t="s">
        <v>12</v>
      </c>
      <c r="L497" s="66" t="str">
        <f t="shared" si="9"/>
        <v>112.2160.100</v>
      </c>
    </row>
    <row r="498" spans="1:12" x14ac:dyDescent="0.2">
      <c r="A498" s="22">
        <v>18953</v>
      </c>
      <c r="B498" s="22" t="s">
        <v>136</v>
      </c>
      <c r="C498" s="22">
        <v>12060800</v>
      </c>
      <c r="D498" s="22" t="s">
        <v>135</v>
      </c>
      <c r="E498" s="22">
        <v>151</v>
      </c>
      <c r="F498" s="22" t="s">
        <v>205</v>
      </c>
      <c r="G498" s="22" t="s">
        <v>206</v>
      </c>
      <c r="I498" s="22">
        <v>541.62</v>
      </c>
      <c r="J498" s="111" t="s">
        <v>12</v>
      </c>
      <c r="L498" s="66" t="str">
        <f t="shared" si="9"/>
        <v>112.2160.100</v>
      </c>
    </row>
    <row r="499" spans="1:12" x14ac:dyDescent="0.2">
      <c r="A499" s="22">
        <v>18792</v>
      </c>
      <c r="B499" s="22" t="s">
        <v>56</v>
      </c>
      <c r="C499" s="22">
        <v>12062511</v>
      </c>
      <c r="D499" s="22" t="s">
        <v>57</v>
      </c>
      <c r="E499" s="22">
        <v>151</v>
      </c>
      <c r="F499" s="22" t="s">
        <v>205</v>
      </c>
      <c r="G499" s="22" t="s">
        <v>206</v>
      </c>
      <c r="I499" s="22">
        <v>196.05</v>
      </c>
      <c r="J499" s="111" t="s">
        <v>12</v>
      </c>
      <c r="L499" s="66" t="str">
        <f t="shared" si="9"/>
        <v>112.2160.100</v>
      </c>
    </row>
    <row r="500" spans="1:12" x14ac:dyDescent="0.2">
      <c r="A500" s="22">
        <v>18726</v>
      </c>
      <c r="B500" s="22" t="s">
        <v>162</v>
      </c>
      <c r="C500" s="22">
        <v>12010500</v>
      </c>
      <c r="D500" s="22" t="s">
        <v>60</v>
      </c>
      <c r="E500" s="22">
        <v>235</v>
      </c>
      <c r="F500" s="22" t="s">
        <v>207</v>
      </c>
      <c r="G500" s="22">
        <v>112.215</v>
      </c>
      <c r="I500" s="22">
        <v>2358</v>
      </c>
      <c r="J500" s="111" t="s">
        <v>12</v>
      </c>
      <c r="L500" s="66">
        <f t="shared" si="9"/>
        <v>112.215</v>
      </c>
    </row>
    <row r="501" spans="1:12" x14ac:dyDescent="0.2">
      <c r="A501" s="22">
        <v>18871</v>
      </c>
      <c r="B501" s="22" t="s">
        <v>168</v>
      </c>
      <c r="C501" s="22">
        <v>12010500</v>
      </c>
      <c r="D501" s="22" t="s">
        <v>60</v>
      </c>
      <c r="E501" s="22">
        <v>235</v>
      </c>
      <c r="F501" s="22" t="s">
        <v>207</v>
      </c>
      <c r="G501" s="22">
        <v>112.215</v>
      </c>
      <c r="I501" s="22">
        <v>1094</v>
      </c>
      <c r="J501" s="111" t="s">
        <v>12</v>
      </c>
      <c r="L501" s="66">
        <f t="shared" si="9"/>
        <v>112.215</v>
      </c>
    </row>
    <row r="502" spans="1:12" x14ac:dyDescent="0.2">
      <c r="A502" s="22">
        <v>18517</v>
      </c>
      <c r="B502" s="22" t="s">
        <v>140</v>
      </c>
      <c r="C502" s="22">
        <v>12010500</v>
      </c>
      <c r="D502" s="22" t="s">
        <v>60</v>
      </c>
      <c r="E502" s="22">
        <v>235</v>
      </c>
      <c r="F502" s="22" t="s">
        <v>207</v>
      </c>
      <c r="G502" s="22">
        <v>112.215</v>
      </c>
      <c r="I502" s="22">
        <v>1618</v>
      </c>
      <c r="J502" s="111" t="s">
        <v>12</v>
      </c>
      <c r="L502" s="66">
        <f t="shared" si="9"/>
        <v>112.215</v>
      </c>
    </row>
    <row r="503" spans="1:12" x14ac:dyDescent="0.2">
      <c r="A503" s="22">
        <v>18647</v>
      </c>
      <c r="B503" s="22" t="s">
        <v>167</v>
      </c>
      <c r="C503" s="22">
        <v>12010500</v>
      </c>
      <c r="D503" s="22" t="s">
        <v>60</v>
      </c>
      <c r="E503" s="22">
        <v>235</v>
      </c>
      <c r="F503" s="22" t="s">
        <v>207</v>
      </c>
      <c r="G503" s="22">
        <v>112.215</v>
      </c>
      <c r="I503" s="22">
        <v>1072</v>
      </c>
      <c r="J503" s="111" t="s">
        <v>12</v>
      </c>
      <c r="L503" s="66">
        <f t="shared" si="9"/>
        <v>112.215</v>
      </c>
    </row>
    <row r="504" spans="1:12" x14ac:dyDescent="0.2">
      <c r="A504" s="22">
        <v>152</v>
      </c>
      <c r="B504" s="22" t="s">
        <v>169</v>
      </c>
      <c r="C504" s="22">
        <v>12010700</v>
      </c>
      <c r="D504" s="22" t="s">
        <v>170</v>
      </c>
      <c r="E504" s="22">
        <v>235</v>
      </c>
      <c r="F504" s="22" t="s">
        <v>207</v>
      </c>
      <c r="G504" s="22">
        <v>112.215</v>
      </c>
      <c r="I504" s="22">
        <v>962</v>
      </c>
      <c r="J504" s="111" t="s">
        <v>12</v>
      </c>
      <c r="L504" s="66">
        <f t="shared" si="9"/>
        <v>112.215</v>
      </c>
    </row>
    <row r="505" spans="1:12" x14ac:dyDescent="0.2">
      <c r="A505" s="22">
        <v>18736</v>
      </c>
      <c r="B505" s="22" t="s">
        <v>70</v>
      </c>
      <c r="C505" s="22">
        <v>12013012</v>
      </c>
      <c r="D505" s="22" t="s">
        <v>71</v>
      </c>
      <c r="E505" s="22">
        <v>235</v>
      </c>
      <c r="F505" s="22" t="s">
        <v>207</v>
      </c>
      <c r="G505" s="22">
        <v>112.215</v>
      </c>
      <c r="I505" s="22">
        <v>194.5</v>
      </c>
      <c r="J505" s="111" t="s">
        <v>12</v>
      </c>
      <c r="L505" s="66">
        <f t="shared" si="9"/>
        <v>112.215</v>
      </c>
    </row>
    <row r="506" spans="1:12" x14ac:dyDescent="0.2">
      <c r="A506" s="22">
        <v>19014</v>
      </c>
      <c r="B506" s="22" t="s">
        <v>171</v>
      </c>
      <c r="C506" s="22">
        <v>12013012</v>
      </c>
      <c r="D506" s="22" t="s">
        <v>71</v>
      </c>
      <c r="E506" s="22">
        <v>235</v>
      </c>
      <c r="F506" s="22" t="s">
        <v>207</v>
      </c>
      <c r="G506" s="22">
        <v>112.215</v>
      </c>
      <c r="I506" s="22">
        <v>574</v>
      </c>
      <c r="J506" s="111" t="s">
        <v>12</v>
      </c>
      <c r="L506" s="66">
        <f t="shared" si="9"/>
        <v>112.215</v>
      </c>
    </row>
    <row r="507" spans="1:12" x14ac:dyDescent="0.2">
      <c r="A507" s="22">
        <v>18987</v>
      </c>
      <c r="B507" s="22" t="s">
        <v>173</v>
      </c>
      <c r="C507" s="22">
        <v>12013250</v>
      </c>
      <c r="D507" s="22" t="s">
        <v>10</v>
      </c>
      <c r="E507" s="22">
        <v>235</v>
      </c>
      <c r="F507" s="22" t="s">
        <v>207</v>
      </c>
      <c r="G507" s="22">
        <v>112.215</v>
      </c>
      <c r="I507" s="22">
        <v>696</v>
      </c>
      <c r="J507" s="111" t="s">
        <v>12</v>
      </c>
      <c r="L507" s="66">
        <f t="shared" si="9"/>
        <v>112.215</v>
      </c>
    </row>
    <row r="508" spans="1:12" x14ac:dyDescent="0.2">
      <c r="A508" s="22">
        <v>18721</v>
      </c>
      <c r="B508" s="22" t="s">
        <v>172</v>
      </c>
      <c r="C508" s="22">
        <v>12013250</v>
      </c>
      <c r="D508" s="22" t="s">
        <v>10</v>
      </c>
      <c r="E508" s="22">
        <v>235</v>
      </c>
      <c r="F508" s="22" t="s">
        <v>207</v>
      </c>
      <c r="G508" s="22">
        <v>112.215</v>
      </c>
      <c r="I508" s="22">
        <v>604</v>
      </c>
      <c r="J508" s="111" t="s">
        <v>12</v>
      </c>
      <c r="L508" s="66">
        <f t="shared" si="9"/>
        <v>112.215</v>
      </c>
    </row>
    <row r="509" spans="1:12" x14ac:dyDescent="0.2">
      <c r="A509" s="22">
        <v>18988</v>
      </c>
      <c r="B509" s="22" t="s">
        <v>175</v>
      </c>
      <c r="C509" s="22">
        <v>12013250</v>
      </c>
      <c r="D509" s="22" t="s">
        <v>10</v>
      </c>
      <c r="E509" s="22">
        <v>235</v>
      </c>
      <c r="F509" s="22" t="s">
        <v>207</v>
      </c>
      <c r="G509" s="22">
        <v>112.215</v>
      </c>
      <c r="I509" s="22">
        <v>564</v>
      </c>
      <c r="J509" s="111" t="s">
        <v>12</v>
      </c>
      <c r="L509" s="66">
        <f t="shared" si="9"/>
        <v>112.215</v>
      </c>
    </row>
    <row r="510" spans="1:12" x14ac:dyDescent="0.2">
      <c r="A510" s="22">
        <v>18995</v>
      </c>
      <c r="B510" s="22" t="s">
        <v>174</v>
      </c>
      <c r="C510" s="22">
        <v>12013250</v>
      </c>
      <c r="D510" s="22" t="s">
        <v>10</v>
      </c>
      <c r="E510" s="22">
        <v>235</v>
      </c>
      <c r="F510" s="22" t="s">
        <v>207</v>
      </c>
      <c r="G510" s="22">
        <v>112.215</v>
      </c>
      <c r="I510" s="22">
        <v>430</v>
      </c>
      <c r="J510" s="111" t="s">
        <v>12</v>
      </c>
      <c r="L510" s="66">
        <f t="shared" si="9"/>
        <v>112.215</v>
      </c>
    </row>
    <row r="511" spans="1:12" x14ac:dyDescent="0.2">
      <c r="A511" s="22">
        <v>18946</v>
      </c>
      <c r="B511" s="22" t="s">
        <v>13</v>
      </c>
      <c r="C511" s="22">
        <v>12013250</v>
      </c>
      <c r="D511" s="22" t="s">
        <v>10</v>
      </c>
      <c r="E511" s="22">
        <v>235</v>
      </c>
      <c r="F511" s="22" t="s">
        <v>207</v>
      </c>
      <c r="G511" s="22">
        <v>112.215</v>
      </c>
      <c r="I511" s="22">
        <v>364</v>
      </c>
      <c r="J511" s="111" t="s">
        <v>12</v>
      </c>
      <c r="L511" s="66">
        <f t="shared" si="9"/>
        <v>112.215</v>
      </c>
    </row>
    <row r="512" spans="1:12" x14ac:dyDescent="0.2">
      <c r="A512" s="22">
        <v>18920</v>
      </c>
      <c r="B512" s="22" t="s">
        <v>9</v>
      </c>
      <c r="C512" s="22">
        <v>12013250</v>
      </c>
      <c r="D512" s="22" t="s">
        <v>10</v>
      </c>
      <c r="E512" s="22">
        <v>235</v>
      </c>
      <c r="F512" s="22" t="s">
        <v>207</v>
      </c>
      <c r="G512" s="22">
        <v>112.215</v>
      </c>
      <c r="I512" s="22">
        <v>1556</v>
      </c>
      <c r="J512" s="111" t="s">
        <v>12</v>
      </c>
      <c r="L512" s="66">
        <f t="shared" si="9"/>
        <v>112.215</v>
      </c>
    </row>
    <row r="513" spans="1:12" x14ac:dyDescent="0.2">
      <c r="A513" s="22">
        <v>220</v>
      </c>
      <c r="B513" s="22" t="s">
        <v>14</v>
      </c>
      <c r="C513" s="22">
        <v>12013300</v>
      </c>
      <c r="D513" s="22" t="s">
        <v>15</v>
      </c>
      <c r="E513" s="22">
        <v>235</v>
      </c>
      <c r="F513" s="22" t="s">
        <v>207</v>
      </c>
      <c r="G513" s="22">
        <v>112.215</v>
      </c>
      <c r="I513" s="22">
        <v>770</v>
      </c>
      <c r="J513" s="111" t="s">
        <v>12</v>
      </c>
      <c r="L513" s="66">
        <f t="shared" si="9"/>
        <v>112.215</v>
      </c>
    </row>
    <row r="514" spans="1:12" x14ac:dyDescent="0.2">
      <c r="A514" s="22">
        <v>18948</v>
      </c>
      <c r="B514" s="22" t="s">
        <v>142</v>
      </c>
      <c r="C514" s="22">
        <v>12018099</v>
      </c>
      <c r="D514" s="22" t="s">
        <v>17</v>
      </c>
      <c r="E514" s="22">
        <v>235</v>
      </c>
      <c r="F514" s="22" t="s">
        <v>207</v>
      </c>
      <c r="G514" s="22">
        <v>112.215</v>
      </c>
      <c r="I514" s="22">
        <v>776</v>
      </c>
      <c r="J514" s="111" t="s">
        <v>12</v>
      </c>
      <c r="L514" s="66">
        <f t="shared" si="9"/>
        <v>112.215</v>
      </c>
    </row>
    <row r="515" spans="1:12" x14ac:dyDescent="0.2">
      <c r="A515" s="22">
        <v>18716</v>
      </c>
      <c r="B515" s="22" t="s">
        <v>16</v>
      </c>
      <c r="C515" s="22">
        <v>12018099</v>
      </c>
      <c r="D515" s="22" t="s">
        <v>17</v>
      </c>
      <c r="E515" s="22">
        <v>235</v>
      </c>
      <c r="F515" s="22" t="s">
        <v>207</v>
      </c>
      <c r="G515" s="22">
        <v>112.215</v>
      </c>
      <c r="I515" s="22">
        <v>1798</v>
      </c>
      <c r="J515" s="111" t="s">
        <v>12</v>
      </c>
      <c r="L515" s="66">
        <f t="shared" si="9"/>
        <v>112.215</v>
      </c>
    </row>
    <row r="516" spans="1:12" x14ac:dyDescent="0.2">
      <c r="A516" s="22">
        <v>18969</v>
      </c>
      <c r="B516" s="22" t="s">
        <v>143</v>
      </c>
      <c r="C516" s="22">
        <v>12018599</v>
      </c>
      <c r="D516" s="22" t="s">
        <v>144</v>
      </c>
      <c r="E516" s="22">
        <v>235</v>
      </c>
      <c r="F516" s="22" t="s">
        <v>207</v>
      </c>
      <c r="G516" s="22">
        <v>112.215</v>
      </c>
      <c r="I516" s="22">
        <v>1618</v>
      </c>
      <c r="J516" s="111" t="s">
        <v>12</v>
      </c>
      <c r="L516" s="66">
        <f t="shared" si="9"/>
        <v>112.215</v>
      </c>
    </row>
    <row r="517" spans="1:12" x14ac:dyDescent="0.2">
      <c r="A517" s="22">
        <v>18862</v>
      </c>
      <c r="B517" s="22" t="s">
        <v>145</v>
      </c>
      <c r="C517" s="22">
        <v>12018599</v>
      </c>
      <c r="D517" s="22" t="s">
        <v>144</v>
      </c>
      <c r="E517" s="22">
        <v>235</v>
      </c>
      <c r="F517" s="22" t="s">
        <v>207</v>
      </c>
      <c r="G517" s="22">
        <v>112.215</v>
      </c>
      <c r="I517" s="22">
        <v>630</v>
      </c>
      <c r="J517" s="111" t="s">
        <v>12</v>
      </c>
      <c r="L517" s="66">
        <f t="shared" si="9"/>
        <v>112.215</v>
      </c>
    </row>
    <row r="518" spans="1:12" x14ac:dyDescent="0.2">
      <c r="A518" s="22">
        <v>18886</v>
      </c>
      <c r="B518" s="22" t="s">
        <v>18</v>
      </c>
      <c r="C518" s="22">
        <v>12019099</v>
      </c>
      <c r="D518" s="22" t="s">
        <v>19</v>
      </c>
      <c r="E518" s="22">
        <v>235</v>
      </c>
      <c r="F518" s="22" t="s">
        <v>207</v>
      </c>
      <c r="G518" s="22">
        <v>112.215</v>
      </c>
      <c r="I518" s="22">
        <v>2710</v>
      </c>
      <c r="J518" s="111" t="s">
        <v>12</v>
      </c>
      <c r="L518" s="66">
        <f t="shared" si="9"/>
        <v>112.215</v>
      </c>
    </row>
    <row r="519" spans="1:12" x14ac:dyDescent="0.2">
      <c r="A519" s="22">
        <v>18968</v>
      </c>
      <c r="B519" s="22" t="s">
        <v>164</v>
      </c>
      <c r="C519" s="22">
        <v>12019199</v>
      </c>
      <c r="D519" s="22" t="s">
        <v>147</v>
      </c>
      <c r="E519" s="22">
        <v>235</v>
      </c>
      <c r="F519" s="22" t="s">
        <v>207</v>
      </c>
      <c r="G519" s="22">
        <v>112.215</v>
      </c>
      <c r="I519" s="22">
        <v>526</v>
      </c>
      <c r="J519" s="111" t="s">
        <v>12</v>
      </c>
      <c r="L519" s="66">
        <f t="shared" si="9"/>
        <v>112.215</v>
      </c>
    </row>
    <row r="520" spans="1:12" x14ac:dyDescent="0.2">
      <c r="A520" s="22">
        <v>19003</v>
      </c>
      <c r="B520" s="22" t="s">
        <v>388</v>
      </c>
      <c r="C520" s="22">
        <v>12019199</v>
      </c>
      <c r="D520" s="22" t="s">
        <v>147</v>
      </c>
      <c r="E520" s="22">
        <v>235</v>
      </c>
      <c r="F520" s="22" t="s">
        <v>207</v>
      </c>
      <c r="G520" s="22">
        <v>112.215</v>
      </c>
      <c r="I520" s="22">
        <v>710</v>
      </c>
      <c r="J520" s="111" t="s">
        <v>12</v>
      </c>
      <c r="L520" s="66">
        <f t="shared" si="9"/>
        <v>112.215</v>
      </c>
    </row>
    <row r="521" spans="1:12" x14ac:dyDescent="0.2">
      <c r="A521" s="22">
        <v>18550</v>
      </c>
      <c r="B521" s="22" t="s">
        <v>165</v>
      </c>
      <c r="C521" s="22">
        <v>12019199</v>
      </c>
      <c r="D521" s="22" t="s">
        <v>147</v>
      </c>
      <c r="E521" s="22">
        <v>235</v>
      </c>
      <c r="F521" s="22" t="s">
        <v>207</v>
      </c>
      <c r="G521" s="22">
        <v>112.215</v>
      </c>
      <c r="I521" s="22">
        <v>258</v>
      </c>
      <c r="J521" s="111" t="s">
        <v>12</v>
      </c>
      <c r="L521" s="66">
        <f t="shared" si="9"/>
        <v>112.215</v>
      </c>
    </row>
    <row r="522" spans="1:12" x14ac:dyDescent="0.2">
      <c r="A522" s="22">
        <v>18853</v>
      </c>
      <c r="B522" s="22" t="s">
        <v>146</v>
      </c>
      <c r="C522" s="22">
        <v>12019199</v>
      </c>
      <c r="D522" s="22" t="s">
        <v>147</v>
      </c>
      <c r="E522" s="22">
        <v>235</v>
      </c>
      <c r="F522" s="22" t="s">
        <v>207</v>
      </c>
      <c r="G522" s="22">
        <v>112.215</v>
      </c>
      <c r="I522" s="22">
        <v>2232</v>
      </c>
      <c r="J522" s="111" t="s">
        <v>12</v>
      </c>
      <c r="L522" s="66">
        <f t="shared" si="9"/>
        <v>112.215</v>
      </c>
    </row>
    <row r="523" spans="1:12" x14ac:dyDescent="0.2">
      <c r="A523" s="22">
        <v>19025</v>
      </c>
      <c r="B523" s="22" t="s">
        <v>180</v>
      </c>
      <c r="C523" s="22">
        <v>12019199</v>
      </c>
      <c r="D523" s="22" t="s">
        <v>147</v>
      </c>
      <c r="E523" s="22">
        <v>235</v>
      </c>
      <c r="F523" s="22" t="s">
        <v>207</v>
      </c>
      <c r="G523" s="22">
        <v>112.215</v>
      </c>
      <c r="I523" s="22">
        <v>498</v>
      </c>
      <c r="J523" s="111" t="s">
        <v>12</v>
      </c>
      <c r="L523" s="66">
        <f t="shared" si="9"/>
        <v>112.215</v>
      </c>
    </row>
    <row r="524" spans="1:12" x14ac:dyDescent="0.2">
      <c r="A524" s="22">
        <v>18741</v>
      </c>
      <c r="B524" s="22" t="s">
        <v>179</v>
      </c>
      <c r="C524" s="22">
        <v>12019199</v>
      </c>
      <c r="D524" s="22" t="s">
        <v>147</v>
      </c>
      <c r="E524" s="22">
        <v>235</v>
      </c>
      <c r="F524" s="22" t="s">
        <v>207</v>
      </c>
      <c r="G524" s="22">
        <v>112.215</v>
      </c>
      <c r="I524" s="22">
        <v>762</v>
      </c>
      <c r="J524" s="111" t="s">
        <v>12</v>
      </c>
      <c r="L524" s="66">
        <f t="shared" si="9"/>
        <v>112.215</v>
      </c>
    </row>
    <row r="525" spans="1:12" x14ac:dyDescent="0.2">
      <c r="A525" s="22">
        <v>19022</v>
      </c>
      <c r="B525" s="22" t="s">
        <v>113</v>
      </c>
      <c r="C525" s="22">
        <v>12019199</v>
      </c>
      <c r="D525" s="22" t="s">
        <v>147</v>
      </c>
      <c r="E525" s="22">
        <v>235</v>
      </c>
      <c r="F525" s="22" t="s">
        <v>207</v>
      </c>
      <c r="G525" s="22">
        <v>112.215</v>
      </c>
      <c r="I525" s="22">
        <v>362</v>
      </c>
      <c r="J525" s="111" t="s">
        <v>12</v>
      </c>
      <c r="L525" s="66">
        <f t="shared" si="9"/>
        <v>112.215</v>
      </c>
    </row>
    <row r="526" spans="1:12" x14ac:dyDescent="0.2">
      <c r="A526" s="22">
        <v>18619</v>
      </c>
      <c r="B526" s="22" t="s">
        <v>20</v>
      </c>
      <c r="C526" s="22">
        <v>12020400</v>
      </c>
      <c r="D526" s="22" t="s">
        <v>21</v>
      </c>
      <c r="E526" s="22">
        <v>235</v>
      </c>
      <c r="F526" s="22" t="s">
        <v>207</v>
      </c>
      <c r="G526" s="22">
        <v>112.215</v>
      </c>
      <c r="I526" s="22">
        <v>510</v>
      </c>
      <c r="J526" s="111" t="s">
        <v>12</v>
      </c>
      <c r="L526" s="66">
        <f t="shared" si="9"/>
        <v>112.215</v>
      </c>
    </row>
    <row r="527" spans="1:12" x14ac:dyDescent="0.2">
      <c r="A527" s="22">
        <v>18836</v>
      </c>
      <c r="B527" s="22" t="s">
        <v>182</v>
      </c>
      <c r="C527" s="22">
        <v>12020400</v>
      </c>
      <c r="D527" s="22" t="s">
        <v>21</v>
      </c>
      <c r="E527" s="22">
        <v>235</v>
      </c>
      <c r="F527" s="22" t="s">
        <v>207</v>
      </c>
      <c r="G527" s="22">
        <v>112.215</v>
      </c>
      <c r="I527" s="22">
        <v>610</v>
      </c>
      <c r="J527" s="111" t="s">
        <v>12</v>
      </c>
      <c r="L527" s="66">
        <f t="shared" si="9"/>
        <v>112.215</v>
      </c>
    </row>
    <row r="528" spans="1:12" x14ac:dyDescent="0.2">
      <c r="A528" s="22">
        <v>19040</v>
      </c>
      <c r="B528" s="22" t="s">
        <v>453</v>
      </c>
      <c r="C528" s="22">
        <v>12020500</v>
      </c>
      <c r="D528" s="22" t="s">
        <v>454</v>
      </c>
      <c r="E528" s="22">
        <v>235</v>
      </c>
      <c r="F528" s="22" t="s">
        <v>207</v>
      </c>
      <c r="G528" s="22">
        <v>112.215</v>
      </c>
      <c r="I528" s="22">
        <v>128</v>
      </c>
      <c r="J528" s="111" t="s">
        <v>12</v>
      </c>
      <c r="L528" s="66">
        <f t="shared" si="9"/>
        <v>112.215</v>
      </c>
    </row>
    <row r="529" spans="1:12" x14ac:dyDescent="0.2">
      <c r="A529" s="22">
        <v>18893</v>
      </c>
      <c r="B529" s="22" t="s">
        <v>444</v>
      </c>
      <c r="C529" s="22">
        <v>12020500</v>
      </c>
      <c r="D529" s="22" t="s">
        <v>454</v>
      </c>
      <c r="E529" s="22">
        <v>235</v>
      </c>
      <c r="F529" s="22" t="s">
        <v>207</v>
      </c>
      <c r="G529" s="22">
        <v>112.215</v>
      </c>
      <c r="I529" s="22">
        <v>130</v>
      </c>
      <c r="J529" s="111" t="s">
        <v>12</v>
      </c>
      <c r="L529" s="66">
        <f t="shared" si="9"/>
        <v>112.215</v>
      </c>
    </row>
    <row r="530" spans="1:12" x14ac:dyDescent="0.2">
      <c r="A530" s="22">
        <v>18589</v>
      </c>
      <c r="B530" s="22" t="s">
        <v>75</v>
      </c>
      <c r="C530" s="22">
        <v>12020611</v>
      </c>
      <c r="D530" s="22" t="s">
        <v>23</v>
      </c>
      <c r="E530" s="22">
        <v>235</v>
      </c>
      <c r="F530" s="22" t="s">
        <v>207</v>
      </c>
      <c r="G530" s="22">
        <v>112.215</v>
      </c>
      <c r="I530" s="22">
        <v>672</v>
      </c>
      <c r="J530" s="111" t="s">
        <v>12</v>
      </c>
      <c r="L530" s="66">
        <f t="shared" si="9"/>
        <v>112.215</v>
      </c>
    </row>
    <row r="531" spans="1:12" x14ac:dyDescent="0.2">
      <c r="A531" s="22">
        <v>18903</v>
      </c>
      <c r="B531" s="22" t="s">
        <v>73</v>
      </c>
      <c r="C531" s="22">
        <v>12020611</v>
      </c>
      <c r="D531" s="22" t="s">
        <v>23</v>
      </c>
      <c r="E531" s="22">
        <v>235</v>
      </c>
      <c r="F531" s="22" t="s">
        <v>207</v>
      </c>
      <c r="G531" s="22">
        <v>112.215</v>
      </c>
      <c r="I531" s="22">
        <v>442</v>
      </c>
      <c r="J531" s="111" t="s">
        <v>12</v>
      </c>
      <c r="L531" s="66">
        <f t="shared" si="9"/>
        <v>112.215</v>
      </c>
    </row>
    <row r="532" spans="1:12" x14ac:dyDescent="0.2">
      <c r="A532" s="22">
        <v>18957</v>
      </c>
      <c r="B532" s="22" t="s">
        <v>74</v>
      </c>
      <c r="C532" s="22">
        <v>12020611</v>
      </c>
      <c r="D532" s="22" t="s">
        <v>23</v>
      </c>
      <c r="E532" s="22">
        <v>235</v>
      </c>
      <c r="F532" s="22" t="s">
        <v>207</v>
      </c>
      <c r="G532" s="22">
        <v>112.215</v>
      </c>
      <c r="I532" s="22">
        <v>256</v>
      </c>
      <c r="J532" s="111" t="s">
        <v>12</v>
      </c>
      <c r="L532" s="66">
        <f t="shared" si="9"/>
        <v>112.215</v>
      </c>
    </row>
    <row r="533" spans="1:12" x14ac:dyDescent="0.2">
      <c r="A533" s="22">
        <v>18831</v>
      </c>
      <c r="B533" s="22" t="s">
        <v>22</v>
      </c>
      <c r="C533" s="22">
        <v>12020611</v>
      </c>
      <c r="D533" s="22" t="s">
        <v>23</v>
      </c>
      <c r="E533" s="22">
        <v>235</v>
      </c>
      <c r="F533" s="22" t="s">
        <v>207</v>
      </c>
      <c r="G533" s="22">
        <v>112.215</v>
      </c>
      <c r="I533" s="22">
        <v>176</v>
      </c>
      <c r="J533" s="111" t="s">
        <v>12</v>
      </c>
      <c r="L533" s="66">
        <f t="shared" si="9"/>
        <v>112.215</v>
      </c>
    </row>
    <row r="534" spans="1:12" x14ac:dyDescent="0.2">
      <c r="A534" s="22">
        <v>18866</v>
      </c>
      <c r="B534" s="22" t="s">
        <v>76</v>
      </c>
      <c r="C534" s="22">
        <v>12020611</v>
      </c>
      <c r="D534" s="22" t="s">
        <v>23</v>
      </c>
      <c r="E534" s="22">
        <v>235</v>
      </c>
      <c r="F534" s="22" t="s">
        <v>207</v>
      </c>
      <c r="G534" s="22">
        <v>112.215</v>
      </c>
      <c r="I534" s="22">
        <v>620</v>
      </c>
      <c r="J534" s="111" t="s">
        <v>12</v>
      </c>
      <c r="L534" s="66">
        <f t="shared" si="9"/>
        <v>112.215</v>
      </c>
    </row>
    <row r="535" spans="1:12" x14ac:dyDescent="0.2">
      <c r="A535" s="22">
        <v>18891</v>
      </c>
      <c r="B535" s="22" t="s">
        <v>77</v>
      </c>
      <c r="C535" s="22">
        <v>12020611</v>
      </c>
      <c r="D535" s="22" t="s">
        <v>23</v>
      </c>
      <c r="E535" s="22">
        <v>235</v>
      </c>
      <c r="F535" s="22" t="s">
        <v>207</v>
      </c>
      <c r="G535" s="22">
        <v>112.215</v>
      </c>
      <c r="I535" s="22">
        <v>264</v>
      </c>
      <c r="J535" s="111" t="s">
        <v>12</v>
      </c>
      <c r="L535" s="66">
        <f t="shared" si="9"/>
        <v>112.215</v>
      </c>
    </row>
    <row r="536" spans="1:12" x14ac:dyDescent="0.2">
      <c r="A536" s="22">
        <v>18954</v>
      </c>
      <c r="B536" s="22" t="s">
        <v>183</v>
      </c>
      <c r="C536" s="22">
        <v>12020711</v>
      </c>
      <c r="D536" s="22" t="s">
        <v>25</v>
      </c>
      <c r="E536" s="22">
        <v>235</v>
      </c>
      <c r="F536" s="22" t="s">
        <v>207</v>
      </c>
      <c r="G536" s="22">
        <v>112.215</v>
      </c>
      <c r="I536" s="22">
        <v>696</v>
      </c>
      <c r="J536" s="111" t="s">
        <v>12</v>
      </c>
      <c r="L536" s="66">
        <f t="shared" si="9"/>
        <v>112.215</v>
      </c>
    </row>
    <row r="537" spans="1:12" x14ac:dyDescent="0.2">
      <c r="A537" s="22">
        <v>18879</v>
      </c>
      <c r="B537" s="22" t="s">
        <v>79</v>
      </c>
      <c r="C537" s="22">
        <v>12020711</v>
      </c>
      <c r="D537" s="22" t="s">
        <v>25</v>
      </c>
      <c r="E537" s="22">
        <v>235</v>
      </c>
      <c r="F537" s="22" t="s">
        <v>207</v>
      </c>
      <c r="G537" s="22">
        <v>112.215</v>
      </c>
      <c r="I537" s="22">
        <v>760</v>
      </c>
      <c r="J537" s="111" t="s">
        <v>12</v>
      </c>
      <c r="L537" s="66">
        <f t="shared" si="9"/>
        <v>112.215</v>
      </c>
    </row>
    <row r="538" spans="1:12" x14ac:dyDescent="0.2">
      <c r="A538" s="22">
        <v>18631</v>
      </c>
      <c r="B538" s="22" t="s">
        <v>80</v>
      </c>
      <c r="C538" s="22">
        <v>12020711</v>
      </c>
      <c r="D538" s="22" t="s">
        <v>25</v>
      </c>
      <c r="E538" s="22">
        <v>235</v>
      </c>
      <c r="F538" s="22" t="s">
        <v>207</v>
      </c>
      <c r="G538" s="22">
        <v>112.215</v>
      </c>
      <c r="I538" s="22">
        <v>148</v>
      </c>
      <c r="J538" s="111" t="s">
        <v>12</v>
      </c>
      <c r="L538" s="66">
        <f t="shared" ref="L538:L601" si="10">G538</f>
        <v>112.215</v>
      </c>
    </row>
    <row r="539" spans="1:12" x14ac:dyDescent="0.2">
      <c r="A539" s="22">
        <v>18</v>
      </c>
      <c r="B539" s="22" t="s">
        <v>24</v>
      </c>
      <c r="C539" s="22">
        <v>12020711</v>
      </c>
      <c r="D539" s="22" t="s">
        <v>25</v>
      </c>
      <c r="E539" s="22">
        <v>235</v>
      </c>
      <c r="F539" s="22" t="s">
        <v>207</v>
      </c>
      <c r="G539" s="22">
        <v>112.215</v>
      </c>
      <c r="I539" s="22">
        <v>94</v>
      </c>
      <c r="J539" s="111" t="s">
        <v>12</v>
      </c>
      <c r="L539" s="66">
        <f t="shared" si="10"/>
        <v>112.215</v>
      </c>
    </row>
    <row r="540" spans="1:12" x14ac:dyDescent="0.2">
      <c r="A540" s="22">
        <v>18630</v>
      </c>
      <c r="B540" s="22" t="s">
        <v>204</v>
      </c>
      <c r="C540" s="22">
        <v>12020800</v>
      </c>
      <c r="D540" s="22" t="s">
        <v>27</v>
      </c>
      <c r="E540" s="22">
        <v>235</v>
      </c>
      <c r="F540" s="22" t="s">
        <v>207</v>
      </c>
      <c r="G540" s="22">
        <v>112.215</v>
      </c>
      <c r="I540" s="22">
        <v>522</v>
      </c>
      <c r="J540" s="111" t="s">
        <v>12</v>
      </c>
      <c r="L540" s="66">
        <f t="shared" si="10"/>
        <v>112.215</v>
      </c>
    </row>
    <row r="541" spans="1:12" x14ac:dyDescent="0.2">
      <c r="A541" s="22">
        <v>19013</v>
      </c>
      <c r="B541" s="22" t="s">
        <v>81</v>
      </c>
      <c r="C541" s="22">
        <v>12020800</v>
      </c>
      <c r="D541" s="22" t="s">
        <v>27</v>
      </c>
      <c r="E541" s="22">
        <v>235</v>
      </c>
      <c r="F541" s="22" t="s">
        <v>207</v>
      </c>
      <c r="G541" s="22">
        <v>112.215</v>
      </c>
      <c r="I541" s="22">
        <v>1060</v>
      </c>
      <c r="J541" s="111" t="s">
        <v>12</v>
      </c>
      <c r="L541" s="66">
        <f t="shared" si="10"/>
        <v>112.215</v>
      </c>
    </row>
    <row r="542" spans="1:12" x14ac:dyDescent="0.2">
      <c r="A542" s="22">
        <v>18559</v>
      </c>
      <c r="B542" s="22" t="s">
        <v>87</v>
      </c>
      <c r="C542" s="22">
        <v>12021021</v>
      </c>
      <c r="D542" s="22" t="s">
        <v>29</v>
      </c>
      <c r="E542" s="22">
        <v>235</v>
      </c>
      <c r="F542" s="22" t="s">
        <v>207</v>
      </c>
      <c r="G542" s="22">
        <v>112.215</v>
      </c>
      <c r="I542" s="22">
        <v>1028</v>
      </c>
      <c r="J542" s="111" t="s">
        <v>12</v>
      </c>
      <c r="L542" s="66">
        <f t="shared" si="10"/>
        <v>112.215</v>
      </c>
    </row>
    <row r="543" spans="1:12" x14ac:dyDescent="0.2">
      <c r="A543" s="22">
        <v>18894</v>
      </c>
      <c r="B543" s="22" t="s">
        <v>89</v>
      </c>
      <c r="C543" s="22">
        <v>12021021</v>
      </c>
      <c r="D543" s="22" t="s">
        <v>29</v>
      </c>
      <c r="E543" s="22">
        <v>235</v>
      </c>
      <c r="F543" s="22" t="s">
        <v>207</v>
      </c>
      <c r="G543" s="22">
        <v>112.215</v>
      </c>
      <c r="I543" s="22">
        <v>154</v>
      </c>
      <c r="J543" s="111" t="s">
        <v>12</v>
      </c>
      <c r="L543" s="66">
        <f t="shared" si="10"/>
        <v>112.215</v>
      </c>
    </row>
    <row r="544" spans="1:12" x14ac:dyDescent="0.2">
      <c r="A544" s="22">
        <v>18960</v>
      </c>
      <c r="B544" s="22" t="s">
        <v>84</v>
      </c>
      <c r="C544" s="22">
        <v>12021021</v>
      </c>
      <c r="D544" s="22" t="s">
        <v>29</v>
      </c>
      <c r="E544" s="22">
        <v>235</v>
      </c>
      <c r="F544" s="22" t="s">
        <v>207</v>
      </c>
      <c r="G544" s="22">
        <v>112.215</v>
      </c>
      <c r="I544" s="22">
        <v>70</v>
      </c>
      <c r="J544" s="111" t="s">
        <v>12</v>
      </c>
      <c r="L544" s="66">
        <f t="shared" si="10"/>
        <v>112.215</v>
      </c>
    </row>
    <row r="545" spans="1:12" x14ac:dyDescent="0.2">
      <c r="A545" s="22">
        <v>18659</v>
      </c>
      <c r="B545" s="22" t="s">
        <v>88</v>
      </c>
      <c r="C545" s="22">
        <v>12021021</v>
      </c>
      <c r="D545" s="22" t="s">
        <v>29</v>
      </c>
      <c r="E545" s="22">
        <v>235</v>
      </c>
      <c r="F545" s="22" t="s">
        <v>207</v>
      </c>
      <c r="G545" s="22">
        <v>112.215</v>
      </c>
      <c r="I545" s="22">
        <v>520</v>
      </c>
      <c r="J545" s="111" t="s">
        <v>12</v>
      </c>
      <c r="L545" s="66">
        <f t="shared" si="10"/>
        <v>112.215</v>
      </c>
    </row>
    <row r="546" spans="1:12" x14ac:dyDescent="0.2">
      <c r="A546" s="22">
        <v>18967</v>
      </c>
      <c r="B546" s="22" t="s">
        <v>85</v>
      </c>
      <c r="C546" s="22">
        <v>12021021</v>
      </c>
      <c r="D546" s="22" t="s">
        <v>29</v>
      </c>
      <c r="E546" s="22">
        <v>235</v>
      </c>
      <c r="F546" s="22" t="s">
        <v>207</v>
      </c>
      <c r="G546" s="22">
        <v>112.215</v>
      </c>
      <c r="I546" s="22">
        <v>632</v>
      </c>
      <c r="J546" s="111" t="s">
        <v>12</v>
      </c>
      <c r="L546" s="66">
        <f t="shared" si="10"/>
        <v>112.215</v>
      </c>
    </row>
    <row r="547" spans="1:12" x14ac:dyDescent="0.2">
      <c r="A547" s="22">
        <v>18733</v>
      </c>
      <c r="B547" s="22" t="s">
        <v>86</v>
      </c>
      <c r="C547" s="22">
        <v>12021021</v>
      </c>
      <c r="D547" s="22" t="s">
        <v>29</v>
      </c>
      <c r="E547" s="22">
        <v>235</v>
      </c>
      <c r="F547" s="22" t="s">
        <v>207</v>
      </c>
      <c r="G547" s="22">
        <v>112.215</v>
      </c>
      <c r="I547" s="22">
        <v>436</v>
      </c>
      <c r="J547" s="111" t="s">
        <v>12</v>
      </c>
      <c r="L547" s="66">
        <f t="shared" si="10"/>
        <v>112.215</v>
      </c>
    </row>
    <row r="548" spans="1:12" x14ac:dyDescent="0.2">
      <c r="A548" s="22">
        <v>18687</v>
      </c>
      <c r="B548" s="22" t="s">
        <v>83</v>
      </c>
      <c r="C548" s="22">
        <v>12021021</v>
      </c>
      <c r="D548" s="22" t="s">
        <v>29</v>
      </c>
      <c r="E548" s="22">
        <v>235</v>
      </c>
      <c r="F548" s="22" t="s">
        <v>207</v>
      </c>
      <c r="G548" s="22">
        <v>112.215</v>
      </c>
      <c r="I548" s="22">
        <v>506</v>
      </c>
      <c r="J548" s="111" t="s">
        <v>12</v>
      </c>
      <c r="L548" s="66">
        <f t="shared" si="10"/>
        <v>112.215</v>
      </c>
    </row>
    <row r="549" spans="1:12" x14ac:dyDescent="0.2">
      <c r="A549" s="22">
        <v>19033</v>
      </c>
      <c r="B549" s="22" t="s">
        <v>389</v>
      </c>
      <c r="C549" s="22">
        <v>12021021</v>
      </c>
      <c r="D549" s="22" t="s">
        <v>29</v>
      </c>
      <c r="E549" s="22">
        <v>235</v>
      </c>
      <c r="F549" s="22" t="s">
        <v>207</v>
      </c>
      <c r="G549" s="22">
        <v>112.215</v>
      </c>
      <c r="I549" s="22">
        <v>290</v>
      </c>
      <c r="J549" s="111" t="s">
        <v>12</v>
      </c>
      <c r="L549" s="66">
        <f t="shared" si="10"/>
        <v>112.215</v>
      </c>
    </row>
    <row r="550" spans="1:12" x14ac:dyDescent="0.2">
      <c r="A550" s="22">
        <v>18781</v>
      </c>
      <c r="B550" s="22" t="s">
        <v>82</v>
      </c>
      <c r="C550" s="22">
        <v>12021021</v>
      </c>
      <c r="D550" s="22" t="s">
        <v>29</v>
      </c>
      <c r="E550" s="22">
        <v>235</v>
      </c>
      <c r="F550" s="22" t="s">
        <v>207</v>
      </c>
      <c r="G550" s="22">
        <v>112.215</v>
      </c>
      <c r="I550" s="22">
        <v>584</v>
      </c>
      <c r="J550" s="111" t="s">
        <v>12</v>
      </c>
      <c r="L550" s="66">
        <f t="shared" si="10"/>
        <v>112.215</v>
      </c>
    </row>
    <row r="551" spans="1:12" x14ac:dyDescent="0.2">
      <c r="A551" s="22">
        <v>18892</v>
      </c>
      <c r="B551" s="22" t="s">
        <v>184</v>
      </c>
      <c r="C551" s="22">
        <v>12021021</v>
      </c>
      <c r="D551" s="22" t="s">
        <v>29</v>
      </c>
      <c r="E551" s="22">
        <v>235</v>
      </c>
      <c r="F551" s="22" t="s">
        <v>207</v>
      </c>
      <c r="G551" s="22">
        <v>112.215</v>
      </c>
      <c r="I551" s="22">
        <v>354</v>
      </c>
      <c r="J551" s="111" t="s">
        <v>12</v>
      </c>
      <c r="L551" s="66">
        <f t="shared" si="10"/>
        <v>112.215</v>
      </c>
    </row>
    <row r="552" spans="1:12" x14ac:dyDescent="0.2">
      <c r="A552" s="22">
        <v>18911</v>
      </c>
      <c r="B552" s="22" t="s">
        <v>28</v>
      </c>
      <c r="C552" s="22">
        <v>12021021</v>
      </c>
      <c r="D552" s="22" t="s">
        <v>29</v>
      </c>
      <c r="E552" s="22">
        <v>235</v>
      </c>
      <c r="F552" s="22" t="s">
        <v>207</v>
      </c>
      <c r="G552" s="22">
        <v>112.215</v>
      </c>
      <c r="I552" s="22">
        <v>602</v>
      </c>
      <c r="J552" s="111" t="s">
        <v>12</v>
      </c>
      <c r="L552" s="66">
        <f t="shared" si="10"/>
        <v>112.215</v>
      </c>
    </row>
    <row r="553" spans="1:12" x14ac:dyDescent="0.2">
      <c r="A553" s="22">
        <v>18961</v>
      </c>
      <c r="B553" s="22" t="s">
        <v>90</v>
      </c>
      <c r="C553" s="22">
        <v>12022511</v>
      </c>
      <c r="D553" s="22" t="s">
        <v>32</v>
      </c>
      <c r="E553" s="22">
        <v>235</v>
      </c>
      <c r="F553" s="22" t="s">
        <v>207</v>
      </c>
      <c r="G553" s="22">
        <v>112.215</v>
      </c>
      <c r="I553" s="22">
        <v>722</v>
      </c>
      <c r="J553" s="111" t="s">
        <v>12</v>
      </c>
      <c r="L553" s="66">
        <f t="shared" si="10"/>
        <v>112.215</v>
      </c>
    </row>
    <row r="554" spans="1:12" x14ac:dyDescent="0.2">
      <c r="A554" s="22">
        <v>145</v>
      </c>
      <c r="B554" s="22" t="s">
        <v>91</v>
      </c>
      <c r="C554" s="22">
        <v>12022511</v>
      </c>
      <c r="D554" s="22" t="s">
        <v>32</v>
      </c>
      <c r="E554" s="22">
        <v>235</v>
      </c>
      <c r="F554" s="22" t="s">
        <v>207</v>
      </c>
      <c r="G554" s="22">
        <v>112.215</v>
      </c>
      <c r="I554" s="22">
        <v>494</v>
      </c>
      <c r="J554" s="111" t="s">
        <v>12</v>
      </c>
      <c r="L554" s="66">
        <f t="shared" si="10"/>
        <v>112.215</v>
      </c>
    </row>
    <row r="555" spans="1:12" x14ac:dyDescent="0.2">
      <c r="A555" s="22">
        <v>141</v>
      </c>
      <c r="B555" s="22" t="s">
        <v>185</v>
      </c>
      <c r="C555" s="22">
        <v>12022511</v>
      </c>
      <c r="D555" s="22" t="s">
        <v>32</v>
      </c>
      <c r="E555" s="22">
        <v>235</v>
      </c>
      <c r="F555" s="22" t="s">
        <v>207</v>
      </c>
      <c r="G555" s="22">
        <v>112.215</v>
      </c>
      <c r="I555" s="22">
        <v>120</v>
      </c>
      <c r="J555" s="111" t="s">
        <v>12</v>
      </c>
      <c r="L555" s="66">
        <f t="shared" si="10"/>
        <v>112.215</v>
      </c>
    </row>
    <row r="556" spans="1:12" x14ac:dyDescent="0.2">
      <c r="A556" s="22">
        <v>19035</v>
      </c>
      <c r="B556" s="22" t="s">
        <v>440</v>
      </c>
      <c r="C556" s="22">
        <v>12023011</v>
      </c>
      <c r="D556" s="22" t="s">
        <v>93</v>
      </c>
      <c r="E556" s="22">
        <v>235</v>
      </c>
      <c r="F556" s="22" t="s">
        <v>207</v>
      </c>
      <c r="G556" s="22">
        <v>112.215</v>
      </c>
      <c r="I556" s="22">
        <v>278</v>
      </c>
      <c r="J556" s="111" t="s">
        <v>12</v>
      </c>
      <c r="L556" s="66">
        <f t="shared" si="10"/>
        <v>112.215</v>
      </c>
    </row>
    <row r="557" spans="1:12" x14ac:dyDescent="0.2">
      <c r="A557" s="22">
        <v>19006</v>
      </c>
      <c r="B557" s="22" t="s">
        <v>95</v>
      </c>
      <c r="C557" s="22">
        <v>12023011</v>
      </c>
      <c r="D557" s="22" t="s">
        <v>93</v>
      </c>
      <c r="E557" s="22">
        <v>235</v>
      </c>
      <c r="F557" s="22" t="s">
        <v>207</v>
      </c>
      <c r="G557" s="22">
        <v>112.215</v>
      </c>
      <c r="I557" s="22">
        <v>544</v>
      </c>
      <c r="J557" s="111" t="s">
        <v>12</v>
      </c>
      <c r="L557" s="66">
        <f t="shared" si="10"/>
        <v>112.215</v>
      </c>
    </row>
    <row r="558" spans="1:12" x14ac:dyDescent="0.2">
      <c r="A558" s="22">
        <v>19026</v>
      </c>
      <c r="B558" s="22" t="s">
        <v>187</v>
      </c>
      <c r="C558" s="22">
        <v>12023011</v>
      </c>
      <c r="D558" s="22" t="s">
        <v>93</v>
      </c>
      <c r="E558" s="22">
        <v>235</v>
      </c>
      <c r="F558" s="22" t="s">
        <v>207</v>
      </c>
      <c r="G558" s="22">
        <v>112.215</v>
      </c>
      <c r="I558" s="22">
        <v>300</v>
      </c>
      <c r="J558" s="111" t="s">
        <v>12</v>
      </c>
      <c r="L558" s="66">
        <f t="shared" si="10"/>
        <v>112.215</v>
      </c>
    </row>
    <row r="559" spans="1:12" x14ac:dyDescent="0.2">
      <c r="A559" s="22">
        <v>19032</v>
      </c>
      <c r="B559" s="22" t="s">
        <v>386</v>
      </c>
      <c r="C559" s="22">
        <v>12023011</v>
      </c>
      <c r="D559" s="22" t="s">
        <v>93</v>
      </c>
      <c r="E559" s="22">
        <v>235</v>
      </c>
      <c r="F559" s="22" t="s">
        <v>207</v>
      </c>
      <c r="G559" s="22">
        <v>112.215</v>
      </c>
      <c r="I559" s="22">
        <v>110</v>
      </c>
      <c r="J559" s="111" t="s">
        <v>12</v>
      </c>
      <c r="L559" s="66">
        <f t="shared" si="10"/>
        <v>112.215</v>
      </c>
    </row>
    <row r="560" spans="1:12" x14ac:dyDescent="0.2">
      <c r="A560" s="22">
        <v>18973</v>
      </c>
      <c r="B560" s="22" t="s">
        <v>188</v>
      </c>
      <c r="C560" s="22">
        <v>12023011</v>
      </c>
      <c r="D560" s="22" t="s">
        <v>93</v>
      </c>
      <c r="E560" s="22">
        <v>235</v>
      </c>
      <c r="F560" s="22" t="s">
        <v>207</v>
      </c>
      <c r="G560" s="22">
        <v>112.215</v>
      </c>
      <c r="I560" s="22">
        <v>210</v>
      </c>
      <c r="J560" s="111" t="s">
        <v>12</v>
      </c>
      <c r="L560" s="66">
        <f t="shared" si="10"/>
        <v>112.215</v>
      </c>
    </row>
    <row r="561" spans="1:12" x14ac:dyDescent="0.2">
      <c r="A561" s="22">
        <v>18974</v>
      </c>
      <c r="B561" s="22" t="s">
        <v>94</v>
      </c>
      <c r="C561" s="22">
        <v>12023011</v>
      </c>
      <c r="D561" s="22" t="s">
        <v>93</v>
      </c>
      <c r="E561" s="22">
        <v>235</v>
      </c>
      <c r="F561" s="22" t="s">
        <v>207</v>
      </c>
      <c r="G561" s="22">
        <v>112.215</v>
      </c>
      <c r="I561" s="22">
        <v>864</v>
      </c>
      <c r="J561" s="111" t="s">
        <v>12</v>
      </c>
      <c r="L561" s="66">
        <f t="shared" si="10"/>
        <v>112.215</v>
      </c>
    </row>
    <row r="562" spans="1:12" x14ac:dyDescent="0.2">
      <c r="A562" s="22">
        <v>18999</v>
      </c>
      <c r="B562" s="22" t="s">
        <v>92</v>
      </c>
      <c r="C562" s="22">
        <v>12023011</v>
      </c>
      <c r="D562" s="22" t="s">
        <v>93</v>
      </c>
      <c r="E562" s="22">
        <v>235</v>
      </c>
      <c r="F562" s="22" t="s">
        <v>207</v>
      </c>
      <c r="G562" s="22">
        <v>112.215</v>
      </c>
      <c r="I562" s="22">
        <v>456</v>
      </c>
      <c r="J562" s="111" t="s">
        <v>12</v>
      </c>
      <c r="L562" s="66">
        <f t="shared" si="10"/>
        <v>112.215</v>
      </c>
    </row>
    <row r="563" spans="1:12" x14ac:dyDescent="0.2">
      <c r="A563" s="22">
        <v>19007</v>
      </c>
      <c r="B563" s="22" t="s">
        <v>189</v>
      </c>
      <c r="C563" s="22">
        <v>12023011</v>
      </c>
      <c r="D563" s="22" t="s">
        <v>93</v>
      </c>
      <c r="E563" s="22">
        <v>235</v>
      </c>
      <c r="F563" s="22" t="s">
        <v>207</v>
      </c>
      <c r="G563" s="22">
        <v>112.215</v>
      </c>
      <c r="I563" s="22">
        <v>718</v>
      </c>
      <c r="J563" s="111" t="s">
        <v>12</v>
      </c>
      <c r="L563" s="66">
        <f t="shared" si="10"/>
        <v>112.215</v>
      </c>
    </row>
    <row r="564" spans="1:12" x14ac:dyDescent="0.2">
      <c r="A564" s="22">
        <v>18962</v>
      </c>
      <c r="B564" s="22" t="s">
        <v>148</v>
      </c>
      <c r="C564" s="22">
        <v>12023011</v>
      </c>
      <c r="D564" s="22" t="s">
        <v>93</v>
      </c>
      <c r="E564" s="22">
        <v>235</v>
      </c>
      <c r="F564" s="22" t="s">
        <v>207</v>
      </c>
      <c r="G564" s="22">
        <v>112.215</v>
      </c>
      <c r="I564" s="22">
        <v>1468</v>
      </c>
      <c r="J564" s="111" t="s">
        <v>12</v>
      </c>
      <c r="L564" s="66">
        <f t="shared" si="10"/>
        <v>112.215</v>
      </c>
    </row>
    <row r="565" spans="1:12" x14ac:dyDescent="0.2">
      <c r="A565" s="22">
        <v>19041</v>
      </c>
      <c r="B565" s="22" t="s">
        <v>478</v>
      </c>
      <c r="C565" s="22">
        <v>12023011</v>
      </c>
      <c r="D565" s="22" t="s">
        <v>93</v>
      </c>
      <c r="E565" s="22">
        <v>235</v>
      </c>
      <c r="F565" s="22" t="s">
        <v>207</v>
      </c>
      <c r="G565" s="22">
        <v>112.215</v>
      </c>
      <c r="I565" s="22">
        <v>336</v>
      </c>
      <c r="J565" s="111" t="s">
        <v>12</v>
      </c>
      <c r="L565" s="66">
        <f t="shared" si="10"/>
        <v>112.215</v>
      </c>
    </row>
    <row r="566" spans="1:12" x14ac:dyDescent="0.2">
      <c r="A566" s="22">
        <v>19027</v>
      </c>
      <c r="B566" s="22" t="s">
        <v>365</v>
      </c>
      <c r="C566" s="22">
        <v>12023021</v>
      </c>
      <c r="D566" s="22" t="s">
        <v>98</v>
      </c>
      <c r="E566" s="22">
        <v>235</v>
      </c>
      <c r="F566" s="22" t="s">
        <v>207</v>
      </c>
      <c r="G566" s="22">
        <v>112.215</v>
      </c>
      <c r="I566" s="22">
        <v>302</v>
      </c>
      <c r="J566" s="111" t="s">
        <v>12</v>
      </c>
      <c r="L566" s="66">
        <f t="shared" si="10"/>
        <v>112.215</v>
      </c>
    </row>
    <row r="567" spans="1:12" x14ac:dyDescent="0.2">
      <c r="A567" s="22">
        <v>19021</v>
      </c>
      <c r="B567" s="22" t="s">
        <v>99</v>
      </c>
      <c r="C567" s="22">
        <v>12023021</v>
      </c>
      <c r="D567" s="22" t="s">
        <v>98</v>
      </c>
      <c r="E567" s="22">
        <v>235</v>
      </c>
      <c r="F567" s="22" t="s">
        <v>207</v>
      </c>
      <c r="G567" s="22">
        <v>112.215</v>
      </c>
      <c r="I567" s="22">
        <v>338</v>
      </c>
      <c r="J567" s="111" t="s">
        <v>12</v>
      </c>
      <c r="L567" s="66">
        <f t="shared" si="10"/>
        <v>112.215</v>
      </c>
    </row>
    <row r="568" spans="1:12" x14ac:dyDescent="0.2">
      <c r="A568" s="22">
        <v>19038</v>
      </c>
      <c r="B568" s="22" t="s">
        <v>449</v>
      </c>
      <c r="C568" s="22">
        <v>12023021</v>
      </c>
      <c r="D568" s="22" t="s">
        <v>98</v>
      </c>
      <c r="E568" s="22">
        <v>235</v>
      </c>
      <c r="F568" s="22" t="s">
        <v>207</v>
      </c>
      <c r="G568" s="22">
        <v>112.215</v>
      </c>
      <c r="I568" s="22">
        <v>762</v>
      </c>
      <c r="J568" s="111" t="s">
        <v>12</v>
      </c>
      <c r="L568" s="66">
        <f t="shared" si="10"/>
        <v>112.215</v>
      </c>
    </row>
    <row r="569" spans="1:12" x14ac:dyDescent="0.2">
      <c r="A569" s="22">
        <v>18980</v>
      </c>
      <c r="B569" s="22" t="s">
        <v>97</v>
      </c>
      <c r="C569" s="22">
        <v>12023021</v>
      </c>
      <c r="D569" s="22" t="s">
        <v>98</v>
      </c>
      <c r="E569" s="22">
        <v>235</v>
      </c>
      <c r="F569" s="22" t="s">
        <v>207</v>
      </c>
      <c r="G569" s="22">
        <v>112.215</v>
      </c>
      <c r="I569" s="22">
        <v>356</v>
      </c>
      <c r="J569" s="111" t="s">
        <v>12</v>
      </c>
      <c r="L569" s="66">
        <f t="shared" si="10"/>
        <v>112.215</v>
      </c>
    </row>
    <row r="570" spans="1:12" x14ac:dyDescent="0.2">
      <c r="A570" s="22">
        <v>18581</v>
      </c>
      <c r="B570" s="22" t="s">
        <v>190</v>
      </c>
      <c r="C570" s="22">
        <v>12024021</v>
      </c>
      <c r="D570" s="22" t="s">
        <v>191</v>
      </c>
      <c r="E570" s="22">
        <v>235</v>
      </c>
      <c r="F570" s="22" t="s">
        <v>207</v>
      </c>
      <c r="G570" s="22">
        <v>112.215</v>
      </c>
      <c r="I570" s="22">
        <v>726</v>
      </c>
      <c r="J570" s="111" t="s">
        <v>12</v>
      </c>
      <c r="L570" s="66">
        <f t="shared" si="10"/>
        <v>112.215</v>
      </c>
    </row>
    <row r="571" spans="1:12" x14ac:dyDescent="0.2">
      <c r="A571" s="22">
        <v>19034</v>
      </c>
      <c r="B571" s="22" t="s">
        <v>439</v>
      </c>
      <c r="C571" s="22">
        <v>12028099</v>
      </c>
      <c r="D571" s="22" t="s">
        <v>150</v>
      </c>
      <c r="E571" s="22">
        <v>235</v>
      </c>
      <c r="F571" s="22" t="s">
        <v>207</v>
      </c>
      <c r="G571" s="22">
        <v>112.215</v>
      </c>
      <c r="I571" s="22">
        <v>696</v>
      </c>
      <c r="J571" s="111" t="s">
        <v>12</v>
      </c>
      <c r="L571" s="66">
        <f t="shared" si="10"/>
        <v>112.215</v>
      </c>
    </row>
    <row r="572" spans="1:12" x14ac:dyDescent="0.2">
      <c r="A572" s="22">
        <v>44705</v>
      </c>
      <c r="B572" s="22" t="s">
        <v>149</v>
      </c>
      <c r="C572" s="22">
        <v>12028099</v>
      </c>
      <c r="D572" s="22" t="s">
        <v>150</v>
      </c>
      <c r="E572" s="22">
        <v>235</v>
      </c>
      <c r="F572" s="22" t="s">
        <v>207</v>
      </c>
      <c r="G572" s="22">
        <v>112.215</v>
      </c>
      <c r="I572" s="22">
        <v>1858</v>
      </c>
      <c r="J572" s="111" t="s">
        <v>12</v>
      </c>
      <c r="L572" s="66">
        <f t="shared" si="10"/>
        <v>112.215</v>
      </c>
    </row>
    <row r="573" spans="1:12" x14ac:dyDescent="0.2">
      <c r="A573" s="22">
        <v>18805</v>
      </c>
      <c r="B573" s="22" t="s">
        <v>192</v>
      </c>
      <c r="C573" s="22">
        <v>12030400</v>
      </c>
      <c r="D573" s="22" t="s">
        <v>62</v>
      </c>
      <c r="E573" s="22">
        <v>235</v>
      </c>
      <c r="F573" s="22" t="s">
        <v>207</v>
      </c>
      <c r="G573" s="22">
        <v>112.215</v>
      </c>
      <c r="I573" s="22">
        <v>430</v>
      </c>
      <c r="J573" s="111" t="s">
        <v>12</v>
      </c>
      <c r="L573" s="66">
        <f t="shared" si="10"/>
        <v>112.215</v>
      </c>
    </row>
    <row r="574" spans="1:12" x14ac:dyDescent="0.2">
      <c r="A574" s="22">
        <v>18982</v>
      </c>
      <c r="B574" s="22" t="s">
        <v>100</v>
      </c>
      <c r="C574" s="22">
        <v>12030400</v>
      </c>
      <c r="D574" s="22" t="s">
        <v>62</v>
      </c>
      <c r="E574" s="22">
        <v>235</v>
      </c>
      <c r="F574" s="22" t="s">
        <v>207</v>
      </c>
      <c r="G574" s="22">
        <v>112.215</v>
      </c>
      <c r="I574" s="22">
        <v>488</v>
      </c>
      <c r="J574" s="111" t="s">
        <v>12</v>
      </c>
      <c r="L574" s="66">
        <f t="shared" si="10"/>
        <v>112.215</v>
      </c>
    </row>
    <row r="575" spans="1:12" x14ac:dyDescent="0.2">
      <c r="A575" s="22">
        <v>18841</v>
      </c>
      <c r="B575" s="22" t="s">
        <v>193</v>
      </c>
      <c r="C575" s="22">
        <v>12030500</v>
      </c>
      <c r="D575" s="22" t="s">
        <v>34</v>
      </c>
      <c r="E575" s="22">
        <v>235</v>
      </c>
      <c r="F575" s="22" t="s">
        <v>207</v>
      </c>
      <c r="G575" s="22">
        <v>112.215</v>
      </c>
      <c r="I575" s="22">
        <v>420</v>
      </c>
      <c r="J575" s="111" t="s">
        <v>12</v>
      </c>
      <c r="L575" s="66">
        <f t="shared" si="10"/>
        <v>112.215</v>
      </c>
    </row>
    <row r="576" spans="1:12" x14ac:dyDescent="0.2">
      <c r="A576" s="22">
        <v>266</v>
      </c>
      <c r="B576" s="22" t="s">
        <v>194</v>
      </c>
      <c r="C576" s="22">
        <v>12030500</v>
      </c>
      <c r="D576" s="22" t="s">
        <v>34</v>
      </c>
      <c r="E576" s="22">
        <v>235</v>
      </c>
      <c r="F576" s="22" t="s">
        <v>207</v>
      </c>
      <c r="G576" s="22">
        <v>112.215</v>
      </c>
      <c r="I576" s="22">
        <v>488</v>
      </c>
      <c r="J576" s="111" t="s">
        <v>12</v>
      </c>
      <c r="L576" s="66">
        <f t="shared" si="10"/>
        <v>112.215</v>
      </c>
    </row>
    <row r="577" spans="1:12" x14ac:dyDescent="0.2">
      <c r="A577" s="22">
        <v>18918</v>
      </c>
      <c r="B577" s="22" t="s">
        <v>38</v>
      </c>
      <c r="C577" s="22">
        <v>12030611</v>
      </c>
      <c r="D577" s="22" t="s">
        <v>36</v>
      </c>
      <c r="E577" s="22">
        <v>235</v>
      </c>
      <c r="F577" s="22" t="s">
        <v>207</v>
      </c>
      <c r="G577" s="22">
        <v>112.215</v>
      </c>
      <c r="I577" s="22">
        <v>772</v>
      </c>
      <c r="J577" s="111" t="s">
        <v>12</v>
      </c>
      <c r="L577" s="66">
        <f t="shared" si="10"/>
        <v>112.215</v>
      </c>
    </row>
    <row r="578" spans="1:12" x14ac:dyDescent="0.2">
      <c r="A578" s="22">
        <v>18822</v>
      </c>
      <c r="B578" s="22" t="s">
        <v>103</v>
      </c>
      <c r="C578" s="22">
        <v>12030611</v>
      </c>
      <c r="D578" s="22" t="s">
        <v>36</v>
      </c>
      <c r="E578" s="22">
        <v>235</v>
      </c>
      <c r="F578" s="22" t="s">
        <v>207</v>
      </c>
      <c r="G578" s="22">
        <v>112.215</v>
      </c>
      <c r="I578" s="22">
        <v>458</v>
      </c>
      <c r="J578" s="111" t="s">
        <v>12</v>
      </c>
      <c r="L578" s="66">
        <f t="shared" si="10"/>
        <v>112.215</v>
      </c>
    </row>
    <row r="579" spans="1:12" x14ac:dyDescent="0.2">
      <c r="A579" s="22">
        <v>18797</v>
      </c>
      <c r="B579" s="22" t="s">
        <v>101</v>
      </c>
      <c r="C579" s="22">
        <v>12030611</v>
      </c>
      <c r="D579" s="22" t="s">
        <v>36</v>
      </c>
      <c r="E579" s="22">
        <v>235</v>
      </c>
      <c r="F579" s="22" t="s">
        <v>207</v>
      </c>
      <c r="G579" s="22">
        <v>112.215</v>
      </c>
      <c r="I579" s="22">
        <v>474</v>
      </c>
      <c r="J579" s="111" t="s">
        <v>12</v>
      </c>
      <c r="L579" s="66">
        <f t="shared" si="10"/>
        <v>112.215</v>
      </c>
    </row>
    <row r="580" spans="1:12" x14ac:dyDescent="0.2">
      <c r="A580" s="22">
        <v>18626</v>
      </c>
      <c r="B580" s="22" t="s">
        <v>195</v>
      </c>
      <c r="C580" s="22">
        <v>12030611</v>
      </c>
      <c r="D580" s="22" t="s">
        <v>36</v>
      </c>
      <c r="E580" s="22">
        <v>235</v>
      </c>
      <c r="F580" s="22" t="s">
        <v>207</v>
      </c>
      <c r="G580" s="22">
        <v>112.215</v>
      </c>
      <c r="I580" s="22">
        <v>948</v>
      </c>
      <c r="J580" s="111" t="s">
        <v>12</v>
      </c>
      <c r="L580" s="66">
        <f t="shared" si="10"/>
        <v>112.215</v>
      </c>
    </row>
    <row r="581" spans="1:12" x14ac:dyDescent="0.2">
      <c r="A581" s="22">
        <v>18887</v>
      </c>
      <c r="B581" s="22" t="s">
        <v>105</v>
      </c>
      <c r="C581" s="22">
        <v>12030611</v>
      </c>
      <c r="D581" s="22" t="s">
        <v>36</v>
      </c>
      <c r="E581" s="22">
        <v>235</v>
      </c>
      <c r="F581" s="22" t="s">
        <v>207</v>
      </c>
      <c r="G581" s="22">
        <v>112.215</v>
      </c>
      <c r="I581" s="22">
        <v>482</v>
      </c>
      <c r="J581" s="111" t="s">
        <v>12</v>
      </c>
      <c r="L581" s="66">
        <f t="shared" si="10"/>
        <v>112.215</v>
      </c>
    </row>
    <row r="582" spans="1:12" x14ac:dyDescent="0.2">
      <c r="A582" s="22">
        <v>18949</v>
      </c>
      <c r="B582" s="22" t="s">
        <v>35</v>
      </c>
      <c r="C582" s="22">
        <v>12030611</v>
      </c>
      <c r="D582" s="22" t="s">
        <v>36</v>
      </c>
      <c r="E582" s="22">
        <v>235</v>
      </c>
      <c r="F582" s="22" t="s">
        <v>207</v>
      </c>
      <c r="G582" s="22">
        <v>112.215</v>
      </c>
      <c r="I582" s="22">
        <v>526</v>
      </c>
      <c r="J582" s="111" t="s">
        <v>12</v>
      </c>
      <c r="L582" s="66">
        <f t="shared" si="10"/>
        <v>112.215</v>
      </c>
    </row>
    <row r="583" spans="1:12" x14ac:dyDescent="0.2">
      <c r="A583" s="22">
        <v>134</v>
      </c>
      <c r="B583" s="22" t="s">
        <v>102</v>
      </c>
      <c r="C583" s="22">
        <v>12030611</v>
      </c>
      <c r="D583" s="22" t="s">
        <v>36</v>
      </c>
      <c r="E583" s="22">
        <v>235</v>
      </c>
      <c r="F583" s="22" t="s">
        <v>207</v>
      </c>
      <c r="G583" s="22">
        <v>112.215</v>
      </c>
      <c r="I583" s="22">
        <v>84</v>
      </c>
      <c r="J583" s="111" t="s">
        <v>12</v>
      </c>
      <c r="L583" s="66">
        <f t="shared" si="10"/>
        <v>112.215</v>
      </c>
    </row>
    <row r="584" spans="1:12" x14ac:dyDescent="0.2">
      <c r="A584" s="22">
        <v>18979</v>
      </c>
      <c r="B584" s="22" t="s">
        <v>39</v>
      </c>
      <c r="C584" s="22">
        <v>12030611</v>
      </c>
      <c r="D584" s="22" t="s">
        <v>36</v>
      </c>
      <c r="E584" s="22">
        <v>235</v>
      </c>
      <c r="F584" s="22" t="s">
        <v>207</v>
      </c>
      <c r="G584" s="22">
        <v>112.215</v>
      </c>
      <c r="I584" s="22">
        <v>478</v>
      </c>
      <c r="J584" s="111" t="s">
        <v>12</v>
      </c>
      <c r="L584" s="66">
        <f t="shared" si="10"/>
        <v>112.215</v>
      </c>
    </row>
    <row r="585" spans="1:12" x14ac:dyDescent="0.2">
      <c r="A585" s="22">
        <v>18929</v>
      </c>
      <c r="B585" s="22" t="s">
        <v>106</v>
      </c>
      <c r="C585" s="22">
        <v>12030611</v>
      </c>
      <c r="D585" s="22" t="s">
        <v>36</v>
      </c>
      <c r="E585" s="22">
        <v>235</v>
      </c>
      <c r="F585" s="22" t="s">
        <v>207</v>
      </c>
      <c r="G585" s="22">
        <v>112.215</v>
      </c>
      <c r="I585" s="22">
        <v>138</v>
      </c>
      <c r="J585" s="111" t="s">
        <v>12</v>
      </c>
      <c r="L585" s="66">
        <f t="shared" si="10"/>
        <v>112.215</v>
      </c>
    </row>
    <row r="586" spans="1:12" x14ac:dyDescent="0.2">
      <c r="A586" s="22">
        <v>18827</v>
      </c>
      <c r="B586" s="22" t="s">
        <v>104</v>
      </c>
      <c r="C586" s="22">
        <v>12030611</v>
      </c>
      <c r="D586" s="22" t="s">
        <v>36</v>
      </c>
      <c r="E586" s="22">
        <v>235</v>
      </c>
      <c r="F586" s="22" t="s">
        <v>207</v>
      </c>
      <c r="G586" s="22">
        <v>112.215</v>
      </c>
      <c r="I586" s="22">
        <v>544</v>
      </c>
      <c r="J586" s="111" t="s">
        <v>12</v>
      </c>
      <c r="L586" s="66">
        <f t="shared" si="10"/>
        <v>112.215</v>
      </c>
    </row>
    <row r="587" spans="1:12" x14ac:dyDescent="0.2">
      <c r="A587" s="22">
        <v>18793</v>
      </c>
      <c r="B587" s="22" t="s">
        <v>480</v>
      </c>
      <c r="C587" s="22">
        <v>12030711</v>
      </c>
      <c r="D587" s="22" t="s">
        <v>41</v>
      </c>
      <c r="E587" s="22">
        <v>235</v>
      </c>
      <c r="F587" s="22" t="s">
        <v>207</v>
      </c>
      <c r="G587" s="22">
        <v>112.215</v>
      </c>
      <c r="I587" s="22">
        <v>94</v>
      </c>
      <c r="J587" s="111" t="s">
        <v>12</v>
      </c>
      <c r="L587" s="66">
        <f t="shared" si="10"/>
        <v>112.215</v>
      </c>
    </row>
    <row r="588" spans="1:12" x14ac:dyDescent="0.2">
      <c r="A588" s="22">
        <v>18989</v>
      </c>
      <c r="B588" s="22" t="s">
        <v>107</v>
      </c>
      <c r="C588" s="22">
        <v>12030800</v>
      </c>
      <c r="D588" s="22" t="s">
        <v>59</v>
      </c>
      <c r="E588" s="22">
        <v>235</v>
      </c>
      <c r="F588" s="22" t="s">
        <v>207</v>
      </c>
      <c r="G588" s="22">
        <v>112.215</v>
      </c>
      <c r="I588" s="22">
        <v>280</v>
      </c>
      <c r="J588" s="111" t="s">
        <v>12</v>
      </c>
      <c r="L588" s="66">
        <f t="shared" si="10"/>
        <v>112.215</v>
      </c>
    </row>
    <row r="589" spans="1:12" x14ac:dyDescent="0.2">
      <c r="A589" s="22">
        <v>18736</v>
      </c>
      <c r="B589" s="22" t="s">
        <v>70</v>
      </c>
      <c r="C589" s="22">
        <v>12032511</v>
      </c>
      <c r="D589" s="22" t="s">
        <v>43</v>
      </c>
      <c r="E589" s="22">
        <v>235</v>
      </c>
      <c r="F589" s="22" t="s">
        <v>207</v>
      </c>
      <c r="G589" s="22">
        <v>112.215</v>
      </c>
      <c r="I589" s="22">
        <v>583.5</v>
      </c>
      <c r="J589" s="111" t="s">
        <v>12</v>
      </c>
      <c r="L589" s="66">
        <f t="shared" si="10"/>
        <v>112.215</v>
      </c>
    </row>
    <row r="590" spans="1:12" x14ac:dyDescent="0.2">
      <c r="A590" s="22">
        <v>19012</v>
      </c>
      <c r="B590" s="22" t="s">
        <v>110</v>
      </c>
      <c r="C590" s="22">
        <v>12033011</v>
      </c>
      <c r="D590" s="22" t="s">
        <v>45</v>
      </c>
      <c r="E590" s="22">
        <v>235</v>
      </c>
      <c r="F590" s="22" t="s">
        <v>207</v>
      </c>
      <c r="G590" s="22">
        <v>112.215</v>
      </c>
      <c r="I590" s="22">
        <v>502</v>
      </c>
      <c r="J590" s="111" t="s">
        <v>12</v>
      </c>
      <c r="L590" s="66">
        <f t="shared" si="10"/>
        <v>112.215</v>
      </c>
    </row>
    <row r="591" spans="1:12" x14ac:dyDescent="0.2">
      <c r="A591" s="22">
        <v>18829</v>
      </c>
      <c r="B591" s="22" t="s">
        <v>115</v>
      </c>
      <c r="C591" s="22">
        <v>12033011</v>
      </c>
      <c r="D591" s="22" t="s">
        <v>45</v>
      </c>
      <c r="E591" s="22">
        <v>235</v>
      </c>
      <c r="F591" s="22" t="s">
        <v>207</v>
      </c>
      <c r="G591" s="22">
        <v>112.215</v>
      </c>
      <c r="I591" s="22">
        <v>946</v>
      </c>
      <c r="J591" s="111" t="s">
        <v>12</v>
      </c>
      <c r="L591" s="66">
        <f t="shared" si="10"/>
        <v>112.215</v>
      </c>
    </row>
    <row r="592" spans="1:12" x14ac:dyDescent="0.2">
      <c r="A592" s="22">
        <v>19009</v>
      </c>
      <c r="B592" s="22" t="s">
        <v>117</v>
      </c>
      <c r="C592" s="22">
        <v>12033011</v>
      </c>
      <c r="D592" s="22" t="s">
        <v>45</v>
      </c>
      <c r="E592" s="22">
        <v>235</v>
      </c>
      <c r="F592" s="22" t="s">
        <v>207</v>
      </c>
      <c r="G592" s="22">
        <v>112.215</v>
      </c>
      <c r="I592" s="22">
        <v>320</v>
      </c>
      <c r="J592" s="111" t="s">
        <v>12</v>
      </c>
      <c r="L592" s="66">
        <f t="shared" si="10"/>
        <v>112.215</v>
      </c>
    </row>
    <row r="593" spans="1:12" x14ac:dyDescent="0.2">
      <c r="A593" s="22">
        <v>19011</v>
      </c>
      <c r="B593" s="22" t="s">
        <v>111</v>
      </c>
      <c r="C593" s="22">
        <v>12033011</v>
      </c>
      <c r="D593" s="22" t="s">
        <v>45</v>
      </c>
      <c r="E593" s="22">
        <v>235</v>
      </c>
      <c r="F593" s="22" t="s">
        <v>207</v>
      </c>
      <c r="G593" s="22">
        <v>112.215</v>
      </c>
      <c r="I593" s="22">
        <v>350</v>
      </c>
      <c r="J593" s="111" t="s">
        <v>12</v>
      </c>
      <c r="L593" s="66">
        <f t="shared" si="10"/>
        <v>112.215</v>
      </c>
    </row>
    <row r="594" spans="1:12" x14ac:dyDescent="0.2">
      <c r="A594" s="22">
        <v>19019</v>
      </c>
      <c r="B594" s="22" t="s">
        <v>108</v>
      </c>
      <c r="C594" s="22">
        <v>12033011</v>
      </c>
      <c r="D594" s="22" t="s">
        <v>45</v>
      </c>
      <c r="E594" s="22">
        <v>235</v>
      </c>
      <c r="F594" s="22" t="s">
        <v>207</v>
      </c>
      <c r="G594" s="22">
        <v>112.215</v>
      </c>
      <c r="I594" s="22">
        <v>484</v>
      </c>
      <c r="J594" s="111" t="s">
        <v>12</v>
      </c>
      <c r="L594" s="66">
        <f t="shared" si="10"/>
        <v>112.215</v>
      </c>
    </row>
    <row r="595" spans="1:12" x14ac:dyDescent="0.2">
      <c r="A595" s="22">
        <v>19017</v>
      </c>
      <c r="B595" s="22" t="s">
        <v>65</v>
      </c>
      <c r="C595" s="22">
        <v>12033011</v>
      </c>
      <c r="D595" s="22" t="s">
        <v>45</v>
      </c>
      <c r="E595" s="22">
        <v>235</v>
      </c>
      <c r="F595" s="22" t="s">
        <v>207</v>
      </c>
      <c r="G595" s="22">
        <v>112.215</v>
      </c>
      <c r="I595" s="22">
        <v>372</v>
      </c>
      <c r="J595" s="111" t="s">
        <v>12</v>
      </c>
      <c r="L595" s="66">
        <f t="shared" si="10"/>
        <v>112.215</v>
      </c>
    </row>
    <row r="596" spans="1:12" x14ac:dyDescent="0.2">
      <c r="A596" s="22">
        <v>19008</v>
      </c>
      <c r="B596" s="22" t="s">
        <v>118</v>
      </c>
      <c r="C596" s="22">
        <v>12033011</v>
      </c>
      <c r="D596" s="22" t="s">
        <v>45</v>
      </c>
      <c r="E596" s="22">
        <v>235</v>
      </c>
      <c r="F596" s="22" t="s">
        <v>207</v>
      </c>
      <c r="G596" s="22">
        <v>112.215</v>
      </c>
      <c r="I596" s="22">
        <v>172</v>
      </c>
      <c r="J596" s="111" t="s">
        <v>12</v>
      </c>
      <c r="L596" s="66">
        <f t="shared" si="10"/>
        <v>112.215</v>
      </c>
    </row>
    <row r="597" spans="1:12" x14ac:dyDescent="0.2">
      <c r="A597" s="22">
        <v>18679</v>
      </c>
      <c r="B597" s="22" t="s">
        <v>114</v>
      </c>
      <c r="C597" s="22">
        <v>12033011</v>
      </c>
      <c r="D597" s="22" t="s">
        <v>45</v>
      </c>
      <c r="E597" s="22">
        <v>235</v>
      </c>
      <c r="F597" s="22" t="s">
        <v>207</v>
      </c>
      <c r="G597" s="22">
        <v>112.215</v>
      </c>
      <c r="I597" s="22">
        <v>234</v>
      </c>
      <c r="J597" s="111" t="s">
        <v>12</v>
      </c>
      <c r="L597" s="66">
        <f t="shared" si="10"/>
        <v>112.215</v>
      </c>
    </row>
    <row r="598" spans="1:12" x14ac:dyDescent="0.2">
      <c r="A598" s="22">
        <v>18607</v>
      </c>
      <c r="B598" s="22" t="s">
        <v>109</v>
      </c>
      <c r="C598" s="22">
        <v>12033011</v>
      </c>
      <c r="D598" s="22" t="s">
        <v>45</v>
      </c>
      <c r="E598" s="22">
        <v>235</v>
      </c>
      <c r="F598" s="22" t="s">
        <v>207</v>
      </c>
      <c r="G598" s="22">
        <v>112.215</v>
      </c>
      <c r="I598" s="22">
        <v>328</v>
      </c>
      <c r="J598" s="111" t="s">
        <v>12</v>
      </c>
      <c r="L598" s="66">
        <f t="shared" si="10"/>
        <v>112.215</v>
      </c>
    </row>
    <row r="599" spans="1:12" x14ac:dyDescent="0.2">
      <c r="A599" s="22">
        <v>18932</v>
      </c>
      <c r="B599" s="22" t="s">
        <v>44</v>
      </c>
      <c r="C599" s="22">
        <v>12033011</v>
      </c>
      <c r="D599" s="22" t="s">
        <v>45</v>
      </c>
      <c r="E599" s="22">
        <v>235</v>
      </c>
      <c r="F599" s="22" t="s">
        <v>207</v>
      </c>
      <c r="G599" s="22">
        <v>112.215</v>
      </c>
      <c r="I599" s="22">
        <v>742</v>
      </c>
      <c r="J599" s="111" t="s">
        <v>12</v>
      </c>
      <c r="L599" s="66">
        <f t="shared" si="10"/>
        <v>112.215</v>
      </c>
    </row>
    <row r="600" spans="1:12" x14ac:dyDescent="0.2">
      <c r="A600" s="22">
        <v>19028</v>
      </c>
      <c r="B600" s="22" t="s">
        <v>367</v>
      </c>
      <c r="C600" s="22">
        <v>12033011</v>
      </c>
      <c r="D600" s="22" t="s">
        <v>45</v>
      </c>
      <c r="E600" s="22">
        <v>235</v>
      </c>
      <c r="F600" s="22" t="s">
        <v>207</v>
      </c>
      <c r="G600" s="22">
        <v>112.215</v>
      </c>
      <c r="I600" s="22">
        <v>494</v>
      </c>
      <c r="J600" s="111" t="s">
        <v>12</v>
      </c>
      <c r="L600" s="66">
        <f t="shared" si="10"/>
        <v>112.215</v>
      </c>
    </row>
    <row r="601" spans="1:12" x14ac:dyDescent="0.2">
      <c r="A601" s="22">
        <v>19030</v>
      </c>
      <c r="B601" s="22" t="s">
        <v>364</v>
      </c>
      <c r="C601" s="22">
        <v>12033011</v>
      </c>
      <c r="D601" s="22" t="s">
        <v>45</v>
      </c>
      <c r="E601" s="22">
        <v>235</v>
      </c>
      <c r="F601" s="22" t="s">
        <v>207</v>
      </c>
      <c r="G601" s="22">
        <v>112.215</v>
      </c>
      <c r="I601" s="22">
        <v>366</v>
      </c>
      <c r="J601" s="111" t="s">
        <v>12</v>
      </c>
      <c r="L601" s="66">
        <f t="shared" si="10"/>
        <v>112.215</v>
      </c>
    </row>
    <row r="602" spans="1:12" x14ac:dyDescent="0.2">
      <c r="A602" s="22">
        <v>19029</v>
      </c>
      <c r="B602" s="22" t="s">
        <v>366</v>
      </c>
      <c r="C602" s="22">
        <v>12033011</v>
      </c>
      <c r="D602" s="22" t="s">
        <v>45</v>
      </c>
      <c r="E602" s="22">
        <v>235</v>
      </c>
      <c r="F602" s="22" t="s">
        <v>207</v>
      </c>
      <c r="G602" s="22">
        <v>112.215</v>
      </c>
      <c r="I602" s="22">
        <v>482</v>
      </c>
      <c r="J602" s="111" t="s">
        <v>12</v>
      </c>
      <c r="L602" s="66">
        <f t="shared" ref="L602:L665" si="11">G602</f>
        <v>112.215</v>
      </c>
    </row>
    <row r="603" spans="1:12" x14ac:dyDescent="0.2">
      <c r="A603" s="22">
        <v>18983</v>
      </c>
      <c r="B603" s="22" t="s">
        <v>112</v>
      </c>
      <c r="C603" s="22">
        <v>12033011</v>
      </c>
      <c r="D603" s="22" t="s">
        <v>45</v>
      </c>
      <c r="E603" s="22">
        <v>235</v>
      </c>
      <c r="F603" s="22" t="s">
        <v>207</v>
      </c>
      <c r="G603" s="22">
        <v>112.215</v>
      </c>
      <c r="I603" s="22">
        <v>644</v>
      </c>
      <c r="J603" s="111" t="s">
        <v>12</v>
      </c>
      <c r="L603" s="66">
        <f t="shared" si="11"/>
        <v>112.215</v>
      </c>
    </row>
    <row r="604" spans="1:12" x14ac:dyDescent="0.2">
      <c r="A604" s="22">
        <v>19015</v>
      </c>
      <c r="B604" s="22" t="s">
        <v>116</v>
      </c>
      <c r="C604" s="22">
        <v>12033011</v>
      </c>
      <c r="D604" s="22" t="s">
        <v>45</v>
      </c>
      <c r="E604" s="22">
        <v>235</v>
      </c>
      <c r="F604" s="22" t="s">
        <v>207</v>
      </c>
      <c r="G604" s="22">
        <v>112.215</v>
      </c>
      <c r="I604" s="22">
        <v>536</v>
      </c>
      <c r="J604" s="111" t="s">
        <v>12</v>
      </c>
      <c r="L604" s="66">
        <f t="shared" si="11"/>
        <v>112.215</v>
      </c>
    </row>
    <row r="605" spans="1:12" x14ac:dyDescent="0.2">
      <c r="A605" s="22">
        <v>18923</v>
      </c>
      <c r="B605" s="22" t="s">
        <v>46</v>
      </c>
      <c r="C605" s="22">
        <v>12033011</v>
      </c>
      <c r="D605" s="22" t="s">
        <v>45</v>
      </c>
      <c r="E605" s="22">
        <v>235</v>
      </c>
      <c r="F605" s="22" t="s">
        <v>207</v>
      </c>
      <c r="G605" s="22">
        <v>112.215</v>
      </c>
      <c r="I605" s="22">
        <v>256</v>
      </c>
      <c r="J605" s="111" t="s">
        <v>12</v>
      </c>
      <c r="L605" s="66">
        <f t="shared" si="11"/>
        <v>112.215</v>
      </c>
    </row>
    <row r="606" spans="1:12" x14ac:dyDescent="0.2">
      <c r="A606" s="22">
        <v>18998</v>
      </c>
      <c r="B606" s="22" t="s">
        <v>47</v>
      </c>
      <c r="C606" s="22">
        <v>12038099</v>
      </c>
      <c r="D606" s="22" t="s">
        <v>48</v>
      </c>
      <c r="E606" s="22">
        <v>235</v>
      </c>
      <c r="F606" s="22" t="s">
        <v>207</v>
      </c>
      <c r="G606" s="22">
        <v>112.215</v>
      </c>
      <c r="I606" s="22">
        <v>1082</v>
      </c>
      <c r="J606" s="111" t="s">
        <v>12</v>
      </c>
      <c r="L606" s="66">
        <f t="shared" si="11"/>
        <v>112.215</v>
      </c>
    </row>
    <row r="607" spans="1:12" x14ac:dyDescent="0.2">
      <c r="A607" s="22">
        <v>115</v>
      </c>
      <c r="B607" s="22" t="s">
        <v>196</v>
      </c>
      <c r="C607" s="22">
        <v>12040400</v>
      </c>
      <c r="D607" s="22" t="s">
        <v>197</v>
      </c>
      <c r="E607" s="22">
        <v>235</v>
      </c>
      <c r="F607" s="22" t="s">
        <v>207</v>
      </c>
      <c r="G607" s="22">
        <v>112.215</v>
      </c>
      <c r="I607" s="22">
        <v>676</v>
      </c>
      <c r="J607" s="111" t="s">
        <v>12</v>
      </c>
      <c r="L607" s="66">
        <f t="shared" si="11"/>
        <v>112.215</v>
      </c>
    </row>
    <row r="608" spans="1:12" x14ac:dyDescent="0.2">
      <c r="A608" s="22">
        <v>19020</v>
      </c>
      <c r="B608" s="22" t="s">
        <v>66</v>
      </c>
      <c r="C608" s="22">
        <v>12040500</v>
      </c>
      <c r="D608" s="22" t="s">
        <v>67</v>
      </c>
      <c r="E608" s="22">
        <v>235</v>
      </c>
      <c r="F608" s="22" t="s">
        <v>207</v>
      </c>
      <c r="G608" s="22">
        <v>112.215</v>
      </c>
      <c r="I608" s="22">
        <v>338</v>
      </c>
      <c r="J608" s="111" t="s">
        <v>12</v>
      </c>
      <c r="L608" s="66">
        <f t="shared" si="11"/>
        <v>112.215</v>
      </c>
    </row>
    <row r="609" spans="1:12" x14ac:dyDescent="0.2">
      <c r="A609" s="22">
        <v>18649</v>
      </c>
      <c r="B609" s="22" t="s">
        <v>152</v>
      </c>
      <c r="C609" s="22">
        <v>12040500</v>
      </c>
      <c r="D609" s="22" t="s">
        <v>67</v>
      </c>
      <c r="E609" s="22">
        <v>235</v>
      </c>
      <c r="F609" s="22" t="s">
        <v>207</v>
      </c>
      <c r="G609" s="22">
        <v>112.215</v>
      </c>
      <c r="I609" s="22">
        <v>796</v>
      </c>
      <c r="J609" s="111" t="s">
        <v>12</v>
      </c>
      <c r="L609" s="66">
        <f t="shared" si="11"/>
        <v>112.215</v>
      </c>
    </row>
    <row r="610" spans="1:12" x14ac:dyDescent="0.2">
      <c r="A610" s="22">
        <v>18904</v>
      </c>
      <c r="B610" s="22" t="s">
        <v>119</v>
      </c>
      <c r="C610" s="22">
        <v>12040800</v>
      </c>
      <c r="D610" s="22" t="s">
        <v>120</v>
      </c>
      <c r="E610" s="22">
        <v>235</v>
      </c>
      <c r="F610" s="22" t="s">
        <v>207</v>
      </c>
      <c r="G610" s="22">
        <v>112.215</v>
      </c>
      <c r="I610" s="22">
        <v>320</v>
      </c>
      <c r="J610" s="111" t="s">
        <v>12</v>
      </c>
      <c r="L610" s="66">
        <f t="shared" si="11"/>
        <v>112.215</v>
      </c>
    </row>
    <row r="611" spans="1:12" x14ac:dyDescent="0.2">
      <c r="A611" s="22">
        <v>18839</v>
      </c>
      <c r="B611" s="22" t="s">
        <v>198</v>
      </c>
      <c r="C611" s="22">
        <v>12040800</v>
      </c>
      <c r="D611" s="22" t="s">
        <v>120</v>
      </c>
      <c r="E611" s="22">
        <v>235</v>
      </c>
      <c r="F611" s="22" t="s">
        <v>207</v>
      </c>
      <c r="G611" s="22">
        <v>112.215</v>
      </c>
      <c r="I611" s="22">
        <v>114</v>
      </c>
      <c r="J611" s="111" t="s">
        <v>12</v>
      </c>
      <c r="L611" s="66">
        <f t="shared" si="11"/>
        <v>112.215</v>
      </c>
    </row>
    <row r="612" spans="1:12" x14ac:dyDescent="0.2">
      <c r="A612" s="22">
        <v>18650</v>
      </c>
      <c r="B612" s="22" t="s">
        <v>49</v>
      </c>
      <c r="C612" s="22">
        <v>12042511</v>
      </c>
      <c r="D612" s="22" t="s">
        <v>50</v>
      </c>
      <c r="E612" s="22">
        <v>235</v>
      </c>
      <c r="F612" s="22" t="s">
        <v>207</v>
      </c>
      <c r="G612" s="22">
        <v>112.215</v>
      </c>
      <c r="I612" s="22">
        <v>272</v>
      </c>
      <c r="J612" s="111" t="s">
        <v>12</v>
      </c>
      <c r="L612" s="66">
        <f t="shared" si="11"/>
        <v>112.215</v>
      </c>
    </row>
    <row r="613" spans="1:12" x14ac:dyDescent="0.2">
      <c r="A613" s="22">
        <v>18924</v>
      </c>
      <c r="B613" s="22" t="s">
        <v>121</v>
      </c>
      <c r="C613" s="22">
        <v>12043011</v>
      </c>
      <c r="D613" s="22" t="s">
        <v>52</v>
      </c>
      <c r="E613" s="22">
        <v>235</v>
      </c>
      <c r="F613" s="22" t="s">
        <v>207</v>
      </c>
      <c r="G613" s="22">
        <v>112.215</v>
      </c>
      <c r="I613" s="22">
        <v>192</v>
      </c>
      <c r="J613" s="111" t="s">
        <v>12</v>
      </c>
      <c r="L613" s="66">
        <f t="shared" si="11"/>
        <v>112.215</v>
      </c>
    </row>
    <row r="614" spans="1:12" x14ac:dyDescent="0.2">
      <c r="A614" s="22">
        <v>18713</v>
      </c>
      <c r="B614" s="22" t="s">
        <v>154</v>
      </c>
      <c r="C614" s="22">
        <v>12043011</v>
      </c>
      <c r="D614" s="22" t="s">
        <v>52</v>
      </c>
      <c r="E614" s="22">
        <v>235</v>
      </c>
      <c r="F614" s="22" t="s">
        <v>207</v>
      </c>
      <c r="G614" s="22">
        <v>112.215</v>
      </c>
      <c r="I614" s="22">
        <v>802</v>
      </c>
      <c r="J614" s="111" t="s">
        <v>12</v>
      </c>
      <c r="L614" s="66">
        <f t="shared" si="11"/>
        <v>112.215</v>
      </c>
    </row>
    <row r="615" spans="1:12" x14ac:dyDescent="0.2">
      <c r="A615" s="22">
        <v>19023</v>
      </c>
      <c r="B615" s="22" t="s">
        <v>69</v>
      </c>
      <c r="C615" s="22">
        <v>12043011</v>
      </c>
      <c r="D615" s="22" t="s">
        <v>52</v>
      </c>
      <c r="E615" s="22">
        <v>235</v>
      </c>
      <c r="F615" s="22" t="s">
        <v>207</v>
      </c>
      <c r="G615" s="22">
        <v>112.215</v>
      </c>
      <c r="I615" s="22">
        <v>50</v>
      </c>
      <c r="J615" s="111" t="s">
        <v>12</v>
      </c>
      <c r="L615" s="66">
        <f t="shared" si="11"/>
        <v>112.215</v>
      </c>
    </row>
    <row r="616" spans="1:12" x14ac:dyDescent="0.2">
      <c r="A616" s="22">
        <v>18986</v>
      </c>
      <c r="B616" s="22" t="s">
        <v>153</v>
      </c>
      <c r="C616" s="22">
        <v>12043011</v>
      </c>
      <c r="D616" s="22" t="s">
        <v>52</v>
      </c>
      <c r="E616" s="22">
        <v>235</v>
      </c>
      <c r="F616" s="22" t="s">
        <v>207</v>
      </c>
      <c r="G616" s="22">
        <v>112.215</v>
      </c>
      <c r="I616" s="22">
        <v>344</v>
      </c>
      <c r="J616" s="111" t="s">
        <v>12</v>
      </c>
      <c r="L616" s="66">
        <f t="shared" si="11"/>
        <v>112.215</v>
      </c>
    </row>
    <row r="617" spans="1:12" x14ac:dyDescent="0.2">
      <c r="A617" s="22">
        <v>18703</v>
      </c>
      <c r="B617" s="22" t="s">
        <v>126</v>
      </c>
      <c r="C617" s="22">
        <v>12043011</v>
      </c>
      <c r="D617" s="22" t="s">
        <v>52</v>
      </c>
      <c r="E617" s="22">
        <v>235</v>
      </c>
      <c r="F617" s="22" t="s">
        <v>207</v>
      </c>
      <c r="G617" s="22">
        <v>112.215</v>
      </c>
      <c r="I617" s="22">
        <v>518</v>
      </c>
      <c r="J617" s="111" t="s">
        <v>12</v>
      </c>
      <c r="L617" s="66">
        <f t="shared" si="11"/>
        <v>112.215</v>
      </c>
    </row>
    <row r="618" spans="1:12" x14ac:dyDescent="0.2">
      <c r="A618" s="22">
        <v>18850</v>
      </c>
      <c r="B618" s="22" t="s">
        <v>123</v>
      </c>
      <c r="C618" s="22">
        <v>12043011</v>
      </c>
      <c r="D618" s="22" t="s">
        <v>52</v>
      </c>
      <c r="E618" s="22">
        <v>235</v>
      </c>
      <c r="F618" s="22" t="s">
        <v>207</v>
      </c>
      <c r="G618" s="22">
        <v>112.215</v>
      </c>
      <c r="I618" s="22">
        <v>456</v>
      </c>
      <c r="J618" s="111" t="s">
        <v>12</v>
      </c>
      <c r="L618" s="66">
        <f t="shared" si="11"/>
        <v>112.215</v>
      </c>
    </row>
    <row r="619" spans="1:12" x14ac:dyDescent="0.2">
      <c r="A619" s="22">
        <v>19039</v>
      </c>
      <c r="B619" s="22" t="s">
        <v>443</v>
      </c>
      <c r="C619" s="22">
        <v>12043011</v>
      </c>
      <c r="D619" s="22" t="s">
        <v>52</v>
      </c>
      <c r="E619" s="22">
        <v>235</v>
      </c>
      <c r="F619" s="22" t="s">
        <v>207</v>
      </c>
      <c r="G619" s="22">
        <v>112.215</v>
      </c>
      <c r="I619" s="22">
        <v>306</v>
      </c>
      <c r="J619" s="111" t="s">
        <v>12</v>
      </c>
      <c r="L619" s="66">
        <f t="shared" si="11"/>
        <v>112.215</v>
      </c>
    </row>
    <row r="620" spans="1:12" x14ac:dyDescent="0.2">
      <c r="A620" s="22">
        <v>18646</v>
      </c>
      <c r="B620" s="22" t="s">
        <v>124</v>
      </c>
      <c r="C620" s="22">
        <v>12043011</v>
      </c>
      <c r="D620" s="22" t="s">
        <v>52</v>
      </c>
      <c r="E620" s="22">
        <v>235</v>
      </c>
      <c r="F620" s="22" t="s">
        <v>207</v>
      </c>
      <c r="G620" s="22">
        <v>112.215</v>
      </c>
      <c r="I620" s="22">
        <v>584</v>
      </c>
      <c r="J620" s="111" t="s">
        <v>12</v>
      </c>
      <c r="L620" s="66">
        <f t="shared" si="11"/>
        <v>112.215</v>
      </c>
    </row>
    <row r="621" spans="1:12" x14ac:dyDescent="0.2">
      <c r="A621" s="22">
        <v>18942</v>
      </c>
      <c r="B621" s="22" t="s">
        <v>51</v>
      </c>
      <c r="C621" s="22">
        <v>12043011</v>
      </c>
      <c r="D621" s="22" t="s">
        <v>52</v>
      </c>
      <c r="E621" s="22">
        <v>235</v>
      </c>
      <c r="F621" s="22" t="s">
        <v>207</v>
      </c>
      <c r="G621" s="22">
        <v>112.215</v>
      </c>
      <c r="I621" s="22">
        <v>476</v>
      </c>
      <c r="J621" s="111" t="s">
        <v>12</v>
      </c>
      <c r="L621" s="66">
        <f t="shared" si="11"/>
        <v>112.215</v>
      </c>
    </row>
    <row r="622" spans="1:12" x14ac:dyDescent="0.2">
      <c r="A622" s="22">
        <v>18990</v>
      </c>
      <c r="B622" s="22" t="s">
        <v>125</v>
      </c>
      <c r="C622" s="22">
        <v>12043011</v>
      </c>
      <c r="D622" s="22" t="s">
        <v>52</v>
      </c>
      <c r="E622" s="22">
        <v>235</v>
      </c>
      <c r="F622" s="22" t="s">
        <v>207</v>
      </c>
      <c r="G622" s="22">
        <v>112.215</v>
      </c>
      <c r="I622" s="22">
        <v>268</v>
      </c>
      <c r="J622" s="111" t="s">
        <v>12</v>
      </c>
      <c r="L622" s="66">
        <f t="shared" si="11"/>
        <v>112.215</v>
      </c>
    </row>
    <row r="623" spans="1:12" x14ac:dyDescent="0.2">
      <c r="A623" s="22">
        <v>18970</v>
      </c>
      <c r="B623" s="22" t="s">
        <v>200</v>
      </c>
      <c r="C623" s="22">
        <v>12043123</v>
      </c>
      <c r="D623" s="22" t="s">
        <v>201</v>
      </c>
      <c r="E623" s="22">
        <v>235</v>
      </c>
      <c r="F623" s="22" t="s">
        <v>207</v>
      </c>
      <c r="G623" s="22">
        <v>112.215</v>
      </c>
      <c r="I623" s="22">
        <v>236</v>
      </c>
      <c r="J623" s="111" t="s">
        <v>12</v>
      </c>
      <c r="L623" s="66">
        <f t="shared" si="11"/>
        <v>112.215</v>
      </c>
    </row>
    <row r="624" spans="1:12" x14ac:dyDescent="0.2">
      <c r="A624" s="22">
        <v>18976</v>
      </c>
      <c r="B624" s="22" t="s">
        <v>202</v>
      </c>
      <c r="C624" s="22">
        <v>12048099</v>
      </c>
      <c r="D624" s="22" t="s">
        <v>156</v>
      </c>
      <c r="E624" s="22">
        <v>235</v>
      </c>
      <c r="F624" s="22" t="s">
        <v>207</v>
      </c>
      <c r="G624" s="22">
        <v>112.215</v>
      </c>
      <c r="I624" s="22">
        <v>390</v>
      </c>
      <c r="J624" s="111" t="s">
        <v>12</v>
      </c>
      <c r="L624" s="66">
        <f t="shared" si="11"/>
        <v>112.215</v>
      </c>
    </row>
    <row r="625" spans="1:12" x14ac:dyDescent="0.2">
      <c r="A625" s="22">
        <v>19031</v>
      </c>
      <c r="B625" s="22" t="s">
        <v>387</v>
      </c>
      <c r="C625" s="22">
        <v>12048099</v>
      </c>
      <c r="D625" s="22" t="s">
        <v>156</v>
      </c>
      <c r="E625" s="22">
        <v>235</v>
      </c>
      <c r="F625" s="22" t="s">
        <v>207</v>
      </c>
      <c r="G625" s="22">
        <v>112.215</v>
      </c>
      <c r="I625" s="22">
        <v>1002</v>
      </c>
      <c r="J625" s="111" t="s">
        <v>12</v>
      </c>
      <c r="L625" s="66">
        <f t="shared" si="11"/>
        <v>112.215</v>
      </c>
    </row>
    <row r="626" spans="1:12" x14ac:dyDescent="0.2">
      <c r="A626" s="22">
        <v>18442</v>
      </c>
      <c r="B626" s="22" t="s">
        <v>157</v>
      </c>
      <c r="C626" s="22">
        <v>12060400</v>
      </c>
      <c r="D626" s="22" t="s">
        <v>158</v>
      </c>
      <c r="E626" s="22">
        <v>235</v>
      </c>
      <c r="F626" s="22" t="s">
        <v>207</v>
      </c>
      <c r="G626" s="22">
        <v>112.215</v>
      </c>
      <c r="I626" s="22">
        <v>510</v>
      </c>
      <c r="J626" s="111" t="s">
        <v>12</v>
      </c>
      <c r="L626" s="66">
        <f t="shared" si="11"/>
        <v>112.215</v>
      </c>
    </row>
    <row r="627" spans="1:12" x14ac:dyDescent="0.2">
      <c r="A627" s="22">
        <v>18996</v>
      </c>
      <c r="B627" s="22" t="s">
        <v>127</v>
      </c>
      <c r="C627" s="22">
        <v>12060611</v>
      </c>
      <c r="D627" s="22" t="s">
        <v>54</v>
      </c>
      <c r="E627" s="22">
        <v>235</v>
      </c>
      <c r="F627" s="22" t="s">
        <v>207</v>
      </c>
      <c r="G627" s="22">
        <v>112.215</v>
      </c>
      <c r="I627" s="22">
        <v>506</v>
      </c>
      <c r="J627" s="111" t="s">
        <v>12</v>
      </c>
      <c r="L627" s="66">
        <f t="shared" si="11"/>
        <v>112.215</v>
      </c>
    </row>
    <row r="628" spans="1:12" x14ac:dyDescent="0.2">
      <c r="A628" s="22">
        <v>18823</v>
      </c>
      <c r="B628" s="22" t="s">
        <v>53</v>
      </c>
      <c r="C628" s="22">
        <v>12060611</v>
      </c>
      <c r="D628" s="22" t="s">
        <v>54</v>
      </c>
      <c r="E628" s="22">
        <v>235</v>
      </c>
      <c r="F628" s="22" t="s">
        <v>207</v>
      </c>
      <c r="G628" s="22">
        <v>112.215</v>
      </c>
      <c r="I628" s="22">
        <v>620</v>
      </c>
      <c r="J628" s="111" t="s">
        <v>12</v>
      </c>
      <c r="L628" s="66">
        <f t="shared" si="11"/>
        <v>112.215</v>
      </c>
    </row>
    <row r="629" spans="1:12" x14ac:dyDescent="0.2">
      <c r="A629" s="22">
        <v>18634</v>
      </c>
      <c r="B629" s="22" t="s">
        <v>129</v>
      </c>
      <c r="C629" s="22">
        <v>12060611</v>
      </c>
      <c r="D629" s="22" t="s">
        <v>54</v>
      </c>
      <c r="E629" s="22">
        <v>235</v>
      </c>
      <c r="F629" s="22" t="s">
        <v>207</v>
      </c>
      <c r="G629" s="22">
        <v>112.215</v>
      </c>
      <c r="I629" s="22">
        <v>148</v>
      </c>
      <c r="J629" s="111" t="s">
        <v>12</v>
      </c>
      <c r="L629" s="66">
        <f t="shared" si="11"/>
        <v>112.215</v>
      </c>
    </row>
    <row r="630" spans="1:12" x14ac:dyDescent="0.2">
      <c r="A630" s="22">
        <v>18927</v>
      </c>
      <c r="B630" s="22" t="s">
        <v>55</v>
      </c>
      <c r="C630" s="22">
        <v>12060611</v>
      </c>
      <c r="D630" s="22" t="s">
        <v>54</v>
      </c>
      <c r="E630" s="22">
        <v>235</v>
      </c>
      <c r="F630" s="22" t="s">
        <v>207</v>
      </c>
      <c r="G630" s="22">
        <v>112.215</v>
      </c>
      <c r="I630" s="22">
        <v>416</v>
      </c>
      <c r="J630" s="111" t="s">
        <v>12</v>
      </c>
      <c r="L630" s="66">
        <f t="shared" si="11"/>
        <v>112.215</v>
      </c>
    </row>
    <row r="631" spans="1:12" x14ac:dyDescent="0.2">
      <c r="A631" s="22">
        <v>261</v>
      </c>
      <c r="B631" s="22" t="s">
        <v>159</v>
      </c>
      <c r="C631" s="22">
        <v>12060611</v>
      </c>
      <c r="D631" s="22" t="s">
        <v>54</v>
      </c>
      <c r="E631" s="22">
        <v>235</v>
      </c>
      <c r="F631" s="22" t="s">
        <v>207</v>
      </c>
      <c r="G631" s="22">
        <v>112.215</v>
      </c>
      <c r="I631" s="22">
        <v>644</v>
      </c>
      <c r="J631" s="111" t="s">
        <v>12</v>
      </c>
      <c r="L631" s="66">
        <f t="shared" si="11"/>
        <v>112.215</v>
      </c>
    </row>
    <row r="632" spans="1:12" x14ac:dyDescent="0.2">
      <c r="A632" s="22">
        <v>18895</v>
      </c>
      <c r="B632" s="22" t="s">
        <v>128</v>
      </c>
      <c r="C632" s="22">
        <v>12060611</v>
      </c>
      <c r="D632" s="22" t="s">
        <v>54</v>
      </c>
      <c r="E632" s="22">
        <v>235</v>
      </c>
      <c r="F632" s="22" t="s">
        <v>207</v>
      </c>
      <c r="G632" s="22">
        <v>112.215</v>
      </c>
      <c r="I632" s="22">
        <v>248</v>
      </c>
      <c r="J632" s="111" t="s">
        <v>12</v>
      </c>
      <c r="L632" s="66">
        <f t="shared" si="11"/>
        <v>112.215</v>
      </c>
    </row>
    <row r="633" spans="1:12" x14ac:dyDescent="0.2">
      <c r="A633" s="22">
        <v>18898</v>
      </c>
      <c r="B633" s="22" t="s">
        <v>130</v>
      </c>
      <c r="C633" s="22">
        <v>12060611</v>
      </c>
      <c r="D633" s="22" t="s">
        <v>54</v>
      </c>
      <c r="E633" s="22">
        <v>235</v>
      </c>
      <c r="F633" s="22" t="s">
        <v>207</v>
      </c>
      <c r="G633" s="22">
        <v>112.215</v>
      </c>
      <c r="I633" s="22">
        <v>410</v>
      </c>
      <c r="J633" s="111" t="s">
        <v>12</v>
      </c>
      <c r="L633" s="66">
        <f t="shared" si="11"/>
        <v>112.215</v>
      </c>
    </row>
    <row r="634" spans="1:12" x14ac:dyDescent="0.2">
      <c r="A634" s="22">
        <v>18791</v>
      </c>
      <c r="B634" s="22" t="s">
        <v>132</v>
      </c>
      <c r="C634" s="22">
        <v>12060711</v>
      </c>
      <c r="D634" s="22" t="s">
        <v>133</v>
      </c>
      <c r="E634" s="22">
        <v>235</v>
      </c>
      <c r="F634" s="22" t="s">
        <v>207</v>
      </c>
      <c r="G634" s="22">
        <v>112.215</v>
      </c>
      <c r="I634" s="22">
        <v>428</v>
      </c>
      <c r="J634" s="111" t="s">
        <v>12</v>
      </c>
      <c r="L634" s="66">
        <f t="shared" si="11"/>
        <v>112.215</v>
      </c>
    </row>
    <row r="635" spans="1:12" x14ac:dyDescent="0.2">
      <c r="A635" s="22">
        <v>18953</v>
      </c>
      <c r="B635" s="22" t="s">
        <v>136</v>
      </c>
      <c r="C635" s="22">
        <v>12060800</v>
      </c>
      <c r="D635" s="22" t="s">
        <v>135</v>
      </c>
      <c r="E635" s="22">
        <v>235</v>
      </c>
      <c r="F635" s="22" t="s">
        <v>207</v>
      </c>
      <c r="G635" s="22">
        <v>112.215</v>
      </c>
      <c r="I635" s="22">
        <v>276</v>
      </c>
      <c r="J635" s="111" t="s">
        <v>12</v>
      </c>
      <c r="L635" s="66">
        <f t="shared" si="11"/>
        <v>112.215</v>
      </c>
    </row>
    <row r="636" spans="1:12" x14ac:dyDescent="0.2">
      <c r="A636" s="22">
        <v>18561</v>
      </c>
      <c r="B636" s="22" t="s">
        <v>134</v>
      </c>
      <c r="C636" s="22">
        <v>12060800</v>
      </c>
      <c r="D636" s="22" t="s">
        <v>135</v>
      </c>
      <c r="E636" s="22">
        <v>235</v>
      </c>
      <c r="F636" s="22" t="s">
        <v>207</v>
      </c>
      <c r="G636" s="22">
        <v>112.215</v>
      </c>
      <c r="I636" s="22">
        <v>606</v>
      </c>
      <c r="J636" s="111" t="s">
        <v>12</v>
      </c>
      <c r="L636" s="66">
        <f t="shared" si="11"/>
        <v>112.215</v>
      </c>
    </row>
    <row r="637" spans="1:12" x14ac:dyDescent="0.2">
      <c r="A637" s="22">
        <v>18792</v>
      </c>
      <c r="B637" s="22" t="s">
        <v>56</v>
      </c>
      <c r="C637" s="22">
        <v>12062511</v>
      </c>
      <c r="D637" s="22" t="s">
        <v>57</v>
      </c>
      <c r="E637" s="22">
        <v>235</v>
      </c>
      <c r="F637" s="22" t="s">
        <v>207</v>
      </c>
      <c r="G637" s="22">
        <v>112.215</v>
      </c>
      <c r="I637" s="22">
        <v>326</v>
      </c>
      <c r="J637" s="111" t="s">
        <v>12</v>
      </c>
      <c r="L637" s="66">
        <f t="shared" si="11"/>
        <v>112.215</v>
      </c>
    </row>
    <row r="638" spans="1:12" x14ac:dyDescent="0.2">
      <c r="A638" s="22">
        <v>18506</v>
      </c>
      <c r="B638" s="22" t="s">
        <v>438</v>
      </c>
      <c r="C638" s="22">
        <v>12062511</v>
      </c>
      <c r="D638" s="22" t="s">
        <v>57</v>
      </c>
      <c r="E638" s="22">
        <v>235</v>
      </c>
      <c r="F638" s="22" t="s">
        <v>207</v>
      </c>
      <c r="G638" s="22">
        <v>112.215</v>
      </c>
      <c r="I638" s="22">
        <v>6</v>
      </c>
      <c r="J638" s="111" t="s">
        <v>12</v>
      </c>
      <c r="L638" s="66">
        <f t="shared" si="11"/>
        <v>112.215</v>
      </c>
    </row>
    <row r="639" spans="1:12" x14ac:dyDescent="0.2">
      <c r="A639" s="22">
        <v>19037</v>
      </c>
      <c r="B639" s="22" t="s">
        <v>441</v>
      </c>
      <c r="C639" s="22">
        <v>12063011</v>
      </c>
      <c r="D639" s="22" t="s">
        <v>442</v>
      </c>
      <c r="E639" s="22">
        <v>235</v>
      </c>
      <c r="F639" s="22" t="s">
        <v>207</v>
      </c>
      <c r="G639" s="22">
        <v>112.215</v>
      </c>
      <c r="I639" s="22">
        <v>54</v>
      </c>
      <c r="J639" s="111" t="s">
        <v>12</v>
      </c>
      <c r="L639" s="66">
        <f t="shared" si="11"/>
        <v>112.215</v>
      </c>
    </row>
    <row r="640" spans="1:12" x14ac:dyDescent="0.2">
      <c r="A640" s="22">
        <v>18876</v>
      </c>
      <c r="B640" s="22" t="s">
        <v>160</v>
      </c>
      <c r="C640" s="22">
        <v>12068099</v>
      </c>
      <c r="D640" s="22" t="s">
        <v>161</v>
      </c>
      <c r="E640" s="22">
        <v>235</v>
      </c>
      <c r="F640" s="22" t="s">
        <v>207</v>
      </c>
      <c r="G640" s="22">
        <v>112.215</v>
      </c>
      <c r="I640" s="22">
        <v>1082</v>
      </c>
      <c r="J640" s="111" t="s">
        <v>12</v>
      </c>
      <c r="L640" s="66">
        <f t="shared" si="11"/>
        <v>112.215</v>
      </c>
    </row>
    <row r="641" spans="1:12" x14ac:dyDescent="0.2">
      <c r="A641" s="22">
        <v>18726</v>
      </c>
      <c r="B641" s="22" t="s">
        <v>162</v>
      </c>
      <c r="C641" s="22">
        <v>12010500</v>
      </c>
      <c r="D641" s="22" t="s">
        <v>60</v>
      </c>
      <c r="E641" s="22">
        <v>299</v>
      </c>
      <c r="F641" s="22" t="s">
        <v>208</v>
      </c>
      <c r="G641" s="22" t="s">
        <v>206</v>
      </c>
      <c r="I641" s="22">
        <v>5175.6899999999996</v>
      </c>
      <c r="J641" s="111" t="s">
        <v>12</v>
      </c>
      <c r="L641" s="66" t="str">
        <f t="shared" si="11"/>
        <v>112.2160.100</v>
      </c>
    </row>
    <row r="642" spans="1:12" x14ac:dyDescent="0.2">
      <c r="A642" s="22">
        <v>18517</v>
      </c>
      <c r="B642" s="22" t="s">
        <v>140</v>
      </c>
      <c r="C642" s="22">
        <v>12010500</v>
      </c>
      <c r="D642" s="22" t="s">
        <v>60</v>
      </c>
      <c r="E642" s="22">
        <v>299</v>
      </c>
      <c r="F642" s="22" t="s">
        <v>208</v>
      </c>
      <c r="G642" s="22" t="s">
        <v>206</v>
      </c>
      <c r="I642" s="22">
        <v>3997.39</v>
      </c>
      <c r="J642" s="111" t="s">
        <v>12</v>
      </c>
      <c r="L642" s="66" t="str">
        <f t="shared" si="11"/>
        <v>112.2160.100</v>
      </c>
    </row>
    <row r="643" spans="1:12" x14ac:dyDescent="0.2">
      <c r="A643" s="22">
        <v>18871</v>
      </c>
      <c r="B643" s="22" t="s">
        <v>168</v>
      </c>
      <c r="C643" s="22">
        <v>12010500</v>
      </c>
      <c r="D643" s="22" t="s">
        <v>60</v>
      </c>
      <c r="E643" s="22">
        <v>299</v>
      </c>
      <c r="F643" s="22" t="s">
        <v>208</v>
      </c>
      <c r="G643" s="22" t="s">
        <v>206</v>
      </c>
      <c r="I643" s="22">
        <v>3136.78</v>
      </c>
      <c r="J643" s="111" t="s">
        <v>12</v>
      </c>
      <c r="L643" s="66" t="str">
        <f t="shared" si="11"/>
        <v>112.2160.100</v>
      </c>
    </row>
    <row r="644" spans="1:12" x14ac:dyDescent="0.2">
      <c r="A644" s="22">
        <v>18647</v>
      </c>
      <c r="B644" s="22" t="s">
        <v>167</v>
      </c>
      <c r="C644" s="22">
        <v>12010500</v>
      </c>
      <c r="D644" s="22" t="s">
        <v>60</v>
      </c>
      <c r="E644" s="22">
        <v>299</v>
      </c>
      <c r="F644" s="22" t="s">
        <v>208</v>
      </c>
      <c r="G644" s="22" t="s">
        <v>206</v>
      </c>
      <c r="I644" s="22">
        <v>3095.12</v>
      </c>
      <c r="J644" s="111" t="s">
        <v>12</v>
      </c>
      <c r="L644" s="66" t="str">
        <f t="shared" si="11"/>
        <v>112.2160.100</v>
      </c>
    </row>
    <row r="645" spans="1:12" x14ac:dyDescent="0.2">
      <c r="A645" s="22">
        <v>152</v>
      </c>
      <c r="B645" s="22" t="s">
        <v>169</v>
      </c>
      <c r="C645" s="22">
        <v>12010700</v>
      </c>
      <c r="D645" s="22" t="s">
        <v>170</v>
      </c>
      <c r="E645" s="22">
        <v>299</v>
      </c>
      <c r="F645" s="22" t="s">
        <v>208</v>
      </c>
      <c r="G645" s="22" t="s">
        <v>206</v>
      </c>
      <c r="I645" s="22">
        <v>2884.15</v>
      </c>
      <c r="J645" s="111" t="s">
        <v>12</v>
      </c>
      <c r="L645" s="66" t="str">
        <f t="shared" si="11"/>
        <v>112.2160.100</v>
      </c>
    </row>
    <row r="646" spans="1:12" x14ac:dyDescent="0.2">
      <c r="A646" s="22">
        <v>18736</v>
      </c>
      <c r="B646" s="22" t="s">
        <v>70</v>
      </c>
      <c r="C646" s="22">
        <v>12013012</v>
      </c>
      <c r="D646" s="22" t="s">
        <v>71</v>
      </c>
      <c r="E646" s="22">
        <v>299</v>
      </c>
      <c r="F646" s="22" t="s">
        <v>208</v>
      </c>
      <c r="G646" s="22" t="s">
        <v>206</v>
      </c>
      <c r="I646" s="22">
        <v>633.14</v>
      </c>
      <c r="J646" s="111" t="s">
        <v>12</v>
      </c>
      <c r="L646" s="66" t="str">
        <f t="shared" si="11"/>
        <v>112.2160.100</v>
      </c>
    </row>
    <row r="647" spans="1:12" x14ac:dyDescent="0.2">
      <c r="A647" s="22">
        <v>19014</v>
      </c>
      <c r="B647" s="22" t="s">
        <v>171</v>
      </c>
      <c r="C647" s="22">
        <v>12013012</v>
      </c>
      <c r="D647" s="22" t="s">
        <v>71</v>
      </c>
      <c r="E647" s="22">
        <v>299</v>
      </c>
      <c r="F647" s="22" t="s">
        <v>208</v>
      </c>
      <c r="G647" s="22" t="s">
        <v>206</v>
      </c>
      <c r="I647" s="22">
        <v>1926</v>
      </c>
      <c r="J647" s="111" t="s">
        <v>12</v>
      </c>
      <c r="L647" s="66" t="str">
        <f t="shared" si="11"/>
        <v>112.2160.100</v>
      </c>
    </row>
    <row r="648" spans="1:12" x14ac:dyDescent="0.2">
      <c r="A648" s="22">
        <v>18946</v>
      </c>
      <c r="B648" s="22" t="s">
        <v>13</v>
      </c>
      <c r="C648" s="22">
        <v>12013250</v>
      </c>
      <c r="D648" s="22" t="s">
        <v>10</v>
      </c>
      <c r="E648" s="22">
        <v>299</v>
      </c>
      <c r="F648" s="22" t="s">
        <v>208</v>
      </c>
      <c r="G648" s="22" t="s">
        <v>206</v>
      </c>
      <c r="I648" s="22">
        <v>1750.42</v>
      </c>
      <c r="J648" s="111" t="s">
        <v>12</v>
      </c>
      <c r="L648" s="66" t="str">
        <f t="shared" si="11"/>
        <v>112.2160.100</v>
      </c>
    </row>
    <row r="649" spans="1:12" x14ac:dyDescent="0.2">
      <c r="A649" s="22">
        <v>18995</v>
      </c>
      <c r="B649" s="22" t="s">
        <v>174</v>
      </c>
      <c r="C649" s="22">
        <v>12013250</v>
      </c>
      <c r="D649" s="22" t="s">
        <v>10</v>
      </c>
      <c r="E649" s="22">
        <v>299</v>
      </c>
      <c r="F649" s="22" t="s">
        <v>208</v>
      </c>
      <c r="G649" s="22" t="s">
        <v>206</v>
      </c>
      <c r="I649" s="22">
        <v>1877.69</v>
      </c>
      <c r="J649" s="111" t="s">
        <v>12</v>
      </c>
      <c r="L649" s="66" t="str">
        <f t="shared" si="11"/>
        <v>112.2160.100</v>
      </c>
    </row>
    <row r="650" spans="1:12" x14ac:dyDescent="0.2">
      <c r="A650" s="22">
        <v>18987</v>
      </c>
      <c r="B650" s="22" t="s">
        <v>173</v>
      </c>
      <c r="C650" s="22">
        <v>12013250</v>
      </c>
      <c r="D650" s="22" t="s">
        <v>10</v>
      </c>
      <c r="E650" s="22">
        <v>299</v>
      </c>
      <c r="F650" s="22" t="s">
        <v>208</v>
      </c>
      <c r="G650" s="22" t="s">
        <v>206</v>
      </c>
      <c r="I650" s="22">
        <v>2380.9299999999998</v>
      </c>
      <c r="J650" s="111" t="s">
        <v>12</v>
      </c>
      <c r="L650" s="66" t="str">
        <f t="shared" si="11"/>
        <v>112.2160.100</v>
      </c>
    </row>
    <row r="651" spans="1:12" x14ac:dyDescent="0.2">
      <c r="A651" s="22">
        <v>18721</v>
      </c>
      <c r="B651" s="22" t="s">
        <v>172</v>
      </c>
      <c r="C651" s="22">
        <v>12013250</v>
      </c>
      <c r="D651" s="22" t="s">
        <v>10</v>
      </c>
      <c r="E651" s="22">
        <v>299</v>
      </c>
      <c r="F651" s="22" t="s">
        <v>208</v>
      </c>
      <c r="G651" s="22" t="s">
        <v>206</v>
      </c>
      <c r="I651" s="22">
        <v>2203.6999999999998</v>
      </c>
      <c r="J651" s="111" t="s">
        <v>12</v>
      </c>
      <c r="L651" s="66" t="str">
        <f t="shared" si="11"/>
        <v>112.2160.100</v>
      </c>
    </row>
    <row r="652" spans="1:12" x14ac:dyDescent="0.2">
      <c r="A652" s="22">
        <v>18920</v>
      </c>
      <c r="B652" s="22" t="s">
        <v>9</v>
      </c>
      <c r="C652" s="22">
        <v>12013250</v>
      </c>
      <c r="D652" s="22" t="s">
        <v>10</v>
      </c>
      <c r="E652" s="22">
        <v>299</v>
      </c>
      <c r="F652" s="22" t="s">
        <v>208</v>
      </c>
      <c r="G652" s="22" t="s">
        <v>206</v>
      </c>
      <c r="I652" s="22">
        <v>3905.54</v>
      </c>
      <c r="J652" s="111" t="s">
        <v>12</v>
      </c>
      <c r="L652" s="66" t="str">
        <f t="shared" si="11"/>
        <v>112.2160.100</v>
      </c>
    </row>
    <row r="653" spans="1:12" x14ac:dyDescent="0.2">
      <c r="A653" s="22">
        <v>18988</v>
      </c>
      <c r="B653" s="22" t="s">
        <v>175</v>
      </c>
      <c r="C653" s="22">
        <v>12013250</v>
      </c>
      <c r="D653" s="22" t="s">
        <v>10</v>
      </c>
      <c r="E653" s="22">
        <v>299</v>
      </c>
      <c r="F653" s="22" t="s">
        <v>208</v>
      </c>
      <c r="G653" s="22" t="s">
        <v>206</v>
      </c>
      <c r="I653" s="22">
        <v>2128.31</v>
      </c>
      <c r="J653" s="111" t="s">
        <v>12</v>
      </c>
      <c r="L653" s="66" t="str">
        <f t="shared" si="11"/>
        <v>112.2160.100</v>
      </c>
    </row>
    <row r="654" spans="1:12" x14ac:dyDescent="0.2">
      <c r="A654" s="22">
        <v>220</v>
      </c>
      <c r="B654" s="22" t="s">
        <v>14</v>
      </c>
      <c r="C654" s="22">
        <v>12013300</v>
      </c>
      <c r="D654" s="22" t="s">
        <v>15</v>
      </c>
      <c r="E654" s="22">
        <v>299</v>
      </c>
      <c r="F654" s="22" t="s">
        <v>208</v>
      </c>
      <c r="G654" s="22" t="s">
        <v>206</v>
      </c>
      <c r="I654" s="22">
        <v>2373.1</v>
      </c>
      <c r="J654" s="111" t="s">
        <v>12</v>
      </c>
      <c r="L654" s="66" t="str">
        <f t="shared" si="11"/>
        <v>112.2160.100</v>
      </c>
    </row>
    <row r="655" spans="1:12" x14ac:dyDescent="0.2">
      <c r="A655" s="22">
        <v>18716</v>
      </c>
      <c r="B655" s="22" t="s">
        <v>16</v>
      </c>
      <c r="C655" s="22">
        <v>12018099</v>
      </c>
      <c r="D655" s="22" t="s">
        <v>17</v>
      </c>
      <c r="E655" s="22">
        <v>299</v>
      </c>
      <c r="F655" s="22" t="s">
        <v>208</v>
      </c>
      <c r="G655" s="22" t="s">
        <v>206</v>
      </c>
      <c r="I655" s="22">
        <v>4278.93</v>
      </c>
      <c r="J655" s="111" t="s">
        <v>12</v>
      </c>
      <c r="L655" s="66" t="str">
        <f t="shared" si="11"/>
        <v>112.2160.100</v>
      </c>
    </row>
    <row r="656" spans="1:12" x14ac:dyDescent="0.2">
      <c r="A656" s="22">
        <v>18948</v>
      </c>
      <c r="B656" s="22" t="s">
        <v>142</v>
      </c>
      <c r="C656" s="22">
        <v>12018099</v>
      </c>
      <c r="D656" s="22" t="s">
        <v>17</v>
      </c>
      <c r="E656" s="22">
        <v>299</v>
      </c>
      <c r="F656" s="22" t="s">
        <v>208</v>
      </c>
      <c r="G656" s="22" t="s">
        <v>206</v>
      </c>
      <c r="I656" s="22">
        <v>2531.6999999999998</v>
      </c>
      <c r="J656" s="111" t="s">
        <v>12</v>
      </c>
      <c r="L656" s="66" t="str">
        <f t="shared" si="11"/>
        <v>112.2160.100</v>
      </c>
    </row>
    <row r="657" spans="1:12" x14ac:dyDescent="0.2">
      <c r="A657" s="22">
        <v>18862</v>
      </c>
      <c r="B657" s="22" t="s">
        <v>145</v>
      </c>
      <c r="C657" s="22">
        <v>12018599</v>
      </c>
      <c r="D657" s="22" t="s">
        <v>144</v>
      </c>
      <c r="E657" s="22">
        <v>299</v>
      </c>
      <c r="F657" s="22" t="s">
        <v>208</v>
      </c>
      <c r="G657" s="22" t="s">
        <v>206</v>
      </c>
      <c r="I657" s="22">
        <v>2021.85</v>
      </c>
      <c r="J657" s="111" t="s">
        <v>12</v>
      </c>
      <c r="L657" s="66" t="str">
        <f t="shared" si="11"/>
        <v>112.2160.100</v>
      </c>
    </row>
    <row r="658" spans="1:12" x14ac:dyDescent="0.2">
      <c r="A658" s="22">
        <v>18969</v>
      </c>
      <c r="B658" s="22" t="s">
        <v>143</v>
      </c>
      <c r="C658" s="22">
        <v>12018599</v>
      </c>
      <c r="D658" s="22" t="s">
        <v>144</v>
      </c>
      <c r="E658" s="22">
        <v>299</v>
      </c>
      <c r="F658" s="22" t="s">
        <v>208</v>
      </c>
      <c r="G658" s="22" t="s">
        <v>206</v>
      </c>
      <c r="I658" s="22">
        <v>4033.85</v>
      </c>
      <c r="J658" s="111" t="s">
        <v>12</v>
      </c>
      <c r="L658" s="66" t="str">
        <f t="shared" si="11"/>
        <v>112.2160.100</v>
      </c>
    </row>
    <row r="659" spans="1:12" x14ac:dyDescent="0.2">
      <c r="A659" s="22">
        <v>18886</v>
      </c>
      <c r="B659" s="22" t="s">
        <v>18</v>
      </c>
      <c r="C659" s="22">
        <v>12019099</v>
      </c>
      <c r="D659" s="22" t="s">
        <v>19</v>
      </c>
      <c r="E659" s="22">
        <v>299</v>
      </c>
      <c r="F659" s="22" t="s">
        <v>208</v>
      </c>
      <c r="G659" s="22" t="s">
        <v>206</v>
      </c>
      <c r="I659" s="22">
        <v>6148.2</v>
      </c>
      <c r="J659" s="111" t="s">
        <v>12</v>
      </c>
      <c r="L659" s="66" t="str">
        <f t="shared" si="11"/>
        <v>112.2160.100</v>
      </c>
    </row>
    <row r="660" spans="1:12" x14ac:dyDescent="0.2">
      <c r="A660" s="22">
        <v>18853</v>
      </c>
      <c r="B660" s="22" t="s">
        <v>146</v>
      </c>
      <c r="C660" s="22">
        <v>12019199</v>
      </c>
      <c r="D660" s="22" t="s">
        <v>147</v>
      </c>
      <c r="E660" s="22">
        <v>299</v>
      </c>
      <c r="F660" s="22" t="s">
        <v>208</v>
      </c>
      <c r="G660" s="22" t="s">
        <v>206</v>
      </c>
      <c r="I660" s="22">
        <v>4915.3900000000003</v>
      </c>
      <c r="J660" s="111" t="s">
        <v>12</v>
      </c>
      <c r="L660" s="66" t="str">
        <f t="shared" si="11"/>
        <v>112.2160.100</v>
      </c>
    </row>
    <row r="661" spans="1:12" x14ac:dyDescent="0.2">
      <c r="A661" s="22">
        <v>18968</v>
      </c>
      <c r="B661" s="22" t="s">
        <v>164</v>
      </c>
      <c r="C661" s="22">
        <v>12019199</v>
      </c>
      <c r="D661" s="22" t="s">
        <v>147</v>
      </c>
      <c r="E661" s="22">
        <v>299</v>
      </c>
      <c r="F661" s="22" t="s">
        <v>208</v>
      </c>
      <c r="G661" s="22" t="s">
        <v>206</v>
      </c>
      <c r="I661" s="22">
        <v>1766.31</v>
      </c>
      <c r="J661" s="111" t="s">
        <v>12</v>
      </c>
      <c r="L661" s="66" t="str">
        <f t="shared" si="11"/>
        <v>112.2160.100</v>
      </c>
    </row>
    <row r="662" spans="1:12" x14ac:dyDescent="0.2">
      <c r="A662" s="22">
        <v>18550</v>
      </c>
      <c r="B662" s="22" t="s">
        <v>165</v>
      </c>
      <c r="C662" s="22">
        <v>12019199</v>
      </c>
      <c r="D662" s="22" t="s">
        <v>147</v>
      </c>
      <c r="E662" s="22">
        <v>299</v>
      </c>
      <c r="F662" s="22" t="s">
        <v>208</v>
      </c>
      <c r="G662" s="22" t="s">
        <v>206</v>
      </c>
      <c r="I662" s="22">
        <v>1557.85</v>
      </c>
      <c r="J662" s="111" t="s">
        <v>12</v>
      </c>
      <c r="L662" s="66" t="str">
        <f t="shared" si="11"/>
        <v>112.2160.100</v>
      </c>
    </row>
    <row r="663" spans="1:12" x14ac:dyDescent="0.2">
      <c r="A663" s="22">
        <v>19022</v>
      </c>
      <c r="B663" s="22" t="s">
        <v>113</v>
      </c>
      <c r="C663" s="22">
        <v>12019199</v>
      </c>
      <c r="D663" s="22" t="s">
        <v>147</v>
      </c>
      <c r="E663" s="22">
        <v>299</v>
      </c>
      <c r="F663" s="22" t="s">
        <v>208</v>
      </c>
      <c r="G663" s="22" t="s">
        <v>206</v>
      </c>
      <c r="I663" s="22">
        <v>1516.54</v>
      </c>
      <c r="J663" s="111" t="s">
        <v>12</v>
      </c>
      <c r="L663" s="66" t="str">
        <f t="shared" si="11"/>
        <v>112.2160.100</v>
      </c>
    </row>
    <row r="664" spans="1:12" x14ac:dyDescent="0.2">
      <c r="A664" s="22">
        <v>18741</v>
      </c>
      <c r="B664" s="22" t="s">
        <v>179</v>
      </c>
      <c r="C664" s="22">
        <v>12019199</v>
      </c>
      <c r="D664" s="22" t="s">
        <v>147</v>
      </c>
      <c r="E664" s="22">
        <v>299</v>
      </c>
      <c r="F664" s="22" t="s">
        <v>208</v>
      </c>
      <c r="G664" s="22" t="s">
        <v>206</v>
      </c>
      <c r="I664" s="22">
        <v>2507.23</v>
      </c>
      <c r="J664" s="111" t="s">
        <v>12</v>
      </c>
      <c r="L664" s="66" t="str">
        <f t="shared" si="11"/>
        <v>112.2160.100</v>
      </c>
    </row>
    <row r="665" spans="1:12" x14ac:dyDescent="0.2">
      <c r="A665" s="22">
        <v>19003</v>
      </c>
      <c r="B665" s="22" t="s">
        <v>388</v>
      </c>
      <c r="C665" s="22">
        <v>12019199</v>
      </c>
      <c r="D665" s="22" t="s">
        <v>147</v>
      </c>
      <c r="E665" s="22">
        <v>299</v>
      </c>
      <c r="F665" s="22" t="s">
        <v>208</v>
      </c>
      <c r="G665" s="22" t="s">
        <v>206</v>
      </c>
      <c r="I665" s="22">
        <v>2405.38</v>
      </c>
      <c r="J665" s="111" t="s">
        <v>12</v>
      </c>
      <c r="L665" s="66" t="str">
        <f t="shared" si="11"/>
        <v>112.2160.100</v>
      </c>
    </row>
    <row r="666" spans="1:12" x14ac:dyDescent="0.2">
      <c r="A666" s="22">
        <v>19025</v>
      </c>
      <c r="B666" s="22" t="s">
        <v>180</v>
      </c>
      <c r="C666" s="22">
        <v>12019199</v>
      </c>
      <c r="D666" s="22" t="s">
        <v>147</v>
      </c>
      <c r="E666" s="22">
        <v>299</v>
      </c>
      <c r="F666" s="22" t="s">
        <v>208</v>
      </c>
      <c r="G666" s="22" t="s">
        <v>206</v>
      </c>
      <c r="I666" s="22">
        <v>2002</v>
      </c>
      <c r="J666" s="111" t="s">
        <v>12</v>
      </c>
      <c r="L666" s="66" t="str">
        <f t="shared" ref="L666:L729" si="12">G666</f>
        <v>112.2160.100</v>
      </c>
    </row>
    <row r="667" spans="1:12" x14ac:dyDescent="0.2">
      <c r="A667" s="22">
        <v>18619</v>
      </c>
      <c r="B667" s="22" t="s">
        <v>20</v>
      </c>
      <c r="C667" s="22">
        <v>12020400</v>
      </c>
      <c r="D667" s="22" t="s">
        <v>21</v>
      </c>
      <c r="E667" s="22">
        <v>299</v>
      </c>
      <c r="F667" s="22" t="s">
        <v>208</v>
      </c>
      <c r="G667" s="22" t="s">
        <v>206</v>
      </c>
      <c r="I667" s="22">
        <v>2024.62</v>
      </c>
      <c r="J667" s="111" t="s">
        <v>12</v>
      </c>
      <c r="L667" s="66" t="str">
        <f t="shared" si="12"/>
        <v>112.2160.100</v>
      </c>
    </row>
    <row r="668" spans="1:12" x14ac:dyDescent="0.2">
      <c r="A668" s="22">
        <v>18836</v>
      </c>
      <c r="B668" s="22" t="s">
        <v>182</v>
      </c>
      <c r="C668" s="22">
        <v>12020400</v>
      </c>
      <c r="D668" s="22" t="s">
        <v>21</v>
      </c>
      <c r="E668" s="22">
        <v>299</v>
      </c>
      <c r="F668" s="22" t="s">
        <v>208</v>
      </c>
      <c r="G668" s="22" t="s">
        <v>206</v>
      </c>
      <c r="I668" s="22">
        <v>1953.7</v>
      </c>
      <c r="J668" s="111" t="s">
        <v>12</v>
      </c>
      <c r="L668" s="66" t="str">
        <f t="shared" si="12"/>
        <v>112.2160.100</v>
      </c>
    </row>
    <row r="669" spans="1:12" x14ac:dyDescent="0.2">
      <c r="A669" s="22">
        <v>19040</v>
      </c>
      <c r="B669" s="22" t="s">
        <v>453</v>
      </c>
      <c r="C669" s="22">
        <v>12020500</v>
      </c>
      <c r="D669" s="22" t="s">
        <v>454</v>
      </c>
      <c r="E669" s="22">
        <v>299</v>
      </c>
      <c r="F669" s="22" t="s">
        <v>208</v>
      </c>
      <c r="G669" s="22" t="s">
        <v>206</v>
      </c>
      <c r="I669" s="22">
        <v>1127.06</v>
      </c>
      <c r="J669" s="111" t="s">
        <v>12</v>
      </c>
      <c r="L669" s="66" t="str">
        <f t="shared" si="12"/>
        <v>112.2160.100</v>
      </c>
    </row>
    <row r="670" spans="1:12" x14ac:dyDescent="0.2">
      <c r="A670" s="22">
        <v>18893</v>
      </c>
      <c r="B670" s="22" t="s">
        <v>444</v>
      </c>
      <c r="C670" s="22">
        <v>12020500</v>
      </c>
      <c r="D670" s="22" t="s">
        <v>454</v>
      </c>
      <c r="E670" s="22">
        <v>299</v>
      </c>
      <c r="F670" s="22" t="s">
        <v>208</v>
      </c>
      <c r="G670" s="22" t="s">
        <v>206</v>
      </c>
      <c r="I670" s="22">
        <v>1139.23</v>
      </c>
      <c r="J670" s="111" t="s">
        <v>12</v>
      </c>
      <c r="L670" s="66" t="str">
        <f t="shared" si="12"/>
        <v>112.2160.100</v>
      </c>
    </row>
    <row r="671" spans="1:12" x14ac:dyDescent="0.2">
      <c r="A671" s="22">
        <v>18903</v>
      </c>
      <c r="B671" s="22" t="s">
        <v>73</v>
      </c>
      <c r="C671" s="22">
        <v>12020611</v>
      </c>
      <c r="D671" s="22" t="s">
        <v>23</v>
      </c>
      <c r="E671" s="22">
        <v>299</v>
      </c>
      <c r="F671" s="22" t="s">
        <v>208</v>
      </c>
      <c r="G671" s="22" t="s">
        <v>206</v>
      </c>
      <c r="I671" s="22">
        <v>1294.28</v>
      </c>
      <c r="J671" s="111" t="s">
        <v>12</v>
      </c>
      <c r="L671" s="66" t="str">
        <f t="shared" si="12"/>
        <v>112.2160.100</v>
      </c>
    </row>
    <row r="672" spans="1:12" x14ac:dyDescent="0.2">
      <c r="A672" s="22">
        <v>18866</v>
      </c>
      <c r="B672" s="22" t="s">
        <v>76</v>
      </c>
      <c r="C672" s="22">
        <v>12020611</v>
      </c>
      <c r="D672" s="22" t="s">
        <v>23</v>
      </c>
      <c r="E672" s="22">
        <v>299</v>
      </c>
      <c r="F672" s="22" t="s">
        <v>208</v>
      </c>
      <c r="G672" s="22" t="s">
        <v>206</v>
      </c>
      <c r="I672" s="22">
        <v>2273.75</v>
      </c>
      <c r="J672" s="111" t="s">
        <v>12</v>
      </c>
      <c r="L672" s="66" t="str">
        <f t="shared" si="12"/>
        <v>112.2160.100</v>
      </c>
    </row>
    <row r="673" spans="1:12" x14ac:dyDescent="0.2">
      <c r="A673" s="22">
        <v>18831</v>
      </c>
      <c r="B673" s="22" t="s">
        <v>22</v>
      </c>
      <c r="C673" s="22">
        <v>12020611</v>
      </c>
      <c r="D673" s="22" t="s">
        <v>23</v>
      </c>
      <c r="E673" s="22">
        <v>299</v>
      </c>
      <c r="F673" s="22" t="s">
        <v>208</v>
      </c>
      <c r="G673" s="22" t="s">
        <v>206</v>
      </c>
      <c r="I673" s="22">
        <v>1117.9000000000001</v>
      </c>
      <c r="J673" s="111" t="s">
        <v>12</v>
      </c>
      <c r="L673" s="66" t="str">
        <f t="shared" si="12"/>
        <v>112.2160.100</v>
      </c>
    </row>
    <row r="674" spans="1:12" x14ac:dyDescent="0.2">
      <c r="A674" s="22">
        <v>18891</v>
      </c>
      <c r="B674" s="22" t="s">
        <v>77</v>
      </c>
      <c r="C674" s="22">
        <v>12020611</v>
      </c>
      <c r="D674" s="22" t="s">
        <v>23</v>
      </c>
      <c r="E674" s="22">
        <v>299</v>
      </c>
      <c r="F674" s="22" t="s">
        <v>208</v>
      </c>
      <c r="G674" s="22" t="s">
        <v>206</v>
      </c>
      <c r="I674" s="22">
        <v>1333.99</v>
      </c>
      <c r="J674" s="111" t="s">
        <v>12</v>
      </c>
      <c r="L674" s="66" t="str">
        <f t="shared" si="12"/>
        <v>112.2160.100</v>
      </c>
    </row>
    <row r="675" spans="1:12" x14ac:dyDescent="0.2">
      <c r="A675" s="22">
        <v>18589</v>
      </c>
      <c r="B675" s="22" t="s">
        <v>75</v>
      </c>
      <c r="C675" s="22">
        <v>12020611</v>
      </c>
      <c r="D675" s="22" t="s">
        <v>23</v>
      </c>
      <c r="E675" s="22">
        <v>299</v>
      </c>
      <c r="F675" s="22" t="s">
        <v>208</v>
      </c>
      <c r="G675" s="22" t="s">
        <v>206</v>
      </c>
      <c r="I675" s="22">
        <v>1888.22</v>
      </c>
      <c r="J675" s="111" t="s">
        <v>12</v>
      </c>
      <c r="L675" s="66" t="str">
        <f t="shared" si="12"/>
        <v>112.2160.100</v>
      </c>
    </row>
    <row r="676" spans="1:12" x14ac:dyDescent="0.2">
      <c r="A676" s="22">
        <v>18957</v>
      </c>
      <c r="B676" s="22" t="s">
        <v>74</v>
      </c>
      <c r="C676" s="22">
        <v>12020611</v>
      </c>
      <c r="D676" s="22" t="s">
        <v>23</v>
      </c>
      <c r="E676" s="22">
        <v>299</v>
      </c>
      <c r="F676" s="22" t="s">
        <v>208</v>
      </c>
      <c r="G676" s="22" t="s">
        <v>206</v>
      </c>
      <c r="I676" s="22">
        <v>1551.38</v>
      </c>
      <c r="J676" s="111" t="s">
        <v>12</v>
      </c>
      <c r="L676" s="66" t="str">
        <f t="shared" si="12"/>
        <v>112.2160.100</v>
      </c>
    </row>
    <row r="677" spans="1:12" x14ac:dyDescent="0.2">
      <c r="A677" s="22">
        <v>18954</v>
      </c>
      <c r="B677" s="22" t="s">
        <v>183</v>
      </c>
      <c r="C677" s="22">
        <v>12020711</v>
      </c>
      <c r="D677" s="22" t="s">
        <v>25</v>
      </c>
      <c r="E677" s="22">
        <v>299</v>
      </c>
      <c r="F677" s="22" t="s">
        <v>208</v>
      </c>
      <c r="G677" s="22" t="s">
        <v>206</v>
      </c>
      <c r="I677" s="22">
        <v>2380.92</v>
      </c>
      <c r="J677" s="111" t="s">
        <v>12</v>
      </c>
      <c r="L677" s="66" t="str">
        <f t="shared" si="12"/>
        <v>112.2160.100</v>
      </c>
    </row>
    <row r="678" spans="1:12" x14ac:dyDescent="0.2">
      <c r="A678" s="22">
        <v>18</v>
      </c>
      <c r="B678" s="22" t="s">
        <v>24</v>
      </c>
      <c r="C678" s="22">
        <v>12020711</v>
      </c>
      <c r="D678" s="22" t="s">
        <v>25</v>
      </c>
      <c r="E678" s="22">
        <v>299</v>
      </c>
      <c r="F678" s="22" t="s">
        <v>208</v>
      </c>
      <c r="G678" s="22" t="s">
        <v>206</v>
      </c>
      <c r="I678" s="22">
        <v>1005.24</v>
      </c>
      <c r="J678" s="111" t="s">
        <v>12</v>
      </c>
      <c r="L678" s="66" t="str">
        <f t="shared" si="12"/>
        <v>112.2160.100</v>
      </c>
    </row>
    <row r="679" spans="1:12" x14ac:dyDescent="0.2">
      <c r="A679" s="22">
        <v>18631</v>
      </c>
      <c r="B679" s="22" t="s">
        <v>80</v>
      </c>
      <c r="C679" s="22">
        <v>12020711</v>
      </c>
      <c r="D679" s="22" t="s">
        <v>25</v>
      </c>
      <c r="E679" s="22">
        <v>299</v>
      </c>
      <c r="F679" s="22" t="s">
        <v>208</v>
      </c>
      <c r="G679" s="22" t="s">
        <v>206</v>
      </c>
      <c r="I679" s="22">
        <v>1039.07</v>
      </c>
      <c r="J679" s="111" t="s">
        <v>12</v>
      </c>
      <c r="L679" s="66" t="str">
        <f t="shared" si="12"/>
        <v>112.2160.100</v>
      </c>
    </row>
    <row r="680" spans="1:12" x14ac:dyDescent="0.2">
      <c r="A680" s="22">
        <v>18879</v>
      </c>
      <c r="B680" s="22" t="s">
        <v>79</v>
      </c>
      <c r="C680" s="22">
        <v>12020711</v>
      </c>
      <c r="D680" s="22" t="s">
        <v>25</v>
      </c>
      <c r="E680" s="22">
        <v>299</v>
      </c>
      <c r="F680" s="22" t="s">
        <v>208</v>
      </c>
      <c r="G680" s="22" t="s">
        <v>206</v>
      </c>
      <c r="I680" s="22">
        <v>2159.98</v>
      </c>
      <c r="J680" s="111" t="s">
        <v>12</v>
      </c>
      <c r="L680" s="66" t="str">
        <f t="shared" si="12"/>
        <v>112.2160.100</v>
      </c>
    </row>
    <row r="681" spans="1:12" x14ac:dyDescent="0.2">
      <c r="A681" s="22">
        <v>19013</v>
      </c>
      <c r="B681" s="22" t="s">
        <v>81</v>
      </c>
      <c r="C681" s="22">
        <v>12020800</v>
      </c>
      <c r="D681" s="22" t="s">
        <v>27</v>
      </c>
      <c r="E681" s="22">
        <v>299</v>
      </c>
      <c r="F681" s="22" t="s">
        <v>208</v>
      </c>
      <c r="G681" s="22" t="s">
        <v>206</v>
      </c>
      <c r="I681" s="22">
        <v>2456.69</v>
      </c>
      <c r="J681" s="111" t="s">
        <v>12</v>
      </c>
      <c r="L681" s="66" t="str">
        <f t="shared" si="12"/>
        <v>112.2160.100</v>
      </c>
    </row>
    <row r="682" spans="1:12" x14ac:dyDescent="0.2">
      <c r="A682" s="22">
        <v>18630</v>
      </c>
      <c r="B682" s="22" t="s">
        <v>204</v>
      </c>
      <c r="C682" s="22">
        <v>12020800</v>
      </c>
      <c r="D682" s="22" t="s">
        <v>27</v>
      </c>
      <c r="E682" s="22">
        <v>299</v>
      </c>
      <c r="F682" s="22" t="s">
        <v>208</v>
      </c>
      <c r="G682" s="22" t="s">
        <v>206</v>
      </c>
      <c r="I682" s="22">
        <v>1877.3</v>
      </c>
      <c r="J682" s="111" t="s">
        <v>12</v>
      </c>
      <c r="L682" s="66" t="str">
        <f t="shared" si="12"/>
        <v>112.2160.100</v>
      </c>
    </row>
    <row r="683" spans="1:12" x14ac:dyDescent="0.2">
      <c r="A683" s="22">
        <v>19033</v>
      </c>
      <c r="B683" s="22" t="s">
        <v>389</v>
      </c>
      <c r="C683" s="22">
        <v>12021021</v>
      </c>
      <c r="D683" s="22" t="s">
        <v>29</v>
      </c>
      <c r="E683" s="22">
        <v>299</v>
      </c>
      <c r="F683" s="22" t="s">
        <v>208</v>
      </c>
      <c r="G683" s="22" t="s">
        <v>206</v>
      </c>
      <c r="I683" s="22">
        <v>1615.37</v>
      </c>
      <c r="J683" s="111" t="s">
        <v>12</v>
      </c>
      <c r="L683" s="66" t="str">
        <f t="shared" si="12"/>
        <v>112.2160.100</v>
      </c>
    </row>
    <row r="684" spans="1:12" x14ac:dyDescent="0.2">
      <c r="A684" s="22">
        <v>18894</v>
      </c>
      <c r="B684" s="22" t="s">
        <v>89</v>
      </c>
      <c r="C684" s="22">
        <v>12021021</v>
      </c>
      <c r="D684" s="22" t="s">
        <v>29</v>
      </c>
      <c r="E684" s="22">
        <v>299</v>
      </c>
      <c r="F684" s="22" t="s">
        <v>208</v>
      </c>
      <c r="G684" s="22" t="s">
        <v>206</v>
      </c>
      <c r="I684" s="22">
        <v>1025.4100000000001</v>
      </c>
      <c r="J684" s="111" t="s">
        <v>12</v>
      </c>
      <c r="L684" s="66" t="str">
        <f t="shared" si="12"/>
        <v>112.2160.100</v>
      </c>
    </row>
    <row r="685" spans="1:12" x14ac:dyDescent="0.2">
      <c r="A685" s="22">
        <v>18559</v>
      </c>
      <c r="B685" s="22" t="s">
        <v>87</v>
      </c>
      <c r="C685" s="22">
        <v>12021021</v>
      </c>
      <c r="D685" s="22" t="s">
        <v>29</v>
      </c>
      <c r="E685" s="22">
        <v>299</v>
      </c>
      <c r="F685" s="22" t="s">
        <v>208</v>
      </c>
      <c r="G685" s="22" t="s">
        <v>206</v>
      </c>
      <c r="I685" s="22">
        <v>3010.47</v>
      </c>
      <c r="J685" s="111" t="s">
        <v>12</v>
      </c>
      <c r="L685" s="66" t="str">
        <f t="shared" si="12"/>
        <v>112.2160.100</v>
      </c>
    </row>
    <row r="686" spans="1:12" x14ac:dyDescent="0.2">
      <c r="A686" s="22">
        <v>18659</v>
      </c>
      <c r="B686" s="22" t="s">
        <v>88</v>
      </c>
      <c r="C686" s="22">
        <v>12021021</v>
      </c>
      <c r="D686" s="22" t="s">
        <v>29</v>
      </c>
      <c r="E686" s="22">
        <v>299</v>
      </c>
      <c r="F686" s="22" t="s">
        <v>208</v>
      </c>
      <c r="G686" s="22" t="s">
        <v>206</v>
      </c>
      <c r="I686" s="22">
        <v>1875.31</v>
      </c>
      <c r="J686" s="111" t="s">
        <v>12</v>
      </c>
      <c r="L686" s="66" t="str">
        <f t="shared" si="12"/>
        <v>112.2160.100</v>
      </c>
    </row>
    <row r="687" spans="1:12" x14ac:dyDescent="0.2">
      <c r="A687" s="22">
        <v>18733</v>
      </c>
      <c r="B687" s="22" t="s">
        <v>86</v>
      </c>
      <c r="C687" s="22">
        <v>12021021</v>
      </c>
      <c r="D687" s="22" t="s">
        <v>29</v>
      </c>
      <c r="E687" s="22">
        <v>299</v>
      </c>
      <c r="F687" s="22" t="s">
        <v>208</v>
      </c>
      <c r="G687" s="22" t="s">
        <v>206</v>
      </c>
      <c r="I687" s="22">
        <v>1887.22</v>
      </c>
      <c r="J687" s="111" t="s">
        <v>12</v>
      </c>
      <c r="L687" s="66" t="str">
        <f t="shared" si="12"/>
        <v>112.2160.100</v>
      </c>
    </row>
    <row r="688" spans="1:12" x14ac:dyDescent="0.2">
      <c r="A688" s="22">
        <v>18911</v>
      </c>
      <c r="B688" s="22" t="s">
        <v>28</v>
      </c>
      <c r="C688" s="22">
        <v>12021021</v>
      </c>
      <c r="D688" s="22" t="s">
        <v>29</v>
      </c>
      <c r="E688" s="22">
        <v>299</v>
      </c>
      <c r="F688" s="22" t="s">
        <v>208</v>
      </c>
      <c r="G688" s="22" t="s">
        <v>206</v>
      </c>
      <c r="I688" s="22">
        <v>2239.63</v>
      </c>
      <c r="J688" s="111" t="s">
        <v>12</v>
      </c>
      <c r="L688" s="66" t="str">
        <f t="shared" si="12"/>
        <v>112.2160.100</v>
      </c>
    </row>
    <row r="689" spans="1:12" x14ac:dyDescent="0.2">
      <c r="A689" s="22">
        <v>18960</v>
      </c>
      <c r="B689" s="22" t="s">
        <v>84</v>
      </c>
      <c r="C689" s="22">
        <v>12021021</v>
      </c>
      <c r="D689" s="22" t="s">
        <v>29</v>
      </c>
      <c r="E689" s="22">
        <v>299</v>
      </c>
      <c r="F689" s="22" t="s">
        <v>208</v>
      </c>
      <c r="G689" s="22" t="s">
        <v>206</v>
      </c>
      <c r="I689" s="22">
        <v>945.29</v>
      </c>
      <c r="J689" s="111" t="s">
        <v>12</v>
      </c>
      <c r="L689" s="66" t="str">
        <f t="shared" si="12"/>
        <v>112.2160.100</v>
      </c>
    </row>
    <row r="690" spans="1:12" x14ac:dyDescent="0.2">
      <c r="A690" s="22">
        <v>18967</v>
      </c>
      <c r="B690" s="22" t="s">
        <v>85</v>
      </c>
      <c r="C690" s="22">
        <v>12021021</v>
      </c>
      <c r="D690" s="22" t="s">
        <v>29</v>
      </c>
      <c r="E690" s="22">
        <v>299</v>
      </c>
      <c r="F690" s="22" t="s">
        <v>208</v>
      </c>
      <c r="G690" s="22" t="s">
        <v>206</v>
      </c>
      <c r="I690" s="22">
        <v>1999.99</v>
      </c>
      <c r="J690" s="111" t="s">
        <v>12</v>
      </c>
      <c r="L690" s="66" t="str">
        <f t="shared" si="12"/>
        <v>112.2160.100</v>
      </c>
    </row>
    <row r="691" spans="1:12" x14ac:dyDescent="0.2">
      <c r="A691" s="22">
        <v>18687</v>
      </c>
      <c r="B691" s="22" t="s">
        <v>83</v>
      </c>
      <c r="C691" s="22">
        <v>12021021</v>
      </c>
      <c r="D691" s="22" t="s">
        <v>29</v>
      </c>
      <c r="E691" s="22">
        <v>299</v>
      </c>
      <c r="F691" s="22" t="s">
        <v>208</v>
      </c>
      <c r="G691" s="22" t="s">
        <v>206</v>
      </c>
      <c r="I691" s="22">
        <v>1792.53</v>
      </c>
      <c r="J691" s="111" t="s">
        <v>12</v>
      </c>
      <c r="L691" s="66" t="str">
        <f t="shared" si="12"/>
        <v>112.2160.100</v>
      </c>
    </row>
    <row r="692" spans="1:12" x14ac:dyDescent="0.2">
      <c r="A692" s="22">
        <v>18892</v>
      </c>
      <c r="B692" s="22" t="s">
        <v>184</v>
      </c>
      <c r="C692" s="22">
        <v>12021021</v>
      </c>
      <c r="D692" s="22" t="s">
        <v>29</v>
      </c>
      <c r="E692" s="22">
        <v>299</v>
      </c>
      <c r="F692" s="22" t="s">
        <v>208</v>
      </c>
      <c r="G692" s="22" t="s">
        <v>206</v>
      </c>
      <c r="I692" s="22">
        <v>1734.66</v>
      </c>
      <c r="J692" s="111" t="s">
        <v>12</v>
      </c>
      <c r="L692" s="66" t="str">
        <f t="shared" si="12"/>
        <v>112.2160.100</v>
      </c>
    </row>
    <row r="693" spans="1:12" x14ac:dyDescent="0.2">
      <c r="A693" s="22">
        <v>18781</v>
      </c>
      <c r="B693" s="22" t="s">
        <v>82</v>
      </c>
      <c r="C693" s="22">
        <v>12021021</v>
      </c>
      <c r="D693" s="22" t="s">
        <v>29</v>
      </c>
      <c r="E693" s="22">
        <v>299</v>
      </c>
      <c r="F693" s="22" t="s">
        <v>208</v>
      </c>
      <c r="G693" s="22" t="s">
        <v>206</v>
      </c>
      <c r="I693" s="22">
        <v>1652.88</v>
      </c>
      <c r="J693" s="111" t="s">
        <v>12</v>
      </c>
      <c r="L693" s="66" t="str">
        <f t="shared" si="12"/>
        <v>112.2160.100</v>
      </c>
    </row>
    <row r="694" spans="1:12" x14ac:dyDescent="0.2">
      <c r="A694" s="22">
        <v>141</v>
      </c>
      <c r="B694" s="22" t="s">
        <v>185</v>
      </c>
      <c r="C694" s="22">
        <v>12022511</v>
      </c>
      <c r="D694" s="22" t="s">
        <v>32</v>
      </c>
      <c r="E694" s="22">
        <v>299</v>
      </c>
      <c r="F694" s="22" t="s">
        <v>208</v>
      </c>
      <c r="G694" s="22" t="s">
        <v>206</v>
      </c>
      <c r="I694" s="22">
        <v>871.78</v>
      </c>
      <c r="J694" s="111" t="s">
        <v>12</v>
      </c>
      <c r="L694" s="66" t="str">
        <f t="shared" si="12"/>
        <v>112.2160.100</v>
      </c>
    </row>
    <row r="695" spans="1:12" x14ac:dyDescent="0.2">
      <c r="A695" s="22">
        <v>145</v>
      </c>
      <c r="B695" s="22" t="s">
        <v>91</v>
      </c>
      <c r="C695" s="22">
        <v>12022511</v>
      </c>
      <c r="D695" s="22" t="s">
        <v>32</v>
      </c>
      <c r="E695" s="22">
        <v>299</v>
      </c>
      <c r="F695" s="22" t="s">
        <v>208</v>
      </c>
      <c r="G695" s="22" t="s">
        <v>206</v>
      </c>
      <c r="I695" s="22">
        <v>1621.54</v>
      </c>
      <c r="J695" s="111" t="s">
        <v>12</v>
      </c>
      <c r="L695" s="66" t="str">
        <f t="shared" si="12"/>
        <v>112.2160.100</v>
      </c>
    </row>
    <row r="696" spans="1:12" x14ac:dyDescent="0.2">
      <c r="A696" s="22">
        <v>18961</v>
      </c>
      <c r="B696" s="22" t="s">
        <v>90</v>
      </c>
      <c r="C696" s="22">
        <v>12022511</v>
      </c>
      <c r="D696" s="22" t="s">
        <v>32</v>
      </c>
      <c r="E696" s="22">
        <v>299</v>
      </c>
      <c r="F696" s="22" t="s">
        <v>208</v>
      </c>
      <c r="G696" s="22" t="s">
        <v>206</v>
      </c>
      <c r="I696" s="22">
        <v>1727.79</v>
      </c>
      <c r="J696" s="111" t="s">
        <v>12</v>
      </c>
      <c r="L696" s="66" t="str">
        <f t="shared" si="12"/>
        <v>112.2160.100</v>
      </c>
    </row>
    <row r="697" spans="1:12" x14ac:dyDescent="0.2">
      <c r="A697" s="22">
        <v>18973</v>
      </c>
      <c r="B697" s="22" t="s">
        <v>188</v>
      </c>
      <c r="C697" s="22">
        <v>12023011</v>
      </c>
      <c r="D697" s="22" t="s">
        <v>93</v>
      </c>
      <c r="E697" s="22">
        <v>299</v>
      </c>
      <c r="F697" s="22" t="s">
        <v>208</v>
      </c>
      <c r="G697" s="22" t="s">
        <v>206</v>
      </c>
      <c r="I697" s="22">
        <v>1435.89</v>
      </c>
      <c r="J697" s="111" t="s">
        <v>12</v>
      </c>
      <c r="L697" s="66" t="str">
        <f t="shared" si="12"/>
        <v>112.2160.100</v>
      </c>
    </row>
    <row r="698" spans="1:12" x14ac:dyDescent="0.2">
      <c r="A698" s="22">
        <v>19041</v>
      </c>
      <c r="B698" s="22" t="s">
        <v>478</v>
      </c>
      <c r="C698" s="22">
        <v>12023011</v>
      </c>
      <c r="D698" s="22" t="s">
        <v>93</v>
      </c>
      <c r="E698" s="22">
        <v>299</v>
      </c>
      <c r="F698" s="22" t="s">
        <v>208</v>
      </c>
      <c r="G698" s="22" t="s">
        <v>206</v>
      </c>
      <c r="I698" s="22">
        <v>1702.18</v>
      </c>
      <c r="J698" s="111" t="s">
        <v>12</v>
      </c>
      <c r="L698" s="66" t="str">
        <f t="shared" si="12"/>
        <v>112.2160.100</v>
      </c>
    </row>
    <row r="699" spans="1:12" x14ac:dyDescent="0.2">
      <c r="A699" s="22">
        <v>19042</v>
      </c>
      <c r="B699" s="22" t="s">
        <v>479</v>
      </c>
      <c r="C699" s="22">
        <v>12023011</v>
      </c>
      <c r="D699" s="22" t="s">
        <v>93</v>
      </c>
      <c r="E699" s="22">
        <v>299</v>
      </c>
      <c r="F699" s="22" t="s">
        <v>208</v>
      </c>
      <c r="G699" s="22" t="s">
        <v>206</v>
      </c>
      <c r="I699" s="22">
        <v>238.52</v>
      </c>
      <c r="J699" s="111" t="s">
        <v>12</v>
      </c>
      <c r="L699" s="66" t="str">
        <f t="shared" si="12"/>
        <v>112.2160.100</v>
      </c>
    </row>
    <row r="700" spans="1:12" x14ac:dyDescent="0.2">
      <c r="A700" s="22">
        <v>18974</v>
      </c>
      <c r="B700" s="22" t="s">
        <v>94</v>
      </c>
      <c r="C700" s="22">
        <v>12023011</v>
      </c>
      <c r="D700" s="22" t="s">
        <v>93</v>
      </c>
      <c r="E700" s="22">
        <v>299</v>
      </c>
      <c r="F700" s="22" t="s">
        <v>208</v>
      </c>
      <c r="G700" s="22" t="s">
        <v>206</v>
      </c>
      <c r="I700" s="22">
        <v>2284.23</v>
      </c>
      <c r="J700" s="111" t="s">
        <v>12</v>
      </c>
      <c r="L700" s="66" t="str">
        <f t="shared" si="12"/>
        <v>112.2160.100</v>
      </c>
    </row>
    <row r="701" spans="1:12" x14ac:dyDescent="0.2">
      <c r="A701" s="22">
        <v>19026</v>
      </c>
      <c r="B701" s="22" t="s">
        <v>187</v>
      </c>
      <c r="C701" s="22">
        <v>12023011</v>
      </c>
      <c r="D701" s="22" t="s">
        <v>93</v>
      </c>
      <c r="E701" s="22">
        <v>299</v>
      </c>
      <c r="F701" s="22" t="s">
        <v>208</v>
      </c>
      <c r="G701" s="22" t="s">
        <v>206</v>
      </c>
      <c r="I701" s="22">
        <v>934.31</v>
      </c>
      <c r="J701" s="111" t="s">
        <v>12</v>
      </c>
      <c r="L701" s="66" t="str">
        <f t="shared" si="12"/>
        <v>112.2160.100</v>
      </c>
    </row>
    <row r="702" spans="1:12" x14ac:dyDescent="0.2">
      <c r="A702" s="22">
        <v>19035</v>
      </c>
      <c r="B702" s="22" t="s">
        <v>440</v>
      </c>
      <c r="C702" s="22">
        <v>12023011</v>
      </c>
      <c r="D702" s="22" t="s">
        <v>93</v>
      </c>
      <c r="E702" s="22">
        <v>299</v>
      </c>
      <c r="F702" s="22" t="s">
        <v>208</v>
      </c>
      <c r="G702" s="22" t="s">
        <v>206</v>
      </c>
      <c r="I702" s="22">
        <v>1588.65</v>
      </c>
      <c r="J702" s="111" t="s">
        <v>12</v>
      </c>
      <c r="L702" s="66" t="str">
        <f t="shared" si="12"/>
        <v>112.2160.100</v>
      </c>
    </row>
    <row r="703" spans="1:12" x14ac:dyDescent="0.2">
      <c r="A703" s="22">
        <v>19006</v>
      </c>
      <c r="B703" s="22" t="s">
        <v>95</v>
      </c>
      <c r="C703" s="22">
        <v>12023011</v>
      </c>
      <c r="D703" s="22" t="s">
        <v>93</v>
      </c>
      <c r="E703" s="22">
        <v>299</v>
      </c>
      <c r="F703" s="22" t="s">
        <v>208</v>
      </c>
      <c r="G703" s="22" t="s">
        <v>206</v>
      </c>
      <c r="I703" s="22">
        <v>1884.64</v>
      </c>
      <c r="J703" s="111" t="s">
        <v>12</v>
      </c>
      <c r="L703" s="66" t="str">
        <f t="shared" si="12"/>
        <v>112.2160.100</v>
      </c>
    </row>
    <row r="704" spans="1:12" x14ac:dyDescent="0.2">
      <c r="A704" s="22">
        <v>18999</v>
      </c>
      <c r="B704" s="22" t="s">
        <v>92</v>
      </c>
      <c r="C704" s="22">
        <v>12023011</v>
      </c>
      <c r="D704" s="22" t="s">
        <v>93</v>
      </c>
      <c r="E704" s="22">
        <v>299</v>
      </c>
      <c r="F704" s="22" t="s">
        <v>208</v>
      </c>
      <c r="G704" s="22" t="s">
        <v>206</v>
      </c>
      <c r="I704" s="22">
        <v>1924.96</v>
      </c>
      <c r="J704" s="111" t="s">
        <v>12</v>
      </c>
      <c r="L704" s="66" t="str">
        <f t="shared" si="12"/>
        <v>112.2160.100</v>
      </c>
    </row>
    <row r="705" spans="1:12" x14ac:dyDescent="0.2">
      <c r="A705" s="22">
        <v>19007</v>
      </c>
      <c r="B705" s="22" t="s">
        <v>189</v>
      </c>
      <c r="C705" s="22">
        <v>12023011</v>
      </c>
      <c r="D705" s="22" t="s">
        <v>93</v>
      </c>
      <c r="E705" s="22">
        <v>299</v>
      </c>
      <c r="F705" s="22" t="s">
        <v>208</v>
      </c>
      <c r="G705" s="22" t="s">
        <v>206</v>
      </c>
      <c r="I705" s="22">
        <v>1644.61</v>
      </c>
      <c r="J705" s="111" t="s">
        <v>12</v>
      </c>
      <c r="L705" s="66" t="str">
        <f t="shared" si="12"/>
        <v>112.2160.100</v>
      </c>
    </row>
    <row r="706" spans="1:12" x14ac:dyDescent="0.2">
      <c r="A706" s="22">
        <v>19032</v>
      </c>
      <c r="B706" s="22" t="s">
        <v>386</v>
      </c>
      <c r="C706" s="22">
        <v>12023011</v>
      </c>
      <c r="D706" s="22" t="s">
        <v>93</v>
      </c>
      <c r="E706" s="22">
        <v>299</v>
      </c>
      <c r="F706" s="22" t="s">
        <v>208</v>
      </c>
      <c r="G706" s="22" t="s">
        <v>206</v>
      </c>
      <c r="I706" s="22">
        <v>1066.27</v>
      </c>
      <c r="J706" s="111" t="s">
        <v>12</v>
      </c>
      <c r="L706" s="66" t="str">
        <f t="shared" si="12"/>
        <v>112.2160.100</v>
      </c>
    </row>
    <row r="707" spans="1:12" x14ac:dyDescent="0.2">
      <c r="A707" s="22">
        <v>18962</v>
      </c>
      <c r="B707" s="22" t="s">
        <v>148</v>
      </c>
      <c r="C707" s="22">
        <v>12023011</v>
      </c>
      <c r="D707" s="22" t="s">
        <v>93</v>
      </c>
      <c r="E707" s="22">
        <v>299</v>
      </c>
      <c r="F707" s="22" t="s">
        <v>208</v>
      </c>
      <c r="G707" s="22" t="s">
        <v>206</v>
      </c>
      <c r="I707" s="22">
        <v>3762.77</v>
      </c>
      <c r="J707" s="111" t="s">
        <v>12</v>
      </c>
      <c r="L707" s="66" t="str">
        <f t="shared" si="12"/>
        <v>112.2160.100</v>
      </c>
    </row>
    <row r="708" spans="1:12" x14ac:dyDescent="0.2">
      <c r="A708" s="22">
        <v>18980</v>
      </c>
      <c r="B708" s="22" t="s">
        <v>97</v>
      </c>
      <c r="C708" s="22">
        <v>12023021</v>
      </c>
      <c r="D708" s="22" t="s">
        <v>98</v>
      </c>
      <c r="E708" s="22">
        <v>299</v>
      </c>
      <c r="F708" s="22" t="s">
        <v>208</v>
      </c>
      <c r="G708" s="22" t="s">
        <v>206</v>
      </c>
      <c r="I708" s="22">
        <v>1738.37</v>
      </c>
      <c r="J708" s="111" t="s">
        <v>12</v>
      </c>
      <c r="L708" s="66" t="str">
        <f t="shared" si="12"/>
        <v>112.2160.100</v>
      </c>
    </row>
    <row r="709" spans="1:12" x14ac:dyDescent="0.2">
      <c r="A709" s="22">
        <v>19038</v>
      </c>
      <c r="B709" s="22" t="s">
        <v>449</v>
      </c>
      <c r="C709" s="22">
        <v>12023021</v>
      </c>
      <c r="D709" s="22" t="s">
        <v>98</v>
      </c>
      <c r="E709" s="22">
        <v>299</v>
      </c>
      <c r="F709" s="22" t="s">
        <v>208</v>
      </c>
      <c r="G709" s="22" t="s">
        <v>206</v>
      </c>
      <c r="I709" s="22">
        <v>2507.23</v>
      </c>
      <c r="J709" s="111" t="s">
        <v>12</v>
      </c>
      <c r="L709" s="66" t="str">
        <f t="shared" si="12"/>
        <v>112.2160.100</v>
      </c>
    </row>
    <row r="710" spans="1:12" x14ac:dyDescent="0.2">
      <c r="A710" s="22">
        <v>19027</v>
      </c>
      <c r="B710" s="22" t="s">
        <v>365</v>
      </c>
      <c r="C710" s="22">
        <v>12023021</v>
      </c>
      <c r="D710" s="22" t="s">
        <v>98</v>
      </c>
      <c r="E710" s="22">
        <v>299</v>
      </c>
      <c r="F710" s="22" t="s">
        <v>208</v>
      </c>
      <c r="G710" s="22" t="s">
        <v>206</v>
      </c>
      <c r="I710" s="22">
        <v>1634.59</v>
      </c>
      <c r="J710" s="111" t="s">
        <v>12</v>
      </c>
      <c r="L710" s="66" t="str">
        <f t="shared" si="12"/>
        <v>112.2160.100</v>
      </c>
    </row>
    <row r="711" spans="1:12" x14ac:dyDescent="0.2">
      <c r="A711" s="22">
        <v>19021</v>
      </c>
      <c r="B711" s="22" t="s">
        <v>99</v>
      </c>
      <c r="C711" s="22">
        <v>12023021</v>
      </c>
      <c r="D711" s="22" t="s">
        <v>98</v>
      </c>
      <c r="E711" s="22">
        <v>299</v>
      </c>
      <c r="F711" s="22" t="s">
        <v>208</v>
      </c>
      <c r="G711" s="22" t="s">
        <v>206</v>
      </c>
      <c r="I711" s="22">
        <v>1705</v>
      </c>
      <c r="J711" s="111" t="s">
        <v>12</v>
      </c>
      <c r="L711" s="66" t="str">
        <f t="shared" si="12"/>
        <v>112.2160.100</v>
      </c>
    </row>
    <row r="712" spans="1:12" x14ac:dyDescent="0.2">
      <c r="A712" s="22">
        <v>18581</v>
      </c>
      <c r="B712" s="22" t="s">
        <v>190</v>
      </c>
      <c r="C712" s="22">
        <v>12024021</v>
      </c>
      <c r="D712" s="22" t="s">
        <v>191</v>
      </c>
      <c r="E712" s="22">
        <v>299</v>
      </c>
      <c r="F712" s="22" t="s">
        <v>208</v>
      </c>
      <c r="G712" s="22" t="s">
        <v>206</v>
      </c>
      <c r="I712" s="22">
        <v>2120.34</v>
      </c>
      <c r="J712" s="111" t="s">
        <v>12</v>
      </c>
      <c r="L712" s="66" t="str">
        <f t="shared" si="12"/>
        <v>112.2160.100</v>
      </c>
    </row>
    <row r="713" spans="1:12" x14ac:dyDescent="0.2">
      <c r="A713" s="22">
        <v>19034</v>
      </c>
      <c r="B713" s="22" t="s">
        <v>439</v>
      </c>
      <c r="C713" s="22">
        <v>12028099</v>
      </c>
      <c r="D713" s="22" t="s">
        <v>150</v>
      </c>
      <c r="E713" s="22">
        <v>299</v>
      </c>
      <c r="F713" s="22" t="s">
        <v>208</v>
      </c>
      <c r="G713" s="22" t="s">
        <v>206</v>
      </c>
      <c r="I713" s="22">
        <v>2380.92</v>
      </c>
      <c r="J713" s="111" t="s">
        <v>12</v>
      </c>
      <c r="L713" s="66" t="str">
        <f t="shared" si="12"/>
        <v>112.2160.100</v>
      </c>
    </row>
    <row r="714" spans="1:12" x14ac:dyDescent="0.2">
      <c r="A714" s="22">
        <v>44705</v>
      </c>
      <c r="B714" s="22" t="s">
        <v>149</v>
      </c>
      <c r="C714" s="22">
        <v>12028099</v>
      </c>
      <c r="D714" s="22" t="s">
        <v>150</v>
      </c>
      <c r="E714" s="22">
        <v>299</v>
      </c>
      <c r="F714" s="22" t="s">
        <v>208</v>
      </c>
      <c r="G714" s="22" t="s">
        <v>206</v>
      </c>
      <c r="I714" s="22">
        <v>4372.7700000000004</v>
      </c>
      <c r="J714" s="111" t="s">
        <v>12</v>
      </c>
      <c r="L714" s="66" t="str">
        <f t="shared" si="12"/>
        <v>112.2160.100</v>
      </c>
    </row>
    <row r="715" spans="1:12" x14ac:dyDescent="0.2">
      <c r="A715" s="22">
        <v>18805</v>
      </c>
      <c r="B715" s="22" t="s">
        <v>192</v>
      </c>
      <c r="C715" s="22">
        <v>12030400</v>
      </c>
      <c r="D715" s="22" t="s">
        <v>62</v>
      </c>
      <c r="E715" s="22">
        <v>299</v>
      </c>
      <c r="F715" s="22" t="s">
        <v>208</v>
      </c>
      <c r="G715" s="22" t="s">
        <v>206</v>
      </c>
      <c r="I715" s="22">
        <v>1877.69</v>
      </c>
      <c r="J715" s="111" t="s">
        <v>12</v>
      </c>
      <c r="L715" s="66" t="str">
        <f t="shared" si="12"/>
        <v>112.2160.100</v>
      </c>
    </row>
    <row r="716" spans="1:12" x14ac:dyDescent="0.2">
      <c r="A716" s="22">
        <v>18982</v>
      </c>
      <c r="B716" s="22" t="s">
        <v>100</v>
      </c>
      <c r="C716" s="22">
        <v>12030400</v>
      </c>
      <c r="D716" s="22" t="s">
        <v>62</v>
      </c>
      <c r="E716" s="22">
        <v>299</v>
      </c>
      <c r="F716" s="22" t="s">
        <v>208</v>
      </c>
      <c r="G716" s="22" t="s">
        <v>206</v>
      </c>
      <c r="I716" s="22">
        <v>1819.68</v>
      </c>
      <c r="J716" s="111" t="s">
        <v>12</v>
      </c>
      <c r="L716" s="66" t="str">
        <f t="shared" si="12"/>
        <v>112.2160.100</v>
      </c>
    </row>
    <row r="717" spans="1:12" x14ac:dyDescent="0.2">
      <c r="A717" s="22">
        <v>18841</v>
      </c>
      <c r="B717" s="22" t="s">
        <v>193</v>
      </c>
      <c r="C717" s="22">
        <v>12030500</v>
      </c>
      <c r="D717" s="22" t="s">
        <v>34</v>
      </c>
      <c r="E717" s="22">
        <v>299</v>
      </c>
      <c r="F717" s="22" t="s">
        <v>208</v>
      </c>
      <c r="G717" s="22" t="s">
        <v>206</v>
      </c>
      <c r="I717" s="22">
        <v>1733.85</v>
      </c>
      <c r="J717" s="111" t="s">
        <v>12</v>
      </c>
      <c r="L717" s="66" t="str">
        <f t="shared" si="12"/>
        <v>112.2160.100</v>
      </c>
    </row>
    <row r="718" spans="1:12" x14ac:dyDescent="0.2">
      <c r="A718" s="22">
        <v>266</v>
      </c>
      <c r="B718" s="22" t="s">
        <v>194</v>
      </c>
      <c r="C718" s="22">
        <v>12030500</v>
      </c>
      <c r="D718" s="22" t="s">
        <v>34</v>
      </c>
      <c r="E718" s="22">
        <v>299</v>
      </c>
      <c r="F718" s="22" t="s">
        <v>208</v>
      </c>
      <c r="G718" s="22" t="s">
        <v>206</v>
      </c>
      <c r="I718" s="22">
        <v>1987.8</v>
      </c>
      <c r="J718" s="111" t="s">
        <v>12</v>
      </c>
      <c r="L718" s="66" t="str">
        <f t="shared" si="12"/>
        <v>112.2160.100</v>
      </c>
    </row>
    <row r="719" spans="1:12" x14ac:dyDescent="0.2">
      <c r="A719" s="22">
        <v>18797</v>
      </c>
      <c r="B719" s="22" t="s">
        <v>101</v>
      </c>
      <c r="C719" s="22">
        <v>12030611</v>
      </c>
      <c r="D719" s="22" t="s">
        <v>36</v>
      </c>
      <c r="E719" s="22">
        <v>299</v>
      </c>
      <c r="F719" s="22" t="s">
        <v>208</v>
      </c>
      <c r="G719" s="22" t="s">
        <v>206</v>
      </c>
      <c r="I719" s="22">
        <v>1958.49</v>
      </c>
      <c r="J719" s="111" t="s">
        <v>12</v>
      </c>
      <c r="L719" s="66" t="str">
        <f t="shared" si="12"/>
        <v>112.2160.100</v>
      </c>
    </row>
    <row r="720" spans="1:12" x14ac:dyDescent="0.2">
      <c r="A720" s="22">
        <v>18626</v>
      </c>
      <c r="B720" s="22" t="s">
        <v>195</v>
      </c>
      <c r="C720" s="22">
        <v>12030611</v>
      </c>
      <c r="D720" s="22" t="s">
        <v>36</v>
      </c>
      <c r="E720" s="22">
        <v>299</v>
      </c>
      <c r="F720" s="22" t="s">
        <v>208</v>
      </c>
      <c r="G720" s="22" t="s">
        <v>206</v>
      </c>
      <c r="I720" s="22">
        <v>2859.54</v>
      </c>
      <c r="J720" s="111" t="s">
        <v>12</v>
      </c>
      <c r="L720" s="66" t="str">
        <f t="shared" si="12"/>
        <v>112.2160.100</v>
      </c>
    </row>
    <row r="721" spans="1:12" x14ac:dyDescent="0.2">
      <c r="A721" s="22">
        <v>18822</v>
      </c>
      <c r="B721" s="22" t="s">
        <v>103</v>
      </c>
      <c r="C721" s="22">
        <v>12030611</v>
      </c>
      <c r="D721" s="22" t="s">
        <v>36</v>
      </c>
      <c r="E721" s="22">
        <v>299</v>
      </c>
      <c r="F721" s="22" t="s">
        <v>208</v>
      </c>
      <c r="G721" s="22" t="s">
        <v>206</v>
      </c>
      <c r="I721" s="22">
        <v>1735.38</v>
      </c>
      <c r="J721" s="111" t="s">
        <v>12</v>
      </c>
      <c r="L721" s="66" t="str">
        <f t="shared" si="12"/>
        <v>112.2160.100</v>
      </c>
    </row>
    <row r="722" spans="1:12" x14ac:dyDescent="0.2">
      <c r="A722" s="22">
        <v>18918</v>
      </c>
      <c r="B722" s="22" t="s">
        <v>38</v>
      </c>
      <c r="C722" s="22">
        <v>12030611</v>
      </c>
      <c r="D722" s="22" t="s">
        <v>36</v>
      </c>
      <c r="E722" s="22">
        <v>299</v>
      </c>
      <c r="F722" s="22" t="s">
        <v>208</v>
      </c>
      <c r="G722" s="22" t="s">
        <v>206</v>
      </c>
      <c r="I722" s="22">
        <v>2527.21</v>
      </c>
      <c r="J722" s="111" t="s">
        <v>12</v>
      </c>
      <c r="L722" s="66" t="str">
        <f t="shared" si="12"/>
        <v>112.2160.100</v>
      </c>
    </row>
    <row r="723" spans="1:12" x14ac:dyDescent="0.2">
      <c r="A723" s="22">
        <v>18827</v>
      </c>
      <c r="B723" s="22" t="s">
        <v>104</v>
      </c>
      <c r="C723" s="22">
        <v>12030611</v>
      </c>
      <c r="D723" s="22" t="s">
        <v>36</v>
      </c>
      <c r="E723" s="22">
        <v>299</v>
      </c>
      <c r="F723" s="22" t="s">
        <v>208</v>
      </c>
      <c r="G723" s="22" t="s">
        <v>206</v>
      </c>
      <c r="I723" s="22">
        <v>2093.75</v>
      </c>
      <c r="J723" s="111" t="s">
        <v>12</v>
      </c>
      <c r="L723" s="66" t="str">
        <f t="shared" si="12"/>
        <v>112.2160.100</v>
      </c>
    </row>
    <row r="724" spans="1:12" x14ac:dyDescent="0.2">
      <c r="A724" s="22">
        <v>18949</v>
      </c>
      <c r="B724" s="22" t="s">
        <v>35</v>
      </c>
      <c r="C724" s="22">
        <v>12030611</v>
      </c>
      <c r="D724" s="22" t="s">
        <v>36</v>
      </c>
      <c r="E724" s="22">
        <v>299</v>
      </c>
      <c r="F724" s="22" t="s">
        <v>208</v>
      </c>
      <c r="G724" s="22" t="s">
        <v>206</v>
      </c>
      <c r="I724" s="22">
        <v>2056.06</v>
      </c>
      <c r="J724" s="111" t="s">
        <v>12</v>
      </c>
      <c r="L724" s="66" t="str">
        <f t="shared" si="12"/>
        <v>112.2160.100</v>
      </c>
    </row>
    <row r="725" spans="1:12" x14ac:dyDescent="0.2">
      <c r="A725" s="22">
        <v>18887</v>
      </c>
      <c r="B725" s="22" t="s">
        <v>105</v>
      </c>
      <c r="C725" s="22">
        <v>12030611</v>
      </c>
      <c r="D725" s="22" t="s">
        <v>36</v>
      </c>
      <c r="E725" s="22">
        <v>299</v>
      </c>
      <c r="F725" s="22" t="s">
        <v>208</v>
      </c>
      <c r="G725" s="22" t="s">
        <v>206</v>
      </c>
      <c r="I725" s="22">
        <v>1976.67</v>
      </c>
      <c r="J725" s="111" t="s">
        <v>12</v>
      </c>
      <c r="L725" s="66" t="str">
        <f t="shared" si="12"/>
        <v>112.2160.100</v>
      </c>
    </row>
    <row r="726" spans="1:12" x14ac:dyDescent="0.2">
      <c r="A726" s="22">
        <v>18979</v>
      </c>
      <c r="B726" s="22" t="s">
        <v>39</v>
      </c>
      <c r="C726" s="22">
        <v>12030611</v>
      </c>
      <c r="D726" s="22" t="s">
        <v>36</v>
      </c>
      <c r="E726" s="22">
        <v>299</v>
      </c>
      <c r="F726" s="22" t="s">
        <v>208</v>
      </c>
      <c r="G726" s="22" t="s">
        <v>206</v>
      </c>
      <c r="I726" s="22">
        <v>1791.76</v>
      </c>
      <c r="J726" s="111" t="s">
        <v>12</v>
      </c>
      <c r="L726" s="66" t="str">
        <f t="shared" si="12"/>
        <v>112.2160.100</v>
      </c>
    </row>
    <row r="727" spans="1:12" x14ac:dyDescent="0.2">
      <c r="A727" s="22">
        <v>134</v>
      </c>
      <c r="B727" s="22" t="s">
        <v>102</v>
      </c>
      <c r="C727" s="22">
        <v>12030611</v>
      </c>
      <c r="D727" s="22" t="s">
        <v>36</v>
      </c>
      <c r="E727" s="22">
        <v>299</v>
      </c>
      <c r="F727" s="22" t="s">
        <v>208</v>
      </c>
      <c r="G727" s="22" t="s">
        <v>206</v>
      </c>
      <c r="I727" s="22">
        <v>975.48</v>
      </c>
      <c r="J727" s="111" t="s">
        <v>12</v>
      </c>
      <c r="L727" s="66" t="str">
        <f t="shared" si="12"/>
        <v>112.2160.100</v>
      </c>
    </row>
    <row r="728" spans="1:12" x14ac:dyDescent="0.2">
      <c r="A728" s="22">
        <v>18929</v>
      </c>
      <c r="B728" s="22" t="s">
        <v>106</v>
      </c>
      <c r="C728" s="22">
        <v>12030611</v>
      </c>
      <c r="D728" s="22" t="s">
        <v>36</v>
      </c>
      <c r="E728" s="22">
        <v>299</v>
      </c>
      <c r="F728" s="22" t="s">
        <v>208</v>
      </c>
      <c r="G728" s="22" t="s">
        <v>206</v>
      </c>
      <c r="I728" s="22">
        <v>1168.32</v>
      </c>
      <c r="J728" s="111" t="s">
        <v>12</v>
      </c>
      <c r="L728" s="66" t="str">
        <f t="shared" si="12"/>
        <v>112.2160.100</v>
      </c>
    </row>
    <row r="729" spans="1:12" x14ac:dyDescent="0.2">
      <c r="A729" s="22">
        <v>18793</v>
      </c>
      <c r="B729" s="22" t="s">
        <v>480</v>
      </c>
      <c r="C729" s="22">
        <v>12030711</v>
      </c>
      <c r="D729" s="22" t="s">
        <v>41</v>
      </c>
      <c r="E729" s="22">
        <v>299</v>
      </c>
      <c r="F729" s="22" t="s">
        <v>208</v>
      </c>
      <c r="G729" s="22" t="s">
        <v>206</v>
      </c>
      <c r="I729" s="22">
        <v>334.81</v>
      </c>
      <c r="J729" s="111" t="s">
        <v>12</v>
      </c>
      <c r="L729" s="66" t="str">
        <f t="shared" si="12"/>
        <v>112.2160.100</v>
      </c>
    </row>
    <row r="730" spans="1:12" x14ac:dyDescent="0.2">
      <c r="A730" s="22">
        <v>18989</v>
      </c>
      <c r="B730" s="22" t="s">
        <v>107</v>
      </c>
      <c r="C730" s="22">
        <v>12030800</v>
      </c>
      <c r="D730" s="22" t="s">
        <v>59</v>
      </c>
      <c r="E730" s="22">
        <v>299</v>
      </c>
      <c r="F730" s="22" t="s">
        <v>208</v>
      </c>
      <c r="G730" s="22" t="s">
        <v>206</v>
      </c>
      <c r="I730" s="22">
        <v>1595.33</v>
      </c>
      <c r="J730" s="111" t="s">
        <v>12</v>
      </c>
      <c r="L730" s="66" t="str">
        <f t="shared" ref="L730:L793" si="13">G730</f>
        <v>112.2160.100</v>
      </c>
    </row>
    <row r="731" spans="1:12" x14ac:dyDescent="0.2">
      <c r="A731" s="22">
        <v>18736</v>
      </c>
      <c r="B731" s="22" t="s">
        <v>70</v>
      </c>
      <c r="C731" s="22">
        <v>12032511</v>
      </c>
      <c r="D731" s="22" t="s">
        <v>43</v>
      </c>
      <c r="E731" s="22">
        <v>299</v>
      </c>
      <c r="F731" s="22" t="s">
        <v>208</v>
      </c>
      <c r="G731" s="22" t="s">
        <v>206</v>
      </c>
      <c r="I731" s="22">
        <v>1899.4</v>
      </c>
      <c r="J731" s="111" t="s">
        <v>12</v>
      </c>
      <c r="L731" s="66" t="str">
        <f t="shared" si="13"/>
        <v>112.2160.100</v>
      </c>
    </row>
    <row r="732" spans="1:12" x14ac:dyDescent="0.2">
      <c r="A732" s="22">
        <v>19011</v>
      </c>
      <c r="B732" s="22" t="s">
        <v>111</v>
      </c>
      <c r="C732" s="22">
        <v>12033011</v>
      </c>
      <c r="D732" s="22" t="s">
        <v>45</v>
      </c>
      <c r="E732" s="22">
        <v>299</v>
      </c>
      <c r="F732" s="22" t="s">
        <v>208</v>
      </c>
      <c r="G732" s="22" t="s">
        <v>206</v>
      </c>
      <c r="I732" s="22">
        <v>1725.48</v>
      </c>
      <c r="J732" s="111" t="s">
        <v>12</v>
      </c>
      <c r="L732" s="66" t="str">
        <f t="shared" si="13"/>
        <v>112.2160.100</v>
      </c>
    </row>
    <row r="733" spans="1:12" x14ac:dyDescent="0.2">
      <c r="A733" s="22">
        <v>18607</v>
      </c>
      <c r="B733" s="22" t="s">
        <v>109</v>
      </c>
      <c r="C733" s="22">
        <v>12033011</v>
      </c>
      <c r="D733" s="22" t="s">
        <v>45</v>
      </c>
      <c r="E733" s="22">
        <v>299</v>
      </c>
      <c r="F733" s="22" t="s">
        <v>208</v>
      </c>
      <c r="G733" s="22" t="s">
        <v>206</v>
      </c>
      <c r="I733" s="22">
        <v>795.58</v>
      </c>
      <c r="J733" s="111" t="s">
        <v>12</v>
      </c>
      <c r="L733" s="66" t="str">
        <f t="shared" si="13"/>
        <v>112.2160.100</v>
      </c>
    </row>
    <row r="734" spans="1:12" x14ac:dyDescent="0.2">
      <c r="A734" s="22">
        <v>19008</v>
      </c>
      <c r="B734" s="22" t="s">
        <v>118</v>
      </c>
      <c r="C734" s="22">
        <v>12033011</v>
      </c>
      <c r="D734" s="22" t="s">
        <v>45</v>
      </c>
      <c r="E734" s="22">
        <v>299</v>
      </c>
      <c r="F734" s="22" t="s">
        <v>208</v>
      </c>
      <c r="G734" s="22" t="s">
        <v>206</v>
      </c>
      <c r="I734" s="22">
        <v>1299.8699999999999</v>
      </c>
      <c r="J734" s="111" t="s">
        <v>12</v>
      </c>
      <c r="L734" s="66" t="str">
        <f t="shared" si="13"/>
        <v>112.2160.100</v>
      </c>
    </row>
    <row r="735" spans="1:12" x14ac:dyDescent="0.2">
      <c r="A735" s="22">
        <v>19012</v>
      </c>
      <c r="B735" s="22" t="s">
        <v>110</v>
      </c>
      <c r="C735" s="22">
        <v>12033011</v>
      </c>
      <c r="D735" s="22" t="s">
        <v>45</v>
      </c>
      <c r="E735" s="22">
        <v>299</v>
      </c>
      <c r="F735" s="22" t="s">
        <v>208</v>
      </c>
      <c r="G735" s="22" t="s">
        <v>206</v>
      </c>
      <c r="I735" s="22">
        <v>2010.7</v>
      </c>
      <c r="J735" s="111" t="s">
        <v>12</v>
      </c>
      <c r="L735" s="66" t="str">
        <f t="shared" si="13"/>
        <v>112.2160.100</v>
      </c>
    </row>
    <row r="736" spans="1:12" x14ac:dyDescent="0.2">
      <c r="A736" s="22">
        <v>19019</v>
      </c>
      <c r="B736" s="22" t="s">
        <v>108</v>
      </c>
      <c r="C736" s="22">
        <v>12033011</v>
      </c>
      <c r="D736" s="22" t="s">
        <v>45</v>
      </c>
      <c r="E736" s="22">
        <v>299</v>
      </c>
      <c r="F736" s="22" t="s">
        <v>208</v>
      </c>
      <c r="G736" s="22" t="s">
        <v>206</v>
      </c>
      <c r="I736" s="22">
        <v>1795.65</v>
      </c>
      <c r="J736" s="111" t="s">
        <v>12</v>
      </c>
      <c r="L736" s="66" t="str">
        <f t="shared" si="13"/>
        <v>112.2160.100</v>
      </c>
    </row>
    <row r="737" spans="1:12" x14ac:dyDescent="0.2">
      <c r="A737" s="22">
        <v>19028</v>
      </c>
      <c r="B737" s="22" t="s">
        <v>367</v>
      </c>
      <c r="C737" s="22">
        <v>12033011</v>
      </c>
      <c r="D737" s="22" t="s">
        <v>45</v>
      </c>
      <c r="E737" s="22">
        <v>299</v>
      </c>
      <c r="F737" s="22" t="s">
        <v>208</v>
      </c>
      <c r="G737" s="22" t="s">
        <v>206</v>
      </c>
      <c r="I737" s="22">
        <v>1999.02</v>
      </c>
      <c r="J737" s="111" t="s">
        <v>12</v>
      </c>
      <c r="L737" s="66" t="str">
        <f t="shared" si="13"/>
        <v>112.2160.100</v>
      </c>
    </row>
    <row r="738" spans="1:12" x14ac:dyDescent="0.2">
      <c r="A738" s="22">
        <v>18829</v>
      </c>
      <c r="B738" s="22" t="s">
        <v>115</v>
      </c>
      <c r="C738" s="22">
        <v>12033011</v>
      </c>
      <c r="D738" s="22" t="s">
        <v>45</v>
      </c>
      <c r="E738" s="22">
        <v>299</v>
      </c>
      <c r="F738" s="22" t="s">
        <v>208</v>
      </c>
      <c r="G738" s="22" t="s">
        <v>206</v>
      </c>
      <c r="I738" s="22">
        <v>2333.0700000000002</v>
      </c>
      <c r="J738" s="111" t="s">
        <v>12</v>
      </c>
      <c r="L738" s="66" t="str">
        <f t="shared" si="13"/>
        <v>112.2160.100</v>
      </c>
    </row>
    <row r="739" spans="1:12" x14ac:dyDescent="0.2">
      <c r="A739" s="22">
        <v>19015</v>
      </c>
      <c r="B739" s="22" t="s">
        <v>116</v>
      </c>
      <c r="C739" s="22">
        <v>12033011</v>
      </c>
      <c r="D739" s="22" t="s">
        <v>45</v>
      </c>
      <c r="E739" s="22">
        <v>299</v>
      </c>
      <c r="F739" s="22" t="s">
        <v>208</v>
      </c>
      <c r="G739" s="22" t="s">
        <v>206</v>
      </c>
      <c r="I739" s="22">
        <v>2075.69</v>
      </c>
      <c r="J739" s="111" t="s">
        <v>12</v>
      </c>
      <c r="L739" s="66" t="str">
        <f t="shared" si="13"/>
        <v>112.2160.100</v>
      </c>
    </row>
    <row r="740" spans="1:12" x14ac:dyDescent="0.2">
      <c r="A740" s="22">
        <v>18679</v>
      </c>
      <c r="B740" s="22" t="s">
        <v>114</v>
      </c>
      <c r="C740" s="22">
        <v>12033011</v>
      </c>
      <c r="D740" s="22" t="s">
        <v>45</v>
      </c>
      <c r="E740" s="22">
        <v>299</v>
      </c>
      <c r="F740" s="22" t="s">
        <v>208</v>
      </c>
      <c r="G740" s="22" t="s">
        <v>206</v>
      </c>
      <c r="I740" s="22">
        <v>1511.33</v>
      </c>
      <c r="J740" s="111" t="s">
        <v>12</v>
      </c>
      <c r="L740" s="66" t="str">
        <f t="shared" si="13"/>
        <v>112.2160.100</v>
      </c>
    </row>
    <row r="741" spans="1:12" x14ac:dyDescent="0.2">
      <c r="A741" s="22">
        <v>18923</v>
      </c>
      <c r="B741" s="22" t="s">
        <v>46</v>
      </c>
      <c r="C741" s="22">
        <v>12033011</v>
      </c>
      <c r="D741" s="22" t="s">
        <v>45</v>
      </c>
      <c r="E741" s="22">
        <v>299</v>
      </c>
      <c r="F741" s="22" t="s">
        <v>208</v>
      </c>
      <c r="G741" s="22" t="s">
        <v>206</v>
      </c>
      <c r="I741" s="22">
        <v>1024.97</v>
      </c>
      <c r="J741" s="111" t="s">
        <v>12</v>
      </c>
      <c r="L741" s="66" t="str">
        <f t="shared" si="13"/>
        <v>112.2160.100</v>
      </c>
    </row>
    <row r="742" spans="1:12" x14ac:dyDescent="0.2">
      <c r="A742" s="22">
        <v>19017</v>
      </c>
      <c r="B742" s="22" t="s">
        <v>65</v>
      </c>
      <c r="C742" s="22">
        <v>12033011</v>
      </c>
      <c r="D742" s="22" t="s">
        <v>45</v>
      </c>
      <c r="E742" s="22">
        <v>299</v>
      </c>
      <c r="F742" s="22" t="s">
        <v>208</v>
      </c>
      <c r="G742" s="22" t="s">
        <v>206</v>
      </c>
      <c r="I742" s="22">
        <v>1712.75</v>
      </c>
      <c r="J742" s="111" t="s">
        <v>12</v>
      </c>
      <c r="L742" s="66" t="str">
        <f t="shared" si="13"/>
        <v>112.2160.100</v>
      </c>
    </row>
    <row r="743" spans="1:12" x14ac:dyDescent="0.2">
      <c r="A743" s="22">
        <v>19009</v>
      </c>
      <c r="B743" s="22" t="s">
        <v>117</v>
      </c>
      <c r="C743" s="22">
        <v>12033011</v>
      </c>
      <c r="D743" s="22" t="s">
        <v>45</v>
      </c>
      <c r="E743" s="22">
        <v>299</v>
      </c>
      <c r="F743" s="22" t="s">
        <v>208</v>
      </c>
      <c r="G743" s="22" t="s">
        <v>206</v>
      </c>
      <c r="I743" s="22">
        <v>1668.91</v>
      </c>
      <c r="J743" s="111" t="s">
        <v>12</v>
      </c>
      <c r="L743" s="66" t="str">
        <f t="shared" si="13"/>
        <v>112.2160.100</v>
      </c>
    </row>
    <row r="744" spans="1:12" x14ac:dyDescent="0.2">
      <c r="A744" s="22">
        <v>19030</v>
      </c>
      <c r="B744" s="22" t="s">
        <v>364</v>
      </c>
      <c r="C744" s="22">
        <v>12033011</v>
      </c>
      <c r="D744" s="22" t="s">
        <v>45</v>
      </c>
      <c r="E744" s="22">
        <v>299</v>
      </c>
      <c r="F744" s="22" t="s">
        <v>208</v>
      </c>
      <c r="G744" s="22" t="s">
        <v>206</v>
      </c>
      <c r="I744" s="22">
        <v>1754.15</v>
      </c>
      <c r="J744" s="111" t="s">
        <v>12</v>
      </c>
      <c r="L744" s="66" t="str">
        <f t="shared" si="13"/>
        <v>112.2160.100</v>
      </c>
    </row>
    <row r="745" spans="1:12" x14ac:dyDescent="0.2">
      <c r="A745" s="22">
        <v>19029</v>
      </c>
      <c r="B745" s="22" t="s">
        <v>366</v>
      </c>
      <c r="C745" s="22">
        <v>12033011</v>
      </c>
      <c r="D745" s="22" t="s">
        <v>45</v>
      </c>
      <c r="E745" s="22">
        <v>299</v>
      </c>
      <c r="F745" s="22" t="s">
        <v>208</v>
      </c>
      <c r="G745" s="22" t="s">
        <v>206</v>
      </c>
      <c r="I745" s="22">
        <v>1973.62</v>
      </c>
      <c r="J745" s="111" t="s">
        <v>12</v>
      </c>
      <c r="L745" s="66" t="str">
        <f t="shared" si="13"/>
        <v>112.2160.100</v>
      </c>
    </row>
    <row r="746" spans="1:12" x14ac:dyDescent="0.2">
      <c r="A746" s="22">
        <v>18983</v>
      </c>
      <c r="B746" s="22" t="s">
        <v>112</v>
      </c>
      <c r="C746" s="22">
        <v>12033011</v>
      </c>
      <c r="D746" s="22" t="s">
        <v>45</v>
      </c>
      <c r="E746" s="22">
        <v>299</v>
      </c>
      <c r="F746" s="22" t="s">
        <v>208</v>
      </c>
      <c r="G746" s="22" t="s">
        <v>206</v>
      </c>
      <c r="I746" s="22">
        <v>2280.27</v>
      </c>
      <c r="J746" s="111" t="s">
        <v>12</v>
      </c>
      <c r="L746" s="66" t="str">
        <f t="shared" si="13"/>
        <v>112.2160.100</v>
      </c>
    </row>
    <row r="747" spans="1:12" x14ac:dyDescent="0.2">
      <c r="A747" s="22">
        <v>18932</v>
      </c>
      <c r="B747" s="22" t="s">
        <v>44</v>
      </c>
      <c r="C747" s="22">
        <v>12033011</v>
      </c>
      <c r="D747" s="22" t="s">
        <v>45</v>
      </c>
      <c r="E747" s="22">
        <v>299</v>
      </c>
      <c r="F747" s="22" t="s">
        <v>208</v>
      </c>
      <c r="G747" s="22" t="s">
        <v>206</v>
      </c>
      <c r="I747" s="22">
        <v>2467.2199999999998</v>
      </c>
      <c r="J747" s="111" t="s">
        <v>12</v>
      </c>
      <c r="L747" s="66" t="str">
        <f t="shared" si="13"/>
        <v>112.2160.100</v>
      </c>
    </row>
    <row r="748" spans="1:12" x14ac:dyDescent="0.2">
      <c r="A748" s="22">
        <v>18998</v>
      </c>
      <c r="B748" s="22" t="s">
        <v>47</v>
      </c>
      <c r="C748" s="22">
        <v>12038099</v>
      </c>
      <c r="D748" s="22" t="s">
        <v>48</v>
      </c>
      <c r="E748" s="22">
        <v>299</v>
      </c>
      <c r="F748" s="22" t="s">
        <v>208</v>
      </c>
      <c r="G748" s="22" t="s">
        <v>206</v>
      </c>
      <c r="I748" s="22">
        <v>2494.9299999999998</v>
      </c>
      <c r="J748" s="111" t="s">
        <v>12</v>
      </c>
      <c r="L748" s="66" t="str">
        <f t="shared" si="13"/>
        <v>112.2160.100</v>
      </c>
    </row>
    <row r="749" spans="1:12" x14ac:dyDescent="0.2">
      <c r="A749" s="22">
        <v>115</v>
      </c>
      <c r="B749" s="22" t="s">
        <v>196</v>
      </c>
      <c r="C749" s="22">
        <v>12040400</v>
      </c>
      <c r="D749" s="22" t="s">
        <v>197</v>
      </c>
      <c r="E749" s="22">
        <v>299</v>
      </c>
      <c r="F749" s="22" t="s">
        <v>208</v>
      </c>
      <c r="G749" s="22" t="s">
        <v>206</v>
      </c>
      <c r="I749" s="22">
        <v>2283.62</v>
      </c>
      <c r="J749" s="111" t="s">
        <v>12</v>
      </c>
      <c r="L749" s="66" t="str">
        <f t="shared" si="13"/>
        <v>112.2160.100</v>
      </c>
    </row>
    <row r="750" spans="1:12" x14ac:dyDescent="0.2">
      <c r="A750" s="22">
        <v>18649</v>
      </c>
      <c r="B750" s="22" t="s">
        <v>152</v>
      </c>
      <c r="C750" s="22">
        <v>12040500</v>
      </c>
      <c r="D750" s="22" t="s">
        <v>67</v>
      </c>
      <c r="E750" s="22">
        <v>299</v>
      </c>
      <c r="F750" s="22" t="s">
        <v>208</v>
      </c>
      <c r="G750" s="22" t="s">
        <v>206</v>
      </c>
      <c r="I750" s="22">
        <v>2317.38</v>
      </c>
      <c r="J750" s="111" t="s">
        <v>12</v>
      </c>
      <c r="L750" s="66" t="str">
        <f t="shared" si="13"/>
        <v>112.2160.100</v>
      </c>
    </row>
    <row r="751" spans="1:12" x14ac:dyDescent="0.2">
      <c r="A751" s="22">
        <v>19020</v>
      </c>
      <c r="B751" s="22" t="s">
        <v>66</v>
      </c>
      <c r="C751" s="22">
        <v>12040500</v>
      </c>
      <c r="D751" s="22" t="s">
        <v>67</v>
      </c>
      <c r="E751" s="22">
        <v>299</v>
      </c>
      <c r="F751" s="22" t="s">
        <v>208</v>
      </c>
      <c r="G751" s="22" t="s">
        <v>206</v>
      </c>
      <c r="I751" s="22">
        <v>1704.31</v>
      </c>
      <c r="J751" s="111" t="s">
        <v>12</v>
      </c>
      <c r="L751" s="66" t="str">
        <f t="shared" si="13"/>
        <v>112.2160.100</v>
      </c>
    </row>
    <row r="752" spans="1:12" x14ac:dyDescent="0.2">
      <c r="A752" s="22">
        <v>18904</v>
      </c>
      <c r="B752" s="22" t="s">
        <v>119</v>
      </c>
      <c r="C752" s="22">
        <v>12040800</v>
      </c>
      <c r="D752" s="22" t="s">
        <v>120</v>
      </c>
      <c r="E752" s="22">
        <v>299</v>
      </c>
      <c r="F752" s="22" t="s">
        <v>208</v>
      </c>
      <c r="G752" s="22" t="s">
        <v>206</v>
      </c>
      <c r="I752" s="22">
        <v>1673.98</v>
      </c>
      <c r="J752" s="111" t="s">
        <v>12</v>
      </c>
      <c r="L752" s="66" t="str">
        <f t="shared" si="13"/>
        <v>112.2160.100</v>
      </c>
    </row>
    <row r="753" spans="1:12" x14ac:dyDescent="0.2">
      <c r="A753" s="22">
        <v>18839</v>
      </c>
      <c r="B753" s="22" t="s">
        <v>198</v>
      </c>
      <c r="C753" s="22">
        <v>12040800</v>
      </c>
      <c r="D753" s="22" t="s">
        <v>120</v>
      </c>
      <c r="E753" s="22">
        <v>299</v>
      </c>
      <c r="F753" s="22" t="s">
        <v>208</v>
      </c>
      <c r="G753" s="22" t="s">
        <v>206</v>
      </c>
      <c r="I753" s="22">
        <v>1081.79</v>
      </c>
      <c r="J753" s="111" t="s">
        <v>12</v>
      </c>
      <c r="L753" s="66" t="str">
        <f t="shared" si="13"/>
        <v>112.2160.100</v>
      </c>
    </row>
    <row r="754" spans="1:12" x14ac:dyDescent="0.2">
      <c r="A754" s="22">
        <v>18650</v>
      </c>
      <c r="B754" s="22" t="s">
        <v>49</v>
      </c>
      <c r="C754" s="22">
        <v>12042511</v>
      </c>
      <c r="D754" s="22" t="s">
        <v>50</v>
      </c>
      <c r="E754" s="22">
        <v>299</v>
      </c>
      <c r="F754" s="22" t="s">
        <v>208</v>
      </c>
      <c r="G754" s="22" t="s">
        <v>206</v>
      </c>
      <c r="I754" s="22">
        <v>881.89</v>
      </c>
      <c r="J754" s="111" t="s">
        <v>12</v>
      </c>
      <c r="L754" s="66" t="str">
        <f t="shared" si="13"/>
        <v>112.2160.100</v>
      </c>
    </row>
    <row r="755" spans="1:12" x14ac:dyDescent="0.2">
      <c r="A755" s="22">
        <v>18990</v>
      </c>
      <c r="B755" s="22" t="s">
        <v>125</v>
      </c>
      <c r="C755" s="22">
        <v>12043011</v>
      </c>
      <c r="D755" s="22" t="s">
        <v>52</v>
      </c>
      <c r="E755" s="22">
        <v>299</v>
      </c>
      <c r="F755" s="22" t="s">
        <v>208</v>
      </c>
      <c r="G755" s="22" t="s">
        <v>206</v>
      </c>
      <c r="I755" s="22">
        <v>1571.84</v>
      </c>
      <c r="J755" s="111" t="s">
        <v>12</v>
      </c>
      <c r="L755" s="66" t="str">
        <f t="shared" si="13"/>
        <v>112.2160.100</v>
      </c>
    </row>
    <row r="756" spans="1:12" x14ac:dyDescent="0.2">
      <c r="A756" s="22">
        <v>18703</v>
      </c>
      <c r="B756" s="22" t="s">
        <v>126</v>
      </c>
      <c r="C756" s="22">
        <v>12043011</v>
      </c>
      <c r="D756" s="22" t="s">
        <v>52</v>
      </c>
      <c r="E756" s="22">
        <v>299</v>
      </c>
      <c r="F756" s="22" t="s">
        <v>208</v>
      </c>
      <c r="G756" s="22" t="s">
        <v>206</v>
      </c>
      <c r="I756" s="22">
        <v>1391.42</v>
      </c>
      <c r="J756" s="111" t="s">
        <v>12</v>
      </c>
      <c r="L756" s="66" t="str">
        <f t="shared" si="13"/>
        <v>112.2160.100</v>
      </c>
    </row>
    <row r="757" spans="1:12" x14ac:dyDescent="0.2">
      <c r="A757" s="22">
        <v>18986</v>
      </c>
      <c r="B757" s="22" t="s">
        <v>153</v>
      </c>
      <c r="C757" s="22">
        <v>12043011</v>
      </c>
      <c r="D757" s="22" t="s">
        <v>52</v>
      </c>
      <c r="E757" s="22">
        <v>299</v>
      </c>
      <c r="F757" s="22" t="s">
        <v>208</v>
      </c>
      <c r="G757" s="22" t="s">
        <v>206</v>
      </c>
      <c r="I757" s="22">
        <v>1717.4</v>
      </c>
      <c r="J757" s="111" t="s">
        <v>12</v>
      </c>
      <c r="L757" s="66" t="str">
        <f t="shared" si="13"/>
        <v>112.2160.100</v>
      </c>
    </row>
    <row r="758" spans="1:12" x14ac:dyDescent="0.2">
      <c r="A758" s="22">
        <v>18942</v>
      </c>
      <c r="B758" s="22" t="s">
        <v>51</v>
      </c>
      <c r="C758" s="22">
        <v>12043011</v>
      </c>
      <c r="D758" s="22" t="s">
        <v>52</v>
      </c>
      <c r="E758" s="22">
        <v>299</v>
      </c>
      <c r="F758" s="22" t="s">
        <v>208</v>
      </c>
      <c r="G758" s="22" t="s">
        <v>206</v>
      </c>
      <c r="I758" s="22">
        <v>1961.54</v>
      </c>
      <c r="J758" s="111" t="s">
        <v>12</v>
      </c>
      <c r="L758" s="66" t="str">
        <f t="shared" si="13"/>
        <v>112.2160.100</v>
      </c>
    </row>
    <row r="759" spans="1:12" x14ac:dyDescent="0.2">
      <c r="A759" s="22">
        <v>18917</v>
      </c>
      <c r="B759" s="22" t="s">
        <v>68</v>
      </c>
      <c r="C759" s="22">
        <v>12043011</v>
      </c>
      <c r="D759" s="22" t="s">
        <v>52</v>
      </c>
      <c r="E759" s="22">
        <v>299</v>
      </c>
      <c r="F759" s="22" t="s">
        <v>208</v>
      </c>
      <c r="G759" s="22" t="s">
        <v>206</v>
      </c>
      <c r="I759" s="22">
        <v>475.1</v>
      </c>
      <c r="J759" s="111" t="s">
        <v>12</v>
      </c>
      <c r="L759" s="66" t="str">
        <f t="shared" si="13"/>
        <v>112.2160.100</v>
      </c>
    </row>
    <row r="760" spans="1:12" x14ac:dyDescent="0.2">
      <c r="A760" s="22">
        <v>18850</v>
      </c>
      <c r="B760" s="22" t="s">
        <v>123</v>
      </c>
      <c r="C760" s="22">
        <v>12043011</v>
      </c>
      <c r="D760" s="22" t="s">
        <v>52</v>
      </c>
      <c r="E760" s="22">
        <v>299</v>
      </c>
      <c r="F760" s="22" t="s">
        <v>208</v>
      </c>
      <c r="G760" s="22" t="s">
        <v>206</v>
      </c>
      <c r="I760" s="22">
        <v>1926.2</v>
      </c>
      <c r="J760" s="111" t="s">
        <v>12</v>
      </c>
      <c r="L760" s="66" t="str">
        <f t="shared" si="13"/>
        <v>112.2160.100</v>
      </c>
    </row>
    <row r="761" spans="1:12" x14ac:dyDescent="0.2">
      <c r="A761" s="22">
        <v>18646</v>
      </c>
      <c r="B761" s="22" t="s">
        <v>124</v>
      </c>
      <c r="C761" s="22">
        <v>12043011</v>
      </c>
      <c r="D761" s="22" t="s">
        <v>52</v>
      </c>
      <c r="E761" s="22">
        <v>299</v>
      </c>
      <c r="F761" s="22" t="s">
        <v>208</v>
      </c>
      <c r="G761" s="22" t="s">
        <v>206</v>
      </c>
      <c r="I761" s="22">
        <v>1944.39</v>
      </c>
      <c r="J761" s="111" t="s">
        <v>12</v>
      </c>
      <c r="L761" s="66" t="str">
        <f t="shared" si="13"/>
        <v>112.2160.100</v>
      </c>
    </row>
    <row r="762" spans="1:12" x14ac:dyDescent="0.2">
      <c r="A762" s="22">
        <v>18713</v>
      </c>
      <c r="B762" s="22" t="s">
        <v>154</v>
      </c>
      <c r="C762" s="22">
        <v>12043011</v>
      </c>
      <c r="D762" s="22" t="s">
        <v>52</v>
      </c>
      <c r="E762" s="22">
        <v>299</v>
      </c>
      <c r="F762" s="22" t="s">
        <v>208</v>
      </c>
      <c r="G762" s="22" t="s">
        <v>206</v>
      </c>
      <c r="I762" s="22">
        <v>2619.5500000000002</v>
      </c>
      <c r="J762" s="111" t="s">
        <v>12</v>
      </c>
      <c r="L762" s="66" t="str">
        <f t="shared" si="13"/>
        <v>112.2160.100</v>
      </c>
    </row>
    <row r="763" spans="1:12" x14ac:dyDescent="0.2">
      <c r="A763" s="22">
        <v>19039</v>
      </c>
      <c r="B763" s="22" t="s">
        <v>443</v>
      </c>
      <c r="C763" s="22">
        <v>12043011</v>
      </c>
      <c r="D763" s="22" t="s">
        <v>52</v>
      </c>
      <c r="E763" s="22">
        <v>299</v>
      </c>
      <c r="F763" s="22" t="s">
        <v>208</v>
      </c>
      <c r="G763" s="22" t="s">
        <v>206</v>
      </c>
      <c r="I763" s="22">
        <v>1644.07</v>
      </c>
      <c r="J763" s="111" t="s">
        <v>12</v>
      </c>
      <c r="L763" s="66" t="str">
        <f t="shared" si="13"/>
        <v>112.2160.100</v>
      </c>
    </row>
    <row r="764" spans="1:12" x14ac:dyDescent="0.2">
      <c r="A764" s="22">
        <v>18858</v>
      </c>
      <c r="B764" s="22" t="s">
        <v>122</v>
      </c>
      <c r="C764" s="22">
        <v>12043011</v>
      </c>
      <c r="D764" s="22" t="s">
        <v>52</v>
      </c>
      <c r="E764" s="22">
        <v>299</v>
      </c>
      <c r="F764" s="22" t="s">
        <v>208</v>
      </c>
      <c r="G764" s="22" t="s">
        <v>206</v>
      </c>
      <c r="I764" s="22">
        <v>36.46</v>
      </c>
      <c r="J764" s="111" t="s">
        <v>12</v>
      </c>
      <c r="L764" s="66" t="str">
        <f t="shared" si="13"/>
        <v>112.2160.100</v>
      </c>
    </row>
    <row r="765" spans="1:12" x14ac:dyDescent="0.2">
      <c r="A765" s="22">
        <v>19023</v>
      </c>
      <c r="B765" s="22" t="s">
        <v>69</v>
      </c>
      <c r="C765" s="22">
        <v>12043011</v>
      </c>
      <c r="D765" s="22" t="s">
        <v>52</v>
      </c>
      <c r="E765" s="22">
        <v>299</v>
      </c>
      <c r="F765" s="22" t="s">
        <v>208</v>
      </c>
      <c r="G765" s="22" t="s">
        <v>206</v>
      </c>
      <c r="I765" s="22">
        <v>896.11</v>
      </c>
      <c r="J765" s="111" t="s">
        <v>12</v>
      </c>
      <c r="L765" s="66" t="str">
        <f t="shared" si="13"/>
        <v>112.2160.100</v>
      </c>
    </row>
    <row r="766" spans="1:12" x14ac:dyDescent="0.2">
      <c r="A766" s="22">
        <v>18924</v>
      </c>
      <c r="B766" s="22" t="s">
        <v>121</v>
      </c>
      <c r="C766" s="22">
        <v>12043011</v>
      </c>
      <c r="D766" s="22" t="s">
        <v>52</v>
      </c>
      <c r="E766" s="22">
        <v>299</v>
      </c>
      <c r="F766" s="22" t="s">
        <v>208</v>
      </c>
      <c r="G766" s="22" t="s">
        <v>206</v>
      </c>
      <c r="I766" s="22">
        <v>1007.64</v>
      </c>
      <c r="J766" s="111" t="s">
        <v>12</v>
      </c>
      <c r="L766" s="66" t="str">
        <f t="shared" si="13"/>
        <v>112.2160.100</v>
      </c>
    </row>
    <row r="767" spans="1:12" x14ac:dyDescent="0.2">
      <c r="A767" s="22">
        <v>18970</v>
      </c>
      <c r="B767" s="22" t="s">
        <v>200</v>
      </c>
      <c r="C767" s="22">
        <v>12043123</v>
      </c>
      <c r="D767" s="22" t="s">
        <v>201</v>
      </c>
      <c r="E767" s="22">
        <v>299</v>
      </c>
      <c r="F767" s="22" t="s">
        <v>208</v>
      </c>
      <c r="G767" s="22" t="s">
        <v>206</v>
      </c>
      <c r="I767" s="22">
        <v>1512.49</v>
      </c>
      <c r="J767" s="111" t="s">
        <v>12</v>
      </c>
      <c r="L767" s="66" t="str">
        <f t="shared" si="13"/>
        <v>112.2160.100</v>
      </c>
    </row>
    <row r="768" spans="1:12" x14ac:dyDescent="0.2">
      <c r="A768" s="22">
        <v>19031</v>
      </c>
      <c r="B768" s="22" t="s">
        <v>387</v>
      </c>
      <c r="C768" s="22">
        <v>12048099</v>
      </c>
      <c r="D768" s="22" t="s">
        <v>156</v>
      </c>
      <c r="E768" s="22">
        <v>299</v>
      </c>
      <c r="F768" s="22" t="s">
        <v>208</v>
      </c>
      <c r="G768" s="22" t="s">
        <v>206</v>
      </c>
      <c r="I768" s="22">
        <v>2959.54</v>
      </c>
      <c r="J768" s="111" t="s">
        <v>12</v>
      </c>
      <c r="L768" s="66" t="str">
        <f t="shared" si="13"/>
        <v>112.2160.100</v>
      </c>
    </row>
    <row r="769" spans="1:12" x14ac:dyDescent="0.2">
      <c r="A769" s="22">
        <v>18976</v>
      </c>
      <c r="B769" s="22" t="s">
        <v>202</v>
      </c>
      <c r="C769" s="22">
        <v>12048099</v>
      </c>
      <c r="D769" s="22" t="s">
        <v>156</v>
      </c>
      <c r="E769" s="22">
        <v>299</v>
      </c>
      <c r="F769" s="22" t="s">
        <v>208</v>
      </c>
      <c r="G769" s="22" t="s">
        <v>206</v>
      </c>
      <c r="I769" s="22">
        <v>1802.31</v>
      </c>
      <c r="J769" s="111" t="s">
        <v>12</v>
      </c>
      <c r="L769" s="66" t="str">
        <f t="shared" si="13"/>
        <v>112.2160.100</v>
      </c>
    </row>
    <row r="770" spans="1:12" x14ac:dyDescent="0.2">
      <c r="A770" s="22">
        <v>18442</v>
      </c>
      <c r="B770" s="22" t="s">
        <v>157</v>
      </c>
      <c r="C770" s="22">
        <v>12060400</v>
      </c>
      <c r="D770" s="22" t="s">
        <v>158</v>
      </c>
      <c r="E770" s="22">
        <v>299</v>
      </c>
      <c r="F770" s="22" t="s">
        <v>208</v>
      </c>
      <c r="G770" s="22" t="s">
        <v>206</v>
      </c>
      <c r="I770" s="22">
        <v>2064.92</v>
      </c>
      <c r="J770" s="111" t="s">
        <v>12</v>
      </c>
      <c r="L770" s="66" t="str">
        <f t="shared" si="13"/>
        <v>112.2160.100</v>
      </c>
    </row>
    <row r="771" spans="1:12" x14ac:dyDescent="0.2">
      <c r="A771" s="22">
        <v>18634</v>
      </c>
      <c r="B771" s="22" t="s">
        <v>129</v>
      </c>
      <c r="C771" s="22">
        <v>12060611</v>
      </c>
      <c r="D771" s="22" t="s">
        <v>54</v>
      </c>
      <c r="E771" s="22">
        <v>299</v>
      </c>
      <c r="F771" s="22" t="s">
        <v>208</v>
      </c>
      <c r="G771" s="22" t="s">
        <v>206</v>
      </c>
      <c r="I771" s="22">
        <v>1203.54</v>
      </c>
      <c r="J771" s="111" t="s">
        <v>12</v>
      </c>
      <c r="L771" s="66" t="str">
        <f t="shared" si="13"/>
        <v>112.2160.100</v>
      </c>
    </row>
    <row r="772" spans="1:12" x14ac:dyDescent="0.2">
      <c r="A772" s="22">
        <v>18895</v>
      </c>
      <c r="B772" s="22" t="s">
        <v>128</v>
      </c>
      <c r="C772" s="22">
        <v>12060611</v>
      </c>
      <c r="D772" s="22" t="s">
        <v>54</v>
      </c>
      <c r="E772" s="22">
        <v>299</v>
      </c>
      <c r="F772" s="22" t="s">
        <v>208</v>
      </c>
      <c r="G772" s="22" t="s">
        <v>206</v>
      </c>
      <c r="I772" s="22">
        <v>1534.32</v>
      </c>
      <c r="J772" s="111" t="s">
        <v>12</v>
      </c>
      <c r="L772" s="66" t="str">
        <f t="shared" si="13"/>
        <v>112.2160.100</v>
      </c>
    </row>
    <row r="773" spans="1:12" x14ac:dyDescent="0.2">
      <c r="A773" s="22">
        <v>18823</v>
      </c>
      <c r="B773" s="22" t="s">
        <v>53</v>
      </c>
      <c r="C773" s="22">
        <v>12060611</v>
      </c>
      <c r="D773" s="22" t="s">
        <v>54</v>
      </c>
      <c r="E773" s="22">
        <v>299</v>
      </c>
      <c r="F773" s="22" t="s">
        <v>208</v>
      </c>
      <c r="G773" s="22" t="s">
        <v>206</v>
      </c>
      <c r="I773" s="22">
        <v>2009.76</v>
      </c>
      <c r="J773" s="111" t="s">
        <v>12</v>
      </c>
      <c r="L773" s="66" t="str">
        <f t="shared" si="13"/>
        <v>112.2160.100</v>
      </c>
    </row>
    <row r="774" spans="1:12" x14ac:dyDescent="0.2">
      <c r="A774" s="22">
        <v>18996</v>
      </c>
      <c r="B774" s="22" t="s">
        <v>127</v>
      </c>
      <c r="C774" s="22">
        <v>12060611</v>
      </c>
      <c r="D774" s="22" t="s">
        <v>54</v>
      </c>
      <c r="E774" s="22">
        <v>299</v>
      </c>
      <c r="F774" s="22" t="s">
        <v>208</v>
      </c>
      <c r="G774" s="22" t="s">
        <v>206</v>
      </c>
      <c r="I774" s="22">
        <v>1319.02</v>
      </c>
      <c r="J774" s="111" t="s">
        <v>12</v>
      </c>
      <c r="L774" s="66" t="str">
        <f t="shared" si="13"/>
        <v>112.2160.100</v>
      </c>
    </row>
    <row r="775" spans="1:12" x14ac:dyDescent="0.2">
      <c r="A775" s="22">
        <v>18898</v>
      </c>
      <c r="B775" s="22" t="s">
        <v>130</v>
      </c>
      <c r="C775" s="22">
        <v>12060611</v>
      </c>
      <c r="D775" s="22" t="s">
        <v>54</v>
      </c>
      <c r="E775" s="22">
        <v>299</v>
      </c>
      <c r="F775" s="22" t="s">
        <v>208</v>
      </c>
      <c r="G775" s="22" t="s">
        <v>206</v>
      </c>
      <c r="I775" s="22">
        <v>1841.31</v>
      </c>
      <c r="J775" s="111" t="s">
        <v>12</v>
      </c>
      <c r="L775" s="66" t="str">
        <f t="shared" si="13"/>
        <v>112.2160.100</v>
      </c>
    </row>
    <row r="776" spans="1:12" x14ac:dyDescent="0.2">
      <c r="A776" s="22">
        <v>18927</v>
      </c>
      <c r="B776" s="22" t="s">
        <v>55</v>
      </c>
      <c r="C776" s="22">
        <v>12060611</v>
      </c>
      <c r="D776" s="22" t="s">
        <v>54</v>
      </c>
      <c r="E776" s="22">
        <v>299</v>
      </c>
      <c r="F776" s="22" t="s">
        <v>208</v>
      </c>
      <c r="G776" s="22" t="s">
        <v>206</v>
      </c>
      <c r="I776" s="22">
        <v>1704.95</v>
      </c>
      <c r="J776" s="111" t="s">
        <v>12</v>
      </c>
      <c r="L776" s="66" t="str">
        <f t="shared" si="13"/>
        <v>112.2160.100</v>
      </c>
    </row>
    <row r="777" spans="1:12" x14ac:dyDescent="0.2">
      <c r="A777" s="22">
        <v>261</v>
      </c>
      <c r="B777" s="22" t="s">
        <v>159</v>
      </c>
      <c r="C777" s="22">
        <v>12060611</v>
      </c>
      <c r="D777" s="22" t="s">
        <v>54</v>
      </c>
      <c r="E777" s="22">
        <v>299</v>
      </c>
      <c r="F777" s="22" t="s">
        <v>208</v>
      </c>
      <c r="G777" s="22" t="s">
        <v>206</v>
      </c>
      <c r="I777" s="22">
        <v>2319.38</v>
      </c>
      <c r="J777" s="111" t="s">
        <v>12</v>
      </c>
      <c r="L777" s="66" t="str">
        <f t="shared" si="13"/>
        <v>112.2160.100</v>
      </c>
    </row>
    <row r="778" spans="1:12" x14ac:dyDescent="0.2">
      <c r="A778" s="22">
        <v>18791</v>
      </c>
      <c r="B778" s="22" t="s">
        <v>132</v>
      </c>
      <c r="C778" s="22">
        <v>12060711</v>
      </c>
      <c r="D778" s="22" t="s">
        <v>133</v>
      </c>
      <c r="E778" s="22">
        <v>299</v>
      </c>
      <c r="F778" s="22" t="s">
        <v>208</v>
      </c>
      <c r="G778" s="22" t="s">
        <v>206</v>
      </c>
      <c r="I778" s="22">
        <v>1119.94</v>
      </c>
      <c r="J778" s="111" t="s">
        <v>12</v>
      </c>
      <c r="L778" s="66" t="str">
        <f t="shared" si="13"/>
        <v>112.2160.100</v>
      </c>
    </row>
    <row r="779" spans="1:12" x14ac:dyDescent="0.2">
      <c r="A779" s="22">
        <v>18953</v>
      </c>
      <c r="B779" s="22" t="s">
        <v>136</v>
      </c>
      <c r="C779" s="22">
        <v>12060800</v>
      </c>
      <c r="D779" s="22" t="s">
        <v>135</v>
      </c>
      <c r="E779" s="22">
        <v>299</v>
      </c>
      <c r="F779" s="22" t="s">
        <v>208</v>
      </c>
      <c r="G779" s="22" t="s">
        <v>206</v>
      </c>
      <c r="I779" s="22">
        <v>1044.99</v>
      </c>
      <c r="J779" s="111" t="s">
        <v>12</v>
      </c>
      <c r="L779" s="66" t="str">
        <f t="shared" si="13"/>
        <v>112.2160.100</v>
      </c>
    </row>
    <row r="780" spans="1:12" x14ac:dyDescent="0.2">
      <c r="A780" s="22">
        <v>18561</v>
      </c>
      <c r="B780" s="22" t="s">
        <v>134</v>
      </c>
      <c r="C780" s="22">
        <v>12060800</v>
      </c>
      <c r="D780" s="22" t="s">
        <v>135</v>
      </c>
      <c r="E780" s="22">
        <v>299</v>
      </c>
      <c r="F780" s="22" t="s">
        <v>208</v>
      </c>
      <c r="G780" s="22" t="s">
        <v>206</v>
      </c>
      <c r="I780" s="22">
        <v>2206.98</v>
      </c>
      <c r="J780" s="111" t="s">
        <v>12</v>
      </c>
      <c r="L780" s="66" t="str">
        <f t="shared" si="13"/>
        <v>112.2160.100</v>
      </c>
    </row>
    <row r="781" spans="1:12" x14ac:dyDescent="0.2">
      <c r="A781" s="22">
        <v>18792</v>
      </c>
      <c r="B781" s="22" t="s">
        <v>56</v>
      </c>
      <c r="C781" s="22">
        <v>12062511</v>
      </c>
      <c r="D781" s="22" t="s">
        <v>57</v>
      </c>
      <c r="E781" s="22">
        <v>299</v>
      </c>
      <c r="F781" s="22" t="s">
        <v>208</v>
      </c>
      <c r="G781" s="22" t="s">
        <v>206</v>
      </c>
      <c r="I781" s="22">
        <v>1485.27</v>
      </c>
      <c r="J781" s="111" t="s">
        <v>12</v>
      </c>
      <c r="L781" s="66" t="str">
        <f t="shared" si="13"/>
        <v>112.2160.100</v>
      </c>
    </row>
    <row r="782" spans="1:12" x14ac:dyDescent="0.2">
      <c r="A782" s="22">
        <v>18506</v>
      </c>
      <c r="B782" s="22" t="s">
        <v>438</v>
      </c>
      <c r="C782" s="22">
        <v>12062511</v>
      </c>
      <c r="D782" s="22" t="s">
        <v>57</v>
      </c>
      <c r="E782" s="22">
        <v>299</v>
      </c>
      <c r="F782" s="22" t="s">
        <v>208</v>
      </c>
      <c r="G782" s="22" t="s">
        <v>206</v>
      </c>
      <c r="I782" s="22">
        <v>740.12</v>
      </c>
      <c r="J782" s="111" t="s">
        <v>12</v>
      </c>
      <c r="L782" s="66" t="str">
        <f t="shared" si="13"/>
        <v>112.2160.100</v>
      </c>
    </row>
    <row r="783" spans="1:12" x14ac:dyDescent="0.2">
      <c r="A783" s="22">
        <v>156</v>
      </c>
      <c r="B783" s="22" t="s">
        <v>137</v>
      </c>
      <c r="C783" s="22">
        <v>12062511</v>
      </c>
      <c r="D783" s="22" t="s">
        <v>57</v>
      </c>
      <c r="E783" s="22">
        <v>299</v>
      </c>
      <c r="F783" s="22" t="s">
        <v>208</v>
      </c>
      <c r="G783" s="22" t="s">
        <v>206</v>
      </c>
      <c r="I783" s="22">
        <v>559.99</v>
      </c>
      <c r="J783" s="111" t="s">
        <v>12</v>
      </c>
      <c r="L783" s="66" t="str">
        <f t="shared" si="13"/>
        <v>112.2160.100</v>
      </c>
    </row>
    <row r="784" spans="1:12" x14ac:dyDescent="0.2">
      <c r="A784" s="22">
        <v>19043</v>
      </c>
      <c r="B784" s="22" t="s">
        <v>481</v>
      </c>
      <c r="C784" s="22">
        <v>12063011</v>
      </c>
      <c r="D784" s="22" t="s">
        <v>442</v>
      </c>
      <c r="E784" s="22">
        <v>299</v>
      </c>
      <c r="F784" s="22" t="s">
        <v>208</v>
      </c>
      <c r="G784" s="22" t="s">
        <v>206</v>
      </c>
      <c r="I784" s="22">
        <v>361.08</v>
      </c>
      <c r="J784" s="111" t="s">
        <v>12</v>
      </c>
      <c r="L784" s="66" t="str">
        <f t="shared" si="13"/>
        <v>112.2160.100</v>
      </c>
    </row>
    <row r="785" spans="1:12" x14ac:dyDescent="0.2">
      <c r="A785" s="22">
        <v>19037</v>
      </c>
      <c r="B785" s="22" t="s">
        <v>441</v>
      </c>
      <c r="C785" s="22">
        <v>12063011</v>
      </c>
      <c r="D785" s="22" t="s">
        <v>442</v>
      </c>
      <c r="E785" s="22">
        <v>299</v>
      </c>
      <c r="F785" s="22" t="s">
        <v>208</v>
      </c>
      <c r="G785" s="22" t="s">
        <v>206</v>
      </c>
      <c r="I785" s="22">
        <v>905.12</v>
      </c>
      <c r="J785" s="111" t="s">
        <v>12</v>
      </c>
      <c r="L785" s="66" t="str">
        <f t="shared" si="13"/>
        <v>112.2160.100</v>
      </c>
    </row>
    <row r="786" spans="1:12" x14ac:dyDescent="0.2">
      <c r="A786" s="22">
        <v>18876</v>
      </c>
      <c r="B786" s="22" t="s">
        <v>160</v>
      </c>
      <c r="C786" s="22">
        <v>12068099</v>
      </c>
      <c r="D786" s="22" t="s">
        <v>161</v>
      </c>
      <c r="E786" s="22">
        <v>299</v>
      </c>
      <c r="F786" s="22" t="s">
        <v>208</v>
      </c>
      <c r="G786" s="22" t="s">
        <v>206</v>
      </c>
      <c r="I786" s="22">
        <v>2494.9299999999998</v>
      </c>
      <c r="J786" s="111" t="s">
        <v>12</v>
      </c>
      <c r="L786" s="66" t="str">
        <f t="shared" si="13"/>
        <v>112.2160.100</v>
      </c>
    </row>
    <row r="787" spans="1:12" x14ac:dyDescent="0.2">
      <c r="A787" s="22">
        <v>18726</v>
      </c>
      <c r="B787" s="22" t="s">
        <v>162</v>
      </c>
      <c r="C787" s="22">
        <v>12010500</v>
      </c>
      <c r="D787" s="22" t="s">
        <v>60</v>
      </c>
      <c r="E787" s="22">
        <v>300</v>
      </c>
      <c r="F787" s="22" t="s">
        <v>209</v>
      </c>
      <c r="G787" s="22" t="s">
        <v>210</v>
      </c>
      <c r="I787" s="22">
        <v>165</v>
      </c>
      <c r="J787" s="111" t="s">
        <v>12</v>
      </c>
      <c r="L787" s="66" t="str">
        <f t="shared" si="13"/>
        <v>112.2160.200</v>
      </c>
    </row>
    <row r="788" spans="1:12" x14ac:dyDescent="0.2">
      <c r="A788" s="22">
        <v>18946</v>
      </c>
      <c r="B788" s="22" t="s">
        <v>13</v>
      </c>
      <c r="C788" s="22">
        <v>12013250</v>
      </c>
      <c r="D788" s="22" t="s">
        <v>10</v>
      </c>
      <c r="E788" s="22">
        <v>300</v>
      </c>
      <c r="F788" s="22" t="s">
        <v>209</v>
      </c>
      <c r="G788" s="22" t="s">
        <v>210</v>
      </c>
      <c r="I788" s="22">
        <v>300</v>
      </c>
      <c r="J788" s="111" t="s">
        <v>12</v>
      </c>
      <c r="L788" s="66" t="str">
        <f t="shared" si="13"/>
        <v>112.2160.200</v>
      </c>
    </row>
    <row r="789" spans="1:12" x14ac:dyDescent="0.2">
      <c r="A789" s="22">
        <v>220</v>
      </c>
      <c r="B789" s="22" t="s">
        <v>14</v>
      </c>
      <c r="C789" s="22">
        <v>12013300</v>
      </c>
      <c r="D789" s="22" t="s">
        <v>15</v>
      </c>
      <c r="E789" s="22">
        <v>300</v>
      </c>
      <c r="F789" s="22" t="s">
        <v>209</v>
      </c>
      <c r="G789" s="22" t="s">
        <v>210</v>
      </c>
      <c r="I789" s="22">
        <v>75</v>
      </c>
      <c r="J789" s="111" t="s">
        <v>12</v>
      </c>
      <c r="L789" s="66" t="str">
        <f t="shared" si="13"/>
        <v>112.2160.200</v>
      </c>
    </row>
    <row r="790" spans="1:12" x14ac:dyDescent="0.2">
      <c r="A790" s="22">
        <v>18968</v>
      </c>
      <c r="B790" s="22" t="s">
        <v>164</v>
      </c>
      <c r="C790" s="22">
        <v>12019199</v>
      </c>
      <c r="D790" s="22" t="s">
        <v>147</v>
      </c>
      <c r="E790" s="22">
        <v>300</v>
      </c>
      <c r="F790" s="22" t="s">
        <v>209</v>
      </c>
      <c r="G790" s="22" t="s">
        <v>210</v>
      </c>
      <c r="I790" s="22">
        <v>400</v>
      </c>
      <c r="J790" s="111" t="s">
        <v>12</v>
      </c>
      <c r="L790" s="66" t="str">
        <f t="shared" si="13"/>
        <v>112.2160.200</v>
      </c>
    </row>
    <row r="791" spans="1:12" x14ac:dyDescent="0.2">
      <c r="A791" s="22">
        <v>18550</v>
      </c>
      <c r="B791" s="22" t="s">
        <v>165</v>
      </c>
      <c r="C791" s="22">
        <v>12019199</v>
      </c>
      <c r="D791" s="22" t="s">
        <v>147</v>
      </c>
      <c r="E791" s="22">
        <v>300</v>
      </c>
      <c r="F791" s="22" t="s">
        <v>209</v>
      </c>
      <c r="G791" s="22" t="s">
        <v>210</v>
      </c>
      <c r="I791" s="22">
        <v>780</v>
      </c>
      <c r="J791" s="111" t="s">
        <v>12</v>
      </c>
      <c r="L791" s="66" t="str">
        <f t="shared" si="13"/>
        <v>112.2160.200</v>
      </c>
    </row>
    <row r="792" spans="1:12" x14ac:dyDescent="0.2">
      <c r="A792" s="22">
        <v>18957</v>
      </c>
      <c r="B792" s="22" t="s">
        <v>74</v>
      </c>
      <c r="C792" s="22">
        <v>12020611</v>
      </c>
      <c r="D792" s="22" t="s">
        <v>23</v>
      </c>
      <c r="E792" s="22">
        <v>300</v>
      </c>
      <c r="F792" s="22" t="s">
        <v>209</v>
      </c>
      <c r="G792" s="22" t="s">
        <v>210</v>
      </c>
      <c r="I792" s="22">
        <v>860</v>
      </c>
      <c r="J792" s="111" t="s">
        <v>12</v>
      </c>
      <c r="L792" s="66" t="str">
        <f t="shared" si="13"/>
        <v>112.2160.200</v>
      </c>
    </row>
    <row r="793" spans="1:12" x14ac:dyDescent="0.2">
      <c r="A793" s="22">
        <v>261</v>
      </c>
      <c r="B793" s="22" t="s">
        <v>159</v>
      </c>
      <c r="C793" s="22">
        <v>12060611</v>
      </c>
      <c r="D793" s="22" t="s">
        <v>54</v>
      </c>
      <c r="E793" s="22">
        <v>300</v>
      </c>
      <c r="F793" s="22" t="s">
        <v>209</v>
      </c>
      <c r="G793" s="22" t="s">
        <v>210</v>
      </c>
      <c r="I793" s="22">
        <v>150</v>
      </c>
      <c r="J793" s="111" t="s">
        <v>12</v>
      </c>
      <c r="L793" s="66" t="str">
        <f t="shared" si="13"/>
        <v>112.2160.200</v>
      </c>
    </row>
    <row r="794" spans="1:12" x14ac:dyDescent="0.2">
      <c r="A794" s="22">
        <v>18517</v>
      </c>
      <c r="B794" s="22" t="s">
        <v>140</v>
      </c>
      <c r="C794" s="22">
        <v>12010500</v>
      </c>
      <c r="D794" s="22" t="s">
        <v>60</v>
      </c>
      <c r="E794" s="22">
        <v>301</v>
      </c>
      <c r="F794" s="22" t="s">
        <v>211</v>
      </c>
      <c r="G794" s="22" t="s">
        <v>210</v>
      </c>
      <c r="I794" s="22">
        <v>565.39</v>
      </c>
      <c r="J794" s="111" t="s">
        <v>12</v>
      </c>
      <c r="L794" s="66" t="str">
        <f t="shared" ref="L794:L857" si="14">G794</f>
        <v>112.2160.200</v>
      </c>
    </row>
    <row r="795" spans="1:12" x14ac:dyDescent="0.2">
      <c r="A795" s="22">
        <v>18871</v>
      </c>
      <c r="B795" s="22" t="s">
        <v>168</v>
      </c>
      <c r="C795" s="22">
        <v>12010500</v>
      </c>
      <c r="D795" s="22" t="s">
        <v>60</v>
      </c>
      <c r="E795" s="22">
        <v>301</v>
      </c>
      <c r="F795" s="22" t="s">
        <v>211</v>
      </c>
      <c r="G795" s="22" t="s">
        <v>210</v>
      </c>
      <c r="I795" s="22">
        <v>444.23</v>
      </c>
      <c r="J795" s="111" t="s">
        <v>12</v>
      </c>
      <c r="L795" s="66" t="str">
        <f t="shared" si="14"/>
        <v>112.2160.200</v>
      </c>
    </row>
    <row r="796" spans="1:12" x14ac:dyDescent="0.2">
      <c r="A796" s="22">
        <v>18647</v>
      </c>
      <c r="B796" s="22" t="s">
        <v>167</v>
      </c>
      <c r="C796" s="22">
        <v>12010500</v>
      </c>
      <c r="D796" s="22" t="s">
        <v>60</v>
      </c>
      <c r="E796" s="22">
        <v>301</v>
      </c>
      <c r="F796" s="22" t="s">
        <v>211</v>
      </c>
      <c r="G796" s="22" t="s">
        <v>210</v>
      </c>
      <c r="I796" s="22">
        <v>437.55</v>
      </c>
      <c r="J796" s="111" t="s">
        <v>12</v>
      </c>
      <c r="L796" s="66" t="str">
        <f t="shared" si="14"/>
        <v>112.2160.200</v>
      </c>
    </row>
    <row r="797" spans="1:12" x14ac:dyDescent="0.2">
      <c r="A797" s="22">
        <v>18726</v>
      </c>
      <c r="B797" s="22" t="s">
        <v>162</v>
      </c>
      <c r="C797" s="22">
        <v>12010500</v>
      </c>
      <c r="D797" s="22" t="s">
        <v>60</v>
      </c>
      <c r="E797" s="22">
        <v>301</v>
      </c>
      <c r="F797" s="22" t="s">
        <v>211</v>
      </c>
      <c r="G797" s="22" t="s">
        <v>210</v>
      </c>
      <c r="I797" s="22">
        <v>102.98</v>
      </c>
      <c r="J797" s="111" t="s">
        <v>12</v>
      </c>
      <c r="L797" s="66" t="str">
        <f t="shared" si="14"/>
        <v>112.2160.200</v>
      </c>
    </row>
    <row r="798" spans="1:12" x14ac:dyDescent="0.2">
      <c r="A798" s="22">
        <v>152</v>
      </c>
      <c r="B798" s="22" t="s">
        <v>169</v>
      </c>
      <c r="C798" s="22">
        <v>12010700</v>
      </c>
      <c r="D798" s="22" t="s">
        <v>170</v>
      </c>
      <c r="E798" s="22">
        <v>301</v>
      </c>
      <c r="F798" s="22" t="s">
        <v>211</v>
      </c>
      <c r="G798" s="22" t="s">
        <v>210</v>
      </c>
      <c r="I798" s="22">
        <v>403.85</v>
      </c>
      <c r="J798" s="111" t="s">
        <v>12</v>
      </c>
      <c r="L798" s="66" t="str">
        <f t="shared" si="14"/>
        <v>112.2160.200</v>
      </c>
    </row>
    <row r="799" spans="1:12" x14ac:dyDescent="0.2">
      <c r="A799" s="22">
        <v>19014</v>
      </c>
      <c r="B799" s="22" t="s">
        <v>171</v>
      </c>
      <c r="C799" s="22">
        <v>12013012</v>
      </c>
      <c r="D799" s="22" t="s">
        <v>71</v>
      </c>
      <c r="E799" s="22">
        <v>301</v>
      </c>
      <c r="F799" s="22" t="s">
        <v>211</v>
      </c>
      <c r="G799" s="22" t="s">
        <v>210</v>
      </c>
      <c r="I799" s="22">
        <v>262.5</v>
      </c>
      <c r="J799" s="111" t="s">
        <v>12</v>
      </c>
      <c r="L799" s="66" t="str">
        <f t="shared" si="14"/>
        <v>112.2160.200</v>
      </c>
    </row>
    <row r="800" spans="1:12" x14ac:dyDescent="0.2">
      <c r="A800" s="22">
        <v>18736</v>
      </c>
      <c r="B800" s="22" t="s">
        <v>70</v>
      </c>
      <c r="C800" s="22">
        <v>12013012</v>
      </c>
      <c r="D800" s="22" t="s">
        <v>71</v>
      </c>
      <c r="E800" s="22">
        <v>301</v>
      </c>
      <c r="F800" s="22" t="s">
        <v>211</v>
      </c>
      <c r="G800" s="22" t="s">
        <v>210</v>
      </c>
      <c r="I800" s="22">
        <v>61.44</v>
      </c>
      <c r="J800" s="111" t="s">
        <v>12</v>
      </c>
      <c r="L800" s="66" t="str">
        <f t="shared" si="14"/>
        <v>112.2160.200</v>
      </c>
    </row>
    <row r="801" spans="1:12" x14ac:dyDescent="0.2">
      <c r="A801" s="22">
        <v>18987</v>
      </c>
      <c r="B801" s="22" t="s">
        <v>173</v>
      </c>
      <c r="C801" s="22">
        <v>12013250</v>
      </c>
      <c r="D801" s="22" t="s">
        <v>10</v>
      </c>
      <c r="E801" s="22">
        <v>301</v>
      </c>
      <c r="F801" s="22" t="s">
        <v>211</v>
      </c>
      <c r="G801" s="22" t="s">
        <v>210</v>
      </c>
      <c r="I801" s="22">
        <v>323.08</v>
      </c>
      <c r="J801" s="111" t="s">
        <v>12</v>
      </c>
      <c r="L801" s="66" t="str">
        <f t="shared" si="14"/>
        <v>112.2160.200</v>
      </c>
    </row>
    <row r="802" spans="1:12" x14ac:dyDescent="0.2">
      <c r="A802" s="22">
        <v>18988</v>
      </c>
      <c r="B802" s="22" t="s">
        <v>175</v>
      </c>
      <c r="C802" s="22">
        <v>12013250</v>
      </c>
      <c r="D802" s="22" t="s">
        <v>10</v>
      </c>
      <c r="E802" s="22">
        <v>301</v>
      </c>
      <c r="F802" s="22" t="s">
        <v>211</v>
      </c>
      <c r="G802" s="22" t="s">
        <v>210</v>
      </c>
      <c r="I802" s="22">
        <v>282.69</v>
      </c>
      <c r="J802" s="111" t="s">
        <v>12</v>
      </c>
      <c r="L802" s="66" t="str">
        <f t="shared" si="14"/>
        <v>112.2160.200</v>
      </c>
    </row>
    <row r="803" spans="1:12" x14ac:dyDescent="0.2">
      <c r="A803" s="22">
        <v>18995</v>
      </c>
      <c r="B803" s="22" t="s">
        <v>174</v>
      </c>
      <c r="C803" s="22">
        <v>12013250</v>
      </c>
      <c r="D803" s="22" t="s">
        <v>10</v>
      </c>
      <c r="E803" s="22">
        <v>301</v>
      </c>
      <c r="F803" s="22" t="s">
        <v>211</v>
      </c>
      <c r="G803" s="22" t="s">
        <v>210</v>
      </c>
      <c r="I803" s="22">
        <v>242.31</v>
      </c>
      <c r="J803" s="111" t="s">
        <v>12</v>
      </c>
      <c r="L803" s="66" t="str">
        <f t="shared" si="14"/>
        <v>112.2160.200</v>
      </c>
    </row>
    <row r="804" spans="1:12" x14ac:dyDescent="0.2">
      <c r="A804" s="22">
        <v>18920</v>
      </c>
      <c r="B804" s="22" t="s">
        <v>9</v>
      </c>
      <c r="C804" s="22">
        <v>12013250</v>
      </c>
      <c r="D804" s="22" t="s">
        <v>10</v>
      </c>
      <c r="E804" s="22">
        <v>301</v>
      </c>
      <c r="F804" s="22" t="s">
        <v>211</v>
      </c>
      <c r="G804" s="22" t="s">
        <v>210</v>
      </c>
      <c r="I804" s="22">
        <v>500.77</v>
      </c>
      <c r="J804" s="111" t="s">
        <v>12</v>
      </c>
      <c r="L804" s="66" t="str">
        <f t="shared" si="14"/>
        <v>112.2160.200</v>
      </c>
    </row>
    <row r="805" spans="1:12" x14ac:dyDescent="0.2">
      <c r="A805" s="22">
        <v>18721</v>
      </c>
      <c r="B805" s="22" t="s">
        <v>172</v>
      </c>
      <c r="C805" s="22">
        <v>12013250</v>
      </c>
      <c r="D805" s="22" t="s">
        <v>10</v>
      </c>
      <c r="E805" s="22">
        <v>301</v>
      </c>
      <c r="F805" s="22" t="s">
        <v>211</v>
      </c>
      <c r="G805" s="22" t="s">
        <v>210</v>
      </c>
      <c r="I805" s="22">
        <v>294.81</v>
      </c>
      <c r="J805" s="111" t="s">
        <v>12</v>
      </c>
      <c r="L805" s="66" t="str">
        <f t="shared" si="14"/>
        <v>112.2160.200</v>
      </c>
    </row>
    <row r="806" spans="1:12" x14ac:dyDescent="0.2">
      <c r="A806" s="22">
        <v>18946</v>
      </c>
      <c r="B806" s="22" t="s">
        <v>13</v>
      </c>
      <c r="C806" s="22">
        <v>12013250</v>
      </c>
      <c r="D806" s="22" t="s">
        <v>10</v>
      </c>
      <c r="E806" s="22">
        <v>301</v>
      </c>
      <c r="F806" s="22" t="s">
        <v>211</v>
      </c>
      <c r="G806" s="22" t="s">
        <v>210</v>
      </c>
      <c r="I806" s="22">
        <v>253.51</v>
      </c>
      <c r="J806" s="111" t="s">
        <v>12</v>
      </c>
      <c r="L806" s="66" t="str">
        <f t="shared" si="14"/>
        <v>112.2160.200</v>
      </c>
    </row>
    <row r="807" spans="1:12" x14ac:dyDescent="0.2">
      <c r="A807" s="22">
        <v>220</v>
      </c>
      <c r="B807" s="22" t="s">
        <v>14</v>
      </c>
      <c r="C807" s="22">
        <v>12013300</v>
      </c>
      <c r="D807" s="22" t="s">
        <v>15</v>
      </c>
      <c r="E807" s="22">
        <v>301</v>
      </c>
      <c r="F807" s="22" t="s">
        <v>211</v>
      </c>
      <c r="G807" s="22" t="s">
        <v>210</v>
      </c>
      <c r="I807" s="22">
        <v>337.9</v>
      </c>
      <c r="J807" s="111" t="s">
        <v>12</v>
      </c>
      <c r="L807" s="66" t="str">
        <f t="shared" si="14"/>
        <v>112.2160.200</v>
      </c>
    </row>
    <row r="808" spans="1:12" x14ac:dyDescent="0.2">
      <c r="A808" s="22">
        <v>18948</v>
      </c>
      <c r="B808" s="22" t="s">
        <v>142</v>
      </c>
      <c r="C808" s="22">
        <v>12018099</v>
      </c>
      <c r="D808" s="22" t="s">
        <v>17</v>
      </c>
      <c r="E808" s="22">
        <v>301</v>
      </c>
      <c r="F808" s="22" t="s">
        <v>211</v>
      </c>
      <c r="G808" s="22" t="s">
        <v>210</v>
      </c>
      <c r="I808" s="22">
        <v>274.62</v>
      </c>
      <c r="J808" s="111" t="s">
        <v>12</v>
      </c>
      <c r="L808" s="66" t="str">
        <f t="shared" si="14"/>
        <v>112.2160.200</v>
      </c>
    </row>
    <row r="809" spans="1:12" x14ac:dyDescent="0.2">
      <c r="A809" s="22">
        <v>18716</v>
      </c>
      <c r="B809" s="22" t="s">
        <v>16</v>
      </c>
      <c r="C809" s="22">
        <v>12018099</v>
      </c>
      <c r="D809" s="22" t="s">
        <v>17</v>
      </c>
      <c r="E809" s="22">
        <v>301</v>
      </c>
      <c r="F809" s="22" t="s">
        <v>211</v>
      </c>
      <c r="G809" s="22" t="s">
        <v>210</v>
      </c>
      <c r="I809" s="22">
        <v>565.39</v>
      </c>
      <c r="J809" s="111" t="s">
        <v>12</v>
      </c>
      <c r="L809" s="66" t="str">
        <f t="shared" si="14"/>
        <v>112.2160.200</v>
      </c>
    </row>
    <row r="810" spans="1:12" x14ac:dyDescent="0.2">
      <c r="A810" s="22">
        <v>18969</v>
      </c>
      <c r="B810" s="22" t="s">
        <v>143</v>
      </c>
      <c r="C810" s="22">
        <v>12018599</v>
      </c>
      <c r="D810" s="22" t="s">
        <v>144</v>
      </c>
      <c r="E810" s="22">
        <v>301</v>
      </c>
      <c r="F810" s="22" t="s">
        <v>211</v>
      </c>
      <c r="G810" s="22" t="s">
        <v>210</v>
      </c>
      <c r="I810" s="22">
        <v>565.39</v>
      </c>
      <c r="J810" s="111" t="s">
        <v>12</v>
      </c>
      <c r="L810" s="66" t="str">
        <f t="shared" si="14"/>
        <v>112.2160.200</v>
      </c>
    </row>
    <row r="811" spans="1:12" x14ac:dyDescent="0.2">
      <c r="A811" s="22">
        <v>18862</v>
      </c>
      <c r="B811" s="22" t="s">
        <v>145</v>
      </c>
      <c r="C811" s="22">
        <v>12018599</v>
      </c>
      <c r="D811" s="22" t="s">
        <v>144</v>
      </c>
      <c r="E811" s="22">
        <v>301</v>
      </c>
      <c r="F811" s="22" t="s">
        <v>211</v>
      </c>
      <c r="G811" s="22" t="s">
        <v>210</v>
      </c>
      <c r="I811" s="22">
        <v>274.62</v>
      </c>
      <c r="J811" s="111" t="s">
        <v>12</v>
      </c>
      <c r="L811" s="66" t="str">
        <f t="shared" si="14"/>
        <v>112.2160.200</v>
      </c>
    </row>
    <row r="812" spans="1:12" x14ac:dyDescent="0.2">
      <c r="A812" s="22">
        <v>18886</v>
      </c>
      <c r="B812" s="22" t="s">
        <v>18</v>
      </c>
      <c r="C812" s="22">
        <v>12019099</v>
      </c>
      <c r="D812" s="22" t="s">
        <v>19</v>
      </c>
      <c r="E812" s="22">
        <v>301</v>
      </c>
      <c r="F812" s="22" t="s">
        <v>211</v>
      </c>
      <c r="G812" s="22" t="s">
        <v>210</v>
      </c>
      <c r="I812" s="22">
        <v>857.42</v>
      </c>
      <c r="J812" s="111" t="s">
        <v>12</v>
      </c>
      <c r="L812" s="66" t="str">
        <f t="shared" si="14"/>
        <v>112.2160.200</v>
      </c>
    </row>
    <row r="813" spans="1:12" x14ac:dyDescent="0.2">
      <c r="A813" s="22">
        <v>19003</v>
      </c>
      <c r="B813" s="22" t="s">
        <v>388</v>
      </c>
      <c r="C813" s="22">
        <v>12019199</v>
      </c>
      <c r="D813" s="22" t="s">
        <v>147</v>
      </c>
      <c r="E813" s="22">
        <v>301</v>
      </c>
      <c r="F813" s="22" t="s">
        <v>211</v>
      </c>
      <c r="G813" s="22" t="s">
        <v>210</v>
      </c>
      <c r="I813" s="22">
        <v>327.11</v>
      </c>
      <c r="J813" s="111" t="s">
        <v>12</v>
      </c>
      <c r="L813" s="66" t="str">
        <f t="shared" si="14"/>
        <v>112.2160.200</v>
      </c>
    </row>
    <row r="814" spans="1:12" x14ac:dyDescent="0.2">
      <c r="A814" s="22">
        <v>19025</v>
      </c>
      <c r="B814" s="22" t="s">
        <v>180</v>
      </c>
      <c r="C814" s="22">
        <v>12019199</v>
      </c>
      <c r="D814" s="22" t="s">
        <v>147</v>
      </c>
      <c r="E814" s="22">
        <v>301</v>
      </c>
      <c r="F814" s="22" t="s">
        <v>211</v>
      </c>
      <c r="G814" s="22" t="s">
        <v>210</v>
      </c>
      <c r="I814" s="22">
        <v>262.5</v>
      </c>
      <c r="J814" s="111" t="s">
        <v>12</v>
      </c>
      <c r="L814" s="66" t="str">
        <f t="shared" si="14"/>
        <v>112.2160.200</v>
      </c>
    </row>
    <row r="815" spans="1:12" x14ac:dyDescent="0.2">
      <c r="A815" s="22">
        <v>18853</v>
      </c>
      <c r="B815" s="22" t="s">
        <v>146</v>
      </c>
      <c r="C815" s="22">
        <v>12019199</v>
      </c>
      <c r="D815" s="22" t="s">
        <v>147</v>
      </c>
      <c r="E815" s="22">
        <v>301</v>
      </c>
      <c r="F815" s="22" t="s">
        <v>211</v>
      </c>
      <c r="G815" s="22" t="s">
        <v>210</v>
      </c>
      <c r="I815" s="22">
        <v>677.78</v>
      </c>
      <c r="J815" s="111" t="s">
        <v>12</v>
      </c>
      <c r="L815" s="66" t="str">
        <f t="shared" si="14"/>
        <v>112.2160.200</v>
      </c>
    </row>
    <row r="816" spans="1:12" x14ac:dyDescent="0.2">
      <c r="A816" s="22">
        <v>18968</v>
      </c>
      <c r="B816" s="22" t="s">
        <v>164</v>
      </c>
      <c r="C816" s="22">
        <v>12019199</v>
      </c>
      <c r="D816" s="22" t="s">
        <v>147</v>
      </c>
      <c r="E816" s="22">
        <v>301</v>
      </c>
      <c r="F816" s="22" t="s">
        <v>211</v>
      </c>
      <c r="G816" s="22" t="s">
        <v>210</v>
      </c>
      <c r="I816" s="22">
        <v>282.69</v>
      </c>
      <c r="J816" s="111" t="s">
        <v>12</v>
      </c>
      <c r="L816" s="66" t="str">
        <f t="shared" si="14"/>
        <v>112.2160.200</v>
      </c>
    </row>
    <row r="817" spans="1:12" x14ac:dyDescent="0.2">
      <c r="A817" s="22">
        <v>18550</v>
      </c>
      <c r="B817" s="22" t="s">
        <v>165</v>
      </c>
      <c r="C817" s="22">
        <v>12019199</v>
      </c>
      <c r="D817" s="22" t="s">
        <v>147</v>
      </c>
      <c r="E817" s="22">
        <v>301</v>
      </c>
      <c r="F817" s="22" t="s">
        <v>211</v>
      </c>
      <c r="G817" s="22" t="s">
        <v>210</v>
      </c>
      <c r="I817" s="22">
        <v>272.56</v>
      </c>
      <c r="J817" s="111" t="s">
        <v>12</v>
      </c>
      <c r="L817" s="66" t="str">
        <f t="shared" si="14"/>
        <v>112.2160.200</v>
      </c>
    </row>
    <row r="818" spans="1:12" x14ac:dyDescent="0.2">
      <c r="A818" s="22">
        <v>18741</v>
      </c>
      <c r="B818" s="22" t="s">
        <v>179</v>
      </c>
      <c r="C818" s="22">
        <v>12019199</v>
      </c>
      <c r="D818" s="22" t="s">
        <v>147</v>
      </c>
      <c r="E818" s="22">
        <v>301</v>
      </c>
      <c r="F818" s="22" t="s">
        <v>211</v>
      </c>
      <c r="G818" s="22" t="s">
        <v>210</v>
      </c>
      <c r="I818" s="22">
        <v>343.27</v>
      </c>
      <c r="J818" s="111" t="s">
        <v>12</v>
      </c>
      <c r="L818" s="66" t="str">
        <f t="shared" si="14"/>
        <v>112.2160.200</v>
      </c>
    </row>
    <row r="819" spans="1:12" x14ac:dyDescent="0.2">
      <c r="A819" s="22">
        <v>19022</v>
      </c>
      <c r="B819" s="22" t="s">
        <v>113</v>
      </c>
      <c r="C819" s="22">
        <v>12019199</v>
      </c>
      <c r="D819" s="22" t="s">
        <v>147</v>
      </c>
      <c r="E819" s="22">
        <v>301</v>
      </c>
      <c r="F819" s="22" t="s">
        <v>211</v>
      </c>
      <c r="G819" s="22" t="s">
        <v>210</v>
      </c>
      <c r="I819" s="22">
        <v>221.9</v>
      </c>
      <c r="J819" s="111" t="s">
        <v>12</v>
      </c>
      <c r="L819" s="66" t="str">
        <f t="shared" si="14"/>
        <v>112.2160.200</v>
      </c>
    </row>
    <row r="820" spans="1:12" x14ac:dyDescent="0.2">
      <c r="A820" s="22">
        <v>18619</v>
      </c>
      <c r="B820" s="22" t="s">
        <v>20</v>
      </c>
      <c r="C820" s="22">
        <v>12020400</v>
      </c>
      <c r="D820" s="22" t="s">
        <v>21</v>
      </c>
      <c r="E820" s="22">
        <v>301</v>
      </c>
      <c r="F820" s="22" t="s">
        <v>211</v>
      </c>
      <c r="G820" s="22" t="s">
        <v>210</v>
      </c>
      <c r="I820" s="22">
        <v>266.14</v>
      </c>
      <c r="J820" s="111" t="s">
        <v>12</v>
      </c>
      <c r="L820" s="66" t="str">
        <f t="shared" si="14"/>
        <v>112.2160.200</v>
      </c>
    </row>
    <row r="821" spans="1:12" x14ac:dyDescent="0.2">
      <c r="A821" s="22">
        <v>18836</v>
      </c>
      <c r="B821" s="22" t="s">
        <v>182</v>
      </c>
      <c r="C821" s="22">
        <v>12020400</v>
      </c>
      <c r="D821" s="22" t="s">
        <v>21</v>
      </c>
      <c r="E821" s="22">
        <v>301</v>
      </c>
      <c r="F821" s="22" t="s">
        <v>211</v>
      </c>
      <c r="G821" s="22" t="s">
        <v>210</v>
      </c>
      <c r="I821" s="22">
        <v>269.19</v>
      </c>
      <c r="J821" s="111" t="s">
        <v>12</v>
      </c>
      <c r="L821" s="66" t="str">
        <f t="shared" si="14"/>
        <v>112.2160.200</v>
      </c>
    </row>
    <row r="822" spans="1:12" x14ac:dyDescent="0.2">
      <c r="A822" s="22">
        <v>19040</v>
      </c>
      <c r="B822" s="22" t="s">
        <v>453</v>
      </c>
      <c r="C822" s="22">
        <v>12020500</v>
      </c>
      <c r="D822" s="22" t="s">
        <v>454</v>
      </c>
      <c r="E822" s="22">
        <v>301</v>
      </c>
      <c r="F822" s="22" t="s">
        <v>211</v>
      </c>
      <c r="G822" s="22" t="s">
        <v>210</v>
      </c>
      <c r="I822" s="22">
        <v>131.78</v>
      </c>
      <c r="J822" s="111" t="s">
        <v>12</v>
      </c>
      <c r="L822" s="66" t="str">
        <f t="shared" si="14"/>
        <v>112.2160.200</v>
      </c>
    </row>
    <row r="823" spans="1:12" x14ac:dyDescent="0.2">
      <c r="A823" s="22">
        <v>18893</v>
      </c>
      <c r="B823" s="22" t="s">
        <v>444</v>
      </c>
      <c r="C823" s="22">
        <v>12020500</v>
      </c>
      <c r="D823" s="22" t="s">
        <v>454</v>
      </c>
      <c r="E823" s="22">
        <v>301</v>
      </c>
      <c r="F823" s="22" t="s">
        <v>211</v>
      </c>
      <c r="G823" s="22" t="s">
        <v>210</v>
      </c>
      <c r="I823" s="22">
        <v>133.27000000000001</v>
      </c>
      <c r="J823" s="111" t="s">
        <v>12</v>
      </c>
      <c r="L823" s="66" t="str">
        <f t="shared" si="14"/>
        <v>112.2160.200</v>
      </c>
    </row>
    <row r="824" spans="1:12" x14ac:dyDescent="0.2">
      <c r="A824" s="22">
        <v>18957</v>
      </c>
      <c r="B824" s="22" t="s">
        <v>74</v>
      </c>
      <c r="C824" s="22">
        <v>12020611</v>
      </c>
      <c r="D824" s="22" t="s">
        <v>23</v>
      </c>
      <c r="E824" s="22">
        <v>301</v>
      </c>
      <c r="F824" s="22" t="s">
        <v>211</v>
      </c>
      <c r="G824" s="22" t="s">
        <v>210</v>
      </c>
      <c r="I824" s="22">
        <v>272.01</v>
      </c>
      <c r="J824" s="111" t="s">
        <v>12</v>
      </c>
      <c r="L824" s="66" t="str">
        <f t="shared" si="14"/>
        <v>112.2160.200</v>
      </c>
    </row>
    <row r="825" spans="1:12" x14ac:dyDescent="0.2">
      <c r="A825" s="22">
        <v>18866</v>
      </c>
      <c r="B825" s="22" t="s">
        <v>76</v>
      </c>
      <c r="C825" s="22">
        <v>12020611</v>
      </c>
      <c r="D825" s="22" t="s">
        <v>23</v>
      </c>
      <c r="E825" s="22">
        <v>301</v>
      </c>
      <c r="F825" s="22" t="s">
        <v>211</v>
      </c>
      <c r="G825" s="22" t="s">
        <v>210</v>
      </c>
      <c r="I825" s="22">
        <v>263.82</v>
      </c>
      <c r="J825" s="111" t="s">
        <v>12</v>
      </c>
      <c r="L825" s="66" t="str">
        <f t="shared" si="14"/>
        <v>112.2160.200</v>
      </c>
    </row>
    <row r="826" spans="1:12" x14ac:dyDescent="0.2">
      <c r="A826" s="22">
        <v>18589</v>
      </c>
      <c r="B826" s="22" t="s">
        <v>75</v>
      </c>
      <c r="C826" s="22">
        <v>12020611</v>
      </c>
      <c r="D826" s="22" t="s">
        <v>23</v>
      </c>
      <c r="E826" s="22">
        <v>301</v>
      </c>
      <c r="F826" s="22" t="s">
        <v>211</v>
      </c>
      <c r="G826" s="22" t="s">
        <v>210</v>
      </c>
      <c r="I826" s="22">
        <v>282.86</v>
      </c>
      <c r="J826" s="111" t="s">
        <v>12</v>
      </c>
      <c r="L826" s="66" t="str">
        <f t="shared" si="14"/>
        <v>112.2160.200</v>
      </c>
    </row>
    <row r="827" spans="1:12" x14ac:dyDescent="0.2">
      <c r="A827" s="22">
        <v>18831</v>
      </c>
      <c r="B827" s="22" t="s">
        <v>22</v>
      </c>
      <c r="C827" s="22">
        <v>12020611</v>
      </c>
      <c r="D827" s="22" t="s">
        <v>23</v>
      </c>
      <c r="E827" s="22">
        <v>301</v>
      </c>
      <c r="F827" s="22" t="s">
        <v>211</v>
      </c>
      <c r="G827" s="22" t="s">
        <v>210</v>
      </c>
      <c r="I827" s="22">
        <v>157.93</v>
      </c>
      <c r="J827" s="111" t="s">
        <v>12</v>
      </c>
      <c r="L827" s="66" t="str">
        <f t="shared" si="14"/>
        <v>112.2160.200</v>
      </c>
    </row>
    <row r="828" spans="1:12" x14ac:dyDescent="0.2">
      <c r="A828" s="22">
        <v>18891</v>
      </c>
      <c r="B828" s="22" t="s">
        <v>77</v>
      </c>
      <c r="C828" s="22">
        <v>12020611</v>
      </c>
      <c r="D828" s="22" t="s">
        <v>23</v>
      </c>
      <c r="E828" s="22">
        <v>301</v>
      </c>
      <c r="F828" s="22" t="s">
        <v>211</v>
      </c>
      <c r="G828" s="22" t="s">
        <v>210</v>
      </c>
      <c r="I828" s="22">
        <v>193.59</v>
      </c>
      <c r="J828" s="111" t="s">
        <v>12</v>
      </c>
      <c r="L828" s="66" t="str">
        <f t="shared" si="14"/>
        <v>112.2160.200</v>
      </c>
    </row>
    <row r="829" spans="1:12" x14ac:dyDescent="0.2">
      <c r="A829" s="22">
        <v>18903</v>
      </c>
      <c r="B829" s="22" t="s">
        <v>73</v>
      </c>
      <c r="C829" s="22">
        <v>12020611</v>
      </c>
      <c r="D829" s="22" t="s">
        <v>23</v>
      </c>
      <c r="E829" s="22">
        <v>301</v>
      </c>
      <c r="F829" s="22" t="s">
        <v>211</v>
      </c>
      <c r="G829" s="22" t="s">
        <v>210</v>
      </c>
      <c r="I829" s="22">
        <v>244.04</v>
      </c>
      <c r="J829" s="111" t="s">
        <v>12</v>
      </c>
      <c r="L829" s="66" t="str">
        <f t="shared" si="14"/>
        <v>112.2160.200</v>
      </c>
    </row>
    <row r="830" spans="1:12" x14ac:dyDescent="0.2">
      <c r="A830" s="22">
        <v>18631</v>
      </c>
      <c r="B830" s="22" t="s">
        <v>80</v>
      </c>
      <c r="C830" s="22">
        <v>12020711</v>
      </c>
      <c r="D830" s="22" t="s">
        <v>25</v>
      </c>
      <c r="E830" s="22">
        <v>301</v>
      </c>
      <c r="F830" s="22" t="s">
        <v>211</v>
      </c>
      <c r="G830" s="22" t="s">
        <v>210</v>
      </c>
      <c r="I830" s="22">
        <v>139.13999999999999</v>
      </c>
      <c r="J830" s="111" t="s">
        <v>12</v>
      </c>
      <c r="L830" s="66" t="str">
        <f t="shared" si="14"/>
        <v>112.2160.200</v>
      </c>
    </row>
    <row r="831" spans="1:12" x14ac:dyDescent="0.2">
      <c r="A831" s="22">
        <v>18879</v>
      </c>
      <c r="B831" s="22" t="s">
        <v>79</v>
      </c>
      <c r="C831" s="22">
        <v>12020711</v>
      </c>
      <c r="D831" s="22" t="s">
        <v>25</v>
      </c>
      <c r="E831" s="22">
        <v>301</v>
      </c>
      <c r="F831" s="22" t="s">
        <v>211</v>
      </c>
      <c r="G831" s="22" t="s">
        <v>210</v>
      </c>
      <c r="I831" s="22">
        <v>274.64999999999998</v>
      </c>
      <c r="J831" s="111" t="s">
        <v>12</v>
      </c>
      <c r="L831" s="66" t="str">
        <f t="shared" si="14"/>
        <v>112.2160.200</v>
      </c>
    </row>
    <row r="832" spans="1:12" x14ac:dyDescent="0.2">
      <c r="A832" s="22">
        <v>18</v>
      </c>
      <c r="B832" s="22" t="s">
        <v>24</v>
      </c>
      <c r="C832" s="22">
        <v>12020711</v>
      </c>
      <c r="D832" s="22" t="s">
        <v>25</v>
      </c>
      <c r="E832" s="22">
        <v>301</v>
      </c>
      <c r="F832" s="22" t="s">
        <v>211</v>
      </c>
      <c r="G832" s="22" t="s">
        <v>210</v>
      </c>
      <c r="I832" s="22">
        <v>113.93</v>
      </c>
      <c r="J832" s="111" t="s">
        <v>12</v>
      </c>
      <c r="L832" s="66" t="str">
        <f t="shared" si="14"/>
        <v>112.2160.200</v>
      </c>
    </row>
    <row r="833" spans="1:12" x14ac:dyDescent="0.2">
      <c r="A833" s="22">
        <v>18954</v>
      </c>
      <c r="B833" s="22" t="s">
        <v>183</v>
      </c>
      <c r="C833" s="22">
        <v>12020711</v>
      </c>
      <c r="D833" s="22" t="s">
        <v>25</v>
      </c>
      <c r="E833" s="22">
        <v>301</v>
      </c>
      <c r="F833" s="22" t="s">
        <v>211</v>
      </c>
      <c r="G833" s="22" t="s">
        <v>210</v>
      </c>
      <c r="I833" s="22">
        <v>323.08</v>
      </c>
      <c r="J833" s="111" t="s">
        <v>12</v>
      </c>
      <c r="L833" s="66" t="str">
        <f t="shared" si="14"/>
        <v>112.2160.200</v>
      </c>
    </row>
    <row r="834" spans="1:12" x14ac:dyDescent="0.2">
      <c r="A834" s="22">
        <v>19013</v>
      </c>
      <c r="B834" s="22" t="s">
        <v>81</v>
      </c>
      <c r="C834" s="22">
        <v>12020800</v>
      </c>
      <c r="D834" s="22" t="s">
        <v>27</v>
      </c>
      <c r="E834" s="22">
        <v>301</v>
      </c>
      <c r="F834" s="22" t="s">
        <v>211</v>
      </c>
      <c r="G834" s="22" t="s">
        <v>210</v>
      </c>
      <c r="I834" s="22">
        <v>304.33999999999997</v>
      </c>
      <c r="J834" s="111" t="s">
        <v>12</v>
      </c>
      <c r="L834" s="66" t="str">
        <f t="shared" si="14"/>
        <v>112.2160.200</v>
      </c>
    </row>
    <row r="835" spans="1:12" x14ac:dyDescent="0.2">
      <c r="A835" s="22">
        <v>18630</v>
      </c>
      <c r="B835" s="22" t="s">
        <v>204</v>
      </c>
      <c r="C835" s="22">
        <v>12020800</v>
      </c>
      <c r="D835" s="22" t="s">
        <v>27</v>
      </c>
      <c r="E835" s="22">
        <v>301</v>
      </c>
      <c r="F835" s="22" t="s">
        <v>211</v>
      </c>
      <c r="G835" s="22" t="s">
        <v>210</v>
      </c>
      <c r="I835" s="22">
        <v>235.71</v>
      </c>
      <c r="J835" s="111" t="s">
        <v>12</v>
      </c>
      <c r="L835" s="66" t="str">
        <f t="shared" si="14"/>
        <v>112.2160.200</v>
      </c>
    </row>
    <row r="836" spans="1:12" x14ac:dyDescent="0.2">
      <c r="A836" s="22">
        <v>18559</v>
      </c>
      <c r="B836" s="22" t="s">
        <v>87</v>
      </c>
      <c r="C836" s="22">
        <v>12021021</v>
      </c>
      <c r="D836" s="22" t="s">
        <v>29</v>
      </c>
      <c r="E836" s="22">
        <v>301</v>
      </c>
      <c r="F836" s="22" t="s">
        <v>211</v>
      </c>
      <c r="G836" s="22" t="s">
        <v>210</v>
      </c>
      <c r="I836" s="22">
        <v>424.04</v>
      </c>
      <c r="J836" s="111" t="s">
        <v>12</v>
      </c>
      <c r="L836" s="66" t="str">
        <f t="shared" si="14"/>
        <v>112.2160.200</v>
      </c>
    </row>
    <row r="837" spans="1:12" x14ac:dyDescent="0.2">
      <c r="A837" s="22">
        <v>18960</v>
      </c>
      <c r="B837" s="22" t="s">
        <v>84</v>
      </c>
      <c r="C837" s="22">
        <v>12021021</v>
      </c>
      <c r="D837" s="22" t="s">
        <v>29</v>
      </c>
      <c r="E837" s="22">
        <v>301</v>
      </c>
      <c r="F837" s="22" t="s">
        <v>211</v>
      </c>
      <c r="G837" s="22" t="s">
        <v>210</v>
      </c>
      <c r="I837" s="22">
        <v>99.19</v>
      </c>
      <c r="J837" s="111" t="s">
        <v>12</v>
      </c>
      <c r="L837" s="66" t="str">
        <f t="shared" si="14"/>
        <v>112.2160.200</v>
      </c>
    </row>
    <row r="838" spans="1:12" x14ac:dyDescent="0.2">
      <c r="A838" s="22">
        <v>18781</v>
      </c>
      <c r="B838" s="22" t="s">
        <v>82</v>
      </c>
      <c r="C838" s="22">
        <v>12021021</v>
      </c>
      <c r="D838" s="22" t="s">
        <v>29</v>
      </c>
      <c r="E838" s="22">
        <v>301</v>
      </c>
      <c r="F838" s="22" t="s">
        <v>211</v>
      </c>
      <c r="G838" s="22" t="s">
        <v>210</v>
      </c>
      <c r="I838" s="22">
        <v>272.01</v>
      </c>
      <c r="J838" s="111" t="s">
        <v>12</v>
      </c>
      <c r="L838" s="66" t="str">
        <f t="shared" si="14"/>
        <v>112.2160.200</v>
      </c>
    </row>
    <row r="839" spans="1:12" x14ac:dyDescent="0.2">
      <c r="A839" s="22">
        <v>18894</v>
      </c>
      <c r="B839" s="22" t="s">
        <v>89</v>
      </c>
      <c r="C839" s="22">
        <v>12021021</v>
      </c>
      <c r="D839" s="22" t="s">
        <v>29</v>
      </c>
      <c r="E839" s="22">
        <v>301</v>
      </c>
      <c r="F839" s="22" t="s">
        <v>211</v>
      </c>
      <c r="G839" s="22" t="s">
        <v>210</v>
      </c>
      <c r="I839" s="22">
        <v>144.88</v>
      </c>
      <c r="J839" s="111" t="s">
        <v>12</v>
      </c>
      <c r="L839" s="66" t="str">
        <f t="shared" si="14"/>
        <v>112.2160.200</v>
      </c>
    </row>
    <row r="840" spans="1:12" x14ac:dyDescent="0.2">
      <c r="A840" s="22">
        <v>18687</v>
      </c>
      <c r="B840" s="22" t="s">
        <v>83</v>
      </c>
      <c r="C840" s="22">
        <v>12021021</v>
      </c>
      <c r="D840" s="22" t="s">
        <v>29</v>
      </c>
      <c r="E840" s="22">
        <v>301</v>
      </c>
      <c r="F840" s="22" t="s">
        <v>211</v>
      </c>
      <c r="G840" s="22" t="s">
        <v>210</v>
      </c>
      <c r="I840" s="22">
        <v>242.13</v>
      </c>
      <c r="J840" s="111" t="s">
        <v>12</v>
      </c>
      <c r="L840" s="66" t="str">
        <f t="shared" si="14"/>
        <v>112.2160.200</v>
      </c>
    </row>
    <row r="841" spans="1:12" x14ac:dyDescent="0.2">
      <c r="A841" s="22">
        <v>18733</v>
      </c>
      <c r="B841" s="22" t="s">
        <v>86</v>
      </c>
      <c r="C841" s="22">
        <v>12021021</v>
      </c>
      <c r="D841" s="22" t="s">
        <v>29</v>
      </c>
      <c r="E841" s="22">
        <v>301</v>
      </c>
      <c r="F841" s="22" t="s">
        <v>211</v>
      </c>
      <c r="G841" s="22" t="s">
        <v>210</v>
      </c>
      <c r="I841" s="22">
        <v>232</v>
      </c>
      <c r="J841" s="111" t="s">
        <v>12</v>
      </c>
      <c r="L841" s="66" t="str">
        <f t="shared" si="14"/>
        <v>112.2160.200</v>
      </c>
    </row>
    <row r="842" spans="1:12" x14ac:dyDescent="0.2">
      <c r="A842" s="22">
        <v>18967</v>
      </c>
      <c r="B842" s="22" t="s">
        <v>85</v>
      </c>
      <c r="C842" s="22">
        <v>12021021</v>
      </c>
      <c r="D842" s="22" t="s">
        <v>29</v>
      </c>
      <c r="E842" s="22">
        <v>301</v>
      </c>
      <c r="F842" s="22" t="s">
        <v>211</v>
      </c>
      <c r="G842" s="22" t="s">
        <v>210</v>
      </c>
      <c r="I842" s="22">
        <v>273.7</v>
      </c>
      <c r="J842" s="111" t="s">
        <v>12</v>
      </c>
      <c r="L842" s="66" t="str">
        <f t="shared" si="14"/>
        <v>112.2160.200</v>
      </c>
    </row>
    <row r="843" spans="1:12" x14ac:dyDescent="0.2">
      <c r="A843" s="22">
        <v>18659</v>
      </c>
      <c r="B843" s="22" t="s">
        <v>88</v>
      </c>
      <c r="C843" s="22">
        <v>12021021</v>
      </c>
      <c r="D843" s="22" t="s">
        <v>29</v>
      </c>
      <c r="E843" s="22">
        <v>301</v>
      </c>
      <c r="F843" s="22" t="s">
        <v>211</v>
      </c>
      <c r="G843" s="22" t="s">
        <v>210</v>
      </c>
      <c r="I843" s="22">
        <v>250.44</v>
      </c>
      <c r="J843" s="111" t="s">
        <v>12</v>
      </c>
      <c r="L843" s="66" t="str">
        <f t="shared" si="14"/>
        <v>112.2160.200</v>
      </c>
    </row>
    <row r="844" spans="1:12" x14ac:dyDescent="0.2">
      <c r="A844" s="22">
        <v>19033</v>
      </c>
      <c r="B844" s="22" t="s">
        <v>389</v>
      </c>
      <c r="C844" s="22">
        <v>12021021</v>
      </c>
      <c r="D844" s="22" t="s">
        <v>29</v>
      </c>
      <c r="E844" s="22">
        <v>301</v>
      </c>
      <c r="F844" s="22" t="s">
        <v>211</v>
      </c>
      <c r="G844" s="22" t="s">
        <v>210</v>
      </c>
      <c r="I844" s="22">
        <v>187.55</v>
      </c>
      <c r="J844" s="111" t="s">
        <v>12</v>
      </c>
      <c r="L844" s="66" t="str">
        <f t="shared" si="14"/>
        <v>112.2160.200</v>
      </c>
    </row>
    <row r="845" spans="1:12" x14ac:dyDescent="0.2">
      <c r="A845" s="22">
        <v>18892</v>
      </c>
      <c r="B845" s="22" t="s">
        <v>184</v>
      </c>
      <c r="C845" s="22">
        <v>12021021</v>
      </c>
      <c r="D845" s="22" t="s">
        <v>29</v>
      </c>
      <c r="E845" s="22">
        <v>301</v>
      </c>
      <c r="F845" s="22" t="s">
        <v>211</v>
      </c>
      <c r="G845" s="22" t="s">
        <v>210</v>
      </c>
      <c r="I845" s="22">
        <v>221.4</v>
      </c>
      <c r="J845" s="111" t="s">
        <v>12</v>
      </c>
      <c r="L845" s="66" t="str">
        <f t="shared" si="14"/>
        <v>112.2160.200</v>
      </c>
    </row>
    <row r="846" spans="1:12" x14ac:dyDescent="0.2">
      <c r="A846" s="22">
        <v>18911</v>
      </c>
      <c r="B846" s="22" t="s">
        <v>28</v>
      </c>
      <c r="C846" s="22">
        <v>12021021</v>
      </c>
      <c r="D846" s="22" t="s">
        <v>29</v>
      </c>
      <c r="E846" s="22">
        <v>301</v>
      </c>
      <c r="F846" s="22" t="s">
        <v>211</v>
      </c>
      <c r="G846" s="22" t="s">
        <v>210</v>
      </c>
      <c r="I846" s="22">
        <v>266.64999999999998</v>
      </c>
      <c r="J846" s="111" t="s">
        <v>12</v>
      </c>
      <c r="L846" s="66" t="str">
        <f t="shared" si="14"/>
        <v>112.2160.200</v>
      </c>
    </row>
    <row r="847" spans="1:12" x14ac:dyDescent="0.2">
      <c r="A847" s="22">
        <v>141</v>
      </c>
      <c r="B847" s="22" t="s">
        <v>185</v>
      </c>
      <c r="C847" s="22">
        <v>12022511</v>
      </c>
      <c r="D847" s="22" t="s">
        <v>32</v>
      </c>
      <c r="E847" s="22">
        <v>301</v>
      </c>
      <c r="F847" s="22" t="s">
        <v>211</v>
      </c>
      <c r="G847" s="22" t="s">
        <v>210</v>
      </c>
      <c r="I847" s="22">
        <v>114.82</v>
      </c>
      <c r="J847" s="111" t="s">
        <v>12</v>
      </c>
      <c r="L847" s="66" t="str">
        <f t="shared" si="14"/>
        <v>112.2160.200</v>
      </c>
    </row>
    <row r="848" spans="1:12" x14ac:dyDescent="0.2">
      <c r="A848" s="22">
        <v>18961</v>
      </c>
      <c r="B848" s="22" t="s">
        <v>90</v>
      </c>
      <c r="C848" s="22">
        <v>12022511</v>
      </c>
      <c r="D848" s="22" t="s">
        <v>32</v>
      </c>
      <c r="E848" s="22">
        <v>301</v>
      </c>
      <c r="F848" s="22" t="s">
        <v>211</v>
      </c>
      <c r="G848" s="22" t="s">
        <v>210</v>
      </c>
      <c r="I848" s="22">
        <v>253.52</v>
      </c>
      <c r="J848" s="111" t="s">
        <v>12</v>
      </c>
      <c r="L848" s="66" t="str">
        <f t="shared" si="14"/>
        <v>112.2160.200</v>
      </c>
    </row>
    <row r="849" spans="1:12" x14ac:dyDescent="0.2">
      <c r="A849" s="22">
        <v>145</v>
      </c>
      <c r="B849" s="22" t="s">
        <v>91</v>
      </c>
      <c r="C849" s="22">
        <v>12022511</v>
      </c>
      <c r="D849" s="22" t="s">
        <v>32</v>
      </c>
      <c r="E849" s="22">
        <v>301</v>
      </c>
      <c r="F849" s="22" t="s">
        <v>211</v>
      </c>
      <c r="G849" s="22" t="s">
        <v>210</v>
      </c>
      <c r="I849" s="22">
        <v>246.23</v>
      </c>
      <c r="J849" s="111" t="s">
        <v>12</v>
      </c>
      <c r="L849" s="66" t="str">
        <f t="shared" si="14"/>
        <v>112.2160.200</v>
      </c>
    </row>
    <row r="850" spans="1:12" x14ac:dyDescent="0.2">
      <c r="A850" s="22">
        <v>18962</v>
      </c>
      <c r="B850" s="22" t="s">
        <v>148</v>
      </c>
      <c r="C850" s="22">
        <v>12023011</v>
      </c>
      <c r="D850" s="22" t="s">
        <v>93</v>
      </c>
      <c r="E850" s="22">
        <v>301</v>
      </c>
      <c r="F850" s="22" t="s">
        <v>211</v>
      </c>
      <c r="G850" s="22" t="s">
        <v>210</v>
      </c>
      <c r="I850" s="22">
        <v>525</v>
      </c>
      <c r="J850" s="111" t="s">
        <v>12</v>
      </c>
      <c r="L850" s="66" t="str">
        <f t="shared" si="14"/>
        <v>112.2160.200</v>
      </c>
    </row>
    <row r="851" spans="1:12" x14ac:dyDescent="0.2">
      <c r="A851" s="22">
        <v>19007</v>
      </c>
      <c r="B851" s="22" t="s">
        <v>189</v>
      </c>
      <c r="C851" s="22">
        <v>12023011</v>
      </c>
      <c r="D851" s="22" t="s">
        <v>93</v>
      </c>
      <c r="E851" s="22">
        <v>301</v>
      </c>
      <c r="F851" s="22" t="s">
        <v>211</v>
      </c>
      <c r="G851" s="22" t="s">
        <v>210</v>
      </c>
      <c r="I851" s="22">
        <v>252.49</v>
      </c>
      <c r="J851" s="111" t="s">
        <v>12</v>
      </c>
      <c r="L851" s="66" t="str">
        <f t="shared" si="14"/>
        <v>112.2160.200</v>
      </c>
    </row>
    <row r="852" spans="1:12" x14ac:dyDescent="0.2">
      <c r="A852" s="22">
        <v>19032</v>
      </c>
      <c r="B852" s="22" t="s">
        <v>386</v>
      </c>
      <c r="C852" s="22">
        <v>12023011</v>
      </c>
      <c r="D852" s="22" t="s">
        <v>93</v>
      </c>
      <c r="E852" s="22">
        <v>301</v>
      </c>
      <c r="F852" s="22" t="s">
        <v>211</v>
      </c>
      <c r="G852" s="22" t="s">
        <v>210</v>
      </c>
      <c r="I852" s="22">
        <v>124.69</v>
      </c>
      <c r="J852" s="111" t="s">
        <v>12</v>
      </c>
      <c r="L852" s="66" t="str">
        <f t="shared" si="14"/>
        <v>112.2160.200</v>
      </c>
    </row>
    <row r="853" spans="1:12" x14ac:dyDescent="0.2">
      <c r="A853" s="22">
        <v>19006</v>
      </c>
      <c r="B853" s="22" t="s">
        <v>95</v>
      </c>
      <c r="C853" s="22">
        <v>12023011</v>
      </c>
      <c r="D853" s="22" t="s">
        <v>93</v>
      </c>
      <c r="E853" s="22">
        <v>301</v>
      </c>
      <c r="F853" s="22" t="s">
        <v>211</v>
      </c>
      <c r="G853" s="22" t="s">
        <v>210</v>
      </c>
      <c r="I853" s="22">
        <v>238.97</v>
      </c>
      <c r="J853" s="111" t="s">
        <v>12</v>
      </c>
      <c r="L853" s="66" t="str">
        <f t="shared" si="14"/>
        <v>112.2160.200</v>
      </c>
    </row>
    <row r="854" spans="1:12" x14ac:dyDescent="0.2">
      <c r="A854" s="22">
        <v>18999</v>
      </c>
      <c r="B854" s="22" t="s">
        <v>92</v>
      </c>
      <c r="C854" s="22">
        <v>12023011</v>
      </c>
      <c r="D854" s="22" t="s">
        <v>93</v>
      </c>
      <c r="E854" s="22">
        <v>301</v>
      </c>
      <c r="F854" s="22" t="s">
        <v>211</v>
      </c>
      <c r="G854" s="22" t="s">
        <v>210</v>
      </c>
      <c r="I854" s="22">
        <v>235.48</v>
      </c>
      <c r="J854" s="111" t="s">
        <v>12</v>
      </c>
      <c r="L854" s="66" t="str">
        <f t="shared" si="14"/>
        <v>112.2160.200</v>
      </c>
    </row>
    <row r="855" spans="1:12" x14ac:dyDescent="0.2">
      <c r="A855" s="22">
        <v>19041</v>
      </c>
      <c r="B855" s="22" t="s">
        <v>478</v>
      </c>
      <c r="C855" s="22">
        <v>12023011</v>
      </c>
      <c r="D855" s="22" t="s">
        <v>93</v>
      </c>
      <c r="E855" s="22">
        <v>301</v>
      </c>
      <c r="F855" s="22" t="s">
        <v>211</v>
      </c>
      <c r="G855" s="22" t="s">
        <v>210</v>
      </c>
      <c r="I855" s="22">
        <v>216.05</v>
      </c>
      <c r="J855" s="111" t="s">
        <v>12</v>
      </c>
      <c r="L855" s="66" t="str">
        <f t="shared" si="14"/>
        <v>112.2160.200</v>
      </c>
    </row>
    <row r="856" spans="1:12" x14ac:dyDescent="0.2">
      <c r="A856" s="22">
        <v>18974</v>
      </c>
      <c r="B856" s="22" t="s">
        <v>94</v>
      </c>
      <c r="C856" s="22">
        <v>12023011</v>
      </c>
      <c r="D856" s="22" t="s">
        <v>93</v>
      </c>
      <c r="E856" s="22">
        <v>301</v>
      </c>
      <c r="F856" s="22" t="s">
        <v>211</v>
      </c>
      <c r="G856" s="22" t="s">
        <v>210</v>
      </c>
      <c r="I856" s="22">
        <v>308.12</v>
      </c>
      <c r="J856" s="111" t="s">
        <v>12</v>
      </c>
      <c r="L856" s="66" t="str">
        <f t="shared" si="14"/>
        <v>112.2160.200</v>
      </c>
    </row>
    <row r="857" spans="1:12" x14ac:dyDescent="0.2">
      <c r="A857" s="22">
        <v>19026</v>
      </c>
      <c r="B857" s="22" t="s">
        <v>187</v>
      </c>
      <c r="C857" s="22">
        <v>12023011</v>
      </c>
      <c r="D857" s="22" t="s">
        <v>93</v>
      </c>
      <c r="E857" s="22">
        <v>301</v>
      </c>
      <c r="F857" s="22" t="s">
        <v>211</v>
      </c>
      <c r="G857" s="22" t="s">
        <v>210</v>
      </c>
      <c r="I857" s="22">
        <v>124.69</v>
      </c>
      <c r="J857" s="111" t="s">
        <v>12</v>
      </c>
      <c r="L857" s="66" t="str">
        <f t="shared" si="14"/>
        <v>112.2160.200</v>
      </c>
    </row>
    <row r="858" spans="1:12" x14ac:dyDescent="0.2">
      <c r="A858" s="22">
        <v>19042</v>
      </c>
      <c r="B858" s="22" t="s">
        <v>479</v>
      </c>
      <c r="C858" s="22">
        <v>12023011</v>
      </c>
      <c r="D858" s="22" t="s">
        <v>93</v>
      </c>
      <c r="E858" s="22">
        <v>301</v>
      </c>
      <c r="F858" s="22" t="s">
        <v>211</v>
      </c>
      <c r="G858" s="22" t="s">
        <v>210</v>
      </c>
      <c r="I858" s="22">
        <v>25.28</v>
      </c>
      <c r="J858" s="111" t="s">
        <v>12</v>
      </c>
      <c r="L858" s="66" t="str">
        <f t="shared" ref="L858:L921" si="15">G858</f>
        <v>112.2160.200</v>
      </c>
    </row>
    <row r="859" spans="1:12" x14ac:dyDescent="0.2">
      <c r="A859" s="22">
        <v>19035</v>
      </c>
      <c r="B859" s="22" t="s">
        <v>440</v>
      </c>
      <c r="C859" s="22">
        <v>12023011</v>
      </c>
      <c r="D859" s="22" t="s">
        <v>93</v>
      </c>
      <c r="E859" s="22">
        <v>301</v>
      </c>
      <c r="F859" s="22" t="s">
        <v>211</v>
      </c>
      <c r="G859" s="22" t="s">
        <v>210</v>
      </c>
      <c r="I859" s="22">
        <v>197.87</v>
      </c>
      <c r="J859" s="111" t="s">
        <v>12</v>
      </c>
      <c r="L859" s="66" t="str">
        <f t="shared" si="15"/>
        <v>112.2160.200</v>
      </c>
    </row>
    <row r="860" spans="1:12" x14ac:dyDescent="0.2">
      <c r="A860" s="22">
        <v>18973</v>
      </c>
      <c r="B860" s="22" t="s">
        <v>188</v>
      </c>
      <c r="C860" s="22">
        <v>12023011</v>
      </c>
      <c r="D860" s="22" t="s">
        <v>93</v>
      </c>
      <c r="E860" s="22">
        <v>301</v>
      </c>
      <c r="F860" s="22" t="s">
        <v>211</v>
      </c>
      <c r="G860" s="22" t="s">
        <v>210</v>
      </c>
      <c r="I860" s="22">
        <v>174.47</v>
      </c>
      <c r="J860" s="111" t="s">
        <v>12</v>
      </c>
      <c r="L860" s="66" t="str">
        <f t="shared" si="15"/>
        <v>112.2160.200</v>
      </c>
    </row>
    <row r="861" spans="1:12" x14ac:dyDescent="0.2">
      <c r="A861" s="22">
        <v>19021</v>
      </c>
      <c r="B861" s="22" t="s">
        <v>99</v>
      </c>
      <c r="C861" s="22">
        <v>12023021</v>
      </c>
      <c r="D861" s="22" t="s">
        <v>98</v>
      </c>
      <c r="E861" s="22">
        <v>301</v>
      </c>
      <c r="F861" s="22" t="s">
        <v>211</v>
      </c>
      <c r="G861" s="22" t="s">
        <v>210</v>
      </c>
      <c r="I861" s="22">
        <v>207.81</v>
      </c>
      <c r="J861" s="111" t="s">
        <v>12</v>
      </c>
      <c r="L861" s="66" t="str">
        <f t="shared" si="15"/>
        <v>112.2160.200</v>
      </c>
    </row>
    <row r="862" spans="1:12" x14ac:dyDescent="0.2">
      <c r="A862" s="22">
        <v>19027</v>
      </c>
      <c r="B862" s="22" t="s">
        <v>365</v>
      </c>
      <c r="C862" s="22">
        <v>12023021</v>
      </c>
      <c r="D862" s="22" t="s">
        <v>98</v>
      </c>
      <c r="E862" s="22">
        <v>301</v>
      </c>
      <c r="F862" s="22" t="s">
        <v>211</v>
      </c>
      <c r="G862" s="22" t="s">
        <v>210</v>
      </c>
      <c r="I862" s="22">
        <v>202.61</v>
      </c>
      <c r="J862" s="111" t="s">
        <v>12</v>
      </c>
      <c r="L862" s="66" t="str">
        <f t="shared" si="15"/>
        <v>112.2160.200</v>
      </c>
    </row>
    <row r="863" spans="1:12" x14ac:dyDescent="0.2">
      <c r="A863" s="22">
        <v>18980</v>
      </c>
      <c r="B863" s="22" t="s">
        <v>97</v>
      </c>
      <c r="C863" s="22">
        <v>12023021</v>
      </c>
      <c r="D863" s="22" t="s">
        <v>98</v>
      </c>
      <c r="E863" s="22">
        <v>301</v>
      </c>
      <c r="F863" s="22" t="s">
        <v>211</v>
      </c>
      <c r="G863" s="22" t="s">
        <v>210</v>
      </c>
      <c r="I863" s="22">
        <v>207.58</v>
      </c>
      <c r="J863" s="111" t="s">
        <v>12</v>
      </c>
      <c r="L863" s="66" t="str">
        <f t="shared" si="15"/>
        <v>112.2160.200</v>
      </c>
    </row>
    <row r="864" spans="1:12" x14ac:dyDescent="0.2">
      <c r="A864" s="22">
        <v>19038</v>
      </c>
      <c r="B864" s="22" t="s">
        <v>449</v>
      </c>
      <c r="C864" s="22">
        <v>12023021</v>
      </c>
      <c r="D864" s="22" t="s">
        <v>98</v>
      </c>
      <c r="E864" s="22">
        <v>301</v>
      </c>
      <c r="F864" s="22" t="s">
        <v>211</v>
      </c>
      <c r="G864" s="22" t="s">
        <v>210</v>
      </c>
      <c r="I864" s="22">
        <v>343.27</v>
      </c>
      <c r="J864" s="111" t="s">
        <v>12</v>
      </c>
      <c r="L864" s="66" t="str">
        <f t="shared" si="15"/>
        <v>112.2160.200</v>
      </c>
    </row>
    <row r="865" spans="1:12" x14ac:dyDescent="0.2">
      <c r="A865" s="22">
        <v>18581</v>
      </c>
      <c r="B865" s="22" t="s">
        <v>190</v>
      </c>
      <c r="C865" s="22">
        <v>12024021</v>
      </c>
      <c r="D865" s="22" t="s">
        <v>191</v>
      </c>
      <c r="E865" s="22">
        <v>301</v>
      </c>
      <c r="F865" s="22" t="s">
        <v>211</v>
      </c>
      <c r="G865" s="22" t="s">
        <v>210</v>
      </c>
      <c r="I865" s="22">
        <v>332.07</v>
      </c>
      <c r="J865" s="111" t="s">
        <v>12</v>
      </c>
      <c r="L865" s="66" t="str">
        <f t="shared" si="15"/>
        <v>112.2160.200</v>
      </c>
    </row>
    <row r="866" spans="1:12" x14ac:dyDescent="0.2">
      <c r="A866" s="22">
        <v>44705</v>
      </c>
      <c r="B866" s="22" t="s">
        <v>149</v>
      </c>
      <c r="C866" s="22">
        <v>12028099</v>
      </c>
      <c r="D866" s="22" t="s">
        <v>150</v>
      </c>
      <c r="E866" s="22">
        <v>301</v>
      </c>
      <c r="F866" s="22" t="s">
        <v>211</v>
      </c>
      <c r="G866" s="22" t="s">
        <v>210</v>
      </c>
      <c r="I866" s="22">
        <v>565.39</v>
      </c>
      <c r="J866" s="111" t="s">
        <v>12</v>
      </c>
      <c r="L866" s="66" t="str">
        <f t="shared" si="15"/>
        <v>112.2160.200</v>
      </c>
    </row>
    <row r="867" spans="1:12" x14ac:dyDescent="0.2">
      <c r="A867" s="22">
        <v>19034</v>
      </c>
      <c r="B867" s="22" t="s">
        <v>439</v>
      </c>
      <c r="C867" s="22">
        <v>12028099</v>
      </c>
      <c r="D867" s="22" t="s">
        <v>150</v>
      </c>
      <c r="E867" s="22">
        <v>301</v>
      </c>
      <c r="F867" s="22" t="s">
        <v>211</v>
      </c>
      <c r="G867" s="22" t="s">
        <v>210</v>
      </c>
      <c r="I867" s="22">
        <v>262.5</v>
      </c>
      <c r="J867" s="111" t="s">
        <v>12</v>
      </c>
      <c r="L867" s="66" t="str">
        <f t="shared" si="15"/>
        <v>112.2160.200</v>
      </c>
    </row>
    <row r="868" spans="1:12" x14ac:dyDescent="0.2">
      <c r="A868" s="22">
        <v>18982</v>
      </c>
      <c r="B868" s="22" t="s">
        <v>100</v>
      </c>
      <c r="C868" s="22">
        <v>12030400</v>
      </c>
      <c r="D868" s="22" t="s">
        <v>62</v>
      </c>
      <c r="E868" s="22">
        <v>301</v>
      </c>
      <c r="F868" s="22" t="s">
        <v>211</v>
      </c>
      <c r="G868" s="22" t="s">
        <v>210</v>
      </c>
      <c r="I868" s="22">
        <v>242.31</v>
      </c>
      <c r="J868" s="111" t="s">
        <v>12</v>
      </c>
      <c r="L868" s="66" t="str">
        <f t="shared" si="15"/>
        <v>112.2160.200</v>
      </c>
    </row>
    <row r="869" spans="1:12" x14ac:dyDescent="0.2">
      <c r="A869" s="22">
        <v>18805</v>
      </c>
      <c r="B869" s="22" t="s">
        <v>192</v>
      </c>
      <c r="C869" s="22">
        <v>12030400</v>
      </c>
      <c r="D869" s="22" t="s">
        <v>62</v>
      </c>
      <c r="E869" s="22">
        <v>301</v>
      </c>
      <c r="F869" s="22" t="s">
        <v>211</v>
      </c>
      <c r="G869" s="22" t="s">
        <v>210</v>
      </c>
      <c r="I869" s="22">
        <v>242.31</v>
      </c>
      <c r="J869" s="111" t="s">
        <v>12</v>
      </c>
      <c r="L869" s="66" t="str">
        <f t="shared" si="15"/>
        <v>112.2160.200</v>
      </c>
    </row>
    <row r="870" spans="1:12" x14ac:dyDescent="0.2">
      <c r="A870" s="22">
        <v>266</v>
      </c>
      <c r="B870" s="22" t="s">
        <v>194</v>
      </c>
      <c r="C870" s="22">
        <v>12030500</v>
      </c>
      <c r="D870" s="22" t="s">
        <v>34</v>
      </c>
      <c r="E870" s="22">
        <v>301</v>
      </c>
      <c r="F870" s="22" t="s">
        <v>211</v>
      </c>
      <c r="G870" s="22" t="s">
        <v>210</v>
      </c>
      <c r="I870" s="22">
        <v>259.95999999999998</v>
      </c>
      <c r="J870" s="111" t="s">
        <v>12</v>
      </c>
      <c r="L870" s="66" t="str">
        <f t="shared" si="15"/>
        <v>112.2160.200</v>
      </c>
    </row>
    <row r="871" spans="1:12" x14ac:dyDescent="0.2">
      <c r="A871" s="22">
        <v>18841</v>
      </c>
      <c r="B871" s="22" t="s">
        <v>193</v>
      </c>
      <c r="C871" s="22">
        <v>12030500</v>
      </c>
      <c r="D871" s="22" t="s">
        <v>34</v>
      </c>
      <c r="E871" s="22">
        <v>301</v>
      </c>
      <c r="F871" s="22" t="s">
        <v>211</v>
      </c>
      <c r="G871" s="22" t="s">
        <v>210</v>
      </c>
      <c r="I871" s="22">
        <v>226.15</v>
      </c>
      <c r="J871" s="111" t="s">
        <v>12</v>
      </c>
      <c r="L871" s="66" t="str">
        <f t="shared" si="15"/>
        <v>112.2160.200</v>
      </c>
    </row>
    <row r="872" spans="1:12" x14ac:dyDescent="0.2">
      <c r="A872" s="22">
        <v>18949</v>
      </c>
      <c r="B872" s="22" t="s">
        <v>35</v>
      </c>
      <c r="C872" s="22">
        <v>12030611</v>
      </c>
      <c r="D872" s="22" t="s">
        <v>36</v>
      </c>
      <c r="E872" s="22">
        <v>301</v>
      </c>
      <c r="F872" s="22" t="s">
        <v>211</v>
      </c>
      <c r="G872" s="22" t="s">
        <v>210</v>
      </c>
      <c r="I872" s="22">
        <v>202.78</v>
      </c>
      <c r="J872" s="111" t="s">
        <v>12</v>
      </c>
      <c r="L872" s="66" t="str">
        <f t="shared" si="15"/>
        <v>112.2160.200</v>
      </c>
    </row>
    <row r="873" spans="1:12" x14ac:dyDescent="0.2">
      <c r="A873" s="22">
        <v>18887</v>
      </c>
      <c r="B873" s="22" t="s">
        <v>105</v>
      </c>
      <c r="C873" s="22">
        <v>12030611</v>
      </c>
      <c r="D873" s="22" t="s">
        <v>36</v>
      </c>
      <c r="E873" s="22">
        <v>301</v>
      </c>
      <c r="F873" s="22" t="s">
        <v>211</v>
      </c>
      <c r="G873" s="22" t="s">
        <v>210</v>
      </c>
      <c r="I873" s="22">
        <v>201.52</v>
      </c>
      <c r="J873" s="111" t="s">
        <v>12</v>
      </c>
      <c r="L873" s="66" t="str">
        <f t="shared" si="15"/>
        <v>112.2160.200</v>
      </c>
    </row>
    <row r="874" spans="1:12" x14ac:dyDescent="0.2">
      <c r="A874" s="22">
        <v>18979</v>
      </c>
      <c r="B874" s="22" t="s">
        <v>39</v>
      </c>
      <c r="C874" s="22">
        <v>12030611</v>
      </c>
      <c r="D874" s="22" t="s">
        <v>36</v>
      </c>
      <c r="E874" s="22">
        <v>301</v>
      </c>
      <c r="F874" s="22" t="s">
        <v>211</v>
      </c>
      <c r="G874" s="22" t="s">
        <v>210</v>
      </c>
      <c r="I874" s="22">
        <v>209.19</v>
      </c>
      <c r="J874" s="111" t="s">
        <v>12</v>
      </c>
      <c r="L874" s="66" t="str">
        <f t="shared" si="15"/>
        <v>112.2160.200</v>
      </c>
    </row>
    <row r="875" spans="1:12" x14ac:dyDescent="0.2">
      <c r="A875" s="22">
        <v>18918</v>
      </c>
      <c r="B875" s="22" t="s">
        <v>38</v>
      </c>
      <c r="C875" s="22">
        <v>12030611</v>
      </c>
      <c r="D875" s="22" t="s">
        <v>36</v>
      </c>
      <c r="E875" s="22">
        <v>301</v>
      </c>
      <c r="F875" s="22" t="s">
        <v>211</v>
      </c>
      <c r="G875" s="22" t="s">
        <v>210</v>
      </c>
      <c r="I875" s="22">
        <v>199.63</v>
      </c>
      <c r="J875" s="111" t="s">
        <v>12</v>
      </c>
      <c r="L875" s="66" t="str">
        <f t="shared" si="15"/>
        <v>112.2160.200</v>
      </c>
    </row>
    <row r="876" spans="1:12" x14ac:dyDescent="0.2">
      <c r="A876" s="22">
        <v>134</v>
      </c>
      <c r="B876" s="22" t="s">
        <v>102</v>
      </c>
      <c r="C876" s="22">
        <v>12030611</v>
      </c>
      <c r="D876" s="22" t="s">
        <v>36</v>
      </c>
      <c r="E876" s="22">
        <v>301</v>
      </c>
      <c r="F876" s="22" t="s">
        <v>211</v>
      </c>
      <c r="G876" s="22" t="s">
        <v>210</v>
      </c>
      <c r="I876" s="22">
        <v>100.72</v>
      </c>
      <c r="J876" s="111" t="s">
        <v>12</v>
      </c>
      <c r="L876" s="66" t="str">
        <f t="shared" si="15"/>
        <v>112.2160.200</v>
      </c>
    </row>
    <row r="877" spans="1:12" x14ac:dyDescent="0.2">
      <c r="A877" s="22">
        <v>18797</v>
      </c>
      <c r="B877" s="22" t="s">
        <v>101</v>
      </c>
      <c r="C877" s="22">
        <v>12030611</v>
      </c>
      <c r="D877" s="22" t="s">
        <v>36</v>
      </c>
      <c r="E877" s="22">
        <v>301</v>
      </c>
      <c r="F877" s="22" t="s">
        <v>211</v>
      </c>
      <c r="G877" s="22" t="s">
        <v>210</v>
      </c>
      <c r="I877" s="22">
        <v>230.28</v>
      </c>
      <c r="J877" s="111" t="s">
        <v>12</v>
      </c>
      <c r="L877" s="66" t="str">
        <f t="shared" si="15"/>
        <v>112.2160.200</v>
      </c>
    </row>
    <row r="878" spans="1:12" x14ac:dyDescent="0.2">
      <c r="A878" s="22">
        <v>18827</v>
      </c>
      <c r="B878" s="22" t="s">
        <v>104</v>
      </c>
      <c r="C878" s="22">
        <v>12030611</v>
      </c>
      <c r="D878" s="22" t="s">
        <v>36</v>
      </c>
      <c r="E878" s="22">
        <v>301</v>
      </c>
      <c r="F878" s="22" t="s">
        <v>211</v>
      </c>
      <c r="G878" s="22" t="s">
        <v>210</v>
      </c>
      <c r="I878" s="22">
        <v>251.74</v>
      </c>
      <c r="J878" s="111" t="s">
        <v>12</v>
      </c>
      <c r="L878" s="66" t="str">
        <f t="shared" si="15"/>
        <v>112.2160.200</v>
      </c>
    </row>
    <row r="879" spans="1:12" x14ac:dyDescent="0.2">
      <c r="A879" s="22">
        <v>18929</v>
      </c>
      <c r="B879" s="22" t="s">
        <v>106</v>
      </c>
      <c r="C879" s="22">
        <v>12030611</v>
      </c>
      <c r="D879" s="22" t="s">
        <v>36</v>
      </c>
      <c r="E879" s="22">
        <v>301</v>
      </c>
      <c r="F879" s="22" t="s">
        <v>211</v>
      </c>
      <c r="G879" s="22" t="s">
        <v>210</v>
      </c>
      <c r="I879" s="22">
        <v>97.55</v>
      </c>
      <c r="J879" s="111" t="s">
        <v>12</v>
      </c>
      <c r="L879" s="66" t="str">
        <f t="shared" si="15"/>
        <v>112.2160.200</v>
      </c>
    </row>
    <row r="880" spans="1:12" x14ac:dyDescent="0.2">
      <c r="A880" s="22">
        <v>18822</v>
      </c>
      <c r="B880" s="22" t="s">
        <v>103</v>
      </c>
      <c r="C880" s="22">
        <v>12030611</v>
      </c>
      <c r="D880" s="22" t="s">
        <v>36</v>
      </c>
      <c r="E880" s="22">
        <v>301</v>
      </c>
      <c r="F880" s="22" t="s">
        <v>211</v>
      </c>
      <c r="G880" s="22" t="s">
        <v>210</v>
      </c>
      <c r="I880" s="22">
        <v>207.17</v>
      </c>
      <c r="J880" s="111" t="s">
        <v>12</v>
      </c>
      <c r="L880" s="66" t="str">
        <f t="shared" si="15"/>
        <v>112.2160.200</v>
      </c>
    </row>
    <row r="881" spans="1:12" x14ac:dyDescent="0.2">
      <c r="A881" s="22">
        <v>18626</v>
      </c>
      <c r="B881" s="22" t="s">
        <v>195</v>
      </c>
      <c r="C881" s="22">
        <v>12030611</v>
      </c>
      <c r="D881" s="22" t="s">
        <v>36</v>
      </c>
      <c r="E881" s="22">
        <v>301</v>
      </c>
      <c r="F881" s="22" t="s">
        <v>211</v>
      </c>
      <c r="G881" s="22" t="s">
        <v>210</v>
      </c>
      <c r="I881" s="22">
        <v>363.46</v>
      </c>
      <c r="J881" s="111" t="s">
        <v>12</v>
      </c>
      <c r="L881" s="66" t="str">
        <f t="shared" si="15"/>
        <v>112.2160.200</v>
      </c>
    </row>
    <row r="882" spans="1:12" x14ac:dyDescent="0.2">
      <c r="A882" s="22">
        <v>18793</v>
      </c>
      <c r="B882" s="22" t="s">
        <v>480</v>
      </c>
      <c r="C882" s="22">
        <v>12030711</v>
      </c>
      <c r="D882" s="22" t="s">
        <v>41</v>
      </c>
      <c r="E882" s="22">
        <v>301</v>
      </c>
      <c r="F882" s="22" t="s">
        <v>211</v>
      </c>
      <c r="G882" s="22" t="s">
        <v>210</v>
      </c>
      <c r="I882" s="22">
        <v>45.46</v>
      </c>
      <c r="J882" s="111" t="s">
        <v>12</v>
      </c>
      <c r="L882" s="66" t="str">
        <f t="shared" si="15"/>
        <v>112.2160.200</v>
      </c>
    </row>
    <row r="883" spans="1:12" x14ac:dyDescent="0.2">
      <c r="A883" s="22">
        <v>18989</v>
      </c>
      <c r="B883" s="22" t="s">
        <v>107</v>
      </c>
      <c r="C883" s="22">
        <v>12030800</v>
      </c>
      <c r="D883" s="22" t="s">
        <v>59</v>
      </c>
      <c r="E883" s="22">
        <v>301</v>
      </c>
      <c r="F883" s="22" t="s">
        <v>211</v>
      </c>
      <c r="G883" s="22" t="s">
        <v>210</v>
      </c>
      <c r="I883" s="22">
        <v>182.91</v>
      </c>
      <c r="J883" s="111" t="s">
        <v>12</v>
      </c>
      <c r="L883" s="66" t="str">
        <f t="shared" si="15"/>
        <v>112.2160.200</v>
      </c>
    </row>
    <row r="884" spans="1:12" x14ac:dyDescent="0.2">
      <c r="A884" s="22">
        <v>18736</v>
      </c>
      <c r="B884" s="22" t="s">
        <v>70</v>
      </c>
      <c r="C884" s="22">
        <v>12032511</v>
      </c>
      <c r="D884" s="22" t="s">
        <v>43</v>
      </c>
      <c r="E884" s="22">
        <v>301</v>
      </c>
      <c r="F884" s="22" t="s">
        <v>211</v>
      </c>
      <c r="G884" s="22" t="s">
        <v>210</v>
      </c>
      <c r="I884" s="22">
        <v>184.31</v>
      </c>
      <c r="J884" s="111" t="s">
        <v>12</v>
      </c>
      <c r="L884" s="66" t="str">
        <f t="shared" si="15"/>
        <v>112.2160.200</v>
      </c>
    </row>
    <row r="885" spans="1:12" x14ac:dyDescent="0.2">
      <c r="A885" s="22">
        <v>18932</v>
      </c>
      <c r="B885" s="22" t="s">
        <v>44</v>
      </c>
      <c r="C885" s="22">
        <v>12033011</v>
      </c>
      <c r="D885" s="22" t="s">
        <v>45</v>
      </c>
      <c r="E885" s="22">
        <v>301</v>
      </c>
      <c r="F885" s="22" t="s">
        <v>211</v>
      </c>
      <c r="G885" s="22" t="s">
        <v>210</v>
      </c>
      <c r="I885" s="22">
        <v>262.16000000000003</v>
      </c>
      <c r="J885" s="111" t="s">
        <v>12</v>
      </c>
      <c r="L885" s="66" t="str">
        <f t="shared" si="15"/>
        <v>112.2160.200</v>
      </c>
    </row>
    <row r="886" spans="1:12" x14ac:dyDescent="0.2">
      <c r="A886" s="22">
        <v>18679</v>
      </c>
      <c r="B886" s="22" t="s">
        <v>114</v>
      </c>
      <c r="C886" s="22">
        <v>12033011</v>
      </c>
      <c r="D886" s="22" t="s">
        <v>45</v>
      </c>
      <c r="E886" s="22">
        <v>301</v>
      </c>
      <c r="F886" s="22" t="s">
        <v>211</v>
      </c>
      <c r="G886" s="22" t="s">
        <v>210</v>
      </c>
      <c r="I886" s="22">
        <v>184.09</v>
      </c>
      <c r="J886" s="111" t="s">
        <v>12</v>
      </c>
      <c r="L886" s="66" t="str">
        <f t="shared" si="15"/>
        <v>112.2160.200</v>
      </c>
    </row>
    <row r="887" spans="1:12" x14ac:dyDescent="0.2">
      <c r="A887" s="22">
        <v>19030</v>
      </c>
      <c r="B887" s="22" t="s">
        <v>364</v>
      </c>
      <c r="C887" s="22">
        <v>12033011</v>
      </c>
      <c r="D887" s="22" t="s">
        <v>45</v>
      </c>
      <c r="E887" s="22">
        <v>301</v>
      </c>
      <c r="F887" s="22" t="s">
        <v>211</v>
      </c>
      <c r="G887" s="22" t="s">
        <v>210</v>
      </c>
      <c r="I887" s="22">
        <v>224.74</v>
      </c>
      <c r="J887" s="111" t="s">
        <v>12</v>
      </c>
      <c r="L887" s="66" t="str">
        <f t="shared" si="15"/>
        <v>112.2160.200</v>
      </c>
    </row>
    <row r="888" spans="1:12" x14ac:dyDescent="0.2">
      <c r="A888" s="22">
        <v>19029</v>
      </c>
      <c r="B888" s="22" t="s">
        <v>366</v>
      </c>
      <c r="C888" s="22">
        <v>12033011</v>
      </c>
      <c r="D888" s="22" t="s">
        <v>45</v>
      </c>
      <c r="E888" s="22">
        <v>301</v>
      </c>
      <c r="F888" s="22" t="s">
        <v>211</v>
      </c>
      <c r="G888" s="22" t="s">
        <v>210</v>
      </c>
      <c r="I888" s="22">
        <v>211.79</v>
      </c>
      <c r="J888" s="111" t="s">
        <v>12</v>
      </c>
      <c r="L888" s="66" t="str">
        <f t="shared" si="15"/>
        <v>112.2160.200</v>
      </c>
    </row>
    <row r="889" spans="1:12" x14ac:dyDescent="0.2">
      <c r="A889" s="22">
        <v>19008</v>
      </c>
      <c r="B889" s="22" t="s">
        <v>118</v>
      </c>
      <c r="C889" s="22">
        <v>12033011</v>
      </c>
      <c r="D889" s="22" t="s">
        <v>45</v>
      </c>
      <c r="E889" s="22">
        <v>301</v>
      </c>
      <c r="F889" s="22" t="s">
        <v>211</v>
      </c>
      <c r="G889" s="22" t="s">
        <v>210</v>
      </c>
      <c r="I889" s="22">
        <v>148.58000000000001</v>
      </c>
      <c r="J889" s="111" t="s">
        <v>12</v>
      </c>
      <c r="L889" s="66" t="str">
        <f t="shared" si="15"/>
        <v>112.2160.200</v>
      </c>
    </row>
    <row r="890" spans="1:12" x14ac:dyDescent="0.2">
      <c r="A890" s="22">
        <v>19028</v>
      </c>
      <c r="B890" s="22" t="s">
        <v>367</v>
      </c>
      <c r="C890" s="22">
        <v>12033011</v>
      </c>
      <c r="D890" s="22" t="s">
        <v>45</v>
      </c>
      <c r="E890" s="22">
        <v>301</v>
      </c>
      <c r="F890" s="22" t="s">
        <v>211</v>
      </c>
      <c r="G890" s="22" t="s">
        <v>210</v>
      </c>
      <c r="I890" s="22">
        <v>199.88</v>
      </c>
      <c r="J890" s="111" t="s">
        <v>12</v>
      </c>
      <c r="L890" s="66" t="str">
        <f t="shared" si="15"/>
        <v>112.2160.200</v>
      </c>
    </row>
    <row r="891" spans="1:12" x14ac:dyDescent="0.2">
      <c r="A891" s="22">
        <v>18983</v>
      </c>
      <c r="B891" s="22" t="s">
        <v>112</v>
      </c>
      <c r="C891" s="22">
        <v>12033011</v>
      </c>
      <c r="D891" s="22" t="s">
        <v>45</v>
      </c>
      <c r="E891" s="22">
        <v>301</v>
      </c>
      <c r="F891" s="22" t="s">
        <v>211</v>
      </c>
      <c r="G891" s="22" t="s">
        <v>210</v>
      </c>
      <c r="I891" s="22">
        <v>219.26</v>
      </c>
      <c r="J891" s="111" t="s">
        <v>12</v>
      </c>
      <c r="L891" s="66" t="str">
        <f t="shared" si="15"/>
        <v>112.2160.200</v>
      </c>
    </row>
    <row r="892" spans="1:12" x14ac:dyDescent="0.2">
      <c r="A892" s="22">
        <v>19015</v>
      </c>
      <c r="B892" s="22" t="s">
        <v>116</v>
      </c>
      <c r="C892" s="22">
        <v>12033011</v>
      </c>
      <c r="D892" s="22" t="s">
        <v>45</v>
      </c>
      <c r="E892" s="22">
        <v>301</v>
      </c>
      <c r="F892" s="22" t="s">
        <v>211</v>
      </c>
      <c r="G892" s="22" t="s">
        <v>210</v>
      </c>
      <c r="I892" s="22">
        <v>220.02</v>
      </c>
      <c r="J892" s="111" t="s">
        <v>12</v>
      </c>
      <c r="L892" s="66" t="str">
        <f t="shared" si="15"/>
        <v>112.2160.200</v>
      </c>
    </row>
    <row r="893" spans="1:12" x14ac:dyDescent="0.2">
      <c r="A893" s="22">
        <v>18923</v>
      </c>
      <c r="B893" s="22" t="s">
        <v>46</v>
      </c>
      <c r="C893" s="22">
        <v>12033011</v>
      </c>
      <c r="D893" s="22" t="s">
        <v>45</v>
      </c>
      <c r="E893" s="22">
        <v>301</v>
      </c>
      <c r="F893" s="22" t="s">
        <v>211</v>
      </c>
      <c r="G893" s="22" t="s">
        <v>210</v>
      </c>
      <c r="I893" s="22">
        <v>185.27</v>
      </c>
      <c r="J893" s="111" t="s">
        <v>12</v>
      </c>
      <c r="L893" s="66" t="str">
        <f t="shared" si="15"/>
        <v>112.2160.200</v>
      </c>
    </row>
    <row r="894" spans="1:12" x14ac:dyDescent="0.2">
      <c r="A894" s="22">
        <v>18829</v>
      </c>
      <c r="B894" s="22" t="s">
        <v>115</v>
      </c>
      <c r="C894" s="22">
        <v>12033011</v>
      </c>
      <c r="D894" s="22" t="s">
        <v>45</v>
      </c>
      <c r="E894" s="22">
        <v>301</v>
      </c>
      <c r="F894" s="22" t="s">
        <v>211</v>
      </c>
      <c r="G894" s="22" t="s">
        <v>210</v>
      </c>
      <c r="I894" s="22">
        <v>245.62</v>
      </c>
      <c r="J894" s="111" t="s">
        <v>12</v>
      </c>
      <c r="L894" s="66" t="str">
        <f t="shared" si="15"/>
        <v>112.2160.200</v>
      </c>
    </row>
    <row r="895" spans="1:12" x14ac:dyDescent="0.2">
      <c r="A895" s="22">
        <v>19019</v>
      </c>
      <c r="B895" s="22" t="s">
        <v>108</v>
      </c>
      <c r="C895" s="22">
        <v>12033011</v>
      </c>
      <c r="D895" s="22" t="s">
        <v>45</v>
      </c>
      <c r="E895" s="22">
        <v>301</v>
      </c>
      <c r="F895" s="22" t="s">
        <v>211</v>
      </c>
      <c r="G895" s="22" t="s">
        <v>210</v>
      </c>
      <c r="I895" s="22">
        <v>218.33</v>
      </c>
      <c r="J895" s="111" t="s">
        <v>12</v>
      </c>
      <c r="L895" s="66" t="str">
        <f t="shared" si="15"/>
        <v>112.2160.200</v>
      </c>
    </row>
    <row r="896" spans="1:12" x14ac:dyDescent="0.2">
      <c r="A896" s="22">
        <v>19011</v>
      </c>
      <c r="B896" s="22" t="s">
        <v>111</v>
      </c>
      <c r="C896" s="22">
        <v>12033011</v>
      </c>
      <c r="D896" s="22" t="s">
        <v>45</v>
      </c>
      <c r="E896" s="22">
        <v>301</v>
      </c>
      <c r="F896" s="22" t="s">
        <v>211</v>
      </c>
      <c r="G896" s="22" t="s">
        <v>210</v>
      </c>
      <c r="I896" s="22">
        <v>192.97</v>
      </c>
      <c r="J896" s="111" t="s">
        <v>12</v>
      </c>
      <c r="L896" s="66" t="str">
        <f t="shared" si="15"/>
        <v>112.2160.200</v>
      </c>
    </row>
    <row r="897" spans="1:12" x14ac:dyDescent="0.2">
      <c r="A897" s="22">
        <v>19017</v>
      </c>
      <c r="B897" s="22" t="s">
        <v>65</v>
      </c>
      <c r="C897" s="22">
        <v>12033011</v>
      </c>
      <c r="D897" s="22" t="s">
        <v>45</v>
      </c>
      <c r="E897" s="22">
        <v>301</v>
      </c>
      <c r="F897" s="22" t="s">
        <v>211</v>
      </c>
      <c r="G897" s="22" t="s">
        <v>210</v>
      </c>
      <c r="I897" s="22">
        <v>161.76</v>
      </c>
      <c r="J897" s="111" t="s">
        <v>12</v>
      </c>
      <c r="L897" s="66" t="str">
        <f t="shared" si="15"/>
        <v>112.2160.200</v>
      </c>
    </row>
    <row r="898" spans="1:12" x14ac:dyDescent="0.2">
      <c r="A898" s="22">
        <v>18607</v>
      </c>
      <c r="B898" s="22" t="s">
        <v>109</v>
      </c>
      <c r="C898" s="22">
        <v>12033011</v>
      </c>
      <c r="D898" s="22" t="s">
        <v>45</v>
      </c>
      <c r="E898" s="22">
        <v>301</v>
      </c>
      <c r="F898" s="22" t="s">
        <v>211</v>
      </c>
      <c r="G898" s="22" t="s">
        <v>210</v>
      </c>
      <c r="I898" s="22">
        <v>210.28</v>
      </c>
      <c r="J898" s="111" t="s">
        <v>12</v>
      </c>
      <c r="L898" s="66" t="str">
        <f t="shared" si="15"/>
        <v>112.2160.200</v>
      </c>
    </row>
    <row r="899" spans="1:12" x14ac:dyDescent="0.2">
      <c r="A899" s="22">
        <v>19009</v>
      </c>
      <c r="B899" s="22" t="s">
        <v>117</v>
      </c>
      <c r="C899" s="22">
        <v>12033011</v>
      </c>
      <c r="D899" s="22" t="s">
        <v>45</v>
      </c>
      <c r="E899" s="22">
        <v>301</v>
      </c>
      <c r="F899" s="22" t="s">
        <v>211</v>
      </c>
      <c r="G899" s="22" t="s">
        <v>210</v>
      </c>
      <c r="I899" s="22">
        <v>200.69</v>
      </c>
      <c r="J899" s="111" t="s">
        <v>12</v>
      </c>
      <c r="L899" s="66" t="str">
        <f t="shared" si="15"/>
        <v>112.2160.200</v>
      </c>
    </row>
    <row r="900" spans="1:12" x14ac:dyDescent="0.2">
      <c r="A900" s="22">
        <v>19012</v>
      </c>
      <c r="B900" s="22" t="s">
        <v>110</v>
      </c>
      <c r="C900" s="22">
        <v>12033011</v>
      </c>
      <c r="D900" s="22" t="s">
        <v>45</v>
      </c>
      <c r="E900" s="22">
        <v>301</v>
      </c>
      <c r="F900" s="22" t="s">
        <v>211</v>
      </c>
      <c r="G900" s="22" t="s">
        <v>210</v>
      </c>
      <c r="I900" s="22">
        <v>212.25</v>
      </c>
      <c r="J900" s="111" t="s">
        <v>12</v>
      </c>
      <c r="L900" s="66" t="str">
        <f t="shared" si="15"/>
        <v>112.2160.200</v>
      </c>
    </row>
    <row r="901" spans="1:12" x14ac:dyDescent="0.2">
      <c r="A901" s="22">
        <v>18998</v>
      </c>
      <c r="B901" s="22" t="s">
        <v>47</v>
      </c>
      <c r="C901" s="22">
        <v>12038099</v>
      </c>
      <c r="D901" s="22" t="s">
        <v>48</v>
      </c>
      <c r="E901" s="22">
        <v>301</v>
      </c>
      <c r="F901" s="22" t="s">
        <v>211</v>
      </c>
      <c r="G901" s="22" t="s">
        <v>210</v>
      </c>
      <c r="I901" s="22">
        <v>302.89</v>
      </c>
      <c r="J901" s="111" t="s">
        <v>12</v>
      </c>
      <c r="L901" s="66" t="str">
        <f t="shared" si="15"/>
        <v>112.2160.200</v>
      </c>
    </row>
    <row r="902" spans="1:12" x14ac:dyDescent="0.2">
      <c r="A902" s="22">
        <v>115</v>
      </c>
      <c r="B902" s="22" t="s">
        <v>196</v>
      </c>
      <c r="C902" s="22">
        <v>12040400</v>
      </c>
      <c r="D902" s="22" t="s">
        <v>197</v>
      </c>
      <c r="E902" s="22">
        <v>301</v>
      </c>
      <c r="F902" s="22" t="s">
        <v>211</v>
      </c>
      <c r="G902" s="22" t="s">
        <v>210</v>
      </c>
      <c r="I902" s="22">
        <v>310.76</v>
      </c>
      <c r="J902" s="111" t="s">
        <v>12</v>
      </c>
      <c r="L902" s="66" t="str">
        <f t="shared" si="15"/>
        <v>112.2160.200</v>
      </c>
    </row>
    <row r="903" spans="1:12" x14ac:dyDescent="0.2">
      <c r="A903" s="22">
        <v>18649</v>
      </c>
      <c r="B903" s="22" t="s">
        <v>152</v>
      </c>
      <c r="C903" s="22">
        <v>12040500</v>
      </c>
      <c r="D903" s="22" t="s">
        <v>67</v>
      </c>
      <c r="E903" s="22">
        <v>301</v>
      </c>
      <c r="F903" s="22" t="s">
        <v>211</v>
      </c>
      <c r="G903" s="22" t="s">
        <v>210</v>
      </c>
      <c r="I903" s="22">
        <v>323.08</v>
      </c>
      <c r="J903" s="111" t="s">
        <v>12</v>
      </c>
      <c r="L903" s="66" t="str">
        <f t="shared" si="15"/>
        <v>112.2160.200</v>
      </c>
    </row>
    <row r="904" spans="1:12" x14ac:dyDescent="0.2">
      <c r="A904" s="22">
        <v>19020</v>
      </c>
      <c r="B904" s="22" t="s">
        <v>66</v>
      </c>
      <c r="C904" s="22">
        <v>12040500</v>
      </c>
      <c r="D904" s="22" t="s">
        <v>67</v>
      </c>
      <c r="E904" s="22">
        <v>301</v>
      </c>
      <c r="F904" s="22" t="s">
        <v>211</v>
      </c>
      <c r="G904" s="22" t="s">
        <v>210</v>
      </c>
      <c r="I904" s="22">
        <v>214.44</v>
      </c>
      <c r="J904" s="111" t="s">
        <v>12</v>
      </c>
      <c r="L904" s="66" t="str">
        <f t="shared" si="15"/>
        <v>112.2160.200</v>
      </c>
    </row>
    <row r="905" spans="1:12" x14ac:dyDescent="0.2">
      <c r="A905" s="22">
        <v>18904</v>
      </c>
      <c r="B905" s="22" t="s">
        <v>119</v>
      </c>
      <c r="C905" s="22">
        <v>12040800</v>
      </c>
      <c r="D905" s="22" t="s">
        <v>120</v>
      </c>
      <c r="E905" s="22">
        <v>301</v>
      </c>
      <c r="F905" s="22" t="s">
        <v>211</v>
      </c>
      <c r="G905" s="22" t="s">
        <v>210</v>
      </c>
      <c r="I905" s="22">
        <v>206.31</v>
      </c>
      <c r="J905" s="111" t="s">
        <v>12</v>
      </c>
      <c r="L905" s="66" t="str">
        <f t="shared" si="15"/>
        <v>112.2160.200</v>
      </c>
    </row>
    <row r="906" spans="1:12" x14ac:dyDescent="0.2">
      <c r="A906" s="22">
        <v>18839</v>
      </c>
      <c r="B906" s="22" t="s">
        <v>198</v>
      </c>
      <c r="C906" s="22">
        <v>12040800</v>
      </c>
      <c r="D906" s="22" t="s">
        <v>120</v>
      </c>
      <c r="E906" s="22">
        <v>301</v>
      </c>
      <c r="F906" s="22" t="s">
        <v>211</v>
      </c>
      <c r="G906" s="22" t="s">
        <v>210</v>
      </c>
      <c r="I906" s="22">
        <v>126.76</v>
      </c>
      <c r="J906" s="111" t="s">
        <v>12</v>
      </c>
      <c r="L906" s="66" t="str">
        <f t="shared" si="15"/>
        <v>112.2160.200</v>
      </c>
    </row>
    <row r="907" spans="1:12" x14ac:dyDescent="0.2">
      <c r="A907" s="22">
        <v>18650</v>
      </c>
      <c r="B907" s="22" t="s">
        <v>49</v>
      </c>
      <c r="C907" s="22">
        <v>12042511</v>
      </c>
      <c r="D907" s="22" t="s">
        <v>50</v>
      </c>
      <c r="E907" s="22">
        <v>301</v>
      </c>
      <c r="F907" s="22" t="s">
        <v>211</v>
      </c>
      <c r="G907" s="22" t="s">
        <v>210</v>
      </c>
      <c r="I907" s="22">
        <v>196.25</v>
      </c>
      <c r="J907" s="111" t="s">
        <v>12</v>
      </c>
      <c r="L907" s="66" t="str">
        <f t="shared" si="15"/>
        <v>112.2160.200</v>
      </c>
    </row>
    <row r="908" spans="1:12" x14ac:dyDescent="0.2">
      <c r="A908" s="22">
        <v>18924</v>
      </c>
      <c r="B908" s="22" t="s">
        <v>121</v>
      </c>
      <c r="C908" s="22">
        <v>12043011</v>
      </c>
      <c r="D908" s="22" t="s">
        <v>52</v>
      </c>
      <c r="E908" s="22">
        <v>301</v>
      </c>
      <c r="F908" s="22" t="s">
        <v>211</v>
      </c>
      <c r="G908" s="22" t="s">
        <v>210</v>
      </c>
      <c r="I908" s="22">
        <v>139</v>
      </c>
      <c r="J908" s="111" t="s">
        <v>12</v>
      </c>
      <c r="L908" s="66" t="str">
        <f t="shared" si="15"/>
        <v>112.2160.200</v>
      </c>
    </row>
    <row r="909" spans="1:12" x14ac:dyDescent="0.2">
      <c r="A909" s="22">
        <v>19023</v>
      </c>
      <c r="B909" s="22" t="s">
        <v>69</v>
      </c>
      <c r="C909" s="22">
        <v>12043011</v>
      </c>
      <c r="D909" s="22" t="s">
        <v>52</v>
      </c>
      <c r="E909" s="22">
        <v>301</v>
      </c>
      <c r="F909" s="22" t="s">
        <v>211</v>
      </c>
      <c r="G909" s="22" t="s">
        <v>210</v>
      </c>
      <c r="I909" s="22">
        <v>100.29</v>
      </c>
      <c r="J909" s="111" t="s">
        <v>12</v>
      </c>
      <c r="L909" s="66" t="str">
        <f t="shared" si="15"/>
        <v>112.2160.200</v>
      </c>
    </row>
    <row r="910" spans="1:12" x14ac:dyDescent="0.2">
      <c r="A910" s="22">
        <v>18646</v>
      </c>
      <c r="B910" s="22" t="s">
        <v>124</v>
      </c>
      <c r="C910" s="22">
        <v>12043011</v>
      </c>
      <c r="D910" s="22" t="s">
        <v>52</v>
      </c>
      <c r="E910" s="22">
        <v>301</v>
      </c>
      <c r="F910" s="22" t="s">
        <v>211</v>
      </c>
      <c r="G910" s="22" t="s">
        <v>210</v>
      </c>
      <c r="I910" s="22">
        <v>248.35</v>
      </c>
      <c r="J910" s="111" t="s">
        <v>12</v>
      </c>
      <c r="L910" s="66" t="str">
        <f t="shared" si="15"/>
        <v>112.2160.200</v>
      </c>
    </row>
    <row r="911" spans="1:12" x14ac:dyDescent="0.2">
      <c r="A911" s="22">
        <v>18713</v>
      </c>
      <c r="B911" s="22" t="s">
        <v>154</v>
      </c>
      <c r="C911" s="22">
        <v>12043011</v>
      </c>
      <c r="D911" s="22" t="s">
        <v>52</v>
      </c>
      <c r="E911" s="22">
        <v>301</v>
      </c>
      <c r="F911" s="22" t="s">
        <v>211</v>
      </c>
      <c r="G911" s="22" t="s">
        <v>210</v>
      </c>
      <c r="I911" s="22">
        <v>331.2</v>
      </c>
      <c r="J911" s="111" t="s">
        <v>12</v>
      </c>
      <c r="L911" s="66" t="str">
        <f t="shared" si="15"/>
        <v>112.2160.200</v>
      </c>
    </row>
    <row r="912" spans="1:12" x14ac:dyDescent="0.2">
      <c r="A912" s="22">
        <v>18990</v>
      </c>
      <c r="B912" s="22" t="s">
        <v>125</v>
      </c>
      <c r="C912" s="22">
        <v>12043011</v>
      </c>
      <c r="D912" s="22" t="s">
        <v>52</v>
      </c>
      <c r="E912" s="22">
        <v>301</v>
      </c>
      <c r="F912" s="22" t="s">
        <v>211</v>
      </c>
      <c r="G912" s="22" t="s">
        <v>210</v>
      </c>
      <c r="I912" s="22">
        <v>190.11</v>
      </c>
      <c r="J912" s="111" t="s">
        <v>12</v>
      </c>
      <c r="L912" s="66" t="str">
        <f t="shared" si="15"/>
        <v>112.2160.200</v>
      </c>
    </row>
    <row r="913" spans="1:12" x14ac:dyDescent="0.2">
      <c r="A913" s="22">
        <v>18942</v>
      </c>
      <c r="B913" s="22" t="s">
        <v>51</v>
      </c>
      <c r="C913" s="22">
        <v>12043011</v>
      </c>
      <c r="D913" s="22" t="s">
        <v>52</v>
      </c>
      <c r="E913" s="22">
        <v>301</v>
      </c>
      <c r="F913" s="22" t="s">
        <v>211</v>
      </c>
      <c r="G913" s="22" t="s">
        <v>210</v>
      </c>
      <c r="I913" s="22">
        <v>256.52999999999997</v>
      </c>
      <c r="J913" s="111" t="s">
        <v>12</v>
      </c>
      <c r="L913" s="66" t="str">
        <f t="shared" si="15"/>
        <v>112.2160.200</v>
      </c>
    </row>
    <row r="914" spans="1:12" x14ac:dyDescent="0.2">
      <c r="A914" s="22">
        <v>18850</v>
      </c>
      <c r="B914" s="22" t="s">
        <v>123</v>
      </c>
      <c r="C914" s="22">
        <v>12043011</v>
      </c>
      <c r="D914" s="22" t="s">
        <v>52</v>
      </c>
      <c r="E914" s="22">
        <v>301</v>
      </c>
      <c r="F914" s="22" t="s">
        <v>211</v>
      </c>
      <c r="G914" s="22" t="s">
        <v>210</v>
      </c>
      <c r="I914" s="22">
        <v>235.15</v>
      </c>
      <c r="J914" s="111" t="s">
        <v>12</v>
      </c>
      <c r="L914" s="66" t="str">
        <f t="shared" si="15"/>
        <v>112.2160.200</v>
      </c>
    </row>
    <row r="915" spans="1:12" x14ac:dyDescent="0.2">
      <c r="A915" s="22">
        <v>18703</v>
      </c>
      <c r="B915" s="22" t="s">
        <v>126</v>
      </c>
      <c r="C915" s="22">
        <v>12043011</v>
      </c>
      <c r="D915" s="22" t="s">
        <v>52</v>
      </c>
      <c r="E915" s="22">
        <v>301</v>
      </c>
      <c r="F915" s="22" t="s">
        <v>211</v>
      </c>
      <c r="G915" s="22" t="s">
        <v>210</v>
      </c>
      <c r="I915" s="22">
        <v>253.17</v>
      </c>
      <c r="J915" s="111" t="s">
        <v>12</v>
      </c>
      <c r="L915" s="66" t="str">
        <f t="shared" si="15"/>
        <v>112.2160.200</v>
      </c>
    </row>
    <row r="916" spans="1:12" x14ac:dyDescent="0.2">
      <c r="A916" s="22">
        <v>18986</v>
      </c>
      <c r="B916" s="22" t="s">
        <v>153</v>
      </c>
      <c r="C916" s="22">
        <v>12043011</v>
      </c>
      <c r="D916" s="22" t="s">
        <v>52</v>
      </c>
      <c r="E916" s="22">
        <v>301</v>
      </c>
      <c r="F916" s="22" t="s">
        <v>211</v>
      </c>
      <c r="G916" s="22" t="s">
        <v>210</v>
      </c>
      <c r="I916" s="22">
        <v>215.11</v>
      </c>
      <c r="J916" s="111" t="s">
        <v>12</v>
      </c>
      <c r="L916" s="66" t="str">
        <f t="shared" si="15"/>
        <v>112.2160.200</v>
      </c>
    </row>
    <row r="917" spans="1:12" x14ac:dyDescent="0.2">
      <c r="A917" s="22">
        <v>18917</v>
      </c>
      <c r="B917" s="22" t="s">
        <v>68</v>
      </c>
      <c r="C917" s="22">
        <v>12043011</v>
      </c>
      <c r="D917" s="22" t="s">
        <v>52</v>
      </c>
      <c r="E917" s="22">
        <v>301</v>
      </c>
      <c r="F917" s="22" t="s">
        <v>211</v>
      </c>
      <c r="G917" s="22" t="s">
        <v>210</v>
      </c>
      <c r="I917" s="22">
        <v>50.37</v>
      </c>
      <c r="J917" s="111" t="s">
        <v>12</v>
      </c>
      <c r="L917" s="66" t="str">
        <f t="shared" si="15"/>
        <v>112.2160.200</v>
      </c>
    </row>
    <row r="918" spans="1:12" x14ac:dyDescent="0.2">
      <c r="A918" s="22">
        <v>19039</v>
      </c>
      <c r="B918" s="22" t="s">
        <v>443</v>
      </c>
      <c r="C918" s="22">
        <v>12043011</v>
      </c>
      <c r="D918" s="22" t="s">
        <v>52</v>
      </c>
      <c r="E918" s="22">
        <v>301</v>
      </c>
      <c r="F918" s="22" t="s">
        <v>211</v>
      </c>
      <c r="G918" s="22" t="s">
        <v>210</v>
      </c>
      <c r="I918" s="22">
        <v>202.68</v>
      </c>
      <c r="J918" s="111" t="s">
        <v>12</v>
      </c>
      <c r="L918" s="66" t="str">
        <f t="shared" si="15"/>
        <v>112.2160.200</v>
      </c>
    </row>
    <row r="919" spans="1:12" x14ac:dyDescent="0.2">
      <c r="A919" s="22">
        <v>18970</v>
      </c>
      <c r="B919" s="22" t="s">
        <v>200</v>
      </c>
      <c r="C919" s="22">
        <v>12043123</v>
      </c>
      <c r="D919" s="22" t="s">
        <v>201</v>
      </c>
      <c r="E919" s="22">
        <v>301</v>
      </c>
      <c r="F919" s="22" t="s">
        <v>211</v>
      </c>
      <c r="G919" s="22" t="s">
        <v>210</v>
      </c>
      <c r="I919" s="22">
        <v>185.34</v>
      </c>
      <c r="J919" s="111" t="s">
        <v>12</v>
      </c>
      <c r="L919" s="66" t="str">
        <f t="shared" si="15"/>
        <v>112.2160.200</v>
      </c>
    </row>
    <row r="920" spans="1:12" x14ac:dyDescent="0.2">
      <c r="A920" s="22">
        <v>18976</v>
      </c>
      <c r="B920" s="22" t="s">
        <v>202</v>
      </c>
      <c r="C920" s="22">
        <v>12048099</v>
      </c>
      <c r="D920" s="22" t="s">
        <v>156</v>
      </c>
      <c r="E920" s="22">
        <v>301</v>
      </c>
      <c r="F920" s="22" t="s">
        <v>211</v>
      </c>
      <c r="G920" s="22" t="s">
        <v>210</v>
      </c>
      <c r="I920" s="22">
        <v>230.19</v>
      </c>
      <c r="J920" s="111" t="s">
        <v>12</v>
      </c>
      <c r="L920" s="66" t="str">
        <f t="shared" si="15"/>
        <v>112.2160.200</v>
      </c>
    </row>
    <row r="921" spans="1:12" x14ac:dyDescent="0.2">
      <c r="A921" s="22">
        <v>19031</v>
      </c>
      <c r="B921" s="22" t="s">
        <v>387</v>
      </c>
      <c r="C921" s="22">
        <v>12048099</v>
      </c>
      <c r="D921" s="22" t="s">
        <v>156</v>
      </c>
      <c r="E921" s="22">
        <v>301</v>
      </c>
      <c r="F921" s="22" t="s">
        <v>211</v>
      </c>
      <c r="G921" s="22" t="s">
        <v>210</v>
      </c>
      <c r="I921" s="22">
        <v>343.27</v>
      </c>
      <c r="J921" s="111" t="s">
        <v>12</v>
      </c>
      <c r="L921" s="66" t="str">
        <f t="shared" si="15"/>
        <v>112.2160.200</v>
      </c>
    </row>
    <row r="922" spans="1:12" x14ac:dyDescent="0.2">
      <c r="A922" s="22">
        <v>18442</v>
      </c>
      <c r="B922" s="22" t="s">
        <v>157</v>
      </c>
      <c r="C922" s="22">
        <v>12060400</v>
      </c>
      <c r="D922" s="22" t="s">
        <v>158</v>
      </c>
      <c r="E922" s="22">
        <v>301</v>
      </c>
      <c r="F922" s="22" t="s">
        <v>211</v>
      </c>
      <c r="G922" s="22" t="s">
        <v>210</v>
      </c>
      <c r="I922" s="22">
        <v>266.54000000000002</v>
      </c>
      <c r="J922" s="111" t="s">
        <v>12</v>
      </c>
      <c r="L922" s="66" t="str">
        <f t="shared" ref="L922:L938" si="16">G922</f>
        <v>112.2160.200</v>
      </c>
    </row>
    <row r="923" spans="1:12" x14ac:dyDescent="0.2">
      <c r="A923" s="22">
        <v>18927</v>
      </c>
      <c r="B923" s="22" t="s">
        <v>55</v>
      </c>
      <c r="C923" s="22">
        <v>12060611</v>
      </c>
      <c r="D923" s="22" t="s">
        <v>54</v>
      </c>
      <c r="E923" s="22">
        <v>301</v>
      </c>
      <c r="F923" s="22" t="s">
        <v>211</v>
      </c>
      <c r="G923" s="22" t="s">
        <v>210</v>
      </c>
      <c r="I923" s="22">
        <v>72.5</v>
      </c>
      <c r="J923" s="111" t="s">
        <v>12</v>
      </c>
      <c r="L923" s="66" t="str">
        <f t="shared" si="16"/>
        <v>112.2160.200</v>
      </c>
    </row>
    <row r="924" spans="1:12" x14ac:dyDescent="0.2">
      <c r="A924" s="22">
        <v>18898</v>
      </c>
      <c r="B924" s="22" t="s">
        <v>130</v>
      </c>
      <c r="C924" s="22">
        <v>12060611</v>
      </c>
      <c r="D924" s="22" t="s">
        <v>54</v>
      </c>
      <c r="E924" s="22">
        <v>301</v>
      </c>
      <c r="F924" s="22" t="s">
        <v>211</v>
      </c>
      <c r="G924" s="22" t="s">
        <v>210</v>
      </c>
      <c r="I924" s="22">
        <v>187.02</v>
      </c>
      <c r="J924" s="111" t="s">
        <v>12</v>
      </c>
      <c r="L924" s="66" t="str">
        <f t="shared" si="16"/>
        <v>112.2160.200</v>
      </c>
    </row>
    <row r="925" spans="1:12" x14ac:dyDescent="0.2">
      <c r="A925" s="22">
        <v>18996</v>
      </c>
      <c r="B925" s="22" t="s">
        <v>127</v>
      </c>
      <c r="C925" s="22">
        <v>12060611</v>
      </c>
      <c r="D925" s="22" t="s">
        <v>54</v>
      </c>
      <c r="E925" s="22">
        <v>301</v>
      </c>
      <c r="F925" s="22" t="s">
        <v>211</v>
      </c>
      <c r="G925" s="22" t="s">
        <v>210</v>
      </c>
      <c r="I925" s="22">
        <v>168.71</v>
      </c>
      <c r="J925" s="111" t="s">
        <v>12</v>
      </c>
      <c r="L925" s="66" t="str">
        <f t="shared" si="16"/>
        <v>112.2160.200</v>
      </c>
    </row>
    <row r="926" spans="1:12" x14ac:dyDescent="0.2">
      <c r="A926" s="22">
        <v>18823</v>
      </c>
      <c r="B926" s="22" t="s">
        <v>53</v>
      </c>
      <c r="C926" s="22">
        <v>12060611</v>
      </c>
      <c r="D926" s="22" t="s">
        <v>54</v>
      </c>
      <c r="E926" s="22">
        <v>301</v>
      </c>
      <c r="F926" s="22" t="s">
        <v>211</v>
      </c>
      <c r="G926" s="22" t="s">
        <v>210</v>
      </c>
      <c r="I926" s="22">
        <v>254.35</v>
      </c>
      <c r="J926" s="111" t="s">
        <v>12</v>
      </c>
      <c r="L926" s="66" t="str">
        <f t="shared" si="16"/>
        <v>112.2160.200</v>
      </c>
    </row>
    <row r="927" spans="1:12" x14ac:dyDescent="0.2">
      <c r="A927" s="22">
        <v>18895</v>
      </c>
      <c r="B927" s="22" t="s">
        <v>128</v>
      </c>
      <c r="C927" s="22">
        <v>12060611</v>
      </c>
      <c r="D927" s="22" t="s">
        <v>54</v>
      </c>
      <c r="E927" s="22">
        <v>301</v>
      </c>
      <c r="F927" s="22" t="s">
        <v>211</v>
      </c>
      <c r="G927" s="22" t="s">
        <v>210</v>
      </c>
      <c r="I927" s="22">
        <v>172.95</v>
      </c>
      <c r="J927" s="111" t="s">
        <v>12</v>
      </c>
      <c r="L927" s="66" t="str">
        <f t="shared" si="16"/>
        <v>112.2160.200</v>
      </c>
    </row>
    <row r="928" spans="1:12" x14ac:dyDescent="0.2">
      <c r="A928" s="22">
        <v>261</v>
      </c>
      <c r="B928" s="22" t="s">
        <v>159</v>
      </c>
      <c r="C928" s="22">
        <v>12060611</v>
      </c>
      <c r="D928" s="22" t="s">
        <v>54</v>
      </c>
      <c r="E928" s="22">
        <v>301</v>
      </c>
      <c r="F928" s="22" t="s">
        <v>211</v>
      </c>
      <c r="G928" s="22" t="s">
        <v>210</v>
      </c>
      <c r="I928" s="22">
        <v>323.08</v>
      </c>
      <c r="J928" s="111" t="s">
        <v>12</v>
      </c>
      <c r="L928" s="66" t="str">
        <f t="shared" si="16"/>
        <v>112.2160.200</v>
      </c>
    </row>
    <row r="929" spans="1:12" x14ac:dyDescent="0.2">
      <c r="A929" s="22">
        <v>18634</v>
      </c>
      <c r="B929" s="22" t="s">
        <v>129</v>
      </c>
      <c r="C929" s="22">
        <v>12060611</v>
      </c>
      <c r="D929" s="22" t="s">
        <v>54</v>
      </c>
      <c r="E929" s="22">
        <v>301</v>
      </c>
      <c r="F929" s="22" t="s">
        <v>211</v>
      </c>
      <c r="G929" s="22" t="s">
        <v>210</v>
      </c>
      <c r="I929" s="22">
        <v>138.07</v>
      </c>
      <c r="J929" s="111" t="s">
        <v>12</v>
      </c>
      <c r="L929" s="66" t="str">
        <f t="shared" si="16"/>
        <v>112.2160.200</v>
      </c>
    </row>
    <row r="930" spans="1:12" x14ac:dyDescent="0.2">
      <c r="A930" s="22">
        <v>18791</v>
      </c>
      <c r="B930" s="22" t="s">
        <v>132</v>
      </c>
      <c r="C930" s="22">
        <v>12060711</v>
      </c>
      <c r="D930" s="22" t="s">
        <v>133</v>
      </c>
      <c r="E930" s="22">
        <v>301</v>
      </c>
      <c r="F930" s="22" t="s">
        <v>211</v>
      </c>
      <c r="G930" s="22" t="s">
        <v>210</v>
      </c>
      <c r="I930" s="22">
        <v>50.93</v>
      </c>
      <c r="J930" s="111" t="s">
        <v>12</v>
      </c>
      <c r="L930" s="66" t="str">
        <f t="shared" si="16"/>
        <v>112.2160.200</v>
      </c>
    </row>
    <row r="931" spans="1:12" x14ac:dyDescent="0.2">
      <c r="A931" s="22">
        <v>18561</v>
      </c>
      <c r="B931" s="22" t="s">
        <v>134</v>
      </c>
      <c r="C931" s="22">
        <v>12060800</v>
      </c>
      <c r="D931" s="22" t="s">
        <v>135</v>
      </c>
      <c r="E931" s="22">
        <v>301</v>
      </c>
      <c r="F931" s="22" t="s">
        <v>211</v>
      </c>
      <c r="G931" s="22" t="s">
        <v>210</v>
      </c>
      <c r="I931" s="22">
        <v>268.33999999999997</v>
      </c>
      <c r="J931" s="111" t="s">
        <v>12</v>
      </c>
      <c r="L931" s="66" t="str">
        <f t="shared" si="16"/>
        <v>112.2160.200</v>
      </c>
    </row>
    <row r="932" spans="1:12" x14ac:dyDescent="0.2">
      <c r="A932" s="22">
        <v>18953</v>
      </c>
      <c r="B932" s="22" t="s">
        <v>136</v>
      </c>
      <c r="C932" s="22">
        <v>12060800</v>
      </c>
      <c r="D932" s="22" t="s">
        <v>135</v>
      </c>
      <c r="E932" s="22">
        <v>301</v>
      </c>
      <c r="F932" s="22" t="s">
        <v>211</v>
      </c>
      <c r="G932" s="22" t="s">
        <v>210</v>
      </c>
      <c r="I932" s="22">
        <v>191.34</v>
      </c>
      <c r="J932" s="111" t="s">
        <v>12</v>
      </c>
      <c r="L932" s="66" t="str">
        <f t="shared" si="16"/>
        <v>112.2160.200</v>
      </c>
    </row>
    <row r="933" spans="1:12" x14ac:dyDescent="0.2">
      <c r="A933" s="22">
        <v>18792</v>
      </c>
      <c r="B933" s="22" t="s">
        <v>56</v>
      </c>
      <c r="C933" s="22">
        <v>12062511</v>
      </c>
      <c r="D933" s="22" t="s">
        <v>57</v>
      </c>
      <c r="E933" s="22">
        <v>301</v>
      </c>
      <c r="F933" s="22" t="s">
        <v>211</v>
      </c>
      <c r="G933" s="22" t="s">
        <v>210</v>
      </c>
      <c r="I933" s="22">
        <v>206.76</v>
      </c>
      <c r="J933" s="111" t="s">
        <v>12</v>
      </c>
      <c r="L933" s="66" t="str">
        <f t="shared" si="16"/>
        <v>112.2160.200</v>
      </c>
    </row>
    <row r="934" spans="1:12" x14ac:dyDescent="0.2">
      <c r="A934" s="22">
        <v>156</v>
      </c>
      <c r="B934" s="22" t="s">
        <v>137</v>
      </c>
      <c r="C934" s="22">
        <v>12062511</v>
      </c>
      <c r="D934" s="22" t="s">
        <v>57</v>
      </c>
      <c r="E934" s="22">
        <v>301</v>
      </c>
      <c r="F934" s="22" t="s">
        <v>211</v>
      </c>
      <c r="G934" s="22" t="s">
        <v>210</v>
      </c>
      <c r="I934" s="22">
        <v>58.5</v>
      </c>
      <c r="J934" s="111" t="s">
        <v>12</v>
      </c>
      <c r="L934" s="66" t="str">
        <f t="shared" si="16"/>
        <v>112.2160.200</v>
      </c>
    </row>
    <row r="935" spans="1:12" x14ac:dyDescent="0.2">
      <c r="A935" s="22">
        <v>18506</v>
      </c>
      <c r="B935" s="22" t="s">
        <v>438</v>
      </c>
      <c r="C935" s="22">
        <v>12062511</v>
      </c>
      <c r="D935" s="22" t="s">
        <v>57</v>
      </c>
      <c r="E935" s="22">
        <v>301</v>
      </c>
      <c r="F935" s="22" t="s">
        <v>211</v>
      </c>
      <c r="G935" s="22" t="s">
        <v>210</v>
      </c>
      <c r="I935" s="22">
        <v>74.430000000000007</v>
      </c>
      <c r="J935" s="111" t="s">
        <v>12</v>
      </c>
      <c r="L935" s="66" t="str">
        <f t="shared" si="16"/>
        <v>112.2160.200</v>
      </c>
    </row>
    <row r="936" spans="1:12" x14ac:dyDescent="0.2">
      <c r="A936" s="22">
        <v>19043</v>
      </c>
      <c r="B936" s="22" t="s">
        <v>481</v>
      </c>
      <c r="C936" s="22">
        <v>12063011</v>
      </c>
      <c r="D936" s="22" t="s">
        <v>442</v>
      </c>
      <c r="E936" s="22">
        <v>301</v>
      </c>
      <c r="F936" s="22" t="s">
        <v>211</v>
      </c>
      <c r="G936" s="22" t="s">
        <v>210</v>
      </c>
      <c r="I936" s="22">
        <v>38.270000000000003</v>
      </c>
      <c r="J936" s="111" t="s">
        <v>12</v>
      </c>
      <c r="L936" s="66" t="str">
        <f t="shared" si="16"/>
        <v>112.2160.200</v>
      </c>
    </row>
    <row r="937" spans="1:12" x14ac:dyDescent="0.2">
      <c r="A937" s="22">
        <v>19037</v>
      </c>
      <c r="B937" s="22" t="s">
        <v>441</v>
      </c>
      <c r="C937" s="22">
        <v>12063011</v>
      </c>
      <c r="D937" s="22" t="s">
        <v>442</v>
      </c>
      <c r="E937" s="22">
        <v>301</v>
      </c>
      <c r="F937" s="22" t="s">
        <v>211</v>
      </c>
      <c r="G937" s="22" t="s">
        <v>210</v>
      </c>
      <c r="I937" s="22">
        <v>66.48</v>
      </c>
      <c r="J937" s="111" t="s">
        <v>12</v>
      </c>
      <c r="L937" s="66" t="str">
        <f t="shared" si="16"/>
        <v>112.2160.200</v>
      </c>
    </row>
    <row r="938" spans="1:12" x14ac:dyDescent="0.2">
      <c r="A938" s="22">
        <v>18876</v>
      </c>
      <c r="B938" s="22" t="s">
        <v>160</v>
      </c>
      <c r="C938" s="22">
        <v>12068099</v>
      </c>
      <c r="D938" s="22" t="s">
        <v>161</v>
      </c>
      <c r="E938" s="22">
        <v>301</v>
      </c>
      <c r="F938" s="22" t="s">
        <v>211</v>
      </c>
      <c r="G938" s="22" t="s">
        <v>210</v>
      </c>
      <c r="I938" s="22">
        <v>302.89</v>
      </c>
      <c r="J938" s="111" t="s">
        <v>12</v>
      </c>
      <c r="L938" s="66" t="str">
        <f t="shared" si="16"/>
        <v>112.2160.200</v>
      </c>
    </row>
  </sheetData>
  <autoFilter ref="A1:L938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Pict="0" macro="[0]!addpayrolljournal">
                <anchor moveWithCells="1" sizeWithCells="1">
                  <from>
                    <xdr:col>12</xdr:col>
                    <xdr:colOff>28575</xdr:colOff>
                    <xdr:row>0</xdr:row>
                    <xdr:rowOff>9525</xdr:rowOff>
                  </from>
                  <to>
                    <xdr:col>14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V1887"/>
  <sheetViews>
    <sheetView workbookViewId="0">
      <pane ySplit="2" topLeftCell="A113" activePane="bottomLeft" state="frozen"/>
      <selection pane="bottomLeft" activeCell="A12" sqref="A12"/>
    </sheetView>
  </sheetViews>
  <sheetFormatPr defaultColWidth="9.140625" defaultRowHeight="12.75" outlineLevelRow="1" x14ac:dyDescent="0.2"/>
  <cols>
    <col min="1" max="1" width="20.140625" style="22" customWidth="1"/>
    <col min="2" max="3" width="11.5703125" style="26" customWidth="1"/>
    <col min="4" max="4" width="4.5703125" style="22" customWidth="1"/>
    <col min="5" max="7" width="3.5703125" style="22" customWidth="1"/>
    <col min="8" max="8" width="29.42578125" style="22" customWidth="1"/>
    <col min="9" max="9" width="3.85546875" style="22" customWidth="1"/>
    <col min="10" max="10" width="7.140625" style="22" customWidth="1"/>
    <col min="11" max="11" width="30.140625" style="22" customWidth="1"/>
    <col min="12" max="12" width="4.28515625" style="22" customWidth="1"/>
    <col min="13" max="13" width="9.140625" style="22"/>
    <col min="14" max="14" width="4.42578125" style="22" customWidth="1"/>
    <col min="15" max="15" width="4.140625" style="22" customWidth="1"/>
    <col min="16" max="16" width="4.5703125" style="22" customWidth="1"/>
    <col min="17" max="17" width="16.42578125" style="22" customWidth="1"/>
    <col min="18" max="18" width="8.140625" style="22" customWidth="1"/>
    <col min="19" max="19" width="3.5703125" style="22" customWidth="1"/>
    <col min="20" max="20" width="9.42578125" style="22" customWidth="1"/>
    <col min="21" max="21" width="8.42578125" style="22" customWidth="1"/>
    <col min="22" max="22" width="3.42578125" style="22" customWidth="1"/>
    <col min="23" max="16384" width="9.140625" style="22"/>
  </cols>
  <sheetData>
    <row r="1" spans="1:22" s="25" customFormat="1" x14ac:dyDescent="0.2">
      <c r="A1" s="25" t="s">
        <v>368</v>
      </c>
      <c r="B1" s="27"/>
      <c r="C1" s="27"/>
      <c r="E1" s="28">
        <v>-1</v>
      </c>
      <c r="J1" s="65">
        <v>44887</v>
      </c>
      <c r="K1" s="25" t="str">
        <f>"2nd Pay Period ending "&amp;DAY(J1)&amp;"/"&amp;MONTH(J1)&amp;"/"&amp;YEAR(J1)</f>
        <v>2nd Pay Period ending 22/11/2022</v>
      </c>
      <c r="O1" s="25" t="s">
        <v>213</v>
      </c>
      <c r="T1" s="109" t="s">
        <v>369</v>
      </c>
      <c r="U1" s="109"/>
      <c r="V1" s="8">
        <v>6</v>
      </c>
    </row>
    <row r="2" spans="1:22" s="25" customFormat="1" ht="12" customHeight="1" x14ac:dyDescent="0.2">
      <c r="A2" s="63" t="s">
        <v>214</v>
      </c>
      <c r="B2" s="63" t="s">
        <v>215</v>
      </c>
      <c r="C2" s="63" t="s">
        <v>216</v>
      </c>
      <c r="D2" s="63" t="s">
        <v>217</v>
      </c>
      <c r="E2" s="63"/>
      <c r="F2" s="63"/>
      <c r="G2" s="63" t="s">
        <v>218</v>
      </c>
      <c r="H2" s="63" t="str">
        <f t="shared" ref="H2" si="0">$K$1</f>
        <v>2nd Pay Period ending 22/11/2022</v>
      </c>
      <c r="I2" s="63"/>
      <c r="J2" s="63"/>
      <c r="K2" s="63"/>
      <c r="L2" s="63"/>
      <c r="M2" s="62" t="s">
        <v>0</v>
      </c>
      <c r="Q2" s="25" t="s">
        <v>220</v>
      </c>
      <c r="R2" s="25">
        <v>154678</v>
      </c>
      <c r="S2" s="34"/>
      <c r="T2" s="33" t="s">
        <v>215</v>
      </c>
      <c r="U2" s="33" t="s">
        <v>216</v>
      </c>
    </row>
    <row r="3" spans="1:22" ht="12.75" customHeight="1" x14ac:dyDescent="0.25">
      <c r="A3" s="85" t="s">
        <v>370</v>
      </c>
      <c r="B3" s="30">
        <v>234.82</v>
      </c>
      <c r="C3" s="30"/>
      <c r="D3" s="26"/>
      <c r="H3" s="11" t="str">
        <f t="shared" ref="H3:H66" si="1">$K$1</f>
        <v>2nd Pay Period ending 22/11/2022</v>
      </c>
      <c r="M3" s="30">
        <v>19022</v>
      </c>
      <c r="T3" s="35">
        <f>B3/10*$V$1</f>
        <v>140.892</v>
      </c>
    </row>
    <row r="4" spans="1:22" ht="12.75" customHeight="1" x14ac:dyDescent="0.25">
      <c r="A4" s="85" t="s">
        <v>223</v>
      </c>
      <c r="B4" s="30">
        <v>228.28</v>
      </c>
      <c r="C4" s="30"/>
      <c r="D4" s="26"/>
      <c r="H4" s="11" t="str">
        <f t="shared" si="1"/>
        <v>2nd Pay Period ending 22/11/2022</v>
      </c>
      <c r="M4" s="30">
        <v>18891</v>
      </c>
      <c r="T4" s="35">
        <f t="shared" ref="T4:T35" si="2">B4/10*$V$1</f>
        <v>136.96799999999999</v>
      </c>
    </row>
    <row r="5" spans="1:22" ht="12.75" customHeight="1" x14ac:dyDescent="0.25">
      <c r="A5" s="85" t="s">
        <v>223</v>
      </c>
      <c r="B5" s="30">
        <v>444.74</v>
      </c>
      <c r="C5" s="30"/>
      <c r="D5" s="26"/>
      <c r="H5" s="11" t="str">
        <f t="shared" si="1"/>
        <v>2nd Pay Period ending 22/11/2022</v>
      </c>
      <c r="M5" s="30">
        <v>18589</v>
      </c>
      <c r="T5" s="35">
        <f t="shared" si="2"/>
        <v>266.84400000000005</v>
      </c>
    </row>
    <row r="6" spans="1:22" ht="12.75" customHeight="1" x14ac:dyDescent="0.25">
      <c r="A6" s="85" t="s">
        <v>223</v>
      </c>
      <c r="B6" s="64">
        <v>196.05</v>
      </c>
      <c r="C6" s="30"/>
      <c r="D6" s="26"/>
      <c r="H6" s="11" t="str">
        <f t="shared" si="1"/>
        <v>2nd Pay Period ending 22/11/2022</v>
      </c>
      <c r="M6" s="30">
        <v>18831</v>
      </c>
      <c r="T6" s="35">
        <f t="shared" si="2"/>
        <v>117.63</v>
      </c>
    </row>
    <row r="7" spans="1:22" ht="12.75" customHeight="1" x14ac:dyDescent="0.25">
      <c r="A7" s="85" t="s">
        <v>223</v>
      </c>
      <c r="B7" s="30">
        <v>605.88</v>
      </c>
      <c r="C7" s="30"/>
      <c r="D7" s="26"/>
      <c r="H7" s="11" t="str">
        <f t="shared" si="1"/>
        <v>2nd Pay Period ending 22/11/2022</v>
      </c>
      <c r="M7" s="30">
        <v>18903</v>
      </c>
      <c r="T7" s="35">
        <f t="shared" si="2"/>
        <v>363.52800000000002</v>
      </c>
    </row>
    <row r="8" spans="1:22" ht="12.75" customHeight="1" x14ac:dyDescent="0.25">
      <c r="A8" s="85" t="s">
        <v>224</v>
      </c>
      <c r="B8" s="30">
        <v>201.96</v>
      </c>
      <c r="C8" s="30"/>
      <c r="D8" s="26"/>
      <c r="H8" s="11" t="str">
        <f t="shared" si="1"/>
        <v>2nd Pay Period ending 22/11/2022</v>
      </c>
      <c r="M8" s="30">
        <v>18631</v>
      </c>
      <c r="T8" s="35">
        <f t="shared" si="2"/>
        <v>121.17600000000002</v>
      </c>
    </row>
    <row r="9" spans="1:22" ht="12.75" customHeight="1" x14ac:dyDescent="0.25">
      <c r="A9" s="85" t="s">
        <v>226</v>
      </c>
      <c r="B9" s="30">
        <v>226.83</v>
      </c>
      <c r="C9" s="30"/>
      <c r="D9" s="26"/>
      <c r="H9" s="11" t="str">
        <f t="shared" si="1"/>
        <v>2nd Pay Period ending 22/11/2022</v>
      </c>
      <c r="M9" s="30">
        <v>18687</v>
      </c>
      <c r="T9" s="35">
        <f t="shared" si="2"/>
        <v>136.09800000000001</v>
      </c>
    </row>
    <row r="10" spans="1:22" ht="12.75" customHeight="1" x14ac:dyDescent="0.25">
      <c r="A10" s="85" t="s">
        <v>226</v>
      </c>
      <c r="B10" s="30">
        <v>513.22</v>
      </c>
      <c r="C10" s="30"/>
      <c r="D10" s="26"/>
      <c r="H10" s="11" t="str">
        <f t="shared" si="1"/>
        <v>2nd Pay Period ending 22/11/2022</v>
      </c>
      <c r="M10" s="30">
        <v>18781</v>
      </c>
      <c r="T10" s="35">
        <f t="shared" si="2"/>
        <v>307.93200000000002</v>
      </c>
    </row>
    <row r="11" spans="1:22" ht="12.75" customHeight="1" x14ac:dyDescent="0.25">
      <c r="A11" s="85" t="s">
        <v>226</v>
      </c>
      <c r="B11" s="30">
        <v>201.96</v>
      </c>
      <c r="C11" s="30"/>
      <c r="D11" s="26"/>
      <c r="H11" s="11" t="str">
        <f t="shared" si="1"/>
        <v>2nd Pay Period ending 22/11/2022</v>
      </c>
      <c r="M11" s="30">
        <v>18894</v>
      </c>
      <c r="T11" s="35">
        <f t="shared" si="2"/>
        <v>121.17600000000002</v>
      </c>
    </row>
    <row r="12" spans="1:22" ht="12.75" customHeight="1" x14ac:dyDescent="0.25">
      <c r="A12" s="85" t="s">
        <v>226</v>
      </c>
      <c r="B12" s="30">
        <v>256.61</v>
      </c>
      <c r="C12" s="30"/>
      <c r="D12" s="26"/>
      <c r="H12" s="11" t="str">
        <f t="shared" si="1"/>
        <v>2nd Pay Period ending 22/11/2022</v>
      </c>
      <c r="M12" s="30">
        <v>18967</v>
      </c>
      <c r="T12" s="35">
        <f t="shared" si="2"/>
        <v>153.96600000000001</v>
      </c>
    </row>
    <row r="13" spans="1:22" ht="12.75" customHeight="1" x14ac:dyDescent="0.25">
      <c r="A13" s="85" t="s">
        <v>227</v>
      </c>
      <c r="B13" s="30">
        <v>207.41</v>
      </c>
      <c r="C13" s="30"/>
      <c r="D13" s="26"/>
      <c r="H13" s="11" t="str">
        <f t="shared" si="1"/>
        <v>2nd Pay Period ending 22/11/2022</v>
      </c>
      <c r="M13" s="30">
        <v>145</v>
      </c>
      <c r="T13" s="35">
        <f t="shared" si="2"/>
        <v>124.446</v>
      </c>
    </row>
    <row r="14" spans="1:22" ht="12.75" customHeight="1" x14ac:dyDescent="0.25">
      <c r="A14" s="85" t="s">
        <v>227</v>
      </c>
      <c r="B14" s="30">
        <v>180.54</v>
      </c>
      <c r="C14" s="30"/>
      <c r="D14" s="26"/>
      <c r="H14" s="11" t="str">
        <f t="shared" si="1"/>
        <v>2nd Pay Period ending 22/11/2022</v>
      </c>
      <c r="M14" s="30">
        <v>141</v>
      </c>
      <c r="T14" s="35">
        <f t="shared" si="2"/>
        <v>108.32399999999998</v>
      </c>
    </row>
    <row r="15" spans="1:22" ht="12.75" customHeight="1" x14ac:dyDescent="0.25">
      <c r="A15" s="85" t="s">
        <v>371</v>
      </c>
      <c r="B15" s="30">
        <v>77.39</v>
      </c>
      <c r="C15" s="30"/>
      <c r="D15" s="26"/>
      <c r="H15" s="11" t="str">
        <f t="shared" si="1"/>
        <v>2nd Pay Period ending 22/11/2022</v>
      </c>
      <c r="M15" s="30">
        <v>19007</v>
      </c>
      <c r="T15" s="35">
        <f t="shared" si="2"/>
        <v>46.433999999999997</v>
      </c>
    </row>
    <row r="16" spans="1:22" ht="12.75" customHeight="1" x14ac:dyDescent="0.25">
      <c r="A16" s="85" t="s">
        <v>445</v>
      </c>
      <c r="B16" s="30">
        <v>316.26</v>
      </c>
      <c r="C16" s="30"/>
      <c r="D16" s="26"/>
      <c r="H16" s="11" t="str">
        <f t="shared" si="1"/>
        <v>2nd Pay Period ending 22/11/2022</v>
      </c>
      <c r="M16" s="30">
        <v>18581</v>
      </c>
      <c r="T16" s="35">
        <f t="shared" si="2"/>
        <v>189.75599999999997</v>
      </c>
    </row>
    <row r="17" spans="1:20" ht="12.75" customHeight="1" x14ac:dyDescent="0.25">
      <c r="A17" s="85" t="s">
        <v>229</v>
      </c>
      <c r="B17" s="30">
        <v>174.78</v>
      </c>
      <c r="C17" s="30"/>
      <c r="D17" s="26"/>
      <c r="H17" s="11" t="str">
        <f t="shared" si="1"/>
        <v>2nd Pay Period ending 22/11/2022</v>
      </c>
      <c r="M17" s="30">
        <v>18979</v>
      </c>
      <c r="T17" s="35">
        <f t="shared" si="2"/>
        <v>104.86800000000001</v>
      </c>
    </row>
    <row r="18" spans="1:20" ht="12.75" customHeight="1" x14ac:dyDescent="0.25">
      <c r="A18" s="85" t="s">
        <v>229</v>
      </c>
      <c r="B18" s="30">
        <v>196.05</v>
      </c>
      <c r="C18" s="30"/>
      <c r="D18" s="26"/>
      <c r="H18" s="11" t="str">
        <f t="shared" si="1"/>
        <v>2nd Pay Period ending 22/11/2022</v>
      </c>
      <c r="M18" s="30">
        <v>18822</v>
      </c>
      <c r="T18" s="35">
        <f t="shared" si="2"/>
        <v>117.63</v>
      </c>
    </row>
    <row r="19" spans="1:20" ht="12.75" customHeight="1" x14ac:dyDescent="0.25">
      <c r="A19" s="85" t="s">
        <v>231</v>
      </c>
      <c r="B19" s="30">
        <v>524.34</v>
      </c>
      <c r="C19" s="30"/>
      <c r="D19" s="26"/>
      <c r="H19" s="11" t="str">
        <f t="shared" si="1"/>
        <v>2nd Pay Period ending 22/11/2022</v>
      </c>
      <c r="M19" s="30">
        <v>18923</v>
      </c>
      <c r="T19" s="35">
        <f t="shared" si="2"/>
        <v>314.60400000000004</v>
      </c>
    </row>
    <row r="20" spans="1:20" ht="12.75" customHeight="1" x14ac:dyDescent="0.25">
      <c r="A20" s="85" t="s">
        <v>231</v>
      </c>
      <c r="B20" s="30">
        <v>180.54</v>
      </c>
      <c r="C20" s="30"/>
      <c r="D20" s="26"/>
      <c r="H20" s="11" t="str">
        <f t="shared" si="1"/>
        <v>2nd Pay Period ending 22/11/2022</v>
      </c>
      <c r="M20" s="30">
        <v>19019</v>
      </c>
      <c r="T20" s="35">
        <f t="shared" si="2"/>
        <v>108.32399999999998</v>
      </c>
    </row>
    <row r="21" spans="1:20" ht="12.75" customHeight="1" x14ac:dyDescent="0.25">
      <c r="A21" s="85" t="s">
        <v>231</v>
      </c>
      <c r="B21" s="30">
        <v>889.48</v>
      </c>
      <c r="C21" s="30"/>
      <c r="D21" s="26"/>
      <c r="H21" s="11" t="str">
        <f t="shared" si="1"/>
        <v>2nd Pay Period ending 22/11/2022</v>
      </c>
      <c r="M21" s="30">
        <v>18607</v>
      </c>
      <c r="T21" s="35">
        <f t="shared" si="2"/>
        <v>533.6880000000001</v>
      </c>
    </row>
    <row r="22" spans="1:20" ht="12.75" customHeight="1" x14ac:dyDescent="0.25">
      <c r="A22" s="85" t="s">
        <v>456</v>
      </c>
      <c r="B22" s="30">
        <v>697.53</v>
      </c>
      <c r="C22" s="30"/>
      <c r="D22" s="26"/>
      <c r="H22" s="11" t="str">
        <f t="shared" si="1"/>
        <v>2nd Pay Period ending 22/11/2022</v>
      </c>
      <c r="M22" s="30">
        <v>18650</v>
      </c>
      <c r="T22" s="35">
        <f t="shared" si="2"/>
        <v>418.51800000000003</v>
      </c>
    </row>
    <row r="23" spans="1:20" ht="12.75" customHeight="1" x14ac:dyDescent="0.25">
      <c r="A23" s="85" t="s">
        <v>232</v>
      </c>
      <c r="B23" s="30">
        <v>480.52</v>
      </c>
      <c r="C23" s="30"/>
      <c r="D23" s="26"/>
      <c r="H23" s="11" t="str">
        <f t="shared" si="1"/>
        <v>2nd Pay Period ending 22/11/2022</v>
      </c>
      <c r="M23" s="30">
        <v>18703</v>
      </c>
      <c r="T23" s="35">
        <f t="shared" si="2"/>
        <v>288.31200000000001</v>
      </c>
    </row>
    <row r="24" spans="1:20" ht="12.75" customHeight="1" x14ac:dyDescent="0.25">
      <c r="A24" s="85" t="s">
        <v>232</v>
      </c>
      <c r="B24" s="30">
        <v>361.08</v>
      </c>
      <c r="C24" s="30"/>
      <c r="D24" s="26"/>
      <c r="H24" s="11" t="str">
        <f t="shared" si="1"/>
        <v>2nd Pay Period ending 22/11/2022</v>
      </c>
      <c r="M24" s="30">
        <v>18924</v>
      </c>
      <c r="T24" s="35">
        <f t="shared" si="2"/>
        <v>216.64799999999997</v>
      </c>
    </row>
    <row r="25" spans="1:20" ht="12.75" customHeight="1" x14ac:dyDescent="0.25">
      <c r="A25" s="85" t="s">
        <v>233</v>
      </c>
      <c r="B25" s="30">
        <v>103.18</v>
      </c>
      <c r="C25" s="30"/>
      <c r="D25" s="26"/>
      <c r="H25" s="11" t="str">
        <f t="shared" si="1"/>
        <v>2nd Pay Period ending 22/11/2022</v>
      </c>
      <c r="M25" s="30">
        <v>18927</v>
      </c>
      <c r="T25" s="35">
        <f t="shared" si="2"/>
        <v>61.908000000000008</v>
      </c>
    </row>
    <row r="26" spans="1:20" ht="12.75" customHeight="1" x14ac:dyDescent="0.25">
      <c r="A26" s="85" t="s">
        <v>468</v>
      </c>
      <c r="B26" s="30">
        <v>240.26</v>
      </c>
      <c r="C26" s="30"/>
      <c r="D26" s="26"/>
      <c r="H26" s="11" t="str">
        <f t="shared" si="1"/>
        <v>2nd Pay Period ending 22/11/2022</v>
      </c>
      <c r="M26" s="30">
        <v>18791</v>
      </c>
      <c r="T26" s="35">
        <f t="shared" si="2"/>
        <v>144.15600000000001</v>
      </c>
    </row>
    <row r="27" spans="1:20" ht="12.75" customHeight="1" x14ac:dyDescent="0.25">
      <c r="A27" s="85" t="s">
        <v>469</v>
      </c>
      <c r="B27" s="30">
        <v>541.62</v>
      </c>
      <c r="C27" s="30"/>
      <c r="D27" s="26"/>
      <c r="H27" s="11" t="str">
        <f t="shared" si="1"/>
        <v>2nd Pay Period ending 22/11/2022</v>
      </c>
      <c r="M27" s="30">
        <v>18953</v>
      </c>
      <c r="T27" s="35">
        <f t="shared" si="2"/>
        <v>324.97199999999998</v>
      </c>
    </row>
    <row r="28" spans="1:20" ht="12.75" customHeight="1" x14ac:dyDescent="0.25">
      <c r="A28" s="85" t="s">
        <v>482</v>
      </c>
      <c r="B28" s="30">
        <v>196.05</v>
      </c>
      <c r="C28" s="30"/>
      <c r="D28" s="26"/>
      <c r="H28" s="11" t="str">
        <f t="shared" si="1"/>
        <v>2nd Pay Period ending 22/11/2022</v>
      </c>
      <c r="M28" s="30">
        <v>18792</v>
      </c>
      <c r="T28" s="35">
        <f t="shared" si="2"/>
        <v>117.63</v>
      </c>
    </row>
    <row r="29" spans="1:20" ht="12.75" customHeight="1" x14ac:dyDescent="0.25">
      <c r="A29" s="85" t="s">
        <v>234</v>
      </c>
      <c r="B29" s="30">
        <v>1106.51</v>
      </c>
      <c r="C29" s="30"/>
      <c r="D29" s="26"/>
      <c r="H29" s="11" t="str">
        <f t="shared" si="1"/>
        <v>2nd Pay Period ending 22/11/2022</v>
      </c>
      <c r="M29" s="30">
        <v>18726</v>
      </c>
      <c r="T29" s="35">
        <f t="shared" si="2"/>
        <v>663.90599999999995</v>
      </c>
    </row>
    <row r="30" spans="1:20" ht="12.75" customHeight="1" x14ac:dyDescent="0.25">
      <c r="A30" s="85" t="s">
        <v>234</v>
      </c>
      <c r="B30" s="30">
        <v>659.77</v>
      </c>
      <c r="C30" s="30"/>
      <c r="D30" s="26"/>
      <c r="H30" s="11" t="str">
        <f t="shared" si="1"/>
        <v>2nd Pay Period ending 22/11/2022</v>
      </c>
      <c r="M30" s="30">
        <v>18927</v>
      </c>
      <c r="T30" s="35">
        <f t="shared" si="2"/>
        <v>395.86200000000002</v>
      </c>
    </row>
    <row r="31" spans="1:20" ht="12.75" customHeight="1" x14ac:dyDescent="0.25">
      <c r="A31" s="85" t="s">
        <v>234</v>
      </c>
      <c r="B31" s="30">
        <v>794.7</v>
      </c>
      <c r="C31" s="30"/>
      <c r="D31" s="26"/>
      <c r="H31" s="11" t="str">
        <f t="shared" si="1"/>
        <v>2nd Pay Period ending 22/11/2022</v>
      </c>
      <c r="M31" s="30">
        <v>18791</v>
      </c>
      <c r="T31" s="35">
        <f t="shared" si="2"/>
        <v>476.82</v>
      </c>
    </row>
    <row r="32" spans="1:20" ht="12.75" customHeight="1" x14ac:dyDescent="0.25">
      <c r="A32" s="85" t="s">
        <v>235</v>
      </c>
      <c r="B32" s="30">
        <v>5611.41</v>
      </c>
      <c r="C32" s="30"/>
      <c r="D32" s="26"/>
      <c r="H32" s="11" t="str">
        <f t="shared" si="1"/>
        <v>2nd Pay Period ending 22/11/2022</v>
      </c>
      <c r="M32" s="30">
        <v>18726</v>
      </c>
      <c r="T32" s="35">
        <f t="shared" si="2"/>
        <v>3366.8459999999995</v>
      </c>
    </row>
    <row r="33" spans="1:20" ht="12.75" customHeight="1" x14ac:dyDescent="0.25">
      <c r="A33" s="85" t="s">
        <v>235</v>
      </c>
      <c r="B33" s="30">
        <v>841.01</v>
      </c>
      <c r="C33" s="30"/>
      <c r="D33" s="26"/>
      <c r="H33" s="11" t="str">
        <f t="shared" si="1"/>
        <v>2nd Pay Period ending 22/11/2022</v>
      </c>
      <c r="M33" s="30">
        <v>18927</v>
      </c>
      <c r="T33" s="35">
        <f t="shared" si="2"/>
        <v>504.60599999999999</v>
      </c>
    </row>
    <row r="34" spans="1:20" ht="12.75" customHeight="1" x14ac:dyDescent="0.25">
      <c r="A34" s="85" t="s">
        <v>235</v>
      </c>
      <c r="B34" s="30">
        <v>512.98</v>
      </c>
      <c r="C34" s="30"/>
      <c r="D34" s="26"/>
      <c r="H34" s="11" t="str">
        <f t="shared" si="1"/>
        <v>2nd Pay Period ending 22/11/2022</v>
      </c>
      <c r="M34" s="30">
        <v>18791</v>
      </c>
      <c r="T34" s="35">
        <f t="shared" si="2"/>
        <v>307.78800000000001</v>
      </c>
    </row>
    <row r="35" spans="1:20" ht="12.75" customHeight="1" x14ac:dyDescent="0.25">
      <c r="A35" s="85" t="s">
        <v>483</v>
      </c>
      <c r="B35" s="30">
        <v>1630.54</v>
      </c>
      <c r="C35" s="30"/>
      <c r="D35" s="26"/>
      <c r="H35" s="11" t="str">
        <f t="shared" si="1"/>
        <v>2nd Pay Period ending 22/11/2022</v>
      </c>
      <c r="M35" s="30">
        <v>19041</v>
      </c>
      <c r="T35" s="35">
        <f t="shared" si="2"/>
        <v>978.32400000000007</v>
      </c>
    </row>
    <row r="36" spans="1:20" ht="12.75" customHeight="1" x14ac:dyDescent="0.25">
      <c r="A36" s="85" t="s">
        <v>237</v>
      </c>
      <c r="B36" s="30">
        <v>1696.12</v>
      </c>
      <c r="C36" s="30"/>
      <c r="D36" s="26"/>
      <c r="H36" s="11" t="str">
        <f t="shared" si="1"/>
        <v>2nd Pay Period ending 22/11/2022</v>
      </c>
      <c r="M36" s="30">
        <v>19030</v>
      </c>
      <c r="T36" s="35">
        <f t="shared" ref="T36:T66" si="3">B36/10*$V$1</f>
        <v>1017.672</v>
      </c>
    </row>
    <row r="37" spans="1:20" ht="12.75" customHeight="1" x14ac:dyDescent="0.25">
      <c r="A37" s="85" t="s">
        <v>238</v>
      </c>
      <c r="B37" s="30">
        <v>380.08</v>
      </c>
      <c r="C37" s="30"/>
      <c r="D37" s="26"/>
      <c r="H37" s="11" t="str">
        <f t="shared" si="1"/>
        <v>2nd Pay Period ending 22/11/2022</v>
      </c>
      <c r="M37" s="30">
        <v>18917</v>
      </c>
      <c r="T37" s="35">
        <f t="shared" si="3"/>
        <v>228.04799999999997</v>
      </c>
    </row>
    <row r="38" spans="1:20" ht="12.75" customHeight="1" x14ac:dyDescent="0.25">
      <c r="A38" s="85" t="s">
        <v>238</v>
      </c>
      <c r="B38" s="30">
        <v>756.89</v>
      </c>
      <c r="C38" s="30"/>
      <c r="D38" s="26"/>
      <c r="H38" s="11" t="str">
        <f t="shared" si="1"/>
        <v>2nd Pay Period ending 22/11/2022</v>
      </c>
      <c r="M38" s="30">
        <v>19023</v>
      </c>
      <c r="T38" s="35">
        <f t="shared" si="3"/>
        <v>454.13399999999996</v>
      </c>
    </row>
    <row r="39" spans="1:20" ht="12.75" customHeight="1" x14ac:dyDescent="0.25">
      <c r="A39" s="85" t="s">
        <v>239</v>
      </c>
      <c r="B39" s="30">
        <v>247.8</v>
      </c>
      <c r="C39" s="30"/>
      <c r="D39" s="26"/>
      <c r="H39" s="11" t="str">
        <f t="shared" si="1"/>
        <v>2nd Pay Period ending 22/11/2022</v>
      </c>
      <c r="M39" s="30">
        <v>18736</v>
      </c>
      <c r="T39" s="35">
        <f t="shared" si="3"/>
        <v>148.68</v>
      </c>
    </row>
    <row r="40" spans="1:20" ht="12.75" customHeight="1" x14ac:dyDescent="0.25">
      <c r="A40" s="85" t="s">
        <v>240</v>
      </c>
      <c r="B40" s="30">
        <v>368.42</v>
      </c>
      <c r="C40" s="30"/>
      <c r="D40" s="26"/>
      <c r="H40" s="11" t="str">
        <f t="shared" si="1"/>
        <v>2nd Pay Period ending 22/11/2022</v>
      </c>
      <c r="M40" s="30">
        <v>18866</v>
      </c>
      <c r="T40" s="35">
        <f t="shared" si="3"/>
        <v>221.05199999999999</v>
      </c>
    </row>
    <row r="41" spans="1:20" ht="12.75" customHeight="1" x14ac:dyDescent="0.25">
      <c r="A41" s="85" t="s">
        <v>240</v>
      </c>
      <c r="B41" s="30">
        <v>336.49</v>
      </c>
      <c r="C41" s="30"/>
      <c r="D41" s="26"/>
      <c r="H41" s="11" t="str">
        <f t="shared" si="1"/>
        <v>2nd Pay Period ending 22/11/2022</v>
      </c>
      <c r="M41" s="30">
        <v>18589</v>
      </c>
      <c r="T41" s="35">
        <f t="shared" si="3"/>
        <v>201.89400000000001</v>
      </c>
    </row>
    <row r="42" spans="1:20" ht="12.75" customHeight="1" x14ac:dyDescent="0.25">
      <c r="A42" s="85" t="s">
        <v>240</v>
      </c>
      <c r="B42" s="30">
        <v>101.29</v>
      </c>
      <c r="C42" s="30"/>
      <c r="D42" s="26"/>
      <c r="H42" s="11" t="str">
        <f t="shared" si="1"/>
        <v>2nd Pay Period ending 22/11/2022</v>
      </c>
      <c r="M42" s="30">
        <v>18957</v>
      </c>
      <c r="T42" s="35">
        <f t="shared" si="3"/>
        <v>60.774000000000008</v>
      </c>
    </row>
    <row r="43" spans="1:20" ht="12.75" customHeight="1" x14ac:dyDescent="0.25">
      <c r="A43" s="85" t="s">
        <v>240</v>
      </c>
      <c r="B43" s="30">
        <v>39.86</v>
      </c>
      <c r="C43" s="30"/>
      <c r="D43" s="26"/>
      <c r="H43" s="11" t="str">
        <f t="shared" si="1"/>
        <v>2nd Pay Period ending 22/11/2022</v>
      </c>
      <c r="M43" s="30">
        <v>18903</v>
      </c>
      <c r="T43" s="35">
        <f t="shared" si="3"/>
        <v>23.915999999999997</v>
      </c>
    </row>
    <row r="44" spans="1:20" ht="12.75" customHeight="1" x14ac:dyDescent="0.25">
      <c r="A44" s="85" t="s">
        <v>241</v>
      </c>
      <c r="B44" s="30">
        <v>39.86</v>
      </c>
      <c r="C44" s="30"/>
      <c r="D44" s="26"/>
      <c r="H44" s="11" t="str">
        <f t="shared" si="1"/>
        <v>2nd Pay Period ending 22/11/2022</v>
      </c>
      <c r="M44" s="30">
        <v>18631</v>
      </c>
      <c r="T44" s="35">
        <f t="shared" si="3"/>
        <v>23.915999999999997</v>
      </c>
    </row>
    <row r="45" spans="1:20" ht="12.75" customHeight="1" x14ac:dyDescent="0.25">
      <c r="A45" s="85" t="s">
        <v>241</v>
      </c>
      <c r="B45" s="30">
        <v>24.43</v>
      </c>
      <c r="C45" s="30"/>
      <c r="D45" s="26"/>
      <c r="H45" s="11" t="str">
        <f t="shared" si="1"/>
        <v>2nd Pay Period ending 22/11/2022</v>
      </c>
      <c r="M45" s="30">
        <v>18</v>
      </c>
      <c r="T45" s="35">
        <f t="shared" si="3"/>
        <v>14.658000000000001</v>
      </c>
    </row>
    <row r="46" spans="1:20" ht="12.75" customHeight="1" x14ac:dyDescent="0.25">
      <c r="A46" s="85" t="s">
        <v>241</v>
      </c>
      <c r="B46" s="30">
        <v>292.86</v>
      </c>
      <c r="C46" s="30"/>
      <c r="D46" s="26"/>
      <c r="H46" s="11" t="str">
        <f t="shared" si="1"/>
        <v>2nd Pay Period ending 22/11/2022</v>
      </c>
      <c r="M46" s="30">
        <v>18879</v>
      </c>
      <c r="T46" s="35">
        <f t="shared" si="3"/>
        <v>175.71600000000001</v>
      </c>
    </row>
    <row r="47" spans="1:20" ht="12.75" customHeight="1" x14ac:dyDescent="0.25">
      <c r="A47" s="85" t="s">
        <v>242</v>
      </c>
      <c r="B47" s="30">
        <v>175.56</v>
      </c>
      <c r="C47" s="30"/>
      <c r="D47" s="26"/>
      <c r="H47" s="11" t="str">
        <f t="shared" si="1"/>
        <v>2nd Pay Period ending 22/11/2022</v>
      </c>
      <c r="M47" s="30">
        <v>18630</v>
      </c>
      <c r="T47" s="35">
        <f t="shared" si="3"/>
        <v>105.33600000000001</v>
      </c>
    </row>
    <row r="48" spans="1:20" ht="12.75" customHeight="1" x14ac:dyDescent="0.25">
      <c r="A48" s="85" t="s">
        <v>242</v>
      </c>
      <c r="B48" s="30">
        <v>645.44000000000005</v>
      </c>
      <c r="C48" s="30"/>
      <c r="D48" s="26"/>
      <c r="H48" s="11" t="str">
        <f t="shared" si="1"/>
        <v>2nd Pay Period ending 22/11/2022</v>
      </c>
      <c r="M48" s="30">
        <v>19013</v>
      </c>
      <c r="T48" s="35">
        <f t="shared" si="3"/>
        <v>387.26400000000007</v>
      </c>
    </row>
    <row r="49" spans="1:20" ht="12.75" customHeight="1" x14ac:dyDescent="0.25">
      <c r="A49" s="85" t="s">
        <v>243</v>
      </c>
      <c r="B49" s="30">
        <v>136</v>
      </c>
      <c r="C49" s="30"/>
      <c r="D49" s="26"/>
      <c r="H49" s="11" t="str">
        <f t="shared" si="1"/>
        <v>2nd Pay Period ending 22/11/2022</v>
      </c>
      <c r="M49" s="30">
        <v>19033</v>
      </c>
      <c r="T49" s="35">
        <f t="shared" si="3"/>
        <v>81.599999999999994</v>
      </c>
    </row>
    <row r="50" spans="1:20" ht="12.75" customHeight="1" x14ac:dyDescent="0.25">
      <c r="A50" s="85" t="s">
        <v>243</v>
      </c>
      <c r="B50" s="30">
        <v>241</v>
      </c>
      <c r="C50" s="30"/>
      <c r="D50" s="26"/>
      <c r="H50" s="11" t="str">
        <f t="shared" si="1"/>
        <v>2nd Pay Period ending 22/11/2022</v>
      </c>
      <c r="M50" s="30">
        <v>18687</v>
      </c>
      <c r="T50" s="35">
        <f t="shared" si="3"/>
        <v>144.60000000000002</v>
      </c>
    </row>
    <row r="51" spans="1:20" ht="12.75" customHeight="1" x14ac:dyDescent="0.25">
      <c r="A51" s="85" t="s">
        <v>243</v>
      </c>
      <c r="B51" s="30">
        <v>14.62</v>
      </c>
      <c r="C51" s="30"/>
      <c r="D51" s="26"/>
      <c r="H51" s="11" t="str">
        <f t="shared" si="1"/>
        <v>2nd Pay Period ending 22/11/2022</v>
      </c>
      <c r="M51" s="30">
        <v>18894</v>
      </c>
      <c r="T51" s="35">
        <f t="shared" si="3"/>
        <v>8.7720000000000002</v>
      </c>
    </row>
    <row r="52" spans="1:20" ht="12.75" customHeight="1" x14ac:dyDescent="0.25">
      <c r="A52" s="85" t="s">
        <v>243</v>
      </c>
      <c r="B52" s="30">
        <v>306.41000000000003</v>
      </c>
      <c r="C52" s="30"/>
      <c r="D52" s="26"/>
      <c r="H52" s="11" t="str">
        <f t="shared" si="1"/>
        <v>2nd Pay Period ending 22/11/2022</v>
      </c>
      <c r="M52" s="30">
        <v>18967</v>
      </c>
      <c r="T52" s="35">
        <f t="shared" si="3"/>
        <v>183.846</v>
      </c>
    </row>
    <row r="53" spans="1:20" ht="12.75" customHeight="1" x14ac:dyDescent="0.25">
      <c r="A53" s="85" t="s">
        <v>243</v>
      </c>
      <c r="B53" s="30">
        <v>134.6</v>
      </c>
      <c r="C53" s="30"/>
      <c r="D53" s="26"/>
      <c r="H53" s="11" t="str">
        <f t="shared" si="1"/>
        <v>2nd Pay Period ending 22/11/2022</v>
      </c>
      <c r="M53" s="30">
        <v>18733</v>
      </c>
      <c r="T53" s="35">
        <f t="shared" si="3"/>
        <v>80.759999999999991</v>
      </c>
    </row>
    <row r="54" spans="1:20" ht="12.75" customHeight="1" x14ac:dyDescent="0.25">
      <c r="A54" s="85" t="s">
        <v>243</v>
      </c>
      <c r="B54" s="30">
        <v>32.64</v>
      </c>
      <c r="C54" s="30"/>
      <c r="D54" s="26"/>
      <c r="H54" s="11" t="str">
        <f t="shared" si="1"/>
        <v>2nd Pay Period ending 22/11/2022</v>
      </c>
      <c r="M54" s="30">
        <v>18659</v>
      </c>
      <c r="T54" s="35">
        <f t="shared" si="3"/>
        <v>19.584000000000003</v>
      </c>
    </row>
    <row r="55" spans="1:20" ht="12.75" customHeight="1" x14ac:dyDescent="0.25">
      <c r="A55" s="85" t="s">
        <v>243</v>
      </c>
      <c r="B55" s="30">
        <v>289.62</v>
      </c>
      <c r="C55" s="30"/>
      <c r="D55" s="26"/>
      <c r="H55" s="11" t="str">
        <f t="shared" si="1"/>
        <v>2nd Pay Period ending 22/11/2022</v>
      </c>
      <c r="M55" s="30">
        <v>18911</v>
      </c>
      <c r="T55" s="35">
        <f t="shared" si="3"/>
        <v>173.77199999999999</v>
      </c>
    </row>
    <row r="56" spans="1:20" ht="12.75" customHeight="1" x14ac:dyDescent="0.25">
      <c r="A56" s="85" t="s">
        <v>243</v>
      </c>
      <c r="B56" s="30">
        <v>79.58</v>
      </c>
      <c r="C56" s="30"/>
      <c r="D56" s="26"/>
      <c r="H56" s="11" t="str">
        <f t="shared" si="1"/>
        <v>2nd Pay Period ending 22/11/2022</v>
      </c>
      <c r="M56" s="30">
        <v>18960</v>
      </c>
      <c r="T56" s="35">
        <f t="shared" si="3"/>
        <v>47.748000000000005</v>
      </c>
    </row>
    <row r="57" spans="1:20" ht="12.75" customHeight="1" x14ac:dyDescent="0.25">
      <c r="A57" s="85" t="s">
        <v>243</v>
      </c>
      <c r="B57" s="30">
        <v>184.01</v>
      </c>
      <c r="C57" s="30"/>
      <c r="D57" s="26"/>
      <c r="H57" s="11" t="str">
        <f t="shared" si="1"/>
        <v>2nd Pay Period ending 22/11/2022</v>
      </c>
      <c r="M57" s="30">
        <v>18781</v>
      </c>
      <c r="T57" s="35">
        <f t="shared" si="3"/>
        <v>110.40600000000001</v>
      </c>
    </row>
    <row r="58" spans="1:20" ht="12.75" customHeight="1" x14ac:dyDescent="0.25">
      <c r="A58" s="85" t="s">
        <v>244</v>
      </c>
      <c r="B58" s="30">
        <v>58.04</v>
      </c>
      <c r="C58" s="30"/>
      <c r="D58" s="26"/>
      <c r="H58" s="11" t="str">
        <f t="shared" si="1"/>
        <v>2nd Pay Period ending 22/11/2022</v>
      </c>
      <c r="M58" s="30">
        <v>18961</v>
      </c>
      <c r="T58" s="35">
        <f t="shared" si="3"/>
        <v>34.823999999999998</v>
      </c>
    </row>
    <row r="59" spans="1:20" ht="12.75" customHeight="1" x14ac:dyDescent="0.25">
      <c r="A59" s="85" t="s">
        <v>244</v>
      </c>
      <c r="B59" s="30">
        <v>89.08</v>
      </c>
      <c r="C59" s="30"/>
      <c r="D59" s="26"/>
      <c r="H59" s="11" t="str">
        <f t="shared" si="1"/>
        <v>2nd Pay Period ending 22/11/2022</v>
      </c>
      <c r="M59" s="30">
        <v>141</v>
      </c>
      <c r="T59" s="35">
        <f t="shared" si="3"/>
        <v>53.447999999999993</v>
      </c>
    </row>
    <row r="60" spans="1:20" ht="12.75" customHeight="1" x14ac:dyDescent="0.25">
      <c r="A60" s="85" t="s">
        <v>245</v>
      </c>
      <c r="B60" s="30">
        <v>58.04</v>
      </c>
      <c r="C60" s="30"/>
      <c r="D60" s="26"/>
      <c r="H60" s="11" t="str">
        <f t="shared" si="1"/>
        <v>2nd Pay Period ending 22/11/2022</v>
      </c>
      <c r="M60" s="30">
        <v>19007</v>
      </c>
      <c r="T60" s="35">
        <f t="shared" si="3"/>
        <v>34.823999999999998</v>
      </c>
    </row>
    <row r="61" spans="1:20" ht="12.75" customHeight="1" x14ac:dyDescent="0.25">
      <c r="A61" s="85" t="s">
        <v>245</v>
      </c>
      <c r="B61" s="30">
        <v>204.82</v>
      </c>
      <c r="C61" s="30"/>
      <c r="D61" s="26"/>
      <c r="H61" s="11" t="str">
        <f t="shared" si="1"/>
        <v>2nd Pay Period ending 22/11/2022</v>
      </c>
      <c r="M61" s="30">
        <v>18974</v>
      </c>
      <c r="T61" s="35">
        <f t="shared" si="3"/>
        <v>122.892</v>
      </c>
    </row>
    <row r="62" spans="1:20" ht="12.75" customHeight="1" x14ac:dyDescent="0.25">
      <c r="A62" s="85" t="s">
        <v>245</v>
      </c>
      <c r="B62" s="30">
        <v>159.44</v>
      </c>
      <c r="C62" s="30"/>
      <c r="D62" s="26"/>
      <c r="H62" s="11" t="str">
        <f t="shared" si="1"/>
        <v>2nd Pay Period ending 22/11/2022</v>
      </c>
      <c r="M62" s="30">
        <v>18999</v>
      </c>
      <c r="T62" s="35">
        <f t="shared" si="3"/>
        <v>95.663999999999987</v>
      </c>
    </row>
    <row r="63" spans="1:20" ht="12.75" customHeight="1" x14ac:dyDescent="0.25">
      <c r="A63" s="85" t="s">
        <v>245</v>
      </c>
      <c r="B63" s="30">
        <v>58.04</v>
      </c>
      <c r="C63" s="30"/>
      <c r="D63" s="26"/>
      <c r="H63" s="11" t="str">
        <f t="shared" si="1"/>
        <v>2nd Pay Period ending 22/11/2022</v>
      </c>
      <c r="M63" s="30">
        <v>19026</v>
      </c>
      <c r="T63" s="35">
        <f t="shared" si="3"/>
        <v>34.823999999999998</v>
      </c>
    </row>
    <row r="64" spans="1:20" ht="12.75" customHeight="1" x14ac:dyDescent="0.25">
      <c r="A64" s="85" t="s">
        <v>245</v>
      </c>
      <c r="B64" s="30">
        <v>174.12</v>
      </c>
      <c r="C64" s="30"/>
      <c r="D64" s="26"/>
      <c r="H64" s="11" t="str">
        <f t="shared" si="1"/>
        <v>2nd Pay Period ending 22/11/2022</v>
      </c>
      <c r="M64" s="30">
        <v>19006</v>
      </c>
      <c r="T64" s="35">
        <f t="shared" si="3"/>
        <v>104.47199999999999</v>
      </c>
    </row>
    <row r="65" spans="1:20" ht="12.75" customHeight="1" x14ac:dyDescent="0.25">
      <c r="A65" s="85" t="s">
        <v>246</v>
      </c>
      <c r="B65" s="30">
        <v>25.15</v>
      </c>
      <c r="C65" s="30"/>
      <c r="D65" s="26"/>
      <c r="H65" s="11" t="str">
        <f t="shared" si="1"/>
        <v>2nd Pay Period ending 22/11/2022</v>
      </c>
      <c r="M65" s="30">
        <v>19027</v>
      </c>
      <c r="T65" s="35">
        <f t="shared" si="3"/>
        <v>15.089999999999998</v>
      </c>
    </row>
    <row r="66" spans="1:20" ht="12.75" customHeight="1" x14ac:dyDescent="0.25">
      <c r="A66" s="85" t="s">
        <v>246</v>
      </c>
      <c r="B66" s="30">
        <v>136.07</v>
      </c>
      <c r="C66" s="30"/>
      <c r="D66" s="26"/>
      <c r="H66" s="11" t="str">
        <f t="shared" si="1"/>
        <v>2nd Pay Period ending 22/11/2022</v>
      </c>
      <c r="M66" s="30">
        <v>18980</v>
      </c>
      <c r="T66" s="35">
        <f t="shared" si="3"/>
        <v>81.641999999999996</v>
      </c>
    </row>
    <row r="67" spans="1:20" ht="12.75" customHeight="1" x14ac:dyDescent="0.25">
      <c r="A67" s="85" t="s">
        <v>246</v>
      </c>
      <c r="B67" s="30">
        <v>82.54</v>
      </c>
      <c r="C67" s="30"/>
      <c r="D67" s="26"/>
      <c r="H67" s="11" t="str">
        <f t="shared" ref="H67:H130" si="4">$K$1</f>
        <v>2nd Pay Period ending 22/11/2022</v>
      </c>
      <c r="M67" s="30">
        <v>19021</v>
      </c>
      <c r="T67" s="35">
        <f t="shared" ref="T67:T130" si="5">B67/10*$V$1</f>
        <v>49.524000000000008</v>
      </c>
    </row>
    <row r="68" spans="1:20" ht="12.75" customHeight="1" x14ac:dyDescent="0.25">
      <c r="A68" s="85" t="s">
        <v>247</v>
      </c>
      <c r="B68" s="30">
        <v>556.66999999999996</v>
      </c>
      <c r="C68" s="30"/>
      <c r="D68" s="26"/>
      <c r="H68" s="11" t="str">
        <f t="shared" si="4"/>
        <v>2nd Pay Period ending 22/11/2022</v>
      </c>
      <c r="M68" s="30">
        <v>18887</v>
      </c>
      <c r="T68" s="35">
        <f t="shared" si="5"/>
        <v>334.00199999999995</v>
      </c>
    </row>
    <row r="69" spans="1:20" ht="12.75" customHeight="1" x14ac:dyDescent="0.25">
      <c r="A69" s="85" t="s">
        <v>247</v>
      </c>
      <c r="B69" s="30">
        <v>262.47000000000003</v>
      </c>
      <c r="C69" s="30"/>
      <c r="D69" s="26"/>
      <c r="H69" s="11" t="str">
        <f t="shared" si="4"/>
        <v>2nd Pay Period ending 22/11/2022</v>
      </c>
      <c r="M69" s="30">
        <v>18827</v>
      </c>
      <c r="T69" s="35">
        <f t="shared" si="5"/>
        <v>157.48200000000003</v>
      </c>
    </row>
    <row r="70" spans="1:20" ht="12.75" customHeight="1" x14ac:dyDescent="0.25">
      <c r="A70" s="85" t="s">
        <v>247</v>
      </c>
      <c r="B70" s="30">
        <v>1415.1</v>
      </c>
      <c r="C70" s="30"/>
      <c r="D70" s="26"/>
      <c r="H70" s="11" t="str">
        <f t="shared" si="4"/>
        <v>2nd Pay Period ending 22/11/2022</v>
      </c>
      <c r="M70" s="30">
        <v>18918</v>
      </c>
      <c r="T70" s="35">
        <f t="shared" si="5"/>
        <v>849.06</v>
      </c>
    </row>
    <row r="71" spans="1:20" ht="12.75" customHeight="1" x14ac:dyDescent="0.25">
      <c r="A71" s="85" t="s">
        <v>247</v>
      </c>
      <c r="B71" s="30">
        <v>667.92</v>
      </c>
      <c r="C71" s="30"/>
      <c r="D71" s="26"/>
      <c r="H71" s="11" t="str">
        <f t="shared" si="4"/>
        <v>2nd Pay Period ending 22/11/2022</v>
      </c>
      <c r="M71" s="30">
        <v>18949</v>
      </c>
      <c r="T71" s="35">
        <f t="shared" si="5"/>
        <v>400.75200000000001</v>
      </c>
    </row>
    <row r="72" spans="1:20" ht="12.75" customHeight="1" x14ac:dyDescent="0.25">
      <c r="A72" s="85" t="s">
        <v>247</v>
      </c>
      <c r="B72" s="30">
        <v>109.27</v>
      </c>
      <c r="C72" s="30"/>
      <c r="D72" s="26"/>
      <c r="H72" s="11" t="str">
        <f t="shared" si="4"/>
        <v>2nd Pay Period ending 22/11/2022</v>
      </c>
      <c r="M72" s="30">
        <v>134</v>
      </c>
      <c r="T72" s="35">
        <f t="shared" si="5"/>
        <v>65.561999999999998</v>
      </c>
    </row>
    <row r="73" spans="1:20" ht="12.75" customHeight="1" x14ac:dyDescent="0.25">
      <c r="A73" s="85" t="s">
        <v>247</v>
      </c>
      <c r="B73" s="30">
        <v>88.99</v>
      </c>
      <c r="C73" s="30"/>
      <c r="D73" s="26"/>
      <c r="H73" s="11" t="str">
        <f t="shared" si="4"/>
        <v>2nd Pay Period ending 22/11/2022</v>
      </c>
      <c r="M73" s="30">
        <v>18822</v>
      </c>
      <c r="T73" s="35">
        <f t="shared" si="5"/>
        <v>53.393999999999991</v>
      </c>
    </row>
    <row r="74" spans="1:20" ht="12.75" customHeight="1" x14ac:dyDescent="0.25">
      <c r="A74" s="85" t="s">
        <v>247</v>
      </c>
      <c r="B74" s="30">
        <v>259.89</v>
      </c>
      <c r="C74" s="30"/>
      <c r="D74" s="26"/>
      <c r="H74" s="11" t="str">
        <f t="shared" si="4"/>
        <v>2nd Pay Period ending 22/11/2022</v>
      </c>
      <c r="M74" s="30">
        <v>18797</v>
      </c>
      <c r="T74" s="35">
        <f t="shared" si="5"/>
        <v>155.93399999999997</v>
      </c>
    </row>
    <row r="75" spans="1:20" ht="12.75" customHeight="1" x14ac:dyDescent="0.25">
      <c r="A75" s="85" t="s">
        <v>247</v>
      </c>
      <c r="B75" s="30">
        <v>386.07</v>
      </c>
      <c r="C75" s="30"/>
      <c r="D75" s="26"/>
      <c r="H75" s="11" t="str">
        <f t="shared" si="4"/>
        <v>2nd Pay Period ending 22/11/2022</v>
      </c>
      <c r="M75" s="30">
        <v>18929</v>
      </c>
      <c r="T75" s="35">
        <f t="shared" si="5"/>
        <v>231.642</v>
      </c>
    </row>
    <row r="76" spans="1:20" ht="12.75" customHeight="1" x14ac:dyDescent="0.25">
      <c r="A76" s="85" t="s">
        <v>247</v>
      </c>
      <c r="B76" s="30">
        <v>470.88</v>
      </c>
      <c r="C76" s="30"/>
      <c r="D76" s="26"/>
      <c r="H76" s="11" t="str">
        <f t="shared" si="4"/>
        <v>2nd Pay Period ending 22/11/2022</v>
      </c>
      <c r="M76" s="30">
        <v>18979</v>
      </c>
      <c r="T76" s="35">
        <f t="shared" si="5"/>
        <v>282.52800000000002</v>
      </c>
    </row>
    <row r="77" spans="1:20" ht="12.75" customHeight="1" x14ac:dyDescent="0.25">
      <c r="A77" s="85" t="s">
        <v>249</v>
      </c>
      <c r="B77" s="30">
        <v>149.65</v>
      </c>
      <c r="C77" s="30"/>
      <c r="D77" s="26"/>
      <c r="H77" s="11" t="str">
        <f t="shared" si="4"/>
        <v>2nd Pay Period ending 22/11/2022</v>
      </c>
      <c r="M77" s="30">
        <v>18989</v>
      </c>
      <c r="T77" s="35">
        <f t="shared" si="5"/>
        <v>89.789999999999992</v>
      </c>
    </row>
    <row r="78" spans="1:20" ht="12.75" customHeight="1" x14ac:dyDescent="0.25">
      <c r="A78" s="85" t="s">
        <v>250</v>
      </c>
      <c r="B78" s="30">
        <v>743.38</v>
      </c>
      <c r="C78" s="30"/>
      <c r="D78" s="26"/>
      <c r="H78" s="11" t="str">
        <f t="shared" si="4"/>
        <v>2nd Pay Period ending 22/11/2022</v>
      </c>
      <c r="M78" s="30">
        <v>18736</v>
      </c>
      <c r="T78" s="35">
        <f t="shared" si="5"/>
        <v>446.02799999999996</v>
      </c>
    </row>
    <row r="79" spans="1:20" ht="12.75" customHeight="1" x14ac:dyDescent="0.25">
      <c r="A79" s="85" t="s">
        <v>251</v>
      </c>
      <c r="B79" s="30">
        <v>606.46</v>
      </c>
      <c r="C79" s="30"/>
      <c r="D79" s="26"/>
      <c r="H79" s="11" t="str">
        <f t="shared" si="4"/>
        <v>2nd Pay Period ending 22/11/2022</v>
      </c>
      <c r="M79" s="30">
        <v>19028</v>
      </c>
      <c r="T79" s="35">
        <f t="shared" si="5"/>
        <v>363.87599999999998</v>
      </c>
    </row>
    <row r="80" spans="1:20" ht="12.75" customHeight="1" x14ac:dyDescent="0.25">
      <c r="A80" s="85" t="s">
        <v>251</v>
      </c>
      <c r="B80" s="30">
        <v>558.58000000000004</v>
      </c>
      <c r="C80" s="30"/>
      <c r="D80" s="26"/>
      <c r="H80" s="11" t="str">
        <f t="shared" si="4"/>
        <v>2nd Pay Period ending 22/11/2022</v>
      </c>
      <c r="M80" s="30">
        <v>19017</v>
      </c>
      <c r="T80" s="35">
        <f t="shared" si="5"/>
        <v>335.14800000000002</v>
      </c>
    </row>
    <row r="81" spans="1:20" ht="12.75" customHeight="1" x14ac:dyDescent="0.25">
      <c r="A81" s="85" t="s">
        <v>251</v>
      </c>
      <c r="B81" s="30">
        <v>399.69</v>
      </c>
      <c r="C81" s="30"/>
      <c r="D81" s="26"/>
      <c r="H81" s="11" t="str">
        <f t="shared" si="4"/>
        <v>2nd Pay Period ending 22/11/2022</v>
      </c>
      <c r="M81" s="30">
        <v>19019</v>
      </c>
      <c r="T81" s="35">
        <f t="shared" si="5"/>
        <v>239.81400000000002</v>
      </c>
    </row>
    <row r="82" spans="1:20" ht="12.75" customHeight="1" x14ac:dyDescent="0.25">
      <c r="A82" s="85" t="s">
        <v>251</v>
      </c>
      <c r="B82" s="30">
        <v>254.78</v>
      </c>
      <c r="C82" s="30"/>
      <c r="D82" s="26"/>
      <c r="H82" s="11" t="str">
        <f t="shared" si="4"/>
        <v>2nd Pay Period ending 22/11/2022</v>
      </c>
      <c r="M82" s="30">
        <v>19011</v>
      </c>
      <c r="T82" s="35">
        <f t="shared" si="5"/>
        <v>152.86799999999999</v>
      </c>
    </row>
    <row r="83" spans="1:20" ht="12.75" customHeight="1" x14ac:dyDescent="0.25">
      <c r="A83" s="85" t="s">
        <v>251</v>
      </c>
      <c r="B83" s="30">
        <v>535.09</v>
      </c>
      <c r="C83" s="30"/>
      <c r="D83" s="26"/>
      <c r="H83" s="11" t="str">
        <f t="shared" si="4"/>
        <v>2nd Pay Period ending 22/11/2022</v>
      </c>
      <c r="M83" s="30">
        <v>19015</v>
      </c>
      <c r="T83" s="35">
        <f t="shared" si="5"/>
        <v>321.05399999999997</v>
      </c>
    </row>
    <row r="84" spans="1:20" ht="12.75" customHeight="1" x14ac:dyDescent="0.25">
      <c r="A84" s="85" t="s">
        <v>251</v>
      </c>
      <c r="B84" s="30">
        <v>735.89</v>
      </c>
      <c r="C84" s="30"/>
      <c r="D84" s="26"/>
      <c r="H84" s="11" t="str">
        <f t="shared" si="4"/>
        <v>2nd Pay Period ending 22/11/2022</v>
      </c>
      <c r="M84" s="30">
        <v>18932</v>
      </c>
      <c r="T84" s="35">
        <f t="shared" si="5"/>
        <v>441.53399999999999</v>
      </c>
    </row>
    <row r="85" spans="1:20" ht="12.75" customHeight="1" x14ac:dyDescent="0.25">
      <c r="A85" s="85" t="s">
        <v>251</v>
      </c>
      <c r="B85" s="30">
        <v>29.26</v>
      </c>
      <c r="C85" s="30"/>
      <c r="D85" s="26"/>
      <c r="H85" s="11" t="str">
        <f t="shared" si="4"/>
        <v>2nd Pay Period ending 22/11/2022</v>
      </c>
      <c r="M85" s="30">
        <v>18607</v>
      </c>
      <c r="T85" s="35">
        <f t="shared" si="5"/>
        <v>17.556000000000001</v>
      </c>
    </row>
    <row r="86" spans="1:20" ht="12.75" customHeight="1" x14ac:dyDescent="0.25">
      <c r="A86" s="85" t="s">
        <v>251</v>
      </c>
      <c r="B86" s="30">
        <v>854.8</v>
      </c>
      <c r="C86" s="30"/>
      <c r="D86" s="26"/>
      <c r="H86" s="11" t="str">
        <f t="shared" si="4"/>
        <v>2nd Pay Period ending 22/11/2022</v>
      </c>
      <c r="M86" s="30">
        <v>18983</v>
      </c>
      <c r="T86" s="35">
        <f t="shared" si="5"/>
        <v>512.87999999999988</v>
      </c>
    </row>
    <row r="87" spans="1:20" ht="12.75" customHeight="1" x14ac:dyDescent="0.25">
      <c r="A87" s="85" t="s">
        <v>251</v>
      </c>
      <c r="B87" s="30">
        <v>95.62</v>
      </c>
      <c r="C87" s="30"/>
      <c r="D87" s="26"/>
      <c r="H87" s="11" t="str">
        <f t="shared" si="4"/>
        <v>2nd Pay Period ending 22/11/2022</v>
      </c>
      <c r="M87" s="30">
        <v>19009</v>
      </c>
      <c r="T87" s="35">
        <f t="shared" si="5"/>
        <v>57.372000000000007</v>
      </c>
    </row>
    <row r="88" spans="1:20" ht="12.75" customHeight="1" x14ac:dyDescent="0.25">
      <c r="A88" s="85" t="s">
        <v>251</v>
      </c>
      <c r="B88" s="30">
        <v>8.6199999999999992</v>
      </c>
      <c r="C88" s="30"/>
      <c r="D88" s="26"/>
      <c r="H88" s="11" t="str">
        <f t="shared" si="4"/>
        <v>2nd Pay Period ending 22/11/2022</v>
      </c>
      <c r="M88" s="30">
        <v>18679</v>
      </c>
      <c r="T88" s="35">
        <f t="shared" si="5"/>
        <v>5.1719999999999988</v>
      </c>
    </row>
    <row r="89" spans="1:20" ht="12.75" customHeight="1" x14ac:dyDescent="0.25">
      <c r="A89" s="85" t="s">
        <v>251</v>
      </c>
      <c r="B89" s="30">
        <v>614.95000000000005</v>
      </c>
      <c r="C89" s="30"/>
      <c r="D89" s="26"/>
      <c r="H89" s="11" t="str">
        <f t="shared" si="4"/>
        <v>2nd Pay Period ending 22/11/2022</v>
      </c>
      <c r="M89" s="30">
        <v>18829</v>
      </c>
      <c r="T89" s="35">
        <f t="shared" si="5"/>
        <v>368.97</v>
      </c>
    </row>
    <row r="90" spans="1:20" ht="12.75" customHeight="1" x14ac:dyDescent="0.25">
      <c r="A90" s="85" t="s">
        <v>251</v>
      </c>
      <c r="B90" s="30">
        <v>509.59</v>
      </c>
      <c r="C90" s="30"/>
      <c r="D90" s="26"/>
      <c r="H90" s="11" t="str">
        <f t="shared" si="4"/>
        <v>2nd Pay Period ending 22/11/2022</v>
      </c>
      <c r="M90" s="30">
        <v>19012</v>
      </c>
      <c r="T90" s="35">
        <f t="shared" si="5"/>
        <v>305.75399999999996</v>
      </c>
    </row>
    <row r="91" spans="1:20" ht="12.75" customHeight="1" x14ac:dyDescent="0.25">
      <c r="A91" s="85" t="s">
        <v>251</v>
      </c>
      <c r="B91" s="30">
        <v>70.150000000000006</v>
      </c>
      <c r="C91" s="30"/>
      <c r="D91" s="26"/>
      <c r="H91" s="11" t="str">
        <f t="shared" si="4"/>
        <v>2nd Pay Period ending 22/11/2022</v>
      </c>
      <c r="M91" s="30">
        <v>19008</v>
      </c>
      <c r="T91" s="35">
        <f t="shared" si="5"/>
        <v>42.09</v>
      </c>
    </row>
    <row r="92" spans="1:20" ht="12.75" customHeight="1" x14ac:dyDescent="0.25">
      <c r="A92" s="85" t="s">
        <v>251</v>
      </c>
      <c r="B92" s="30">
        <v>456.88</v>
      </c>
      <c r="C92" s="30"/>
      <c r="D92" s="26"/>
      <c r="H92" s="11" t="str">
        <f t="shared" si="4"/>
        <v>2nd Pay Period ending 22/11/2022</v>
      </c>
      <c r="M92" s="30">
        <v>19029</v>
      </c>
      <c r="T92" s="35">
        <f t="shared" si="5"/>
        <v>274.12800000000004</v>
      </c>
    </row>
    <row r="93" spans="1:20" ht="12.75" customHeight="1" x14ac:dyDescent="0.25">
      <c r="A93" s="85" t="s">
        <v>251</v>
      </c>
      <c r="B93" s="30">
        <v>57.49</v>
      </c>
      <c r="C93" s="30"/>
      <c r="D93" s="26"/>
      <c r="H93" s="11" t="str">
        <f t="shared" si="4"/>
        <v>2nd Pay Period ending 22/11/2022</v>
      </c>
      <c r="M93" s="30">
        <v>18923</v>
      </c>
      <c r="T93" s="35">
        <f t="shared" si="5"/>
        <v>34.494</v>
      </c>
    </row>
    <row r="94" spans="1:20" ht="12.75" customHeight="1" x14ac:dyDescent="0.25">
      <c r="A94" s="85" t="s">
        <v>252</v>
      </c>
      <c r="B94" s="30">
        <v>47.72</v>
      </c>
      <c r="C94" s="30"/>
      <c r="D94" s="26"/>
      <c r="H94" s="11" t="str">
        <f t="shared" si="4"/>
        <v>2nd Pay Period ending 22/11/2022</v>
      </c>
      <c r="M94" s="30">
        <v>18904</v>
      </c>
      <c r="T94" s="35">
        <f t="shared" si="5"/>
        <v>28.632000000000001</v>
      </c>
    </row>
    <row r="95" spans="1:20" ht="12.75" customHeight="1" x14ac:dyDescent="0.25">
      <c r="A95" s="85" t="s">
        <v>253</v>
      </c>
      <c r="B95" s="30">
        <v>249.43</v>
      </c>
      <c r="C95" s="30"/>
      <c r="D95" s="26"/>
      <c r="H95" s="11" t="str">
        <f t="shared" si="4"/>
        <v>2nd Pay Period ending 22/11/2022</v>
      </c>
      <c r="M95" s="30">
        <v>18924</v>
      </c>
      <c r="T95" s="35">
        <f t="shared" si="5"/>
        <v>149.65800000000002</v>
      </c>
    </row>
    <row r="96" spans="1:20" ht="12.75" customHeight="1" x14ac:dyDescent="0.25">
      <c r="A96" s="85" t="s">
        <v>253</v>
      </c>
      <c r="B96" s="30">
        <v>127.33</v>
      </c>
      <c r="C96" s="30"/>
      <c r="D96" s="26"/>
      <c r="H96" s="11" t="str">
        <f t="shared" si="4"/>
        <v>2nd Pay Period ending 22/11/2022</v>
      </c>
      <c r="M96" s="30">
        <v>18850</v>
      </c>
      <c r="T96" s="35">
        <f t="shared" si="5"/>
        <v>76.397999999999996</v>
      </c>
    </row>
    <row r="97" spans="1:20" ht="12.75" customHeight="1" x14ac:dyDescent="0.25">
      <c r="A97" s="85" t="s">
        <v>253</v>
      </c>
      <c r="B97" s="30">
        <v>17.41</v>
      </c>
      <c r="C97" s="30"/>
      <c r="D97" s="26"/>
      <c r="H97" s="11" t="str">
        <f t="shared" si="4"/>
        <v>2nd Pay Period ending 22/11/2022</v>
      </c>
      <c r="M97" s="30">
        <v>18942</v>
      </c>
      <c r="T97" s="35">
        <f t="shared" si="5"/>
        <v>10.446000000000002</v>
      </c>
    </row>
    <row r="98" spans="1:20" ht="12.75" customHeight="1" x14ac:dyDescent="0.25">
      <c r="A98" s="85" t="s">
        <v>253</v>
      </c>
      <c r="B98" s="30">
        <v>185.48</v>
      </c>
      <c r="C98" s="30"/>
      <c r="D98" s="26"/>
      <c r="H98" s="11" t="str">
        <f t="shared" si="4"/>
        <v>2nd Pay Period ending 22/11/2022</v>
      </c>
      <c r="M98" s="30">
        <v>18646</v>
      </c>
      <c r="T98" s="35">
        <f t="shared" si="5"/>
        <v>111.28799999999998</v>
      </c>
    </row>
    <row r="99" spans="1:20" ht="12.75" customHeight="1" x14ac:dyDescent="0.25">
      <c r="A99" s="85" t="s">
        <v>253</v>
      </c>
      <c r="B99" s="30">
        <v>32.07</v>
      </c>
      <c r="C99" s="30"/>
      <c r="D99" s="26"/>
      <c r="H99" s="11" t="str">
        <f t="shared" si="4"/>
        <v>2nd Pay Period ending 22/11/2022</v>
      </c>
      <c r="M99" s="30">
        <v>18986</v>
      </c>
      <c r="T99" s="35">
        <f t="shared" si="5"/>
        <v>19.241999999999997</v>
      </c>
    </row>
    <row r="100" spans="1:20" ht="12.75" customHeight="1" x14ac:dyDescent="0.25">
      <c r="A100" s="85" t="s">
        <v>253</v>
      </c>
      <c r="B100" s="30">
        <v>46.32</v>
      </c>
      <c r="C100" s="30"/>
      <c r="D100" s="26"/>
      <c r="H100" s="11" t="str">
        <f t="shared" si="4"/>
        <v>2nd Pay Period ending 22/11/2022</v>
      </c>
      <c r="M100" s="30">
        <v>18990</v>
      </c>
      <c r="T100" s="35">
        <f t="shared" si="5"/>
        <v>27.791999999999998</v>
      </c>
    </row>
    <row r="101" spans="1:20" ht="12.75" customHeight="1" x14ac:dyDescent="0.25">
      <c r="A101" s="85" t="s">
        <v>253</v>
      </c>
      <c r="B101" s="30">
        <v>1.58</v>
      </c>
      <c r="C101" s="30"/>
      <c r="D101" s="26"/>
      <c r="H101" s="11" t="str">
        <f t="shared" si="4"/>
        <v>2nd Pay Period ending 22/11/2022</v>
      </c>
      <c r="M101" s="30">
        <v>18703</v>
      </c>
      <c r="T101" s="35">
        <f t="shared" si="5"/>
        <v>0.94799999999999995</v>
      </c>
    </row>
    <row r="102" spans="1:20" ht="12.75" customHeight="1" x14ac:dyDescent="0.25">
      <c r="A102" s="85" t="s">
        <v>253</v>
      </c>
      <c r="B102" s="30">
        <v>38.01</v>
      </c>
      <c r="C102" s="30"/>
      <c r="D102" s="26"/>
      <c r="H102" s="11" t="str">
        <f t="shared" si="4"/>
        <v>2nd Pay Period ending 22/11/2022</v>
      </c>
      <c r="M102" s="30">
        <v>19039</v>
      </c>
      <c r="T102" s="35">
        <f t="shared" si="5"/>
        <v>22.805999999999997</v>
      </c>
    </row>
    <row r="103" spans="1:20" ht="12.75" customHeight="1" x14ac:dyDescent="0.25">
      <c r="A103" s="85" t="s">
        <v>254</v>
      </c>
      <c r="B103" s="30">
        <v>39.340000000000003</v>
      </c>
      <c r="C103" s="30"/>
      <c r="D103" s="26"/>
      <c r="H103" s="11" t="str">
        <f t="shared" si="4"/>
        <v>2nd Pay Period ending 22/11/2022</v>
      </c>
      <c r="M103" s="30">
        <v>18927</v>
      </c>
      <c r="T103" s="35">
        <f t="shared" si="5"/>
        <v>23.603999999999999</v>
      </c>
    </row>
    <row r="104" spans="1:20" ht="12.75" customHeight="1" x14ac:dyDescent="0.25">
      <c r="A104" s="85" t="s">
        <v>254</v>
      </c>
      <c r="B104" s="30">
        <v>193.75</v>
      </c>
      <c r="C104" s="30"/>
      <c r="D104" s="26"/>
      <c r="H104" s="11" t="str">
        <f t="shared" si="4"/>
        <v>2nd Pay Period ending 22/11/2022</v>
      </c>
      <c r="M104" s="30">
        <v>18823</v>
      </c>
      <c r="T104" s="35">
        <f t="shared" si="5"/>
        <v>116.25</v>
      </c>
    </row>
    <row r="105" spans="1:20" ht="12.75" customHeight="1" x14ac:dyDescent="0.25">
      <c r="A105" s="85" t="s">
        <v>254</v>
      </c>
      <c r="B105" s="30">
        <v>48.97</v>
      </c>
      <c r="C105" s="30"/>
      <c r="D105" s="26"/>
      <c r="H105" s="11" t="str">
        <f t="shared" si="4"/>
        <v>2nd Pay Period ending 22/11/2022</v>
      </c>
      <c r="M105" s="30">
        <v>18634</v>
      </c>
      <c r="T105" s="35">
        <f t="shared" si="5"/>
        <v>29.382000000000001</v>
      </c>
    </row>
    <row r="106" spans="1:20" ht="12.75" customHeight="1" x14ac:dyDescent="0.25">
      <c r="A106" s="85" t="s">
        <v>254</v>
      </c>
      <c r="B106" s="30">
        <v>233.44</v>
      </c>
      <c r="C106" s="30"/>
      <c r="D106" s="26"/>
      <c r="H106" s="11" t="str">
        <f t="shared" si="4"/>
        <v>2nd Pay Period ending 22/11/2022</v>
      </c>
      <c r="M106" s="30">
        <v>18996</v>
      </c>
      <c r="T106" s="35">
        <f t="shared" si="5"/>
        <v>140.06400000000002</v>
      </c>
    </row>
    <row r="107" spans="1:20" ht="12.75" customHeight="1" x14ac:dyDescent="0.25">
      <c r="A107" s="85" t="s">
        <v>254</v>
      </c>
      <c r="B107" s="30">
        <v>150.58000000000001</v>
      </c>
      <c r="C107" s="30"/>
      <c r="D107" s="26"/>
      <c r="H107" s="11" t="str">
        <f t="shared" si="4"/>
        <v>2nd Pay Period ending 22/11/2022</v>
      </c>
      <c r="M107" s="30">
        <v>18895</v>
      </c>
      <c r="T107" s="35">
        <f t="shared" si="5"/>
        <v>90.348000000000013</v>
      </c>
    </row>
    <row r="108" spans="1:20" ht="12.75" customHeight="1" x14ac:dyDescent="0.25">
      <c r="A108" s="85" t="s">
        <v>254</v>
      </c>
      <c r="B108" s="30">
        <v>486.9</v>
      </c>
      <c r="C108" s="30"/>
      <c r="D108" s="26"/>
      <c r="H108" s="11" t="str">
        <f t="shared" si="4"/>
        <v>2nd Pay Period ending 22/11/2022</v>
      </c>
      <c r="M108" s="30">
        <v>18898</v>
      </c>
      <c r="T108" s="35">
        <f t="shared" si="5"/>
        <v>292.14</v>
      </c>
    </row>
    <row r="109" spans="1:20" ht="12.75" customHeight="1" x14ac:dyDescent="0.25">
      <c r="A109" s="85" t="s">
        <v>256</v>
      </c>
      <c r="B109" s="30">
        <v>281.33999999999997</v>
      </c>
      <c r="C109" s="30"/>
      <c r="D109" s="26"/>
      <c r="H109" s="11" t="str">
        <f t="shared" si="4"/>
        <v>2nd Pay Period ending 22/11/2022</v>
      </c>
      <c r="M109" s="30">
        <v>18561</v>
      </c>
      <c r="T109" s="35">
        <f t="shared" si="5"/>
        <v>168.80399999999997</v>
      </c>
    </row>
    <row r="110" spans="1:20" ht="12.75" customHeight="1" x14ac:dyDescent="0.25">
      <c r="A110" s="85" t="s">
        <v>256</v>
      </c>
      <c r="B110" s="30">
        <v>57.61</v>
      </c>
      <c r="C110" s="30"/>
      <c r="D110" s="26"/>
      <c r="H110" s="11" t="str">
        <f t="shared" si="4"/>
        <v>2nd Pay Period ending 22/11/2022</v>
      </c>
      <c r="M110" s="30">
        <v>18953</v>
      </c>
      <c r="T110" s="35">
        <f t="shared" si="5"/>
        <v>34.566000000000003</v>
      </c>
    </row>
    <row r="111" spans="1:20" ht="12.75" customHeight="1" x14ac:dyDescent="0.25">
      <c r="A111" s="85" t="s">
        <v>257</v>
      </c>
      <c r="B111" s="30">
        <v>8.0500000000000007</v>
      </c>
      <c r="C111" s="30"/>
      <c r="D111" s="26"/>
      <c r="H111" s="11" t="str">
        <f t="shared" si="4"/>
        <v>2nd Pay Period ending 22/11/2022</v>
      </c>
      <c r="M111" s="30">
        <v>156</v>
      </c>
      <c r="T111" s="35">
        <f t="shared" si="5"/>
        <v>4.83</v>
      </c>
    </row>
    <row r="112" spans="1:20" ht="12.75" customHeight="1" x14ac:dyDescent="0.25">
      <c r="A112" s="85" t="s">
        <v>257</v>
      </c>
      <c r="B112" s="30">
        <v>56.75</v>
      </c>
      <c r="C112" s="30"/>
      <c r="D112" s="26"/>
      <c r="H112" s="11" t="str">
        <f t="shared" si="4"/>
        <v>2nd Pay Period ending 22/11/2022</v>
      </c>
      <c r="M112" s="30">
        <v>18792</v>
      </c>
      <c r="T112" s="35">
        <f t="shared" si="5"/>
        <v>34.049999999999997</v>
      </c>
    </row>
    <row r="113" spans="1:20" ht="12.75" customHeight="1" x14ac:dyDescent="0.25">
      <c r="A113" s="85" t="s">
        <v>257</v>
      </c>
      <c r="B113" s="30">
        <v>43.89</v>
      </c>
      <c r="C113" s="30"/>
      <c r="D113" s="26"/>
      <c r="H113" s="11" t="str">
        <f t="shared" si="4"/>
        <v>2nd Pay Period ending 22/11/2022</v>
      </c>
      <c r="M113" s="30">
        <v>18506</v>
      </c>
      <c r="T113" s="35">
        <f t="shared" si="5"/>
        <v>26.334000000000003</v>
      </c>
    </row>
    <row r="114" spans="1:20" ht="12.75" customHeight="1" x14ac:dyDescent="0.25">
      <c r="A114" s="85" t="s">
        <v>446</v>
      </c>
      <c r="B114" s="30">
        <v>331.98</v>
      </c>
      <c r="C114" s="30"/>
      <c r="D114" s="26"/>
      <c r="H114" s="11" t="str">
        <f t="shared" si="4"/>
        <v>2nd Pay Period ending 22/11/2022</v>
      </c>
      <c r="M114" s="30">
        <v>19037</v>
      </c>
      <c r="T114" s="35">
        <f t="shared" si="5"/>
        <v>199.18799999999999</v>
      </c>
    </row>
    <row r="115" spans="1:20" ht="12.75" customHeight="1" x14ac:dyDescent="0.25">
      <c r="A115" s="85" t="s">
        <v>258</v>
      </c>
      <c r="B115" s="30">
        <v>230.77</v>
      </c>
      <c r="C115" s="30"/>
      <c r="D115" s="26"/>
      <c r="H115" s="11" t="str">
        <f t="shared" si="4"/>
        <v>2nd Pay Period ending 22/11/2022</v>
      </c>
      <c r="M115" s="30">
        <v>18517</v>
      </c>
      <c r="T115" s="35">
        <f t="shared" si="5"/>
        <v>138.46200000000002</v>
      </c>
    </row>
    <row r="116" spans="1:20" ht="12.75" customHeight="1" x14ac:dyDescent="0.25">
      <c r="A116" s="85" t="s">
        <v>472</v>
      </c>
      <c r="B116" s="30">
        <v>24.15</v>
      </c>
      <c r="C116" s="30"/>
      <c r="D116" s="26"/>
      <c r="H116" s="11" t="str">
        <f t="shared" si="4"/>
        <v>2nd Pay Period ending 22/11/2022</v>
      </c>
      <c r="M116" s="30">
        <v>18736</v>
      </c>
      <c r="T116" s="35">
        <f t="shared" si="5"/>
        <v>14.49</v>
      </c>
    </row>
    <row r="117" spans="1:20" ht="12.75" customHeight="1" x14ac:dyDescent="0.25">
      <c r="A117" s="85" t="s">
        <v>259</v>
      </c>
      <c r="B117" s="30">
        <v>692.31</v>
      </c>
      <c r="C117" s="30"/>
      <c r="D117" s="26"/>
      <c r="H117" s="11" t="str">
        <f t="shared" si="4"/>
        <v>2nd Pay Period ending 22/11/2022</v>
      </c>
      <c r="M117" s="30">
        <v>18920</v>
      </c>
      <c r="T117" s="35">
        <f t="shared" si="5"/>
        <v>415.38599999999997</v>
      </c>
    </row>
    <row r="118" spans="1:20" ht="12.75" customHeight="1" x14ac:dyDescent="0.25">
      <c r="A118" s="85" t="s">
        <v>260</v>
      </c>
      <c r="B118" s="30">
        <v>692.31</v>
      </c>
      <c r="C118" s="30"/>
      <c r="D118" s="26"/>
      <c r="H118" s="11" t="str">
        <f t="shared" si="4"/>
        <v>2nd Pay Period ending 22/11/2022</v>
      </c>
      <c r="M118" s="30">
        <v>18948</v>
      </c>
      <c r="T118" s="35">
        <f t="shared" si="5"/>
        <v>415.38599999999997</v>
      </c>
    </row>
    <row r="119" spans="1:20" ht="12.75" customHeight="1" x14ac:dyDescent="0.25">
      <c r="A119" s="85" t="s">
        <v>260</v>
      </c>
      <c r="B119" s="30">
        <v>692.31</v>
      </c>
      <c r="C119" s="30"/>
      <c r="D119" s="26"/>
      <c r="H119" s="11" t="str">
        <f t="shared" si="4"/>
        <v>2nd Pay Period ending 22/11/2022</v>
      </c>
      <c r="M119" s="30">
        <v>18716</v>
      </c>
      <c r="T119" s="35">
        <f t="shared" si="5"/>
        <v>415.38599999999997</v>
      </c>
    </row>
    <row r="120" spans="1:20" ht="12.75" customHeight="1" x14ac:dyDescent="0.25">
      <c r="A120" s="85" t="s">
        <v>261</v>
      </c>
      <c r="B120" s="30">
        <v>267.23</v>
      </c>
      <c r="C120" s="30"/>
      <c r="D120" s="26"/>
      <c r="H120" s="11" t="str">
        <f t="shared" si="4"/>
        <v>2nd Pay Period ending 22/11/2022</v>
      </c>
      <c r="M120" s="30">
        <v>18969</v>
      </c>
      <c r="T120" s="35">
        <f t="shared" si="5"/>
        <v>160.33800000000002</v>
      </c>
    </row>
    <row r="121" spans="1:20" ht="12.75" customHeight="1" x14ac:dyDescent="0.25">
      <c r="A121" s="85" t="s">
        <v>261</v>
      </c>
      <c r="B121" s="30">
        <v>36.46</v>
      </c>
      <c r="C121" s="30"/>
      <c r="D121" s="26"/>
      <c r="H121" s="11" t="str">
        <f t="shared" si="4"/>
        <v>2nd Pay Period ending 22/11/2022</v>
      </c>
      <c r="M121" s="30">
        <v>18862</v>
      </c>
      <c r="T121" s="35">
        <f t="shared" si="5"/>
        <v>21.875999999999998</v>
      </c>
    </row>
    <row r="122" spans="1:20" ht="12.75" customHeight="1" x14ac:dyDescent="0.25">
      <c r="A122" s="85" t="s">
        <v>262</v>
      </c>
      <c r="B122" s="30">
        <v>692.31</v>
      </c>
      <c r="C122" s="30"/>
      <c r="D122" s="26"/>
      <c r="H122" s="11" t="str">
        <f t="shared" si="4"/>
        <v>2nd Pay Period ending 22/11/2022</v>
      </c>
      <c r="M122" s="30">
        <v>18886</v>
      </c>
      <c r="T122" s="35">
        <f t="shared" si="5"/>
        <v>415.38599999999997</v>
      </c>
    </row>
    <row r="123" spans="1:20" ht="12.75" customHeight="1" x14ac:dyDescent="0.25">
      <c r="A123" s="85" t="s">
        <v>263</v>
      </c>
      <c r="B123" s="30">
        <v>692.31</v>
      </c>
      <c r="C123" s="30"/>
      <c r="D123" s="26"/>
      <c r="H123" s="11" t="str">
        <f t="shared" si="4"/>
        <v>2nd Pay Period ending 22/11/2022</v>
      </c>
      <c r="M123" s="30">
        <v>18853</v>
      </c>
      <c r="T123" s="35">
        <f t="shared" si="5"/>
        <v>415.38599999999997</v>
      </c>
    </row>
    <row r="124" spans="1:20" ht="12.75" customHeight="1" x14ac:dyDescent="0.25">
      <c r="A124" s="85" t="s">
        <v>264</v>
      </c>
      <c r="B124" s="30">
        <v>36.46</v>
      </c>
      <c r="C124" s="30"/>
      <c r="D124" s="26"/>
      <c r="H124" s="11" t="str">
        <f t="shared" si="4"/>
        <v>2nd Pay Period ending 22/11/2022</v>
      </c>
      <c r="M124" s="30">
        <v>18866</v>
      </c>
      <c r="T124" s="35">
        <f t="shared" si="5"/>
        <v>21.875999999999998</v>
      </c>
    </row>
    <row r="125" spans="1:20" ht="12.75" customHeight="1" x14ac:dyDescent="0.25">
      <c r="A125" s="85" t="s">
        <v>264</v>
      </c>
      <c r="B125" s="30">
        <v>117.63</v>
      </c>
      <c r="C125" s="30"/>
      <c r="D125" s="26"/>
      <c r="H125" s="11" t="str">
        <f t="shared" si="4"/>
        <v>2nd Pay Period ending 22/11/2022</v>
      </c>
      <c r="M125" s="30">
        <v>18831</v>
      </c>
      <c r="T125" s="35">
        <f t="shared" si="5"/>
        <v>70.578000000000003</v>
      </c>
    </row>
    <row r="126" spans="1:20" ht="12.75" customHeight="1" x14ac:dyDescent="0.25">
      <c r="A126" s="85" t="s">
        <v>264</v>
      </c>
      <c r="B126" s="30">
        <v>181.76</v>
      </c>
      <c r="C126" s="30"/>
      <c r="D126" s="26"/>
      <c r="H126" s="11" t="str">
        <f t="shared" si="4"/>
        <v>2nd Pay Period ending 22/11/2022</v>
      </c>
      <c r="M126" s="30">
        <v>18903</v>
      </c>
      <c r="T126" s="35">
        <f t="shared" si="5"/>
        <v>109.05599999999998</v>
      </c>
    </row>
    <row r="127" spans="1:20" ht="12.75" customHeight="1" x14ac:dyDescent="0.25">
      <c r="A127" s="85" t="s">
        <v>265</v>
      </c>
      <c r="B127" s="30">
        <v>344.28</v>
      </c>
      <c r="C127" s="30"/>
      <c r="D127" s="26"/>
      <c r="H127" s="11" t="str">
        <f t="shared" si="4"/>
        <v>2nd Pay Period ending 22/11/2022</v>
      </c>
      <c r="M127" s="30">
        <v>18879</v>
      </c>
      <c r="T127" s="35">
        <f t="shared" si="5"/>
        <v>206.56799999999998</v>
      </c>
    </row>
    <row r="128" spans="1:20" ht="12.75" customHeight="1" x14ac:dyDescent="0.25">
      <c r="A128" s="85" t="s">
        <v>265</v>
      </c>
      <c r="B128" s="30">
        <v>36.46</v>
      </c>
      <c r="C128" s="30"/>
      <c r="D128" s="26"/>
      <c r="H128" s="11" t="str">
        <f t="shared" si="4"/>
        <v>2nd Pay Period ending 22/11/2022</v>
      </c>
      <c r="M128" s="30">
        <v>18631</v>
      </c>
      <c r="T128" s="35">
        <f t="shared" si="5"/>
        <v>21.875999999999998</v>
      </c>
    </row>
    <row r="129" spans="1:20" ht="12.75" customHeight="1" x14ac:dyDescent="0.25">
      <c r="A129" s="85" t="s">
        <v>266</v>
      </c>
      <c r="B129" s="30">
        <v>355.7</v>
      </c>
      <c r="C129" s="30"/>
      <c r="D129" s="26"/>
      <c r="H129" s="11" t="str">
        <f t="shared" si="4"/>
        <v>2nd Pay Period ending 22/11/2022</v>
      </c>
      <c r="M129" s="30">
        <v>19013</v>
      </c>
      <c r="T129" s="35">
        <f t="shared" si="5"/>
        <v>213.42000000000002</v>
      </c>
    </row>
    <row r="130" spans="1:20" ht="12.75" customHeight="1" x14ac:dyDescent="0.25">
      <c r="A130" s="85" t="s">
        <v>267</v>
      </c>
      <c r="B130" s="30">
        <v>36.46</v>
      </c>
      <c r="C130" s="30"/>
      <c r="D130" s="26"/>
      <c r="H130" s="11" t="str">
        <f t="shared" si="4"/>
        <v>2nd Pay Period ending 22/11/2022</v>
      </c>
      <c r="M130" s="30">
        <v>18911</v>
      </c>
      <c r="T130" s="35">
        <f t="shared" si="5"/>
        <v>21.875999999999998</v>
      </c>
    </row>
    <row r="131" spans="1:20" ht="12.75" customHeight="1" x14ac:dyDescent="0.25">
      <c r="A131" s="85" t="s">
        <v>267</v>
      </c>
      <c r="B131" s="30">
        <v>16.100000000000001</v>
      </c>
      <c r="C131" s="30"/>
      <c r="D131" s="26"/>
      <c r="H131" s="11" t="str">
        <f t="shared" ref="H131:H194" si="6">$K$1</f>
        <v>2nd Pay Period ending 22/11/2022</v>
      </c>
      <c r="M131" s="30">
        <v>18967</v>
      </c>
      <c r="T131" s="35">
        <f t="shared" ref="T131:T194" si="7">B131/10*$V$1</f>
        <v>9.66</v>
      </c>
    </row>
    <row r="132" spans="1:20" ht="12.75" customHeight="1" x14ac:dyDescent="0.25">
      <c r="A132" s="85" t="s">
        <v>267</v>
      </c>
      <c r="B132" s="30">
        <v>41.33</v>
      </c>
      <c r="C132" s="30"/>
      <c r="D132" s="26"/>
      <c r="H132" s="11" t="str">
        <f t="shared" si="6"/>
        <v>2nd Pay Period ending 22/11/2022</v>
      </c>
      <c r="M132" s="30">
        <v>18960</v>
      </c>
      <c r="T132" s="35">
        <f t="shared" si="7"/>
        <v>24.798000000000002</v>
      </c>
    </row>
    <row r="133" spans="1:20" ht="12.75" customHeight="1" x14ac:dyDescent="0.25">
      <c r="A133" s="85" t="s">
        <v>267</v>
      </c>
      <c r="B133" s="30">
        <v>16.100000000000001</v>
      </c>
      <c r="C133" s="30"/>
      <c r="D133" s="26"/>
      <c r="H133" s="11" t="str">
        <f t="shared" si="6"/>
        <v>2nd Pay Period ending 22/11/2022</v>
      </c>
      <c r="M133" s="30">
        <v>18687</v>
      </c>
      <c r="T133" s="35">
        <f t="shared" si="7"/>
        <v>9.66</v>
      </c>
    </row>
    <row r="134" spans="1:20" ht="12.75" customHeight="1" x14ac:dyDescent="0.25">
      <c r="A134" s="85" t="s">
        <v>268</v>
      </c>
      <c r="B134" s="30">
        <v>235.25</v>
      </c>
      <c r="C134" s="30"/>
      <c r="D134" s="26"/>
      <c r="H134" s="11" t="str">
        <f t="shared" si="6"/>
        <v>2nd Pay Period ending 22/11/2022</v>
      </c>
      <c r="M134" s="30">
        <v>18961</v>
      </c>
      <c r="T134" s="35">
        <f t="shared" si="7"/>
        <v>141.14999999999998</v>
      </c>
    </row>
    <row r="135" spans="1:20" ht="12.75" customHeight="1" x14ac:dyDescent="0.25">
      <c r="A135" s="85" t="s">
        <v>268</v>
      </c>
      <c r="B135" s="30">
        <v>248.89</v>
      </c>
      <c r="C135" s="30"/>
      <c r="D135" s="26"/>
      <c r="H135" s="11" t="str">
        <f t="shared" si="6"/>
        <v>2nd Pay Period ending 22/11/2022</v>
      </c>
      <c r="M135" s="30">
        <v>145</v>
      </c>
      <c r="T135" s="35">
        <f t="shared" si="7"/>
        <v>149.334</v>
      </c>
    </row>
    <row r="136" spans="1:20" ht="12.75" customHeight="1" x14ac:dyDescent="0.25">
      <c r="A136" s="85" t="s">
        <v>269</v>
      </c>
      <c r="B136" s="30">
        <v>29.41</v>
      </c>
      <c r="C136" s="30"/>
      <c r="D136" s="26"/>
      <c r="H136" s="11" t="str">
        <f t="shared" si="6"/>
        <v>2nd Pay Period ending 22/11/2022</v>
      </c>
      <c r="M136" s="30">
        <v>19007</v>
      </c>
      <c r="T136" s="35">
        <f t="shared" si="7"/>
        <v>17.646000000000001</v>
      </c>
    </row>
    <row r="137" spans="1:20" ht="12.75" customHeight="1" x14ac:dyDescent="0.25">
      <c r="A137" s="85" t="s">
        <v>269</v>
      </c>
      <c r="B137" s="30">
        <v>52.56</v>
      </c>
      <c r="C137" s="30"/>
      <c r="D137" s="26"/>
      <c r="H137" s="11" t="str">
        <f t="shared" si="6"/>
        <v>2nd Pay Period ending 22/11/2022</v>
      </c>
      <c r="M137" s="30">
        <v>18974</v>
      </c>
      <c r="T137" s="35">
        <f t="shared" si="7"/>
        <v>31.536000000000001</v>
      </c>
    </row>
    <row r="138" spans="1:20" ht="12.75" customHeight="1" x14ac:dyDescent="0.25">
      <c r="A138" s="85" t="s">
        <v>269</v>
      </c>
      <c r="B138" s="30">
        <v>294.07</v>
      </c>
      <c r="C138" s="30"/>
      <c r="D138" s="26"/>
      <c r="H138" s="11" t="str">
        <f t="shared" si="6"/>
        <v>2nd Pay Period ending 22/11/2022</v>
      </c>
      <c r="M138" s="30">
        <v>19006</v>
      </c>
      <c r="T138" s="35">
        <f t="shared" si="7"/>
        <v>176.44200000000001</v>
      </c>
    </row>
    <row r="139" spans="1:20" ht="12.75" customHeight="1" x14ac:dyDescent="0.25">
      <c r="A139" s="85" t="s">
        <v>269</v>
      </c>
      <c r="B139" s="30">
        <v>407.64</v>
      </c>
      <c r="C139" s="30"/>
      <c r="D139" s="26"/>
      <c r="H139" s="11" t="str">
        <f t="shared" si="6"/>
        <v>2nd Pay Period ending 22/11/2022</v>
      </c>
      <c r="M139" s="30">
        <v>19041</v>
      </c>
      <c r="T139" s="35">
        <f t="shared" si="7"/>
        <v>244.58399999999997</v>
      </c>
    </row>
    <row r="140" spans="1:20" ht="12.75" customHeight="1" x14ac:dyDescent="0.25">
      <c r="A140" s="85" t="s">
        <v>269</v>
      </c>
      <c r="B140" s="30">
        <v>230.77</v>
      </c>
      <c r="C140" s="30"/>
      <c r="D140" s="26"/>
      <c r="H140" s="11" t="str">
        <f t="shared" si="6"/>
        <v>2nd Pay Period ending 22/11/2022</v>
      </c>
      <c r="M140" s="30">
        <v>18962</v>
      </c>
      <c r="T140" s="35">
        <f t="shared" si="7"/>
        <v>138.46200000000002</v>
      </c>
    </row>
    <row r="141" spans="1:20" ht="12.75" customHeight="1" x14ac:dyDescent="0.25">
      <c r="A141" s="85" t="s">
        <v>269</v>
      </c>
      <c r="B141" s="30">
        <v>31.11</v>
      </c>
      <c r="C141" s="30"/>
      <c r="D141" s="26"/>
      <c r="H141" s="11" t="str">
        <f t="shared" si="6"/>
        <v>2nd Pay Period ending 22/11/2022</v>
      </c>
      <c r="M141" s="30">
        <v>19042</v>
      </c>
      <c r="T141" s="35">
        <f t="shared" si="7"/>
        <v>18.665999999999997</v>
      </c>
    </row>
    <row r="142" spans="1:20" ht="12.75" customHeight="1" x14ac:dyDescent="0.25">
      <c r="A142" s="85" t="s">
        <v>270</v>
      </c>
      <c r="B142" s="30">
        <v>576.91999999999996</v>
      </c>
      <c r="C142" s="30"/>
      <c r="D142" s="26"/>
      <c r="H142" s="11" t="str">
        <f t="shared" si="6"/>
        <v>2nd Pay Period ending 22/11/2022</v>
      </c>
      <c r="M142" s="30">
        <v>19034</v>
      </c>
      <c r="T142" s="35">
        <f t="shared" si="7"/>
        <v>346.15199999999993</v>
      </c>
    </row>
    <row r="143" spans="1:20" ht="12.75" customHeight="1" x14ac:dyDescent="0.25">
      <c r="A143" s="85" t="s">
        <v>270</v>
      </c>
      <c r="B143" s="30">
        <v>846.15</v>
      </c>
      <c r="C143" s="30"/>
      <c r="D143" s="26"/>
      <c r="H143" s="11" t="str">
        <f t="shared" si="6"/>
        <v>2nd Pay Period ending 22/11/2022</v>
      </c>
      <c r="M143" s="30">
        <v>44705</v>
      </c>
      <c r="T143" s="35">
        <f t="shared" si="7"/>
        <v>507.68999999999994</v>
      </c>
    </row>
    <row r="144" spans="1:20" ht="12.75" customHeight="1" x14ac:dyDescent="0.25">
      <c r="A144" s="85" t="s">
        <v>271</v>
      </c>
      <c r="B144" s="30">
        <v>16.100000000000001</v>
      </c>
      <c r="C144" s="30"/>
      <c r="D144" s="26"/>
      <c r="H144" s="11" t="str">
        <f t="shared" si="6"/>
        <v>2nd Pay Period ending 22/11/2022</v>
      </c>
      <c r="M144" s="30">
        <v>18797</v>
      </c>
      <c r="T144" s="35">
        <f t="shared" si="7"/>
        <v>9.66</v>
      </c>
    </row>
    <row r="145" spans="1:20" ht="12.75" customHeight="1" x14ac:dyDescent="0.25">
      <c r="A145" s="85" t="s">
        <v>271</v>
      </c>
      <c r="B145" s="30">
        <v>96.6</v>
      </c>
      <c r="C145" s="30"/>
      <c r="D145" s="26"/>
      <c r="H145" s="11" t="str">
        <f t="shared" si="6"/>
        <v>2nd Pay Period ending 22/11/2022</v>
      </c>
      <c r="M145" s="30">
        <v>18887</v>
      </c>
      <c r="T145" s="35">
        <f t="shared" si="7"/>
        <v>57.96</v>
      </c>
    </row>
    <row r="146" spans="1:20" ht="12.75" customHeight="1" x14ac:dyDescent="0.25">
      <c r="A146" s="85" t="s">
        <v>271</v>
      </c>
      <c r="B146" s="30">
        <v>32.200000000000003</v>
      </c>
      <c r="C146" s="30"/>
      <c r="D146" s="26"/>
      <c r="H146" s="11" t="str">
        <f t="shared" si="6"/>
        <v>2nd Pay Period ending 22/11/2022</v>
      </c>
      <c r="M146" s="30">
        <v>18827</v>
      </c>
      <c r="T146" s="35">
        <f t="shared" si="7"/>
        <v>19.32</v>
      </c>
    </row>
    <row r="147" spans="1:20" ht="12.75" customHeight="1" x14ac:dyDescent="0.25">
      <c r="A147" s="85" t="s">
        <v>271</v>
      </c>
      <c r="B147" s="30">
        <v>346</v>
      </c>
      <c r="C147" s="30"/>
      <c r="D147" s="26"/>
      <c r="H147" s="11" t="str">
        <f t="shared" si="6"/>
        <v>2nd Pay Period ending 22/11/2022</v>
      </c>
      <c r="M147" s="30">
        <v>18626</v>
      </c>
      <c r="T147" s="35">
        <f t="shared" si="7"/>
        <v>207.60000000000002</v>
      </c>
    </row>
    <row r="148" spans="1:20" ht="12.75" customHeight="1" x14ac:dyDescent="0.25">
      <c r="A148" s="85" t="s">
        <v>271</v>
      </c>
      <c r="B148" s="30">
        <v>112.7</v>
      </c>
      <c r="C148" s="30"/>
      <c r="D148" s="26"/>
      <c r="H148" s="11" t="str">
        <f t="shared" si="6"/>
        <v>2nd Pay Period ending 22/11/2022</v>
      </c>
      <c r="M148" s="30">
        <v>18949</v>
      </c>
      <c r="T148" s="35">
        <f t="shared" si="7"/>
        <v>67.62</v>
      </c>
    </row>
    <row r="149" spans="1:20" ht="12.75" customHeight="1" x14ac:dyDescent="0.25">
      <c r="A149" s="85" t="s">
        <v>271</v>
      </c>
      <c r="B149" s="30">
        <v>315.75</v>
      </c>
      <c r="C149" s="30"/>
      <c r="D149" s="26"/>
      <c r="H149" s="11" t="str">
        <f t="shared" si="6"/>
        <v>2nd Pay Period ending 22/11/2022</v>
      </c>
      <c r="M149" s="30">
        <v>18918</v>
      </c>
      <c r="T149" s="35">
        <f t="shared" si="7"/>
        <v>189.45</v>
      </c>
    </row>
    <row r="150" spans="1:20" ht="12.75" customHeight="1" x14ac:dyDescent="0.25">
      <c r="A150" s="85" t="s">
        <v>271</v>
      </c>
      <c r="B150" s="30">
        <v>346</v>
      </c>
      <c r="C150" s="30"/>
      <c r="D150" s="26"/>
      <c r="H150" s="11" t="str">
        <f t="shared" si="6"/>
        <v>2nd Pay Period ending 22/11/2022</v>
      </c>
      <c r="M150" s="30">
        <v>18822</v>
      </c>
      <c r="T150" s="35">
        <f t="shared" si="7"/>
        <v>207.60000000000002</v>
      </c>
    </row>
    <row r="151" spans="1:20" ht="12.75" customHeight="1" x14ac:dyDescent="0.25">
      <c r="A151" s="85" t="s">
        <v>271</v>
      </c>
      <c r="B151" s="30">
        <v>225.84</v>
      </c>
      <c r="C151" s="30"/>
      <c r="D151" s="26"/>
      <c r="H151" s="11" t="str">
        <f t="shared" si="6"/>
        <v>2nd Pay Period ending 22/11/2022</v>
      </c>
      <c r="M151" s="30">
        <v>18979</v>
      </c>
      <c r="T151" s="35">
        <f t="shared" si="7"/>
        <v>135.50399999999999</v>
      </c>
    </row>
    <row r="152" spans="1:20" ht="12.75" customHeight="1" x14ac:dyDescent="0.25">
      <c r="A152" s="85" t="s">
        <v>474</v>
      </c>
      <c r="B152" s="30">
        <v>16.100000000000001</v>
      </c>
      <c r="C152" s="30"/>
      <c r="D152" s="26"/>
      <c r="H152" s="11" t="str">
        <f t="shared" si="6"/>
        <v>2nd Pay Period ending 22/11/2022</v>
      </c>
      <c r="M152" s="30">
        <v>18989</v>
      </c>
      <c r="T152" s="35">
        <f t="shared" si="7"/>
        <v>9.66</v>
      </c>
    </row>
    <row r="153" spans="1:20" ht="12.75" customHeight="1" x14ac:dyDescent="0.25">
      <c r="A153" s="85" t="s">
        <v>475</v>
      </c>
      <c r="B153" s="30">
        <v>72.45</v>
      </c>
      <c r="C153" s="30"/>
      <c r="D153" s="26"/>
      <c r="H153" s="11" t="str">
        <f t="shared" si="6"/>
        <v>2nd Pay Period ending 22/11/2022</v>
      </c>
      <c r="M153" s="30">
        <v>18736</v>
      </c>
      <c r="T153" s="35">
        <f t="shared" si="7"/>
        <v>43.47</v>
      </c>
    </row>
    <row r="154" spans="1:20" ht="12.75" customHeight="1" x14ac:dyDescent="0.25">
      <c r="A154" s="85" t="s">
        <v>273</v>
      </c>
      <c r="B154" s="30">
        <v>96.6</v>
      </c>
      <c r="C154" s="30"/>
      <c r="D154" s="26"/>
      <c r="H154" s="11" t="str">
        <f t="shared" si="6"/>
        <v>2nd Pay Period ending 22/11/2022</v>
      </c>
      <c r="M154" s="30">
        <v>19028</v>
      </c>
      <c r="T154" s="35">
        <f t="shared" si="7"/>
        <v>57.96</v>
      </c>
    </row>
    <row r="155" spans="1:20" ht="12.75" customHeight="1" x14ac:dyDescent="0.25">
      <c r="A155" s="85" t="s">
        <v>273</v>
      </c>
      <c r="B155" s="30">
        <v>249.59</v>
      </c>
      <c r="C155" s="30"/>
      <c r="D155" s="26"/>
      <c r="H155" s="11" t="str">
        <f t="shared" si="6"/>
        <v>2nd Pay Period ending 22/11/2022</v>
      </c>
      <c r="M155" s="30">
        <v>18932</v>
      </c>
      <c r="T155" s="35">
        <f t="shared" si="7"/>
        <v>149.75399999999999</v>
      </c>
    </row>
    <row r="156" spans="1:20" ht="12.75" customHeight="1" x14ac:dyDescent="0.25">
      <c r="A156" s="85" t="s">
        <v>273</v>
      </c>
      <c r="B156" s="30">
        <v>96.6</v>
      </c>
      <c r="C156" s="30"/>
      <c r="D156" s="26"/>
      <c r="H156" s="11" t="str">
        <f t="shared" si="6"/>
        <v>2nd Pay Period ending 22/11/2022</v>
      </c>
      <c r="M156" s="30">
        <v>18983</v>
      </c>
      <c r="T156" s="35">
        <f t="shared" si="7"/>
        <v>57.96</v>
      </c>
    </row>
    <row r="157" spans="1:20" ht="12.75" customHeight="1" x14ac:dyDescent="0.25">
      <c r="A157" s="85" t="s">
        <v>273</v>
      </c>
      <c r="B157" s="30">
        <v>442.6</v>
      </c>
      <c r="C157" s="30"/>
      <c r="D157" s="26"/>
      <c r="H157" s="11" t="str">
        <f t="shared" si="6"/>
        <v>2nd Pay Period ending 22/11/2022</v>
      </c>
      <c r="M157" s="30">
        <v>18829</v>
      </c>
      <c r="T157" s="35">
        <f t="shared" si="7"/>
        <v>265.56000000000006</v>
      </c>
    </row>
    <row r="158" spans="1:20" ht="12.75" customHeight="1" x14ac:dyDescent="0.25">
      <c r="A158" s="85" t="s">
        <v>273</v>
      </c>
      <c r="B158" s="30">
        <v>424.03</v>
      </c>
      <c r="C158" s="30"/>
      <c r="D158" s="26"/>
      <c r="H158" s="11" t="str">
        <f t="shared" si="6"/>
        <v>2nd Pay Period ending 22/11/2022</v>
      </c>
      <c r="M158" s="30">
        <v>19030</v>
      </c>
      <c r="T158" s="35">
        <f t="shared" si="7"/>
        <v>254.41800000000001</v>
      </c>
    </row>
    <row r="159" spans="1:20" ht="12.75" customHeight="1" x14ac:dyDescent="0.25">
      <c r="A159" s="85" t="s">
        <v>273</v>
      </c>
      <c r="B159" s="30">
        <v>80.5</v>
      </c>
      <c r="C159" s="30"/>
      <c r="D159" s="26"/>
      <c r="H159" s="11" t="str">
        <f t="shared" si="6"/>
        <v>2nd Pay Period ending 22/11/2022</v>
      </c>
      <c r="M159" s="30">
        <v>19029</v>
      </c>
      <c r="T159" s="35">
        <f t="shared" si="7"/>
        <v>48.300000000000004</v>
      </c>
    </row>
    <row r="160" spans="1:20" ht="12.75" customHeight="1" x14ac:dyDescent="0.25">
      <c r="A160" s="85" t="s">
        <v>273</v>
      </c>
      <c r="B160" s="30">
        <v>16.100000000000001</v>
      </c>
      <c r="C160" s="30"/>
      <c r="D160" s="26"/>
      <c r="H160" s="11" t="str">
        <f t="shared" si="6"/>
        <v>2nd Pay Period ending 22/11/2022</v>
      </c>
      <c r="M160" s="30">
        <v>19011</v>
      </c>
      <c r="T160" s="35">
        <f t="shared" si="7"/>
        <v>9.66</v>
      </c>
    </row>
    <row r="161" spans="1:20" ht="12.75" customHeight="1" x14ac:dyDescent="0.25">
      <c r="A161" s="85" t="s">
        <v>273</v>
      </c>
      <c r="B161" s="30">
        <v>96.6</v>
      </c>
      <c r="C161" s="30"/>
      <c r="D161" s="26"/>
      <c r="H161" s="11" t="str">
        <f t="shared" si="6"/>
        <v>2nd Pay Period ending 22/11/2022</v>
      </c>
      <c r="M161" s="30">
        <v>19015</v>
      </c>
      <c r="T161" s="35">
        <f t="shared" si="7"/>
        <v>57.96</v>
      </c>
    </row>
    <row r="162" spans="1:20" ht="12.75" customHeight="1" x14ac:dyDescent="0.25">
      <c r="A162" s="85" t="s">
        <v>273</v>
      </c>
      <c r="B162" s="30">
        <v>80.5</v>
      </c>
      <c r="C162" s="30"/>
      <c r="D162" s="26"/>
      <c r="H162" s="11" t="str">
        <f t="shared" si="6"/>
        <v>2nd Pay Period ending 22/11/2022</v>
      </c>
      <c r="M162" s="30">
        <v>19012</v>
      </c>
      <c r="T162" s="35">
        <f t="shared" si="7"/>
        <v>48.300000000000004</v>
      </c>
    </row>
    <row r="163" spans="1:20" ht="12.75" customHeight="1" x14ac:dyDescent="0.25">
      <c r="A163" s="85" t="s">
        <v>273</v>
      </c>
      <c r="B163" s="30">
        <v>80.5</v>
      </c>
      <c r="C163" s="30"/>
      <c r="D163" s="26"/>
      <c r="H163" s="11" t="str">
        <f t="shared" si="6"/>
        <v>2nd Pay Period ending 22/11/2022</v>
      </c>
      <c r="M163" s="30">
        <v>19019</v>
      </c>
      <c r="T163" s="35">
        <f t="shared" si="7"/>
        <v>48.300000000000004</v>
      </c>
    </row>
    <row r="164" spans="1:20" ht="12.75" customHeight="1" x14ac:dyDescent="0.25">
      <c r="A164" s="85" t="s">
        <v>273</v>
      </c>
      <c r="B164" s="30">
        <v>16.100000000000001</v>
      </c>
      <c r="C164" s="30"/>
      <c r="D164" s="26"/>
      <c r="H164" s="11" t="str">
        <f t="shared" si="6"/>
        <v>2nd Pay Period ending 22/11/2022</v>
      </c>
      <c r="M164" s="30">
        <v>19017</v>
      </c>
      <c r="T164" s="35">
        <f t="shared" si="7"/>
        <v>9.66</v>
      </c>
    </row>
    <row r="165" spans="1:20" ht="12.75" customHeight="1" x14ac:dyDescent="0.25">
      <c r="A165" s="85" t="s">
        <v>274</v>
      </c>
      <c r="B165" s="30">
        <v>692.31</v>
      </c>
      <c r="C165" s="30"/>
      <c r="D165" s="26"/>
      <c r="H165" s="11" t="str">
        <f t="shared" si="6"/>
        <v>2nd Pay Period ending 22/11/2022</v>
      </c>
      <c r="M165" s="30">
        <v>18998</v>
      </c>
      <c r="T165" s="35">
        <f t="shared" si="7"/>
        <v>415.38599999999997</v>
      </c>
    </row>
    <row r="166" spans="1:20" ht="12.75" customHeight="1" x14ac:dyDescent="0.25">
      <c r="A166" s="85" t="s">
        <v>275</v>
      </c>
      <c r="B166" s="30">
        <v>36.46</v>
      </c>
      <c r="C166" s="30"/>
      <c r="D166" s="26"/>
      <c r="H166" s="11" t="str">
        <f t="shared" si="6"/>
        <v>2nd Pay Period ending 22/11/2022</v>
      </c>
      <c r="M166" s="30">
        <v>18649</v>
      </c>
      <c r="T166" s="35">
        <f t="shared" si="7"/>
        <v>21.875999999999998</v>
      </c>
    </row>
    <row r="167" spans="1:20" ht="12.75" customHeight="1" x14ac:dyDescent="0.25">
      <c r="A167" s="85" t="s">
        <v>276</v>
      </c>
      <c r="B167" s="30">
        <v>267.22000000000003</v>
      </c>
      <c r="C167" s="30"/>
      <c r="D167" s="26"/>
      <c r="H167" s="11" t="str">
        <f t="shared" si="6"/>
        <v>2nd Pay Period ending 22/11/2022</v>
      </c>
      <c r="M167" s="30">
        <v>18713</v>
      </c>
      <c r="T167" s="35">
        <f t="shared" si="7"/>
        <v>160.33199999999999</v>
      </c>
    </row>
    <row r="168" spans="1:20" ht="12.75" customHeight="1" x14ac:dyDescent="0.25">
      <c r="A168" s="85" t="s">
        <v>276</v>
      </c>
      <c r="B168" s="30">
        <v>36.46</v>
      </c>
      <c r="C168" s="30"/>
      <c r="D168" s="26"/>
      <c r="H168" s="11" t="str">
        <f t="shared" si="6"/>
        <v>2nd Pay Period ending 22/11/2022</v>
      </c>
      <c r="M168" s="30">
        <v>18858</v>
      </c>
      <c r="T168" s="35">
        <f t="shared" si="7"/>
        <v>21.875999999999998</v>
      </c>
    </row>
    <row r="169" spans="1:20" ht="12.75" customHeight="1" x14ac:dyDescent="0.25">
      <c r="A169" s="85" t="s">
        <v>276</v>
      </c>
      <c r="B169" s="30">
        <v>95.02</v>
      </c>
      <c r="C169" s="30"/>
      <c r="D169" s="26"/>
      <c r="H169" s="11" t="str">
        <f t="shared" si="6"/>
        <v>2nd Pay Period ending 22/11/2022</v>
      </c>
      <c r="M169" s="30">
        <v>18917</v>
      </c>
      <c r="T169" s="35">
        <f t="shared" si="7"/>
        <v>57.011999999999993</v>
      </c>
    </row>
    <row r="170" spans="1:20" ht="12.75" customHeight="1" x14ac:dyDescent="0.25">
      <c r="A170" s="85" t="s">
        <v>276</v>
      </c>
      <c r="B170" s="30">
        <v>36.46</v>
      </c>
      <c r="C170" s="30"/>
      <c r="D170" s="26"/>
      <c r="H170" s="11" t="str">
        <f t="shared" si="6"/>
        <v>2nd Pay Period ending 22/11/2022</v>
      </c>
      <c r="M170" s="30">
        <v>18850</v>
      </c>
      <c r="T170" s="35">
        <f t="shared" si="7"/>
        <v>21.875999999999998</v>
      </c>
    </row>
    <row r="171" spans="1:20" ht="12.75" customHeight="1" x14ac:dyDescent="0.25">
      <c r="A171" s="85" t="s">
        <v>276</v>
      </c>
      <c r="B171" s="30">
        <v>162.49</v>
      </c>
      <c r="C171" s="30"/>
      <c r="D171" s="26"/>
      <c r="H171" s="11" t="str">
        <f t="shared" si="6"/>
        <v>2nd Pay Period ending 22/11/2022</v>
      </c>
      <c r="M171" s="30">
        <v>19039</v>
      </c>
      <c r="T171" s="35">
        <f t="shared" si="7"/>
        <v>97.494000000000014</v>
      </c>
    </row>
    <row r="172" spans="1:20" ht="12.75" customHeight="1" x14ac:dyDescent="0.25">
      <c r="A172" s="85" t="s">
        <v>276</v>
      </c>
      <c r="B172" s="30">
        <v>88.22</v>
      </c>
      <c r="C172" s="30"/>
      <c r="D172" s="26"/>
      <c r="H172" s="11" t="str">
        <f t="shared" si="6"/>
        <v>2nd Pay Period ending 22/11/2022</v>
      </c>
      <c r="M172" s="30">
        <v>18942</v>
      </c>
      <c r="T172" s="35">
        <f t="shared" si="7"/>
        <v>52.931999999999995</v>
      </c>
    </row>
    <row r="173" spans="1:20" ht="12.75" customHeight="1" x14ac:dyDescent="0.25">
      <c r="A173" s="85" t="s">
        <v>276</v>
      </c>
      <c r="B173" s="30">
        <v>189.22</v>
      </c>
      <c r="C173" s="30"/>
      <c r="D173" s="26"/>
      <c r="H173" s="11" t="str">
        <f t="shared" si="6"/>
        <v>2nd Pay Period ending 22/11/2022</v>
      </c>
      <c r="M173" s="30">
        <v>19023</v>
      </c>
      <c r="T173" s="35">
        <f t="shared" si="7"/>
        <v>113.53200000000001</v>
      </c>
    </row>
    <row r="174" spans="1:20" ht="12.75" customHeight="1" x14ac:dyDescent="0.25">
      <c r="A174" s="85" t="s">
        <v>276</v>
      </c>
      <c r="B174" s="30">
        <v>243.73</v>
      </c>
      <c r="C174" s="30"/>
      <c r="D174" s="26"/>
      <c r="H174" s="11" t="str">
        <f t="shared" si="6"/>
        <v>2nd Pay Period ending 22/11/2022</v>
      </c>
      <c r="M174" s="30">
        <v>18986</v>
      </c>
      <c r="T174" s="35">
        <f t="shared" si="7"/>
        <v>146.238</v>
      </c>
    </row>
    <row r="175" spans="1:20" ht="12.75" customHeight="1" x14ac:dyDescent="0.25">
      <c r="A175" s="85" t="s">
        <v>277</v>
      </c>
      <c r="B175" s="30">
        <v>692.31</v>
      </c>
      <c r="C175" s="30"/>
      <c r="D175" s="26"/>
      <c r="H175" s="11" t="str">
        <f t="shared" si="6"/>
        <v>2nd Pay Period ending 22/11/2022</v>
      </c>
      <c r="M175" s="30">
        <v>19031</v>
      </c>
      <c r="T175" s="35">
        <f t="shared" si="7"/>
        <v>415.38599999999997</v>
      </c>
    </row>
    <row r="176" spans="1:20" ht="12.75" customHeight="1" x14ac:dyDescent="0.25">
      <c r="A176" s="85" t="s">
        <v>278</v>
      </c>
      <c r="B176" s="30">
        <v>36.46</v>
      </c>
      <c r="C176" s="30"/>
      <c r="D176" s="26"/>
      <c r="H176" s="11" t="str">
        <f t="shared" si="6"/>
        <v>2nd Pay Period ending 22/11/2022</v>
      </c>
      <c r="M176" s="30">
        <v>18442</v>
      </c>
      <c r="T176" s="35">
        <f t="shared" si="7"/>
        <v>21.875999999999998</v>
      </c>
    </row>
    <row r="177" spans="1:20" ht="12.75" customHeight="1" x14ac:dyDescent="0.25">
      <c r="A177" s="85" t="s">
        <v>279</v>
      </c>
      <c r="B177" s="30">
        <v>36.46</v>
      </c>
      <c r="C177" s="30"/>
      <c r="D177" s="26"/>
      <c r="H177" s="11" t="str">
        <f t="shared" si="6"/>
        <v>2nd Pay Period ending 22/11/2022</v>
      </c>
      <c r="M177" s="30">
        <v>18823</v>
      </c>
      <c r="T177" s="35">
        <f t="shared" si="7"/>
        <v>21.875999999999998</v>
      </c>
    </row>
    <row r="178" spans="1:20" ht="12.75" customHeight="1" x14ac:dyDescent="0.25">
      <c r="A178" s="85" t="s">
        <v>279</v>
      </c>
      <c r="B178" s="30">
        <v>36.46</v>
      </c>
      <c r="C178" s="30"/>
      <c r="D178" s="26"/>
      <c r="H178" s="11" t="str">
        <f t="shared" si="6"/>
        <v>2nd Pay Period ending 22/11/2022</v>
      </c>
      <c r="M178" s="30">
        <v>261</v>
      </c>
      <c r="T178" s="35">
        <f t="shared" si="7"/>
        <v>21.875999999999998</v>
      </c>
    </row>
    <row r="179" spans="1:20" ht="12.75" customHeight="1" x14ac:dyDescent="0.25">
      <c r="A179" s="85" t="s">
        <v>279</v>
      </c>
      <c r="B179" s="30">
        <v>16.100000000000001</v>
      </c>
      <c r="C179" s="30"/>
      <c r="D179" s="26"/>
      <c r="H179" s="11" t="str">
        <f t="shared" si="6"/>
        <v>2nd Pay Period ending 22/11/2022</v>
      </c>
      <c r="M179" s="30">
        <v>18895</v>
      </c>
      <c r="T179" s="35">
        <f t="shared" si="7"/>
        <v>9.66</v>
      </c>
    </row>
    <row r="180" spans="1:20" ht="12.75" customHeight="1" x14ac:dyDescent="0.25">
      <c r="A180" s="85" t="s">
        <v>484</v>
      </c>
      <c r="B180" s="30">
        <v>16.100000000000001</v>
      </c>
      <c r="C180" s="30"/>
      <c r="D180" s="26"/>
      <c r="H180" s="11" t="str">
        <f t="shared" si="6"/>
        <v>2nd Pay Period ending 22/11/2022</v>
      </c>
      <c r="M180" s="30">
        <v>18561</v>
      </c>
      <c r="T180" s="35">
        <f t="shared" si="7"/>
        <v>9.66</v>
      </c>
    </row>
    <row r="181" spans="1:20" ht="12.75" customHeight="1" x14ac:dyDescent="0.25">
      <c r="A181" s="85" t="s">
        <v>280</v>
      </c>
      <c r="B181" s="30">
        <v>692.31</v>
      </c>
      <c r="C181" s="30"/>
      <c r="D181" s="26"/>
      <c r="H181" s="11" t="str">
        <f t="shared" si="6"/>
        <v>2nd Pay Period ending 22/11/2022</v>
      </c>
      <c r="M181" s="30">
        <v>18876</v>
      </c>
      <c r="T181" s="35">
        <f t="shared" si="7"/>
        <v>415.38599999999997</v>
      </c>
    </row>
    <row r="182" spans="1:20" ht="12.75" customHeight="1" x14ac:dyDescent="0.25">
      <c r="A182" s="85" t="s">
        <v>281</v>
      </c>
      <c r="B182" s="30">
        <v>165</v>
      </c>
      <c r="C182" s="30"/>
      <c r="D182" s="26"/>
      <c r="H182" s="11" t="str">
        <f t="shared" si="6"/>
        <v>2nd Pay Period ending 22/11/2022</v>
      </c>
      <c r="M182" s="30">
        <v>18726</v>
      </c>
      <c r="T182" s="35">
        <f t="shared" si="7"/>
        <v>99</v>
      </c>
    </row>
    <row r="183" spans="1:20" ht="12.75" customHeight="1" x14ac:dyDescent="0.25">
      <c r="A183" s="85" t="s">
        <v>282</v>
      </c>
      <c r="B183" s="30">
        <v>300</v>
      </c>
      <c r="C183" s="30"/>
      <c r="D183" s="26"/>
      <c r="H183" s="11" t="str">
        <f t="shared" si="6"/>
        <v>2nd Pay Period ending 22/11/2022</v>
      </c>
      <c r="M183" s="30">
        <v>18946</v>
      </c>
      <c r="T183" s="35">
        <f t="shared" si="7"/>
        <v>180</v>
      </c>
    </row>
    <row r="184" spans="1:20" ht="12.75" customHeight="1" x14ac:dyDescent="0.25">
      <c r="A184" s="85" t="s">
        <v>283</v>
      </c>
      <c r="B184" s="30">
        <v>75</v>
      </c>
      <c r="C184" s="30"/>
      <c r="D184" s="26"/>
      <c r="H184" s="11" t="str">
        <f t="shared" si="6"/>
        <v>2nd Pay Period ending 22/11/2022</v>
      </c>
      <c r="M184" s="30">
        <v>220</v>
      </c>
      <c r="T184" s="35">
        <f t="shared" si="7"/>
        <v>45</v>
      </c>
    </row>
    <row r="185" spans="1:20" ht="12.75" customHeight="1" x14ac:dyDescent="0.25">
      <c r="A185" s="85" t="s">
        <v>284</v>
      </c>
      <c r="B185" s="30">
        <v>400</v>
      </c>
      <c r="C185" s="30"/>
      <c r="D185" s="26"/>
      <c r="H185" s="11" t="str">
        <f t="shared" si="6"/>
        <v>2nd Pay Period ending 22/11/2022</v>
      </c>
      <c r="M185" s="30">
        <v>18968</v>
      </c>
      <c r="T185" s="35">
        <f t="shared" si="7"/>
        <v>240</v>
      </c>
    </row>
    <row r="186" spans="1:20" ht="12.75" customHeight="1" x14ac:dyDescent="0.25">
      <c r="A186" s="85" t="s">
        <v>284</v>
      </c>
      <c r="B186" s="30">
        <v>780</v>
      </c>
      <c r="C186" s="30"/>
      <c r="D186" s="26"/>
      <c r="H186" s="11" t="str">
        <f t="shared" si="6"/>
        <v>2nd Pay Period ending 22/11/2022</v>
      </c>
      <c r="M186" s="30">
        <v>18550</v>
      </c>
      <c r="T186" s="35">
        <f t="shared" si="7"/>
        <v>468</v>
      </c>
    </row>
    <row r="187" spans="1:20" ht="12.75" customHeight="1" x14ac:dyDescent="0.25">
      <c r="A187" s="85" t="s">
        <v>293</v>
      </c>
      <c r="B187" s="30">
        <v>860</v>
      </c>
      <c r="C187" s="30"/>
      <c r="D187" s="26"/>
      <c r="H187" s="11" t="str">
        <f t="shared" si="6"/>
        <v>2nd Pay Period ending 22/11/2022</v>
      </c>
      <c r="M187" s="30">
        <v>18957</v>
      </c>
      <c r="T187" s="35">
        <f t="shared" si="7"/>
        <v>516</v>
      </c>
    </row>
    <row r="188" spans="1:20" ht="12.75" customHeight="1" x14ac:dyDescent="0.25">
      <c r="A188" s="85" t="s">
        <v>285</v>
      </c>
      <c r="B188" s="30">
        <v>150</v>
      </c>
      <c r="C188" s="30"/>
      <c r="D188" s="26"/>
      <c r="H188" s="11" t="str">
        <f t="shared" si="6"/>
        <v>2nd Pay Period ending 22/11/2022</v>
      </c>
      <c r="M188" s="30">
        <v>261</v>
      </c>
      <c r="T188" s="35">
        <f t="shared" si="7"/>
        <v>90</v>
      </c>
    </row>
    <row r="189" spans="1:20" ht="12.75" customHeight="1" x14ac:dyDescent="0.25">
      <c r="A189" s="85" t="s">
        <v>281</v>
      </c>
      <c r="B189" s="30">
        <v>437.55</v>
      </c>
      <c r="C189" s="30"/>
      <c r="D189" s="26"/>
      <c r="H189" s="11" t="str">
        <f t="shared" si="6"/>
        <v>2nd Pay Period ending 22/11/2022</v>
      </c>
      <c r="M189" s="30">
        <v>18647</v>
      </c>
      <c r="T189" s="35">
        <f t="shared" si="7"/>
        <v>262.53000000000003</v>
      </c>
    </row>
    <row r="190" spans="1:20" ht="12.75" customHeight="1" x14ac:dyDescent="0.25">
      <c r="A190" s="85" t="s">
        <v>281</v>
      </c>
      <c r="B190" s="30">
        <v>444.23</v>
      </c>
      <c r="C190" s="30"/>
      <c r="D190" s="26"/>
      <c r="H190" s="11" t="str">
        <f t="shared" si="6"/>
        <v>2nd Pay Period ending 22/11/2022</v>
      </c>
      <c r="M190" s="30">
        <v>18871</v>
      </c>
      <c r="T190" s="35">
        <f t="shared" si="7"/>
        <v>266.53800000000001</v>
      </c>
    </row>
    <row r="191" spans="1:20" ht="12.75" customHeight="1" x14ac:dyDescent="0.25">
      <c r="A191" s="85" t="s">
        <v>281</v>
      </c>
      <c r="B191" s="30">
        <v>565.39</v>
      </c>
      <c r="C191" s="30"/>
      <c r="D191" s="26"/>
      <c r="H191" s="11" t="str">
        <f t="shared" si="6"/>
        <v>2nd Pay Period ending 22/11/2022</v>
      </c>
      <c r="M191" s="30">
        <v>18517</v>
      </c>
      <c r="T191" s="35">
        <f t="shared" si="7"/>
        <v>339.23400000000004</v>
      </c>
    </row>
    <row r="192" spans="1:20" ht="12.75" customHeight="1" x14ac:dyDescent="0.25">
      <c r="A192" s="85" t="s">
        <v>281</v>
      </c>
      <c r="B192" s="30">
        <v>102.98</v>
      </c>
      <c r="C192" s="30"/>
      <c r="D192" s="26"/>
      <c r="H192" s="11" t="str">
        <f t="shared" si="6"/>
        <v>2nd Pay Period ending 22/11/2022</v>
      </c>
      <c r="M192" s="30">
        <v>18726</v>
      </c>
      <c r="T192" s="35">
        <f t="shared" si="7"/>
        <v>61.787999999999997</v>
      </c>
    </row>
    <row r="193" spans="1:20" ht="12.75" customHeight="1" x14ac:dyDescent="0.25">
      <c r="A193" s="85" t="s">
        <v>286</v>
      </c>
      <c r="B193" s="30">
        <v>403.85</v>
      </c>
      <c r="C193" s="30"/>
      <c r="D193" s="26"/>
      <c r="H193" s="11" t="str">
        <f t="shared" si="6"/>
        <v>2nd Pay Period ending 22/11/2022</v>
      </c>
      <c r="M193" s="30">
        <v>152</v>
      </c>
      <c r="T193" s="35">
        <f t="shared" si="7"/>
        <v>242.31000000000003</v>
      </c>
    </row>
    <row r="194" spans="1:20" ht="12.75" customHeight="1" x14ac:dyDescent="0.25">
      <c r="A194" s="85" t="s">
        <v>287</v>
      </c>
      <c r="B194" s="30">
        <v>262.5</v>
      </c>
      <c r="C194" s="30"/>
      <c r="D194" s="26"/>
      <c r="H194" s="11" t="str">
        <f t="shared" si="6"/>
        <v>2nd Pay Period ending 22/11/2022</v>
      </c>
      <c r="M194" s="30">
        <v>19014</v>
      </c>
      <c r="T194" s="35">
        <f t="shared" si="7"/>
        <v>157.5</v>
      </c>
    </row>
    <row r="195" spans="1:20" ht="12.75" customHeight="1" x14ac:dyDescent="0.25">
      <c r="A195" s="85" t="s">
        <v>287</v>
      </c>
      <c r="B195" s="30">
        <v>61.44</v>
      </c>
      <c r="C195" s="30"/>
      <c r="D195" s="26"/>
      <c r="H195" s="11" t="str">
        <f t="shared" ref="H195:H258" si="8">$K$1</f>
        <v>2nd Pay Period ending 22/11/2022</v>
      </c>
      <c r="M195" s="30">
        <v>18736</v>
      </c>
      <c r="T195" s="35">
        <f t="shared" ref="T195:T258" si="9">B195/10*$V$1</f>
        <v>36.864000000000004</v>
      </c>
    </row>
    <row r="196" spans="1:20" ht="12.75" customHeight="1" x14ac:dyDescent="0.25">
      <c r="A196" s="85" t="s">
        <v>282</v>
      </c>
      <c r="B196" s="30">
        <v>500.77</v>
      </c>
      <c r="C196" s="30"/>
      <c r="D196" s="26"/>
      <c r="H196" s="11" t="str">
        <f t="shared" si="8"/>
        <v>2nd Pay Period ending 22/11/2022</v>
      </c>
      <c r="M196" s="30">
        <v>18920</v>
      </c>
      <c r="T196" s="35">
        <f t="shared" si="9"/>
        <v>300.46199999999999</v>
      </c>
    </row>
    <row r="197" spans="1:20" ht="12.75" customHeight="1" x14ac:dyDescent="0.25">
      <c r="A197" s="85" t="s">
        <v>282</v>
      </c>
      <c r="B197" s="30">
        <v>282.69</v>
      </c>
      <c r="C197" s="30"/>
      <c r="D197" s="26"/>
      <c r="H197" s="11" t="str">
        <f t="shared" si="8"/>
        <v>2nd Pay Period ending 22/11/2022</v>
      </c>
      <c r="M197" s="30">
        <v>18988</v>
      </c>
      <c r="T197" s="35">
        <f t="shared" si="9"/>
        <v>169.61399999999998</v>
      </c>
    </row>
    <row r="198" spans="1:20" ht="12.75" customHeight="1" x14ac:dyDescent="0.25">
      <c r="A198" s="85" t="s">
        <v>282</v>
      </c>
      <c r="B198" s="30">
        <v>294.81</v>
      </c>
      <c r="C198" s="30"/>
      <c r="D198" s="26"/>
      <c r="H198" s="11" t="str">
        <f t="shared" si="8"/>
        <v>2nd Pay Period ending 22/11/2022</v>
      </c>
      <c r="M198" s="30">
        <v>18721</v>
      </c>
      <c r="T198" s="35">
        <f t="shared" si="9"/>
        <v>176.88600000000002</v>
      </c>
    </row>
    <row r="199" spans="1:20" ht="12.75" customHeight="1" x14ac:dyDescent="0.25">
      <c r="A199" s="85" t="s">
        <v>282</v>
      </c>
      <c r="B199" s="30">
        <v>242.31</v>
      </c>
      <c r="C199" s="30"/>
      <c r="D199" s="26"/>
      <c r="H199" s="11" t="str">
        <f t="shared" si="8"/>
        <v>2nd Pay Period ending 22/11/2022</v>
      </c>
      <c r="M199" s="30">
        <v>18995</v>
      </c>
      <c r="T199" s="35">
        <f t="shared" si="9"/>
        <v>145.38600000000002</v>
      </c>
    </row>
    <row r="200" spans="1:20" ht="12.75" customHeight="1" x14ac:dyDescent="0.25">
      <c r="A200" s="85" t="s">
        <v>282</v>
      </c>
      <c r="B200" s="30">
        <v>253.51</v>
      </c>
      <c r="C200" s="30"/>
      <c r="D200" s="26"/>
      <c r="H200" s="11" t="str">
        <f t="shared" si="8"/>
        <v>2nd Pay Period ending 22/11/2022</v>
      </c>
      <c r="M200" s="30">
        <v>18946</v>
      </c>
      <c r="T200" s="35">
        <f t="shared" si="9"/>
        <v>152.10599999999999</v>
      </c>
    </row>
    <row r="201" spans="1:20" ht="12.75" customHeight="1" x14ac:dyDescent="0.25">
      <c r="A201" s="85" t="s">
        <v>282</v>
      </c>
      <c r="B201" s="30">
        <v>323.08</v>
      </c>
      <c r="C201" s="30"/>
      <c r="D201" s="26"/>
      <c r="H201" s="11" t="str">
        <f t="shared" si="8"/>
        <v>2nd Pay Period ending 22/11/2022</v>
      </c>
      <c r="M201" s="30">
        <v>18987</v>
      </c>
      <c r="T201" s="35">
        <f t="shared" si="9"/>
        <v>193.84800000000001</v>
      </c>
    </row>
    <row r="202" spans="1:20" ht="12.75" customHeight="1" x14ac:dyDescent="0.25">
      <c r="A202" s="85" t="s">
        <v>283</v>
      </c>
      <c r="B202" s="30">
        <v>337.9</v>
      </c>
      <c r="C202" s="30"/>
      <c r="D202" s="26"/>
      <c r="H202" s="11" t="str">
        <f t="shared" si="8"/>
        <v>2nd Pay Period ending 22/11/2022</v>
      </c>
      <c r="M202" s="30">
        <v>220</v>
      </c>
      <c r="T202" s="35">
        <f t="shared" si="9"/>
        <v>202.74</v>
      </c>
    </row>
    <row r="203" spans="1:20" ht="12.75" customHeight="1" x14ac:dyDescent="0.25">
      <c r="A203" s="85" t="s">
        <v>288</v>
      </c>
      <c r="B203" s="30">
        <v>565.39</v>
      </c>
      <c r="C203" s="30"/>
      <c r="D203" s="26"/>
      <c r="H203" s="11" t="str">
        <f t="shared" si="8"/>
        <v>2nd Pay Period ending 22/11/2022</v>
      </c>
      <c r="M203" s="30">
        <v>18716</v>
      </c>
      <c r="T203" s="35">
        <f t="shared" si="9"/>
        <v>339.23400000000004</v>
      </c>
    </row>
    <row r="204" spans="1:20" ht="12.75" customHeight="1" x14ac:dyDescent="0.25">
      <c r="A204" s="85" t="s">
        <v>288</v>
      </c>
      <c r="B204" s="30">
        <v>274.62</v>
      </c>
      <c r="C204" s="30"/>
      <c r="D204" s="26"/>
      <c r="H204" s="11" t="str">
        <f t="shared" si="8"/>
        <v>2nd Pay Period ending 22/11/2022</v>
      </c>
      <c r="M204" s="30">
        <v>18948</v>
      </c>
      <c r="T204" s="35">
        <f t="shared" si="9"/>
        <v>164.77199999999999</v>
      </c>
    </row>
    <row r="205" spans="1:20" ht="12.75" customHeight="1" x14ac:dyDescent="0.25">
      <c r="A205" s="85" t="s">
        <v>290</v>
      </c>
      <c r="B205" s="30">
        <v>274.62</v>
      </c>
      <c r="C205" s="30"/>
      <c r="D205" s="26"/>
      <c r="H205" s="11" t="str">
        <f t="shared" si="8"/>
        <v>2nd Pay Period ending 22/11/2022</v>
      </c>
      <c r="M205" s="30">
        <v>18862</v>
      </c>
      <c r="T205" s="35">
        <f t="shared" si="9"/>
        <v>164.77199999999999</v>
      </c>
    </row>
    <row r="206" spans="1:20" ht="12.75" customHeight="1" x14ac:dyDescent="0.25">
      <c r="A206" s="85" t="s">
        <v>290</v>
      </c>
      <c r="B206" s="30">
        <v>565.39</v>
      </c>
      <c r="C206" s="30"/>
      <c r="D206" s="26"/>
      <c r="H206" s="11" t="str">
        <f t="shared" si="8"/>
        <v>2nd Pay Period ending 22/11/2022</v>
      </c>
      <c r="M206" s="30">
        <v>18969</v>
      </c>
      <c r="T206" s="35">
        <f t="shared" si="9"/>
        <v>339.23400000000004</v>
      </c>
    </row>
    <row r="207" spans="1:20" ht="12.75" customHeight="1" x14ac:dyDescent="0.25">
      <c r="A207" s="85" t="s">
        <v>291</v>
      </c>
      <c r="B207" s="30">
        <v>857.42</v>
      </c>
      <c r="C207" s="30"/>
      <c r="D207" s="26"/>
      <c r="H207" s="11" t="str">
        <f t="shared" si="8"/>
        <v>2nd Pay Period ending 22/11/2022</v>
      </c>
      <c r="M207" s="30">
        <v>18886</v>
      </c>
      <c r="T207" s="35">
        <f t="shared" si="9"/>
        <v>514.452</v>
      </c>
    </row>
    <row r="208" spans="1:20" ht="12.75" customHeight="1" x14ac:dyDescent="0.25">
      <c r="A208" s="85" t="s">
        <v>284</v>
      </c>
      <c r="B208" s="30">
        <v>282.69</v>
      </c>
      <c r="C208" s="30"/>
      <c r="D208" s="26"/>
      <c r="H208" s="11" t="str">
        <f t="shared" si="8"/>
        <v>2nd Pay Period ending 22/11/2022</v>
      </c>
      <c r="M208" s="30">
        <v>18968</v>
      </c>
      <c r="T208" s="35">
        <f t="shared" si="9"/>
        <v>169.61399999999998</v>
      </c>
    </row>
    <row r="209" spans="1:20" ht="12.75" customHeight="1" x14ac:dyDescent="0.25">
      <c r="A209" s="85" t="s">
        <v>284</v>
      </c>
      <c r="B209" s="30">
        <v>221.9</v>
      </c>
      <c r="C209" s="30"/>
      <c r="D209" s="26"/>
      <c r="H209" s="11" t="str">
        <f t="shared" si="8"/>
        <v>2nd Pay Period ending 22/11/2022</v>
      </c>
      <c r="M209" s="30">
        <v>19022</v>
      </c>
      <c r="T209" s="35">
        <f t="shared" si="9"/>
        <v>133.14000000000001</v>
      </c>
    </row>
    <row r="210" spans="1:20" ht="12.75" customHeight="1" x14ac:dyDescent="0.25">
      <c r="A210" s="85" t="s">
        <v>284</v>
      </c>
      <c r="B210" s="30">
        <v>677.78</v>
      </c>
      <c r="C210" s="30"/>
      <c r="D210" s="26"/>
      <c r="H210" s="11" t="str">
        <f t="shared" si="8"/>
        <v>2nd Pay Period ending 22/11/2022</v>
      </c>
      <c r="M210" s="30">
        <v>18853</v>
      </c>
      <c r="T210" s="35">
        <f t="shared" si="9"/>
        <v>406.66799999999995</v>
      </c>
    </row>
    <row r="211" spans="1:20" ht="12.75" customHeight="1" x14ac:dyDescent="0.25">
      <c r="A211" s="85" t="s">
        <v>284</v>
      </c>
      <c r="B211" s="30">
        <v>272.56</v>
      </c>
      <c r="C211" s="30"/>
      <c r="D211" s="26"/>
      <c r="H211" s="11" t="str">
        <f t="shared" si="8"/>
        <v>2nd Pay Period ending 22/11/2022</v>
      </c>
      <c r="M211" s="30">
        <v>18550</v>
      </c>
      <c r="T211" s="35">
        <f t="shared" si="9"/>
        <v>163.536</v>
      </c>
    </row>
    <row r="212" spans="1:20" ht="12.75" customHeight="1" x14ac:dyDescent="0.25">
      <c r="A212" s="85" t="s">
        <v>284</v>
      </c>
      <c r="B212" s="30">
        <v>343.27</v>
      </c>
      <c r="C212" s="30"/>
      <c r="D212" s="26"/>
      <c r="H212" s="11" t="str">
        <f t="shared" si="8"/>
        <v>2nd Pay Period ending 22/11/2022</v>
      </c>
      <c r="M212" s="30">
        <v>18741</v>
      </c>
      <c r="T212" s="35">
        <f t="shared" si="9"/>
        <v>205.96199999999999</v>
      </c>
    </row>
    <row r="213" spans="1:20" ht="12.75" customHeight="1" x14ac:dyDescent="0.25">
      <c r="A213" s="85" t="s">
        <v>284</v>
      </c>
      <c r="B213" s="30">
        <v>327.11</v>
      </c>
      <c r="C213" s="30"/>
      <c r="D213" s="26"/>
      <c r="H213" s="11" t="str">
        <f t="shared" si="8"/>
        <v>2nd Pay Period ending 22/11/2022</v>
      </c>
      <c r="M213" s="30">
        <v>19003</v>
      </c>
      <c r="T213" s="35">
        <f t="shared" si="9"/>
        <v>196.26599999999999</v>
      </c>
    </row>
    <row r="214" spans="1:20" ht="12.75" customHeight="1" x14ac:dyDescent="0.25">
      <c r="A214" s="85" t="s">
        <v>284</v>
      </c>
      <c r="B214" s="30">
        <v>262.5</v>
      </c>
      <c r="C214" s="30"/>
      <c r="D214" s="26"/>
      <c r="H214" s="11" t="str">
        <f t="shared" si="8"/>
        <v>2nd Pay Period ending 22/11/2022</v>
      </c>
      <c r="M214" s="30">
        <v>19025</v>
      </c>
      <c r="T214" s="35">
        <f t="shared" si="9"/>
        <v>157.5</v>
      </c>
    </row>
    <row r="215" spans="1:20" ht="12.75" customHeight="1" x14ac:dyDescent="0.25">
      <c r="A215" s="85" t="s">
        <v>292</v>
      </c>
      <c r="B215" s="30">
        <v>269.19</v>
      </c>
      <c r="C215" s="30"/>
      <c r="D215" s="26"/>
      <c r="H215" s="11" t="str">
        <f t="shared" si="8"/>
        <v>2nd Pay Period ending 22/11/2022</v>
      </c>
      <c r="M215" s="30">
        <v>18836</v>
      </c>
      <c r="T215" s="35">
        <f t="shared" si="9"/>
        <v>161.51400000000001</v>
      </c>
    </row>
    <row r="216" spans="1:20" ht="12.75" customHeight="1" x14ac:dyDescent="0.25">
      <c r="A216" s="85" t="s">
        <v>292</v>
      </c>
      <c r="B216" s="30">
        <v>266.14</v>
      </c>
      <c r="C216" s="30"/>
      <c r="D216" s="26"/>
      <c r="H216" s="11" t="str">
        <f t="shared" si="8"/>
        <v>2nd Pay Period ending 22/11/2022</v>
      </c>
      <c r="M216" s="30">
        <v>18619</v>
      </c>
      <c r="T216" s="35">
        <f t="shared" si="9"/>
        <v>159.68399999999997</v>
      </c>
    </row>
    <row r="217" spans="1:20" ht="12.75" customHeight="1" x14ac:dyDescent="0.25">
      <c r="A217" s="85" t="s">
        <v>457</v>
      </c>
      <c r="B217" s="30">
        <v>133.27000000000001</v>
      </c>
      <c r="C217" s="30"/>
      <c r="D217" s="26"/>
      <c r="H217" s="11" t="str">
        <f t="shared" si="8"/>
        <v>2nd Pay Period ending 22/11/2022</v>
      </c>
      <c r="M217" s="30">
        <v>18893</v>
      </c>
      <c r="T217" s="35">
        <f t="shared" si="9"/>
        <v>79.962000000000018</v>
      </c>
    </row>
    <row r="218" spans="1:20" ht="12.75" customHeight="1" x14ac:dyDescent="0.25">
      <c r="A218" s="85" t="s">
        <v>457</v>
      </c>
      <c r="B218" s="30">
        <v>131.78</v>
      </c>
      <c r="C218" s="30"/>
      <c r="D218" s="26"/>
      <c r="H218" s="11" t="str">
        <f t="shared" si="8"/>
        <v>2nd Pay Period ending 22/11/2022</v>
      </c>
      <c r="M218" s="30">
        <v>19040</v>
      </c>
      <c r="T218" s="35">
        <f t="shared" si="9"/>
        <v>79.068000000000012</v>
      </c>
    </row>
    <row r="219" spans="1:20" ht="12.75" customHeight="1" x14ac:dyDescent="0.25">
      <c r="A219" s="85" t="s">
        <v>293</v>
      </c>
      <c r="B219" s="30">
        <v>272.01</v>
      </c>
      <c r="C219" s="30"/>
      <c r="D219" s="26"/>
      <c r="H219" s="11" t="str">
        <f t="shared" si="8"/>
        <v>2nd Pay Period ending 22/11/2022</v>
      </c>
      <c r="M219" s="30">
        <v>18957</v>
      </c>
      <c r="T219" s="35">
        <f t="shared" si="9"/>
        <v>163.20600000000002</v>
      </c>
    </row>
    <row r="220" spans="1:20" ht="12.75" customHeight="1" x14ac:dyDescent="0.25">
      <c r="A220" s="85" t="s">
        <v>293</v>
      </c>
      <c r="B220" s="30">
        <v>244.04</v>
      </c>
      <c r="C220" s="30"/>
      <c r="D220" s="26"/>
      <c r="H220" s="11" t="str">
        <f t="shared" si="8"/>
        <v>2nd Pay Period ending 22/11/2022</v>
      </c>
      <c r="M220" s="30">
        <v>18903</v>
      </c>
      <c r="T220" s="35">
        <f t="shared" si="9"/>
        <v>146.42400000000001</v>
      </c>
    </row>
    <row r="221" spans="1:20" ht="12.75" customHeight="1" x14ac:dyDescent="0.25">
      <c r="A221" s="85" t="s">
        <v>293</v>
      </c>
      <c r="B221" s="30">
        <v>157.93</v>
      </c>
      <c r="C221" s="30"/>
      <c r="D221" s="26"/>
      <c r="H221" s="11" t="str">
        <f t="shared" si="8"/>
        <v>2nd Pay Period ending 22/11/2022</v>
      </c>
      <c r="M221" s="30">
        <v>18831</v>
      </c>
      <c r="T221" s="35">
        <f t="shared" si="9"/>
        <v>94.75800000000001</v>
      </c>
    </row>
    <row r="222" spans="1:20" ht="12.75" customHeight="1" x14ac:dyDescent="0.25">
      <c r="A222" s="85" t="s">
        <v>293</v>
      </c>
      <c r="B222" s="30">
        <v>282.86</v>
      </c>
      <c r="C222" s="30"/>
      <c r="D222" s="26"/>
      <c r="H222" s="11" t="str">
        <f t="shared" si="8"/>
        <v>2nd Pay Period ending 22/11/2022</v>
      </c>
      <c r="M222" s="30">
        <v>18589</v>
      </c>
      <c r="T222" s="35">
        <f t="shared" si="9"/>
        <v>169.71600000000001</v>
      </c>
    </row>
    <row r="223" spans="1:20" ht="12.75" customHeight="1" x14ac:dyDescent="0.25">
      <c r="A223" s="85" t="s">
        <v>293</v>
      </c>
      <c r="B223" s="30">
        <v>193.59</v>
      </c>
      <c r="C223" s="30"/>
      <c r="D223" s="26"/>
      <c r="H223" s="11" t="str">
        <f t="shared" si="8"/>
        <v>2nd Pay Period ending 22/11/2022</v>
      </c>
      <c r="M223" s="30">
        <v>18891</v>
      </c>
      <c r="T223" s="35">
        <f t="shared" si="9"/>
        <v>116.15400000000001</v>
      </c>
    </row>
    <row r="224" spans="1:20" ht="12.75" customHeight="1" x14ac:dyDescent="0.25">
      <c r="A224" s="85" t="s">
        <v>293</v>
      </c>
      <c r="B224" s="30">
        <v>263.82</v>
      </c>
      <c r="C224" s="30"/>
      <c r="D224" s="26"/>
      <c r="H224" s="11" t="str">
        <f t="shared" si="8"/>
        <v>2nd Pay Period ending 22/11/2022</v>
      </c>
      <c r="M224" s="30">
        <v>18866</v>
      </c>
      <c r="T224" s="35">
        <f t="shared" si="9"/>
        <v>158.29199999999997</v>
      </c>
    </row>
    <row r="225" spans="1:20" ht="12.75" customHeight="1" x14ac:dyDescent="0.25">
      <c r="A225" s="85" t="s">
        <v>294</v>
      </c>
      <c r="B225" s="30">
        <v>139.13999999999999</v>
      </c>
      <c r="C225" s="30"/>
      <c r="D225" s="26"/>
      <c r="H225" s="11" t="str">
        <f t="shared" si="8"/>
        <v>2nd Pay Period ending 22/11/2022</v>
      </c>
      <c r="M225" s="30">
        <v>18631</v>
      </c>
      <c r="T225" s="35">
        <f t="shared" si="9"/>
        <v>83.48399999999998</v>
      </c>
    </row>
    <row r="226" spans="1:20" ht="12.75" customHeight="1" x14ac:dyDescent="0.25">
      <c r="A226" s="85" t="s">
        <v>294</v>
      </c>
      <c r="B226" s="30">
        <v>274.64999999999998</v>
      </c>
      <c r="C226" s="30"/>
      <c r="D226" s="26"/>
      <c r="H226" s="11" t="str">
        <f t="shared" si="8"/>
        <v>2nd Pay Period ending 22/11/2022</v>
      </c>
      <c r="M226" s="30">
        <v>18879</v>
      </c>
      <c r="T226" s="35">
        <f t="shared" si="9"/>
        <v>164.78999999999996</v>
      </c>
    </row>
    <row r="227" spans="1:20" ht="12.75" customHeight="1" x14ac:dyDescent="0.25">
      <c r="A227" s="85" t="s">
        <v>294</v>
      </c>
      <c r="B227" s="30">
        <v>323.08</v>
      </c>
      <c r="C227" s="30"/>
      <c r="D227" s="26"/>
      <c r="H227" s="11" t="str">
        <f t="shared" si="8"/>
        <v>2nd Pay Period ending 22/11/2022</v>
      </c>
      <c r="M227" s="30">
        <v>18954</v>
      </c>
      <c r="T227" s="35">
        <f t="shared" si="9"/>
        <v>193.84800000000001</v>
      </c>
    </row>
    <row r="228" spans="1:20" ht="12.75" customHeight="1" x14ac:dyDescent="0.25">
      <c r="A228" s="85" t="s">
        <v>294</v>
      </c>
      <c r="B228" s="30">
        <v>113.93</v>
      </c>
      <c r="C228" s="30"/>
      <c r="D228" s="26"/>
      <c r="H228" s="11" t="str">
        <f t="shared" si="8"/>
        <v>2nd Pay Period ending 22/11/2022</v>
      </c>
      <c r="M228" s="30">
        <v>18</v>
      </c>
      <c r="T228" s="35">
        <f t="shared" si="9"/>
        <v>68.358000000000004</v>
      </c>
    </row>
    <row r="229" spans="1:20" ht="12.75" customHeight="1" x14ac:dyDescent="0.25">
      <c r="A229" s="85" t="s">
        <v>295</v>
      </c>
      <c r="B229" s="30">
        <v>304.33999999999997</v>
      </c>
      <c r="C229" s="30"/>
      <c r="D229" s="26"/>
      <c r="H229" s="11" t="str">
        <f t="shared" si="8"/>
        <v>2nd Pay Period ending 22/11/2022</v>
      </c>
      <c r="M229" s="30">
        <v>19013</v>
      </c>
      <c r="T229" s="35">
        <f t="shared" si="9"/>
        <v>182.60399999999998</v>
      </c>
    </row>
    <row r="230" spans="1:20" ht="12.75" customHeight="1" x14ac:dyDescent="0.25">
      <c r="A230" s="85" t="s">
        <v>295</v>
      </c>
      <c r="B230" s="30">
        <v>235.71</v>
      </c>
      <c r="C230" s="30"/>
      <c r="D230" s="26"/>
      <c r="H230" s="11" t="str">
        <f t="shared" si="8"/>
        <v>2nd Pay Period ending 22/11/2022</v>
      </c>
      <c r="M230" s="30">
        <v>18630</v>
      </c>
      <c r="T230" s="35">
        <f t="shared" si="9"/>
        <v>141.42600000000002</v>
      </c>
    </row>
    <row r="231" spans="1:20" ht="12.75" customHeight="1" x14ac:dyDescent="0.25">
      <c r="A231" s="85" t="s">
        <v>296</v>
      </c>
      <c r="B231" s="30">
        <v>242.13</v>
      </c>
      <c r="C231" s="30"/>
      <c r="D231" s="26"/>
      <c r="H231" s="11" t="str">
        <f t="shared" si="8"/>
        <v>2nd Pay Period ending 22/11/2022</v>
      </c>
      <c r="M231" s="30">
        <v>18687</v>
      </c>
      <c r="T231" s="35">
        <f t="shared" si="9"/>
        <v>145.27800000000002</v>
      </c>
    </row>
    <row r="232" spans="1:20" ht="12.75" customHeight="1" x14ac:dyDescent="0.25">
      <c r="A232" s="85" t="s">
        <v>296</v>
      </c>
      <c r="B232" s="30">
        <v>272.01</v>
      </c>
      <c r="C232" s="30"/>
      <c r="D232" s="26"/>
      <c r="H232" s="11" t="str">
        <f t="shared" si="8"/>
        <v>2nd Pay Period ending 22/11/2022</v>
      </c>
      <c r="M232" s="30">
        <v>18781</v>
      </c>
      <c r="T232" s="35">
        <f t="shared" si="9"/>
        <v>163.20600000000002</v>
      </c>
    </row>
    <row r="233" spans="1:20" ht="12.75" customHeight="1" x14ac:dyDescent="0.25">
      <c r="A233" s="85" t="s">
        <v>296</v>
      </c>
      <c r="B233" s="30">
        <v>232</v>
      </c>
      <c r="C233" s="30"/>
      <c r="D233" s="26"/>
      <c r="H233" s="11" t="str">
        <f t="shared" si="8"/>
        <v>2nd Pay Period ending 22/11/2022</v>
      </c>
      <c r="M233" s="30">
        <v>18733</v>
      </c>
      <c r="T233" s="35">
        <f t="shared" si="9"/>
        <v>139.19999999999999</v>
      </c>
    </row>
    <row r="234" spans="1:20" ht="12.75" customHeight="1" x14ac:dyDescent="0.25">
      <c r="A234" s="85" t="s">
        <v>296</v>
      </c>
      <c r="B234" s="30">
        <v>250.44</v>
      </c>
      <c r="C234" s="30"/>
      <c r="D234" s="26"/>
      <c r="H234" s="11" t="str">
        <f t="shared" si="8"/>
        <v>2nd Pay Period ending 22/11/2022</v>
      </c>
      <c r="M234" s="30">
        <v>18659</v>
      </c>
      <c r="T234" s="35">
        <f t="shared" si="9"/>
        <v>150.26400000000001</v>
      </c>
    </row>
    <row r="235" spans="1:20" ht="12.75" customHeight="1" x14ac:dyDescent="0.25">
      <c r="A235" s="85" t="s">
        <v>296</v>
      </c>
      <c r="B235" s="30">
        <v>99.19</v>
      </c>
      <c r="C235" s="30"/>
      <c r="D235" s="26"/>
      <c r="H235" s="11" t="str">
        <f t="shared" si="8"/>
        <v>2nd Pay Period ending 22/11/2022</v>
      </c>
      <c r="M235" s="30">
        <v>18960</v>
      </c>
      <c r="T235" s="35">
        <f t="shared" si="9"/>
        <v>59.514000000000003</v>
      </c>
    </row>
    <row r="236" spans="1:20" ht="12.75" customHeight="1" x14ac:dyDescent="0.25">
      <c r="A236" s="85" t="s">
        <v>296</v>
      </c>
      <c r="B236" s="30">
        <v>266.64999999999998</v>
      </c>
      <c r="C236" s="30"/>
      <c r="D236" s="26"/>
      <c r="H236" s="11" t="str">
        <f t="shared" si="8"/>
        <v>2nd Pay Period ending 22/11/2022</v>
      </c>
      <c r="M236" s="30">
        <v>18911</v>
      </c>
      <c r="T236" s="35">
        <f t="shared" si="9"/>
        <v>159.99</v>
      </c>
    </row>
    <row r="237" spans="1:20" ht="12.75" customHeight="1" x14ac:dyDescent="0.25">
      <c r="A237" s="85" t="s">
        <v>296</v>
      </c>
      <c r="B237" s="30">
        <v>273.7</v>
      </c>
      <c r="C237" s="30"/>
      <c r="D237" s="26"/>
      <c r="H237" s="11" t="str">
        <f t="shared" si="8"/>
        <v>2nd Pay Period ending 22/11/2022</v>
      </c>
      <c r="M237" s="30">
        <v>18967</v>
      </c>
      <c r="T237" s="35">
        <f t="shared" si="9"/>
        <v>164.21999999999997</v>
      </c>
    </row>
    <row r="238" spans="1:20" ht="12.75" customHeight="1" x14ac:dyDescent="0.25">
      <c r="A238" s="85" t="s">
        <v>296</v>
      </c>
      <c r="B238" s="30">
        <v>187.55</v>
      </c>
      <c r="C238" s="30"/>
      <c r="D238" s="26"/>
      <c r="H238" s="11" t="str">
        <f t="shared" si="8"/>
        <v>2nd Pay Period ending 22/11/2022</v>
      </c>
      <c r="M238" s="30">
        <v>19033</v>
      </c>
      <c r="T238" s="35">
        <f t="shared" si="9"/>
        <v>112.53000000000002</v>
      </c>
    </row>
    <row r="239" spans="1:20" ht="12.75" customHeight="1" x14ac:dyDescent="0.25">
      <c r="A239" s="85" t="s">
        <v>296</v>
      </c>
      <c r="B239" s="30">
        <v>221.4</v>
      </c>
      <c r="C239" s="30"/>
      <c r="D239" s="26"/>
      <c r="H239" s="11" t="str">
        <f t="shared" si="8"/>
        <v>2nd Pay Period ending 22/11/2022</v>
      </c>
      <c r="M239" s="30">
        <v>18892</v>
      </c>
      <c r="T239" s="35">
        <f t="shared" si="9"/>
        <v>132.84</v>
      </c>
    </row>
    <row r="240" spans="1:20" ht="12.75" customHeight="1" x14ac:dyDescent="0.25">
      <c r="A240" s="85" t="s">
        <v>296</v>
      </c>
      <c r="B240" s="30">
        <v>144.88</v>
      </c>
      <c r="C240" s="30"/>
      <c r="D240" s="26"/>
      <c r="H240" s="11" t="str">
        <f t="shared" si="8"/>
        <v>2nd Pay Period ending 22/11/2022</v>
      </c>
      <c r="M240" s="30">
        <v>18894</v>
      </c>
      <c r="T240" s="35">
        <f t="shared" si="9"/>
        <v>86.927999999999997</v>
      </c>
    </row>
    <row r="241" spans="1:20" ht="12.75" customHeight="1" x14ac:dyDescent="0.25">
      <c r="A241" s="85" t="s">
        <v>296</v>
      </c>
      <c r="B241" s="30">
        <v>424.04</v>
      </c>
      <c r="C241" s="30"/>
      <c r="D241" s="26"/>
      <c r="H241" s="11" t="str">
        <f t="shared" si="8"/>
        <v>2nd Pay Period ending 22/11/2022</v>
      </c>
      <c r="M241" s="30">
        <v>18559</v>
      </c>
      <c r="T241" s="35">
        <f t="shared" si="9"/>
        <v>254.42400000000004</v>
      </c>
    </row>
    <row r="242" spans="1:20" ht="12.75" customHeight="1" x14ac:dyDescent="0.25">
      <c r="A242" s="85" t="s">
        <v>297</v>
      </c>
      <c r="B242" s="30">
        <v>114.82</v>
      </c>
      <c r="C242" s="30"/>
      <c r="D242" s="26"/>
      <c r="H242" s="11" t="str">
        <f t="shared" si="8"/>
        <v>2nd Pay Period ending 22/11/2022</v>
      </c>
      <c r="M242" s="30">
        <v>141</v>
      </c>
      <c r="T242" s="35">
        <f t="shared" si="9"/>
        <v>68.891999999999996</v>
      </c>
    </row>
    <row r="243" spans="1:20" ht="12.75" customHeight="1" x14ac:dyDescent="0.25">
      <c r="A243" s="85" t="s">
        <v>297</v>
      </c>
      <c r="B243" s="30">
        <v>246.23</v>
      </c>
      <c r="C243" s="30"/>
      <c r="D243" s="26"/>
      <c r="H243" s="11" t="str">
        <f t="shared" si="8"/>
        <v>2nd Pay Period ending 22/11/2022</v>
      </c>
      <c r="M243" s="30">
        <v>145</v>
      </c>
      <c r="T243" s="35">
        <f t="shared" si="9"/>
        <v>147.738</v>
      </c>
    </row>
    <row r="244" spans="1:20" ht="12.75" customHeight="1" x14ac:dyDescent="0.25">
      <c r="A244" s="85" t="s">
        <v>297</v>
      </c>
      <c r="B244" s="30">
        <v>253.52</v>
      </c>
      <c r="C244" s="30"/>
      <c r="D244" s="26"/>
      <c r="H244" s="11" t="str">
        <f t="shared" si="8"/>
        <v>2nd Pay Period ending 22/11/2022</v>
      </c>
      <c r="M244" s="30">
        <v>18961</v>
      </c>
      <c r="T244" s="35">
        <f t="shared" si="9"/>
        <v>152.11199999999999</v>
      </c>
    </row>
    <row r="245" spans="1:20" ht="12.75" customHeight="1" x14ac:dyDescent="0.25">
      <c r="A245" s="85" t="s">
        <v>298</v>
      </c>
      <c r="B245" s="30">
        <v>174.47</v>
      </c>
      <c r="C245" s="30"/>
      <c r="D245" s="26"/>
      <c r="H245" s="11" t="str">
        <f t="shared" si="8"/>
        <v>2nd Pay Period ending 22/11/2022</v>
      </c>
      <c r="M245" s="30">
        <v>18973</v>
      </c>
      <c r="T245" s="35">
        <f t="shared" si="9"/>
        <v>104.68199999999999</v>
      </c>
    </row>
    <row r="246" spans="1:20" ht="12.75" customHeight="1" x14ac:dyDescent="0.25">
      <c r="A246" s="85" t="s">
        <v>298</v>
      </c>
      <c r="B246" s="30">
        <v>308.12</v>
      </c>
      <c r="C246" s="30"/>
      <c r="D246" s="26"/>
      <c r="H246" s="11" t="str">
        <f t="shared" si="8"/>
        <v>2nd Pay Period ending 22/11/2022</v>
      </c>
      <c r="M246" s="30">
        <v>18974</v>
      </c>
      <c r="T246" s="35">
        <f t="shared" si="9"/>
        <v>184.87200000000001</v>
      </c>
    </row>
    <row r="247" spans="1:20" ht="12.75" customHeight="1" x14ac:dyDescent="0.25">
      <c r="A247" s="85" t="s">
        <v>298</v>
      </c>
      <c r="B247" s="30">
        <v>197.87</v>
      </c>
      <c r="C247" s="30"/>
      <c r="D247" s="26"/>
      <c r="H247" s="11" t="str">
        <f t="shared" si="8"/>
        <v>2nd Pay Period ending 22/11/2022</v>
      </c>
      <c r="M247" s="30">
        <v>19035</v>
      </c>
      <c r="T247" s="35">
        <f t="shared" si="9"/>
        <v>118.72199999999999</v>
      </c>
    </row>
    <row r="248" spans="1:20" ht="12.75" customHeight="1" x14ac:dyDescent="0.25">
      <c r="A248" s="85" t="s">
        <v>298</v>
      </c>
      <c r="B248" s="30">
        <v>25.28</v>
      </c>
      <c r="C248" s="30"/>
      <c r="D248" s="26"/>
      <c r="H248" s="11" t="str">
        <f t="shared" si="8"/>
        <v>2nd Pay Period ending 22/11/2022</v>
      </c>
      <c r="M248" s="30">
        <v>19042</v>
      </c>
      <c r="T248" s="35">
        <f t="shared" si="9"/>
        <v>15.167999999999999</v>
      </c>
    </row>
    <row r="249" spans="1:20" ht="12.75" customHeight="1" x14ac:dyDescent="0.25">
      <c r="A249" s="85" t="s">
        <v>298</v>
      </c>
      <c r="B249" s="30">
        <v>124.69</v>
      </c>
      <c r="C249" s="30"/>
      <c r="D249" s="26"/>
      <c r="H249" s="11" t="str">
        <f t="shared" si="8"/>
        <v>2nd Pay Period ending 22/11/2022</v>
      </c>
      <c r="M249" s="30">
        <v>19026</v>
      </c>
      <c r="T249" s="35">
        <f t="shared" si="9"/>
        <v>74.813999999999993</v>
      </c>
    </row>
    <row r="250" spans="1:20" ht="12.75" customHeight="1" x14ac:dyDescent="0.25">
      <c r="A250" s="85" t="s">
        <v>298</v>
      </c>
      <c r="B250" s="30">
        <v>252.49</v>
      </c>
      <c r="C250" s="30"/>
      <c r="D250" s="26"/>
      <c r="H250" s="11" t="str">
        <f t="shared" si="8"/>
        <v>2nd Pay Period ending 22/11/2022</v>
      </c>
      <c r="M250" s="30">
        <v>19007</v>
      </c>
      <c r="T250" s="35">
        <f t="shared" si="9"/>
        <v>151.49400000000003</v>
      </c>
    </row>
    <row r="251" spans="1:20" ht="12.75" customHeight="1" x14ac:dyDescent="0.25">
      <c r="A251" s="85" t="s">
        <v>298</v>
      </c>
      <c r="B251" s="30">
        <v>124.69</v>
      </c>
      <c r="C251" s="30"/>
      <c r="D251" s="26"/>
      <c r="H251" s="11" t="str">
        <f t="shared" si="8"/>
        <v>2nd Pay Period ending 22/11/2022</v>
      </c>
      <c r="M251" s="30">
        <v>19032</v>
      </c>
      <c r="T251" s="35">
        <f t="shared" si="9"/>
        <v>74.813999999999993</v>
      </c>
    </row>
    <row r="252" spans="1:20" ht="12.75" customHeight="1" x14ac:dyDescent="0.25">
      <c r="A252" s="85" t="s">
        <v>298</v>
      </c>
      <c r="B252" s="30">
        <v>216.05</v>
      </c>
      <c r="C252" s="30"/>
      <c r="D252" s="26"/>
      <c r="H252" s="11" t="str">
        <f t="shared" si="8"/>
        <v>2nd Pay Period ending 22/11/2022</v>
      </c>
      <c r="M252" s="30">
        <v>19041</v>
      </c>
      <c r="T252" s="35">
        <f t="shared" si="9"/>
        <v>129.63</v>
      </c>
    </row>
    <row r="253" spans="1:20" ht="12.75" customHeight="1" x14ac:dyDescent="0.25">
      <c r="A253" s="85" t="s">
        <v>298</v>
      </c>
      <c r="B253" s="30">
        <v>238.97</v>
      </c>
      <c r="C253" s="30"/>
      <c r="D253" s="26"/>
      <c r="H253" s="11" t="str">
        <f t="shared" si="8"/>
        <v>2nd Pay Period ending 22/11/2022</v>
      </c>
      <c r="M253" s="30">
        <v>19006</v>
      </c>
      <c r="T253" s="35">
        <f t="shared" si="9"/>
        <v>143.38200000000001</v>
      </c>
    </row>
    <row r="254" spans="1:20" ht="12.75" customHeight="1" x14ac:dyDescent="0.25">
      <c r="A254" s="85" t="s">
        <v>298</v>
      </c>
      <c r="B254" s="30">
        <v>235.48</v>
      </c>
      <c r="C254" s="30"/>
      <c r="D254" s="26"/>
      <c r="H254" s="11" t="str">
        <f t="shared" si="8"/>
        <v>2nd Pay Period ending 22/11/2022</v>
      </c>
      <c r="M254" s="30">
        <v>18999</v>
      </c>
      <c r="T254" s="35">
        <f t="shared" si="9"/>
        <v>141.28799999999998</v>
      </c>
    </row>
    <row r="255" spans="1:20" ht="12.75" customHeight="1" x14ac:dyDescent="0.25">
      <c r="A255" s="85" t="s">
        <v>298</v>
      </c>
      <c r="B255" s="30">
        <v>525</v>
      </c>
      <c r="C255" s="30"/>
      <c r="D255" s="26"/>
      <c r="H255" s="11" t="str">
        <f t="shared" si="8"/>
        <v>2nd Pay Period ending 22/11/2022</v>
      </c>
      <c r="M255" s="30">
        <v>18962</v>
      </c>
      <c r="T255" s="35">
        <f t="shared" si="9"/>
        <v>315</v>
      </c>
    </row>
    <row r="256" spans="1:20" ht="12.75" customHeight="1" x14ac:dyDescent="0.25">
      <c r="A256" s="85" t="s">
        <v>299</v>
      </c>
      <c r="B256" s="30">
        <v>207.58</v>
      </c>
      <c r="C256" s="30"/>
      <c r="D256" s="26"/>
      <c r="H256" s="11" t="str">
        <f t="shared" si="8"/>
        <v>2nd Pay Period ending 22/11/2022</v>
      </c>
      <c r="M256" s="30">
        <v>18980</v>
      </c>
      <c r="T256" s="35">
        <f t="shared" si="9"/>
        <v>124.54800000000002</v>
      </c>
    </row>
    <row r="257" spans="1:20" ht="12.75" customHeight="1" x14ac:dyDescent="0.25">
      <c r="A257" s="85" t="s">
        <v>299</v>
      </c>
      <c r="B257" s="30">
        <v>343.27</v>
      </c>
      <c r="C257" s="30"/>
      <c r="D257" s="26"/>
      <c r="H257" s="11" t="str">
        <f t="shared" si="8"/>
        <v>2nd Pay Period ending 22/11/2022</v>
      </c>
      <c r="M257" s="30">
        <v>19038</v>
      </c>
      <c r="T257" s="35">
        <f t="shared" si="9"/>
        <v>205.96199999999999</v>
      </c>
    </row>
    <row r="258" spans="1:20" ht="12.75" customHeight="1" x14ac:dyDescent="0.25">
      <c r="A258" s="85" t="s">
        <v>299</v>
      </c>
      <c r="B258" s="30">
        <v>202.61</v>
      </c>
      <c r="C258" s="30"/>
      <c r="D258" s="26"/>
      <c r="H258" s="11" t="str">
        <f t="shared" si="8"/>
        <v>2nd Pay Period ending 22/11/2022</v>
      </c>
      <c r="M258" s="30">
        <v>19027</v>
      </c>
      <c r="T258" s="35">
        <f t="shared" si="9"/>
        <v>121.56600000000002</v>
      </c>
    </row>
    <row r="259" spans="1:20" ht="12.75" customHeight="1" x14ac:dyDescent="0.25">
      <c r="A259" s="85" t="s">
        <v>299</v>
      </c>
      <c r="B259" s="30">
        <v>207.81</v>
      </c>
      <c r="C259" s="30"/>
      <c r="D259" s="26"/>
      <c r="H259" s="11" t="str">
        <f t="shared" ref="H259:H322" si="10">$K$1</f>
        <v>2nd Pay Period ending 22/11/2022</v>
      </c>
      <c r="M259" s="30">
        <v>19021</v>
      </c>
      <c r="T259" s="35">
        <f t="shared" ref="T259:T322" si="11">B259/10*$V$1</f>
        <v>124.68599999999999</v>
      </c>
    </row>
    <row r="260" spans="1:20" ht="12.75" customHeight="1" x14ac:dyDescent="0.25">
      <c r="A260" s="85" t="s">
        <v>300</v>
      </c>
      <c r="B260" s="30">
        <v>332.07</v>
      </c>
      <c r="C260" s="30"/>
      <c r="D260" s="26"/>
      <c r="H260" s="11" t="str">
        <f t="shared" si="10"/>
        <v>2nd Pay Period ending 22/11/2022</v>
      </c>
      <c r="M260" s="30">
        <v>18581</v>
      </c>
      <c r="T260" s="35">
        <f t="shared" si="11"/>
        <v>199.24200000000002</v>
      </c>
    </row>
    <row r="261" spans="1:20" ht="12.75" customHeight="1" x14ac:dyDescent="0.25">
      <c r="A261" s="85" t="s">
        <v>301</v>
      </c>
      <c r="B261" s="30">
        <v>565.39</v>
      </c>
      <c r="C261" s="30"/>
      <c r="D261" s="26"/>
      <c r="H261" s="11" t="str">
        <f t="shared" si="10"/>
        <v>2nd Pay Period ending 22/11/2022</v>
      </c>
      <c r="M261" s="30">
        <v>44705</v>
      </c>
      <c r="T261" s="35">
        <f t="shared" si="11"/>
        <v>339.23400000000004</v>
      </c>
    </row>
    <row r="262" spans="1:20" ht="12.75" customHeight="1" x14ac:dyDescent="0.25">
      <c r="A262" s="85" t="s">
        <v>301</v>
      </c>
      <c r="B262" s="30">
        <v>262.5</v>
      </c>
      <c r="C262" s="30"/>
      <c r="D262" s="26"/>
      <c r="H262" s="11" t="str">
        <f t="shared" si="10"/>
        <v>2nd Pay Period ending 22/11/2022</v>
      </c>
      <c r="M262" s="30">
        <v>19034</v>
      </c>
      <c r="T262" s="35">
        <f t="shared" si="11"/>
        <v>157.5</v>
      </c>
    </row>
    <row r="263" spans="1:20" ht="12.75" customHeight="1" x14ac:dyDescent="0.25">
      <c r="A263" s="85" t="s">
        <v>302</v>
      </c>
      <c r="B263" s="30">
        <v>242.31</v>
      </c>
      <c r="C263" s="30"/>
      <c r="D263" s="26"/>
      <c r="H263" s="11" t="str">
        <f t="shared" si="10"/>
        <v>2nd Pay Period ending 22/11/2022</v>
      </c>
      <c r="M263" s="30">
        <v>18805</v>
      </c>
      <c r="T263" s="35">
        <f t="shared" si="11"/>
        <v>145.38600000000002</v>
      </c>
    </row>
    <row r="264" spans="1:20" ht="12.75" customHeight="1" x14ac:dyDescent="0.25">
      <c r="A264" s="85" t="s">
        <v>302</v>
      </c>
      <c r="B264" s="30">
        <v>242.31</v>
      </c>
      <c r="C264" s="30"/>
      <c r="D264" s="26"/>
      <c r="H264" s="11" t="str">
        <f t="shared" si="10"/>
        <v>2nd Pay Period ending 22/11/2022</v>
      </c>
      <c r="M264" s="30">
        <v>18982</v>
      </c>
      <c r="T264" s="35">
        <f t="shared" si="11"/>
        <v>145.38600000000002</v>
      </c>
    </row>
    <row r="265" spans="1:20" ht="12.75" customHeight="1" x14ac:dyDescent="0.25">
      <c r="A265" s="85" t="s">
        <v>303</v>
      </c>
      <c r="B265" s="30">
        <v>259.95999999999998</v>
      </c>
      <c r="C265" s="30"/>
      <c r="D265" s="26"/>
      <c r="H265" s="11" t="str">
        <f t="shared" si="10"/>
        <v>2nd Pay Period ending 22/11/2022</v>
      </c>
      <c r="M265" s="30">
        <v>266</v>
      </c>
      <c r="T265" s="35">
        <f t="shared" si="11"/>
        <v>155.976</v>
      </c>
    </row>
    <row r="266" spans="1:20" ht="12.75" customHeight="1" x14ac:dyDescent="0.25">
      <c r="A266" s="85" t="s">
        <v>303</v>
      </c>
      <c r="B266" s="30">
        <v>226.15</v>
      </c>
      <c r="C266" s="30"/>
      <c r="D266" s="26"/>
      <c r="H266" s="11" t="str">
        <f t="shared" si="10"/>
        <v>2nd Pay Period ending 22/11/2022</v>
      </c>
      <c r="M266" s="30">
        <v>18841</v>
      </c>
      <c r="T266" s="35">
        <f t="shared" si="11"/>
        <v>135.69</v>
      </c>
    </row>
    <row r="267" spans="1:20" ht="12.75" customHeight="1" x14ac:dyDescent="0.25">
      <c r="A267" s="85" t="s">
        <v>304</v>
      </c>
      <c r="B267" s="30">
        <v>199.63</v>
      </c>
      <c r="C267" s="30"/>
      <c r="D267" s="26"/>
      <c r="H267" s="11" t="str">
        <f t="shared" si="10"/>
        <v>2nd Pay Period ending 22/11/2022</v>
      </c>
      <c r="M267" s="30">
        <v>18918</v>
      </c>
      <c r="T267" s="35">
        <f t="shared" si="11"/>
        <v>119.77800000000001</v>
      </c>
    </row>
    <row r="268" spans="1:20" ht="12.75" customHeight="1" x14ac:dyDescent="0.25">
      <c r="A268" s="85" t="s">
        <v>304</v>
      </c>
      <c r="B268" s="30">
        <v>202.78</v>
      </c>
      <c r="C268" s="30"/>
      <c r="D268" s="26"/>
      <c r="H268" s="11" t="str">
        <f t="shared" si="10"/>
        <v>2nd Pay Period ending 22/11/2022</v>
      </c>
      <c r="M268" s="30">
        <v>18949</v>
      </c>
      <c r="T268" s="35">
        <f t="shared" si="11"/>
        <v>121.66799999999999</v>
      </c>
    </row>
    <row r="269" spans="1:20" ht="12.75" customHeight="1" x14ac:dyDescent="0.25">
      <c r="A269" s="85" t="s">
        <v>304</v>
      </c>
      <c r="B269" s="30">
        <v>251.74</v>
      </c>
      <c r="C269" s="30"/>
      <c r="D269" s="26"/>
      <c r="H269" s="11" t="str">
        <f t="shared" si="10"/>
        <v>2nd Pay Period ending 22/11/2022</v>
      </c>
      <c r="M269" s="30">
        <v>18827</v>
      </c>
      <c r="T269" s="35">
        <f t="shared" si="11"/>
        <v>151.04399999999998</v>
      </c>
    </row>
    <row r="270" spans="1:20" ht="12.75" customHeight="1" x14ac:dyDescent="0.25">
      <c r="A270" s="85" t="s">
        <v>304</v>
      </c>
      <c r="B270" s="30">
        <v>209.19</v>
      </c>
      <c r="C270" s="30"/>
      <c r="D270" s="26"/>
      <c r="H270" s="11" t="str">
        <f t="shared" si="10"/>
        <v>2nd Pay Period ending 22/11/2022</v>
      </c>
      <c r="M270" s="30">
        <v>18979</v>
      </c>
      <c r="T270" s="35">
        <f t="shared" si="11"/>
        <v>125.51400000000001</v>
      </c>
    </row>
    <row r="271" spans="1:20" ht="12.75" customHeight="1" x14ac:dyDescent="0.25">
      <c r="A271" s="85" t="s">
        <v>304</v>
      </c>
      <c r="B271" s="30">
        <v>363.46</v>
      </c>
      <c r="C271" s="30"/>
      <c r="D271" s="26"/>
      <c r="H271" s="11" t="str">
        <f t="shared" si="10"/>
        <v>2nd Pay Period ending 22/11/2022</v>
      </c>
      <c r="M271" s="30">
        <v>18626</v>
      </c>
      <c r="T271" s="35">
        <f t="shared" si="11"/>
        <v>218.07599999999996</v>
      </c>
    </row>
    <row r="272" spans="1:20" ht="12.75" customHeight="1" x14ac:dyDescent="0.25">
      <c r="A272" s="85" t="s">
        <v>304</v>
      </c>
      <c r="B272" s="30">
        <v>207.17</v>
      </c>
      <c r="C272" s="30"/>
      <c r="D272" s="26"/>
      <c r="H272" s="11" t="str">
        <f t="shared" si="10"/>
        <v>2nd Pay Period ending 22/11/2022</v>
      </c>
      <c r="M272" s="30">
        <v>18822</v>
      </c>
      <c r="T272" s="35">
        <f t="shared" si="11"/>
        <v>124.30199999999999</v>
      </c>
    </row>
    <row r="273" spans="1:20" ht="12.75" customHeight="1" x14ac:dyDescent="0.25">
      <c r="A273" s="85" t="s">
        <v>304</v>
      </c>
      <c r="B273" s="30">
        <v>97.55</v>
      </c>
      <c r="C273" s="30"/>
      <c r="D273" s="26"/>
      <c r="H273" s="11" t="str">
        <f t="shared" si="10"/>
        <v>2nd Pay Period ending 22/11/2022</v>
      </c>
      <c r="M273" s="30">
        <v>18929</v>
      </c>
      <c r="T273" s="35">
        <f t="shared" si="11"/>
        <v>58.529999999999994</v>
      </c>
    </row>
    <row r="274" spans="1:20" ht="12.75" customHeight="1" x14ac:dyDescent="0.25">
      <c r="A274" s="85" t="s">
        <v>304</v>
      </c>
      <c r="B274" s="30">
        <v>100.72</v>
      </c>
      <c r="C274" s="30"/>
      <c r="D274" s="26"/>
      <c r="H274" s="11" t="str">
        <f t="shared" si="10"/>
        <v>2nd Pay Period ending 22/11/2022</v>
      </c>
      <c r="M274" s="30">
        <v>134</v>
      </c>
      <c r="T274" s="35">
        <f t="shared" si="11"/>
        <v>60.431999999999995</v>
      </c>
    </row>
    <row r="275" spans="1:20" ht="12.75" customHeight="1" x14ac:dyDescent="0.25">
      <c r="A275" s="85" t="s">
        <v>304</v>
      </c>
      <c r="B275" s="30">
        <v>230.28</v>
      </c>
      <c r="C275" s="30"/>
      <c r="D275" s="26"/>
      <c r="H275" s="11" t="str">
        <f t="shared" si="10"/>
        <v>2nd Pay Period ending 22/11/2022</v>
      </c>
      <c r="M275" s="30">
        <v>18797</v>
      </c>
      <c r="T275" s="35">
        <f t="shared" si="11"/>
        <v>138.16800000000001</v>
      </c>
    </row>
    <row r="276" spans="1:20" ht="12.75" customHeight="1" x14ac:dyDescent="0.25">
      <c r="A276" s="85" t="s">
        <v>304</v>
      </c>
      <c r="B276" s="30">
        <v>201.52</v>
      </c>
      <c r="C276" s="30"/>
      <c r="D276" s="26"/>
      <c r="H276" s="11" t="str">
        <f t="shared" si="10"/>
        <v>2nd Pay Period ending 22/11/2022</v>
      </c>
      <c r="M276" s="30">
        <v>18887</v>
      </c>
      <c r="T276" s="35">
        <f t="shared" si="11"/>
        <v>120.91200000000001</v>
      </c>
    </row>
    <row r="277" spans="1:20" ht="12.75" customHeight="1" x14ac:dyDescent="0.25">
      <c r="A277" s="85" t="s">
        <v>305</v>
      </c>
      <c r="B277" s="30">
        <v>45.46</v>
      </c>
      <c r="C277" s="30"/>
      <c r="D277" s="26"/>
      <c r="H277" s="11" t="str">
        <f t="shared" si="10"/>
        <v>2nd Pay Period ending 22/11/2022</v>
      </c>
      <c r="M277" s="30">
        <v>18793</v>
      </c>
      <c r="T277" s="35">
        <f t="shared" si="11"/>
        <v>27.276000000000003</v>
      </c>
    </row>
    <row r="278" spans="1:20" ht="12.75" customHeight="1" x14ac:dyDescent="0.25">
      <c r="A278" s="85" t="s">
        <v>306</v>
      </c>
      <c r="B278" s="30">
        <v>182.91</v>
      </c>
      <c r="C278" s="30"/>
      <c r="D278" s="26"/>
      <c r="H278" s="11" t="str">
        <f t="shared" si="10"/>
        <v>2nd Pay Period ending 22/11/2022</v>
      </c>
      <c r="M278" s="30">
        <v>18989</v>
      </c>
      <c r="T278" s="35">
        <f t="shared" si="11"/>
        <v>109.74600000000001</v>
      </c>
    </row>
    <row r="279" spans="1:20" ht="12.75" customHeight="1" x14ac:dyDescent="0.25">
      <c r="A279" s="85" t="s">
        <v>307</v>
      </c>
      <c r="B279" s="30">
        <v>184.31</v>
      </c>
      <c r="C279" s="30"/>
      <c r="D279" s="26"/>
      <c r="H279" s="11" t="str">
        <f t="shared" si="10"/>
        <v>2nd Pay Period ending 22/11/2022</v>
      </c>
      <c r="M279" s="30">
        <v>18736</v>
      </c>
      <c r="T279" s="35">
        <f t="shared" si="11"/>
        <v>110.58600000000001</v>
      </c>
    </row>
    <row r="280" spans="1:20" ht="12.75" customHeight="1" x14ac:dyDescent="0.25">
      <c r="A280" s="85" t="s">
        <v>308</v>
      </c>
      <c r="B280" s="30">
        <v>200.69</v>
      </c>
      <c r="C280" s="30"/>
      <c r="D280" s="26"/>
      <c r="H280" s="11" t="str">
        <f t="shared" si="10"/>
        <v>2nd Pay Period ending 22/11/2022</v>
      </c>
      <c r="M280" s="30">
        <v>19009</v>
      </c>
      <c r="T280" s="35">
        <f t="shared" si="11"/>
        <v>120.41399999999999</v>
      </c>
    </row>
    <row r="281" spans="1:20" ht="12.75" customHeight="1" x14ac:dyDescent="0.25">
      <c r="A281" s="85" t="s">
        <v>308</v>
      </c>
      <c r="B281" s="30">
        <v>199.88</v>
      </c>
      <c r="C281" s="30"/>
      <c r="D281" s="26"/>
      <c r="H281" s="11" t="str">
        <f t="shared" si="10"/>
        <v>2nd Pay Period ending 22/11/2022</v>
      </c>
      <c r="M281" s="30">
        <v>19028</v>
      </c>
      <c r="T281" s="35">
        <f t="shared" si="11"/>
        <v>119.928</v>
      </c>
    </row>
    <row r="282" spans="1:20" ht="12.75" customHeight="1" x14ac:dyDescent="0.25">
      <c r="A282" s="85" t="s">
        <v>308</v>
      </c>
      <c r="B282" s="30">
        <v>245.62</v>
      </c>
      <c r="C282" s="30"/>
      <c r="D282" s="26"/>
      <c r="H282" s="11" t="str">
        <f t="shared" si="10"/>
        <v>2nd Pay Period ending 22/11/2022</v>
      </c>
      <c r="M282" s="30">
        <v>18829</v>
      </c>
      <c r="T282" s="35">
        <f t="shared" si="11"/>
        <v>147.37200000000001</v>
      </c>
    </row>
    <row r="283" spans="1:20" ht="12.75" customHeight="1" x14ac:dyDescent="0.25">
      <c r="A283" s="85" t="s">
        <v>308</v>
      </c>
      <c r="B283" s="30">
        <v>220.02</v>
      </c>
      <c r="C283" s="30"/>
      <c r="D283" s="26"/>
      <c r="H283" s="11" t="str">
        <f t="shared" si="10"/>
        <v>2nd Pay Period ending 22/11/2022</v>
      </c>
      <c r="M283" s="30">
        <v>19015</v>
      </c>
      <c r="T283" s="35">
        <f t="shared" si="11"/>
        <v>132.012</v>
      </c>
    </row>
    <row r="284" spans="1:20" ht="12.75" customHeight="1" x14ac:dyDescent="0.25">
      <c r="A284" s="85" t="s">
        <v>308</v>
      </c>
      <c r="B284" s="30">
        <v>192.97</v>
      </c>
      <c r="C284" s="30"/>
      <c r="D284" s="26"/>
      <c r="H284" s="11" t="str">
        <f t="shared" si="10"/>
        <v>2nd Pay Period ending 22/11/2022</v>
      </c>
      <c r="M284" s="30">
        <v>19011</v>
      </c>
      <c r="T284" s="35">
        <f t="shared" si="11"/>
        <v>115.78200000000001</v>
      </c>
    </row>
    <row r="285" spans="1:20" ht="12.75" customHeight="1" x14ac:dyDescent="0.25">
      <c r="A285" s="85" t="s">
        <v>308</v>
      </c>
      <c r="B285" s="30">
        <v>161.76</v>
      </c>
      <c r="C285" s="30"/>
      <c r="D285" s="26"/>
      <c r="H285" s="11" t="str">
        <f t="shared" si="10"/>
        <v>2nd Pay Period ending 22/11/2022</v>
      </c>
      <c r="M285" s="30">
        <v>19017</v>
      </c>
      <c r="T285" s="35">
        <f t="shared" si="11"/>
        <v>97.055999999999983</v>
      </c>
    </row>
    <row r="286" spans="1:20" ht="12.75" customHeight="1" x14ac:dyDescent="0.25">
      <c r="A286" s="85" t="s">
        <v>308</v>
      </c>
      <c r="B286" s="30">
        <v>212.25</v>
      </c>
      <c r="C286" s="30"/>
      <c r="D286" s="26"/>
      <c r="H286" s="11" t="str">
        <f t="shared" si="10"/>
        <v>2nd Pay Period ending 22/11/2022</v>
      </c>
      <c r="M286" s="30">
        <v>19012</v>
      </c>
      <c r="T286" s="35">
        <f t="shared" si="11"/>
        <v>127.35000000000001</v>
      </c>
    </row>
    <row r="287" spans="1:20" ht="12.75" customHeight="1" x14ac:dyDescent="0.25">
      <c r="A287" s="85" t="s">
        <v>308</v>
      </c>
      <c r="B287" s="30">
        <v>210.28</v>
      </c>
      <c r="C287" s="30"/>
      <c r="D287" s="26"/>
      <c r="H287" s="11" t="str">
        <f t="shared" si="10"/>
        <v>2nd Pay Period ending 22/11/2022</v>
      </c>
      <c r="M287" s="30">
        <v>18607</v>
      </c>
      <c r="T287" s="35">
        <f t="shared" si="11"/>
        <v>126.16799999999999</v>
      </c>
    </row>
    <row r="288" spans="1:20" ht="12.75" customHeight="1" x14ac:dyDescent="0.25">
      <c r="A288" s="85" t="s">
        <v>308</v>
      </c>
      <c r="B288" s="30">
        <v>262.16000000000003</v>
      </c>
      <c r="C288" s="30"/>
      <c r="D288" s="26"/>
      <c r="H288" s="11" t="str">
        <f t="shared" si="10"/>
        <v>2nd Pay Period ending 22/11/2022</v>
      </c>
      <c r="M288" s="30">
        <v>18932</v>
      </c>
      <c r="T288" s="35">
        <f t="shared" si="11"/>
        <v>157.29599999999999</v>
      </c>
    </row>
    <row r="289" spans="1:20" ht="12.75" customHeight="1" x14ac:dyDescent="0.25">
      <c r="A289" s="85" t="s">
        <v>308</v>
      </c>
      <c r="B289" s="30">
        <v>185.27</v>
      </c>
      <c r="C289" s="30"/>
      <c r="D289" s="26"/>
      <c r="H289" s="11" t="str">
        <f t="shared" si="10"/>
        <v>2nd Pay Period ending 22/11/2022</v>
      </c>
      <c r="M289" s="30">
        <v>18923</v>
      </c>
      <c r="T289" s="35">
        <f t="shared" si="11"/>
        <v>111.16200000000001</v>
      </c>
    </row>
    <row r="290" spans="1:20" ht="12.75" customHeight="1" x14ac:dyDescent="0.25">
      <c r="A290" s="85" t="s">
        <v>308</v>
      </c>
      <c r="B290" s="30">
        <v>219.26</v>
      </c>
      <c r="C290" s="30"/>
      <c r="D290" s="26"/>
      <c r="H290" s="11" t="str">
        <f t="shared" si="10"/>
        <v>2nd Pay Period ending 22/11/2022</v>
      </c>
      <c r="M290" s="30">
        <v>18983</v>
      </c>
      <c r="T290" s="35">
        <f t="shared" si="11"/>
        <v>131.55599999999998</v>
      </c>
    </row>
    <row r="291" spans="1:20" ht="12.75" customHeight="1" x14ac:dyDescent="0.25">
      <c r="A291" s="85" t="s">
        <v>308</v>
      </c>
      <c r="B291" s="30">
        <v>184.09</v>
      </c>
      <c r="C291" s="30"/>
      <c r="D291" s="26"/>
      <c r="H291" s="11" t="str">
        <f t="shared" si="10"/>
        <v>2nd Pay Period ending 22/11/2022</v>
      </c>
      <c r="M291" s="30">
        <v>18679</v>
      </c>
      <c r="T291" s="35">
        <f t="shared" si="11"/>
        <v>110.45399999999999</v>
      </c>
    </row>
    <row r="292" spans="1:20" ht="12.75" customHeight="1" x14ac:dyDescent="0.25">
      <c r="A292" s="85" t="s">
        <v>308</v>
      </c>
      <c r="B292" s="30">
        <v>224.74</v>
      </c>
      <c r="C292" s="30"/>
      <c r="D292" s="26"/>
      <c r="H292" s="11" t="str">
        <f t="shared" si="10"/>
        <v>2nd Pay Period ending 22/11/2022</v>
      </c>
      <c r="M292" s="30">
        <v>19030</v>
      </c>
      <c r="T292" s="35">
        <f t="shared" si="11"/>
        <v>134.84399999999999</v>
      </c>
    </row>
    <row r="293" spans="1:20" ht="12.75" customHeight="1" x14ac:dyDescent="0.25">
      <c r="A293" s="85" t="s">
        <v>308</v>
      </c>
      <c r="B293" s="30">
        <v>211.79</v>
      </c>
      <c r="C293" s="30"/>
      <c r="D293" s="26"/>
      <c r="H293" s="11" t="str">
        <f t="shared" si="10"/>
        <v>2nd Pay Period ending 22/11/2022</v>
      </c>
      <c r="M293" s="30">
        <v>19029</v>
      </c>
      <c r="T293" s="35">
        <f t="shared" si="11"/>
        <v>127.07399999999998</v>
      </c>
    </row>
    <row r="294" spans="1:20" ht="12.75" customHeight="1" x14ac:dyDescent="0.25">
      <c r="A294" s="85" t="s">
        <v>308</v>
      </c>
      <c r="B294" s="30">
        <v>218.33</v>
      </c>
      <c r="C294" s="30"/>
      <c r="D294" s="26"/>
      <c r="H294" s="11" t="str">
        <f t="shared" si="10"/>
        <v>2nd Pay Period ending 22/11/2022</v>
      </c>
      <c r="M294" s="30">
        <v>19019</v>
      </c>
      <c r="T294" s="35">
        <f t="shared" si="11"/>
        <v>130.99800000000002</v>
      </c>
    </row>
    <row r="295" spans="1:20" ht="12.75" customHeight="1" x14ac:dyDescent="0.25">
      <c r="A295" s="85" t="s">
        <v>308</v>
      </c>
      <c r="B295" s="30">
        <v>148.58000000000001</v>
      </c>
      <c r="C295" s="30"/>
      <c r="D295" s="26"/>
      <c r="H295" s="11" t="str">
        <f t="shared" si="10"/>
        <v>2nd Pay Period ending 22/11/2022</v>
      </c>
      <c r="M295" s="30">
        <v>19008</v>
      </c>
      <c r="T295" s="35">
        <f t="shared" si="11"/>
        <v>89.147999999999996</v>
      </c>
    </row>
    <row r="296" spans="1:20" ht="12.75" customHeight="1" x14ac:dyDescent="0.25">
      <c r="A296" s="85" t="s">
        <v>309</v>
      </c>
      <c r="B296" s="30">
        <v>302.89</v>
      </c>
      <c r="C296" s="30"/>
      <c r="D296" s="26"/>
      <c r="H296" s="11" t="str">
        <f t="shared" si="10"/>
        <v>2nd Pay Period ending 22/11/2022</v>
      </c>
      <c r="M296" s="30">
        <v>18998</v>
      </c>
      <c r="T296" s="35">
        <f t="shared" si="11"/>
        <v>181.73399999999998</v>
      </c>
    </row>
    <row r="297" spans="1:20" ht="12.75" customHeight="1" x14ac:dyDescent="0.25">
      <c r="A297" s="85" t="s">
        <v>310</v>
      </c>
      <c r="B297" s="30">
        <v>310.76</v>
      </c>
      <c r="C297" s="30"/>
      <c r="D297" s="26"/>
      <c r="H297" s="11" t="str">
        <f t="shared" si="10"/>
        <v>2nd Pay Period ending 22/11/2022</v>
      </c>
      <c r="M297" s="30">
        <v>115</v>
      </c>
      <c r="T297" s="35">
        <f t="shared" si="11"/>
        <v>186.45600000000002</v>
      </c>
    </row>
    <row r="298" spans="1:20" ht="12.75" customHeight="1" x14ac:dyDescent="0.25">
      <c r="A298" s="85" t="s">
        <v>311</v>
      </c>
      <c r="B298" s="30">
        <v>214.44</v>
      </c>
      <c r="C298" s="30"/>
      <c r="D298" s="26"/>
      <c r="H298" s="11" t="str">
        <f t="shared" si="10"/>
        <v>2nd Pay Period ending 22/11/2022</v>
      </c>
      <c r="M298" s="30">
        <v>19020</v>
      </c>
      <c r="T298" s="35">
        <f t="shared" si="11"/>
        <v>128.66399999999999</v>
      </c>
    </row>
    <row r="299" spans="1:20" ht="12.75" customHeight="1" x14ac:dyDescent="0.25">
      <c r="A299" s="85" t="s">
        <v>311</v>
      </c>
      <c r="B299" s="30">
        <v>323.08</v>
      </c>
      <c r="C299" s="30"/>
      <c r="D299" s="26"/>
      <c r="H299" s="11" t="str">
        <f t="shared" si="10"/>
        <v>2nd Pay Period ending 22/11/2022</v>
      </c>
      <c r="M299" s="30">
        <v>18649</v>
      </c>
      <c r="T299" s="35">
        <f t="shared" si="11"/>
        <v>193.84800000000001</v>
      </c>
    </row>
    <row r="300" spans="1:20" ht="12.75" customHeight="1" x14ac:dyDescent="0.25">
      <c r="A300" s="85" t="s">
        <v>312</v>
      </c>
      <c r="B300" s="30">
        <v>126.76</v>
      </c>
      <c r="C300" s="30"/>
      <c r="D300" s="26"/>
      <c r="H300" s="11" t="str">
        <f t="shared" si="10"/>
        <v>2nd Pay Period ending 22/11/2022</v>
      </c>
      <c r="M300" s="30">
        <v>18839</v>
      </c>
      <c r="T300" s="35">
        <f t="shared" si="11"/>
        <v>76.055999999999997</v>
      </c>
    </row>
    <row r="301" spans="1:20" ht="12.75" customHeight="1" x14ac:dyDescent="0.25">
      <c r="A301" s="85" t="s">
        <v>312</v>
      </c>
      <c r="B301" s="30">
        <v>206.31</v>
      </c>
      <c r="C301" s="30"/>
      <c r="D301" s="26"/>
      <c r="H301" s="11" t="str">
        <f t="shared" si="10"/>
        <v>2nd Pay Period ending 22/11/2022</v>
      </c>
      <c r="M301" s="30">
        <v>18904</v>
      </c>
      <c r="T301" s="35">
        <f t="shared" si="11"/>
        <v>123.786</v>
      </c>
    </row>
    <row r="302" spans="1:20" ht="12.75" customHeight="1" x14ac:dyDescent="0.25">
      <c r="A302" s="85" t="s">
        <v>313</v>
      </c>
      <c r="B302" s="30">
        <v>196.25</v>
      </c>
      <c r="C302" s="30"/>
      <c r="D302" s="26"/>
      <c r="H302" s="11" t="str">
        <f t="shared" si="10"/>
        <v>2nd Pay Period ending 22/11/2022</v>
      </c>
      <c r="M302" s="30">
        <v>18650</v>
      </c>
      <c r="T302" s="35">
        <f t="shared" si="11"/>
        <v>117.75</v>
      </c>
    </row>
    <row r="303" spans="1:20" ht="12.75" customHeight="1" x14ac:dyDescent="0.25">
      <c r="A303" s="85" t="s">
        <v>314</v>
      </c>
      <c r="B303" s="30">
        <v>139</v>
      </c>
      <c r="C303" s="30"/>
      <c r="D303" s="26"/>
      <c r="H303" s="11" t="str">
        <f t="shared" si="10"/>
        <v>2nd Pay Period ending 22/11/2022</v>
      </c>
      <c r="M303" s="30">
        <v>18924</v>
      </c>
      <c r="T303" s="35">
        <f t="shared" si="11"/>
        <v>83.4</v>
      </c>
    </row>
    <row r="304" spans="1:20" ht="12.75" customHeight="1" x14ac:dyDescent="0.25">
      <c r="A304" s="85" t="s">
        <v>314</v>
      </c>
      <c r="B304" s="30">
        <v>331.2</v>
      </c>
      <c r="C304" s="30"/>
      <c r="D304" s="26"/>
      <c r="H304" s="11" t="str">
        <f t="shared" si="10"/>
        <v>2nd Pay Period ending 22/11/2022</v>
      </c>
      <c r="M304" s="30">
        <v>18713</v>
      </c>
      <c r="T304" s="35">
        <f t="shared" si="11"/>
        <v>198.71999999999997</v>
      </c>
    </row>
    <row r="305" spans="1:20" ht="12.75" customHeight="1" x14ac:dyDescent="0.25">
      <c r="A305" s="85" t="s">
        <v>314</v>
      </c>
      <c r="B305" s="30">
        <v>50.37</v>
      </c>
      <c r="C305" s="30"/>
      <c r="D305" s="26"/>
      <c r="H305" s="11" t="str">
        <f t="shared" si="10"/>
        <v>2nd Pay Period ending 22/11/2022</v>
      </c>
      <c r="M305" s="30">
        <v>18917</v>
      </c>
      <c r="T305" s="35">
        <f t="shared" si="11"/>
        <v>30.222000000000001</v>
      </c>
    </row>
    <row r="306" spans="1:20" ht="12.75" customHeight="1" x14ac:dyDescent="0.25">
      <c r="A306" s="85" t="s">
        <v>314</v>
      </c>
      <c r="B306" s="30">
        <v>256.52999999999997</v>
      </c>
      <c r="C306" s="30"/>
      <c r="D306" s="26"/>
      <c r="H306" s="11" t="str">
        <f t="shared" si="10"/>
        <v>2nd Pay Period ending 22/11/2022</v>
      </c>
      <c r="M306" s="30">
        <v>18942</v>
      </c>
      <c r="T306" s="35">
        <f t="shared" si="11"/>
        <v>153.91800000000001</v>
      </c>
    </row>
    <row r="307" spans="1:20" ht="12.75" customHeight="1" x14ac:dyDescent="0.25">
      <c r="A307" s="85" t="s">
        <v>314</v>
      </c>
      <c r="B307" s="30">
        <v>190.11</v>
      </c>
      <c r="C307" s="30"/>
      <c r="D307" s="26"/>
      <c r="H307" s="11" t="str">
        <f t="shared" si="10"/>
        <v>2nd Pay Period ending 22/11/2022</v>
      </c>
      <c r="M307" s="30">
        <v>18990</v>
      </c>
      <c r="T307" s="35">
        <f t="shared" si="11"/>
        <v>114.06600000000002</v>
      </c>
    </row>
    <row r="308" spans="1:20" ht="12.75" customHeight="1" x14ac:dyDescent="0.25">
      <c r="A308" s="85" t="s">
        <v>314</v>
      </c>
      <c r="B308" s="30">
        <v>253.17</v>
      </c>
      <c r="C308" s="30"/>
      <c r="D308" s="26"/>
      <c r="H308" s="11" t="str">
        <f t="shared" si="10"/>
        <v>2nd Pay Period ending 22/11/2022</v>
      </c>
      <c r="M308" s="30">
        <v>18703</v>
      </c>
      <c r="T308" s="35">
        <f t="shared" si="11"/>
        <v>151.90199999999999</v>
      </c>
    </row>
    <row r="309" spans="1:20" ht="12.75" customHeight="1" x14ac:dyDescent="0.25">
      <c r="A309" s="85" t="s">
        <v>314</v>
      </c>
      <c r="B309" s="30">
        <v>100.29</v>
      </c>
      <c r="C309" s="30"/>
      <c r="D309" s="26"/>
      <c r="H309" s="11" t="str">
        <f t="shared" si="10"/>
        <v>2nd Pay Period ending 22/11/2022</v>
      </c>
      <c r="M309" s="30">
        <v>19023</v>
      </c>
      <c r="T309" s="35">
        <f t="shared" si="11"/>
        <v>60.173999999999999</v>
      </c>
    </row>
    <row r="310" spans="1:20" ht="12.75" customHeight="1" x14ac:dyDescent="0.25">
      <c r="A310" s="85" t="s">
        <v>314</v>
      </c>
      <c r="B310" s="30">
        <v>235.15</v>
      </c>
      <c r="C310" s="30"/>
      <c r="D310" s="26"/>
      <c r="H310" s="11" t="str">
        <f t="shared" si="10"/>
        <v>2nd Pay Period ending 22/11/2022</v>
      </c>
      <c r="M310" s="30">
        <v>18850</v>
      </c>
      <c r="T310" s="35">
        <f t="shared" si="11"/>
        <v>141.09</v>
      </c>
    </row>
    <row r="311" spans="1:20" ht="12.75" customHeight="1" x14ac:dyDescent="0.25">
      <c r="A311" s="85" t="s">
        <v>314</v>
      </c>
      <c r="B311" s="30">
        <v>215.11</v>
      </c>
      <c r="C311" s="30"/>
      <c r="D311" s="26"/>
      <c r="H311" s="11" t="str">
        <f t="shared" si="10"/>
        <v>2nd Pay Period ending 22/11/2022</v>
      </c>
      <c r="M311" s="30">
        <v>18986</v>
      </c>
      <c r="T311" s="35">
        <f t="shared" si="11"/>
        <v>129.06600000000003</v>
      </c>
    </row>
    <row r="312" spans="1:20" ht="12.75" customHeight="1" x14ac:dyDescent="0.25">
      <c r="A312" s="85" t="s">
        <v>314</v>
      </c>
      <c r="B312" s="30">
        <v>248.35</v>
      </c>
      <c r="C312" s="30"/>
      <c r="D312" s="26"/>
      <c r="H312" s="11" t="str">
        <f t="shared" si="10"/>
        <v>2nd Pay Period ending 22/11/2022</v>
      </c>
      <c r="M312" s="30">
        <v>18646</v>
      </c>
      <c r="T312" s="35">
        <f t="shared" si="11"/>
        <v>149.01</v>
      </c>
    </row>
    <row r="313" spans="1:20" ht="12.75" customHeight="1" x14ac:dyDescent="0.25">
      <c r="A313" s="85" t="s">
        <v>314</v>
      </c>
      <c r="B313" s="30">
        <v>202.68</v>
      </c>
      <c r="C313" s="30"/>
      <c r="D313" s="26"/>
      <c r="H313" s="11" t="str">
        <f t="shared" si="10"/>
        <v>2nd Pay Period ending 22/11/2022</v>
      </c>
      <c r="M313" s="30">
        <v>19039</v>
      </c>
      <c r="T313" s="35">
        <f t="shared" si="11"/>
        <v>121.608</v>
      </c>
    </row>
    <row r="314" spans="1:20" ht="12.75" customHeight="1" x14ac:dyDescent="0.25">
      <c r="A314" s="85" t="s">
        <v>315</v>
      </c>
      <c r="B314" s="30">
        <v>185.34</v>
      </c>
      <c r="C314" s="30"/>
      <c r="D314" s="26"/>
      <c r="H314" s="11" t="str">
        <f t="shared" si="10"/>
        <v>2nd Pay Period ending 22/11/2022</v>
      </c>
      <c r="M314" s="30">
        <v>18970</v>
      </c>
      <c r="T314" s="35">
        <f t="shared" si="11"/>
        <v>111.20399999999999</v>
      </c>
    </row>
    <row r="315" spans="1:20" ht="12.75" customHeight="1" x14ac:dyDescent="0.25">
      <c r="A315" s="85" t="s">
        <v>316</v>
      </c>
      <c r="B315" s="30">
        <v>230.19</v>
      </c>
      <c r="C315" s="30"/>
      <c r="D315" s="26"/>
      <c r="H315" s="11" t="str">
        <f t="shared" si="10"/>
        <v>2nd Pay Period ending 22/11/2022</v>
      </c>
      <c r="M315" s="30">
        <v>18976</v>
      </c>
      <c r="T315" s="35">
        <f t="shared" si="11"/>
        <v>138.11399999999998</v>
      </c>
    </row>
    <row r="316" spans="1:20" ht="12.75" customHeight="1" x14ac:dyDescent="0.25">
      <c r="A316" s="85" t="s">
        <v>316</v>
      </c>
      <c r="B316" s="30">
        <v>343.27</v>
      </c>
      <c r="C316" s="30"/>
      <c r="D316" s="26"/>
      <c r="H316" s="11" t="str">
        <f t="shared" si="10"/>
        <v>2nd Pay Period ending 22/11/2022</v>
      </c>
      <c r="M316" s="30">
        <v>19031</v>
      </c>
      <c r="T316" s="35">
        <f t="shared" si="11"/>
        <v>205.96199999999999</v>
      </c>
    </row>
    <row r="317" spans="1:20" ht="12.75" customHeight="1" x14ac:dyDescent="0.25">
      <c r="A317" s="85" t="s">
        <v>317</v>
      </c>
      <c r="B317" s="30">
        <v>266.54000000000002</v>
      </c>
      <c r="C317" s="30"/>
      <c r="D317" s="26"/>
      <c r="H317" s="11" t="str">
        <f t="shared" si="10"/>
        <v>2nd Pay Period ending 22/11/2022</v>
      </c>
      <c r="M317" s="30">
        <v>18442</v>
      </c>
      <c r="T317" s="35">
        <f t="shared" si="11"/>
        <v>159.92400000000004</v>
      </c>
    </row>
    <row r="318" spans="1:20" ht="12.75" customHeight="1" x14ac:dyDescent="0.25">
      <c r="A318" s="85" t="s">
        <v>285</v>
      </c>
      <c r="B318" s="30">
        <v>138.07</v>
      </c>
      <c r="C318" s="30"/>
      <c r="D318" s="26"/>
      <c r="H318" s="11" t="str">
        <f t="shared" si="10"/>
        <v>2nd Pay Period ending 22/11/2022</v>
      </c>
      <c r="M318" s="30">
        <v>18634</v>
      </c>
      <c r="T318" s="35">
        <f t="shared" si="11"/>
        <v>82.841999999999985</v>
      </c>
    </row>
    <row r="319" spans="1:20" ht="12.75" customHeight="1" x14ac:dyDescent="0.25">
      <c r="A319" s="85" t="s">
        <v>285</v>
      </c>
      <c r="B319" s="30">
        <v>168.71</v>
      </c>
      <c r="C319" s="30"/>
      <c r="D319" s="26"/>
      <c r="H319" s="11" t="str">
        <f t="shared" si="10"/>
        <v>2nd Pay Period ending 22/11/2022</v>
      </c>
      <c r="M319" s="30">
        <v>18996</v>
      </c>
      <c r="T319" s="35">
        <f t="shared" si="11"/>
        <v>101.22600000000001</v>
      </c>
    </row>
    <row r="320" spans="1:20" ht="12.75" customHeight="1" x14ac:dyDescent="0.25">
      <c r="A320" s="85" t="s">
        <v>285</v>
      </c>
      <c r="B320" s="30">
        <v>187.02</v>
      </c>
      <c r="C320" s="30"/>
      <c r="D320" s="26"/>
      <c r="H320" s="11" t="str">
        <f t="shared" si="10"/>
        <v>2nd Pay Period ending 22/11/2022</v>
      </c>
      <c r="M320" s="30">
        <v>18898</v>
      </c>
      <c r="T320" s="35">
        <f t="shared" si="11"/>
        <v>112.21200000000002</v>
      </c>
    </row>
    <row r="321" spans="1:20" ht="12.75" customHeight="1" x14ac:dyDescent="0.25">
      <c r="A321" s="85" t="s">
        <v>285</v>
      </c>
      <c r="B321" s="30">
        <v>72.5</v>
      </c>
      <c r="C321" s="30"/>
      <c r="D321" s="26"/>
      <c r="H321" s="11" t="str">
        <f t="shared" si="10"/>
        <v>2nd Pay Period ending 22/11/2022</v>
      </c>
      <c r="M321" s="30">
        <v>18927</v>
      </c>
      <c r="T321" s="35">
        <f t="shared" si="11"/>
        <v>43.5</v>
      </c>
    </row>
    <row r="322" spans="1:20" ht="12.75" customHeight="1" x14ac:dyDescent="0.25">
      <c r="A322" s="85" t="s">
        <v>285</v>
      </c>
      <c r="B322" s="30">
        <v>323.08</v>
      </c>
      <c r="C322" s="30"/>
      <c r="D322" s="26"/>
      <c r="H322" s="11" t="str">
        <f t="shared" si="10"/>
        <v>2nd Pay Period ending 22/11/2022</v>
      </c>
      <c r="M322" s="30">
        <v>261</v>
      </c>
      <c r="T322" s="35">
        <f t="shared" si="11"/>
        <v>193.84800000000001</v>
      </c>
    </row>
    <row r="323" spans="1:20" ht="12.75" customHeight="1" x14ac:dyDescent="0.25">
      <c r="A323" s="85" t="s">
        <v>285</v>
      </c>
      <c r="B323" s="30">
        <v>172.95</v>
      </c>
      <c r="C323" s="30"/>
      <c r="D323" s="26"/>
      <c r="H323" s="11" t="str">
        <f t="shared" ref="H323:H386" si="12">$K$1</f>
        <v>2nd Pay Period ending 22/11/2022</v>
      </c>
      <c r="M323" s="30">
        <v>18895</v>
      </c>
      <c r="T323" s="35">
        <f t="shared" ref="T323:T386" si="13">B323/10*$V$1</f>
        <v>103.76999999999998</v>
      </c>
    </row>
    <row r="324" spans="1:20" ht="12.75" customHeight="1" x14ac:dyDescent="0.25">
      <c r="A324" s="85" t="s">
        <v>285</v>
      </c>
      <c r="B324" s="22">
        <v>254.35</v>
      </c>
      <c r="C324" s="22"/>
      <c r="D324" s="26"/>
      <c r="H324" s="11" t="str">
        <f t="shared" si="12"/>
        <v>2nd Pay Period ending 22/11/2022</v>
      </c>
      <c r="M324" s="22">
        <v>18823</v>
      </c>
      <c r="T324" s="35">
        <f t="shared" si="13"/>
        <v>152.60999999999999</v>
      </c>
    </row>
    <row r="325" spans="1:20" ht="12.75" customHeight="1" x14ac:dyDescent="0.25">
      <c r="A325" s="85" t="s">
        <v>318</v>
      </c>
      <c r="B325" s="22">
        <v>50.93</v>
      </c>
      <c r="C325" s="22"/>
      <c r="D325" s="26"/>
      <c r="H325" s="11" t="str">
        <f t="shared" si="12"/>
        <v>2nd Pay Period ending 22/11/2022</v>
      </c>
      <c r="M325" s="22">
        <v>18791</v>
      </c>
      <c r="T325" s="35">
        <f t="shared" si="13"/>
        <v>30.558</v>
      </c>
    </row>
    <row r="326" spans="1:20" ht="12.75" customHeight="1" x14ac:dyDescent="0.25">
      <c r="A326" s="85" t="s">
        <v>319</v>
      </c>
      <c r="B326" s="22">
        <v>268.33999999999997</v>
      </c>
      <c r="C326" s="22"/>
      <c r="D326" s="26"/>
      <c r="H326" s="11" t="str">
        <f t="shared" si="12"/>
        <v>2nd Pay Period ending 22/11/2022</v>
      </c>
      <c r="M326" s="22">
        <v>18561</v>
      </c>
      <c r="T326" s="35">
        <f t="shared" si="13"/>
        <v>161.00399999999996</v>
      </c>
    </row>
    <row r="327" spans="1:20" ht="12.75" customHeight="1" x14ac:dyDescent="0.25">
      <c r="A327" s="85" t="s">
        <v>319</v>
      </c>
      <c r="B327" s="22">
        <v>191.34</v>
      </c>
      <c r="C327" s="22"/>
      <c r="D327" s="26"/>
      <c r="H327" s="11" t="str">
        <f t="shared" si="12"/>
        <v>2nd Pay Period ending 22/11/2022</v>
      </c>
      <c r="M327" s="22">
        <v>18953</v>
      </c>
      <c r="T327" s="35">
        <f t="shared" si="13"/>
        <v>114.804</v>
      </c>
    </row>
    <row r="328" spans="1:20" ht="12.75" customHeight="1" x14ac:dyDescent="0.25">
      <c r="A328" s="85" t="s">
        <v>320</v>
      </c>
      <c r="B328" s="22">
        <v>58.5</v>
      </c>
      <c r="C328" s="22"/>
      <c r="D328" s="26"/>
      <c r="H328" s="11" t="str">
        <f t="shared" si="12"/>
        <v>2nd Pay Period ending 22/11/2022</v>
      </c>
      <c r="M328" s="22">
        <v>156</v>
      </c>
      <c r="T328" s="35">
        <f t="shared" si="13"/>
        <v>35.099999999999994</v>
      </c>
    </row>
    <row r="329" spans="1:20" ht="12.75" customHeight="1" x14ac:dyDescent="0.25">
      <c r="A329" s="85" t="s">
        <v>320</v>
      </c>
      <c r="B329" s="22">
        <v>206.76</v>
      </c>
      <c r="C329" s="22"/>
      <c r="D329" s="26"/>
      <c r="H329" s="11" t="str">
        <f t="shared" si="12"/>
        <v>2nd Pay Period ending 22/11/2022</v>
      </c>
      <c r="M329" s="22">
        <v>18792</v>
      </c>
      <c r="T329" s="35">
        <f t="shared" si="13"/>
        <v>124.05599999999998</v>
      </c>
    </row>
    <row r="330" spans="1:20" ht="12.75" customHeight="1" x14ac:dyDescent="0.25">
      <c r="A330" s="85" t="s">
        <v>320</v>
      </c>
      <c r="B330" s="22">
        <v>74.430000000000007</v>
      </c>
      <c r="C330" s="22"/>
      <c r="D330" s="26"/>
      <c r="H330" s="11" t="str">
        <f t="shared" si="12"/>
        <v>2nd Pay Period ending 22/11/2022</v>
      </c>
      <c r="M330" s="22">
        <v>18506</v>
      </c>
      <c r="T330" s="35">
        <f t="shared" si="13"/>
        <v>44.658000000000001</v>
      </c>
    </row>
    <row r="331" spans="1:20" ht="12.75" customHeight="1" x14ac:dyDescent="0.25">
      <c r="A331" s="85" t="s">
        <v>447</v>
      </c>
      <c r="B331" s="22">
        <v>66.48</v>
      </c>
      <c r="C331" s="22"/>
      <c r="D331" s="26"/>
      <c r="H331" s="11" t="str">
        <f t="shared" si="12"/>
        <v>2nd Pay Period ending 22/11/2022</v>
      </c>
      <c r="M331" s="22">
        <v>19037</v>
      </c>
      <c r="T331" s="35">
        <f t="shared" si="13"/>
        <v>39.888000000000005</v>
      </c>
    </row>
    <row r="332" spans="1:20" ht="12.75" customHeight="1" x14ac:dyDescent="0.25">
      <c r="A332" s="85" t="s">
        <v>447</v>
      </c>
      <c r="B332" s="22">
        <v>38.270000000000003</v>
      </c>
      <c r="C332" s="22"/>
      <c r="D332" s="26"/>
      <c r="H332" s="11" t="str">
        <f t="shared" si="12"/>
        <v>2nd Pay Period ending 22/11/2022</v>
      </c>
      <c r="M332" s="22">
        <v>19043</v>
      </c>
      <c r="T332" s="35">
        <f t="shared" si="13"/>
        <v>22.962000000000003</v>
      </c>
    </row>
    <row r="333" spans="1:20" ht="12.75" customHeight="1" x14ac:dyDescent="0.25">
      <c r="A333" s="85" t="s">
        <v>321</v>
      </c>
      <c r="B333" s="22">
        <v>302.89</v>
      </c>
      <c r="C333" s="22"/>
      <c r="D333" s="26"/>
      <c r="H333" s="11" t="str">
        <f t="shared" si="12"/>
        <v>2nd Pay Period ending 22/11/2022</v>
      </c>
      <c r="M333" s="22">
        <v>18876</v>
      </c>
      <c r="T333" s="35">
        <f t="shared" si="13"/>
        <v>181.73399999999998</v>
      </c>
    </row>
    <row r="334" spans="1:20" ht="12.75" customHeight="1" x14ac:dyDescent="0.25">
      <c r="A334" s="85" t="s">
        <v>322</v>
      </c>
      <c r="B334" s="22">
        <v>4230.78</v>
      </c>
      <c r="C334" s="22"/>
      <c r="D334" s="26"/>
      <c r="H334" s="11" t="str">
        <f t="shared" si="12"/>
        <v>2nd Pay Period ending 22/11/2022</v>
      </c>
      <c r="M334" s="22">
        <v>18871</v>
      </c>
      <c r="T334" s="35">
        <f t="shared" si="13"/>
        <v>2538.4679999999998</v>
      </c>
    </row>
    <row r="335" spans="1:20" ht="12.75" customHeight="1" x14ac:dyDescent="0.25">
      <c r="A335" s="86" t="s">
        <v>322</v>
      </c>
      <c r="B335" s="22">
        <v>4167.12</v>
      </c>
      <c r="C335" s="22"/>
      <c r="D335" s="26"/>
      <c r="H335" s="11" t="str">
        <f t="shared" si="12"/>
        <v>2nd Pay Period ending 22/11/2022</v>
      </c>
      <c r="M335" s="22">
        <v>18647</v>
      </c>
      <c r="T335" s="35">
        <f t="shared" si="13"/>
        <v>2500.2719999999999</v>
      </c>
    </row>
    <row r="336" spans="1:20" ht="12.75" customHeight="1" x14ac:dyDescent="0.25">
      <c r="A336" s="87" t="s">
        <v>322</v>
      </c>
      <c r="B336" s="22">
        <v>5384.62</v>
      </c>
      <c r="C336" s="22"/>
      <c r="D336" s="26"/>
      <c r="H336" s="11" t="str">
        <f t="shared" si="12"/>
        <v>2nd Pay Period ending 22/11/2022</v>
      </c>
      <c r="M336" s="22">
        <v>18517</v>
      </c>
      <c r="T336" s="35">
        <f t="shared" si="13"/>
        <v>3230.7719999999999</v>
      </c>
    </row>
    <row r="337" spans="1:20" ht="12.75" customHeight="1" x14ac:dyDescent="0.25">
      <c r="A337" s="86" t="s">
        <v>322</v>
      </c>
      <c r="B337" s="22">
        <v>815.77</v>
      </c>
      <c r="C337" s="22"/>
      <c r="D337" s="26"/>
      <c r="H337" s="11" t="str">
        <f t="shared" si="12"/>
        <v>2nd Pay Period ending 22/11/2022</v>
      </c>
      <c r="M337" s="22">
        <v>18726</v>
      </c>
      <c r="T337" s="35">
        <f t="shared" si="13"/>
        <v>489.46199999999999</v>
      </c>
    </row>
    <row r="338" spans="1:20" ht="12.75" customHeight="1" x14ac:dyDescent="0.25">
      <c r="A338" s="86" t="s">
        <v>323</v>
      </c>
      <c r="B338" s="22">
        <v>3846.15</v>
      </c>
      <c r="C338" s="22"/>
      <c r="D338" s="26"/>
      <c r="H338" s="11" t="str">
        <f t="shared" si="12"/>
        <v>2nd Pay Period ending 22/11/2022</v>
      </c>
      <c r="M338" s="22">
        <v>152</v>
      </c>
      <c r="T338" s="35">
        <f t="shared" si="13"/>
        <v>2307.69</v>
      </c>
    </row>
    <row r="339" spans="1:20" ht="12.75" customHeight="1" x14ac:dyDescent="0.25">
      <c r="A339" s="86" t="s">
        <v>324</v>
      </c>
      <c r="B339" s="22">
        <v>2500</v>
      </c>
      <c r="C339" s="22"/>
      <c r="D339" s="26"/>
      <c r="H339" s="11" t="str">
        <f t="shared" si="12"/>
        <v>2nd Pay Period ending 22/11/2022</v>
      </c>
      <c r="M339" s="22">
        <v>19014</v>
      </c>
      <c r="T339" s="35">
        <f t="shared" si="13"/>
        <v>1500</v>
      </c>
    </row>
    <row r="340" spans="1:20" ht="12.75" customHeight="1" x14ac:dyDescent="0.25">
      <c r="A340" s="86" t="s">
        <v>324</v>
      </c>
      <c r="B340" s="22">
        <v>555.69000000000005</v>
      </c>
      <c r="C340" s="22"/>
      <c r="D340" s="26"/>
      <c r="H340" s="11" t="str">
        <f t="shared" si="12"/>
        <v>2nd Pay Period ending 22/11/2022</v>
      </c>
      <c r="M340" s="22">
        <v>18736</v>
      </c>
      <c r="T340" s="35">
        <f t="shared" si="13"/>
        <v>333.41399999999999</v>
      </c>
    </row>
    <row r="341" spans="1:20" ht="12.75" customHeight="1" x14ac:dyDescent="0.25">
      <c r="A341" s="86" t="s">
        <v>325</v>
      </c>
      <c r="B341" s="22">
        <v>3076.93</v>
      </c>
      <c r="C341" s="22"/>
      <c r="D341" s="26"/>
      <c r="H341" s="11" t="str">
        <f t="shared" si="12"/>
        <v>2nd Pay Period ending 22/11/2022</v>
      </c>
      <c r="M341" s="22">
        <v>18987</v>
      </c>
      <c r="T341" s="35">
        <f t="shared" si="13"/>
        <v>1846.1579999999999</v>
      </c>
    </row>
    <row r="342" spans="1:20" ht="12.75" customHeight="1" x14ac:dyDescent="0.25">
      <c r="A342" s="86" t="s">
        <v>325</v>
      </c>
      <c r="B342" s="22">
        <v>2692.31</v>
      </c>
      <c r="C342" s="22"/>
      <c r="D342" s="26"/>
      <c r="H342" s="11" t="str">
        <f t="shared" si="12"/>
        <v>2nd Pay Period ending 22/11/2022</v>
      </c>
      <c r="M342" s="22">
        <v>18988</v>
      </c>
      <c r="T342" s="35">
        <f t="shared" si="13"/>
        <v>1615.386</v>
      </c>
    </row>
    <row r="343" spans="1:20" ht="12.75" customHeight="1" x14ac:dyDescent="0.25">
      <c r="A343" s="86" t="s">
        <v>325</v>
      </c>
      <c r="B343" s="22">
        <v>2307.69</v>
      </c>
      <c r="C343" s="22"/>
      <c r="D343" s="26"/>
      <c r="H343" s="11" t="str">
        <f t="shared" si="12"/>
        <v>2nd Pay Period ending 22/11/2022</v>
      </c>
      <c r="M343" s="22">
        <v>18995</v>
      </c>
      <c r="T343" s="35">
        <f t="shared" si="13"/>
        <v>1384.614</v>
      </c>
    </row>
    <row r="344" spans="1:20" ht="12.75" customHeight="1" x14ac:dyDescent="0.25">
      <c r="A344" s="86" t="s">
        <v>325</v>
      </c>
      <c r="B344" s="22">
        <v>4769.2299999999996</v>
      </c>
      <c r="C344" s="22"/>
      <c r="D344" s="26"/>
      <c r="H344" s="11" t="str">
        <f t="shared" si="12"/>
        <v>2nd Pay Period ending 22/11/2022</v>
      </c>
      <c r="M344" s="22">
        <v>18920</v>
      </c>
      <c r="T344" s="35">
        <f t="shared" si="13"/>
        <v>2861.5379999999996</v>
      </c>
    </row>
    <row r="345" spans="1:20" ht="12.75" customHeight="1" x14ac:dyDescent="0.25">
      <c r="A345" s="86" t="s">
        <v>325</v>
      </c>
      <c r="B345" s="22">
        <v>2114.42</v>
      </c>
      <c r="C345" s="22"/>
      <c r="D345" s="26"/>
      <c r="H345" s="11" t="str">
        <f t="shared" si="12"/>
        <v>2nd Pay Period ending 22/11/2022</v>
      </c>
      <c r="M345" s="22">
        <v>18946</v>
      </c>
      <c r="T345" s="35">
        <f t="shared" si="13"/>
        <v>1268.652</v>
      </c>
    </row>
    <row r="346" spans="1:20" ht="12.75" customHeight="1" x14ac:dyDescent="0.25">
      <c r="A346" s="86" t="s">
        <v>325</v>
      </c>
      <c r="B346" s="22">
        <v>2807.7</v>
      </c>
      <c r="C346" s="22"/>
      <c r="D346" s="26"/>
      <c r="H346" s="11" t="str">
        <f t="shared" si="12"/>
        <v>2nd Pay Period ending 22/11/2022</v>
      </c>
      <c r="M346" s="22">
        <v>18721</v>
      </c>
      <c r="T346" s="35">
        <f t="shared" si="13"/>
        <v>1684.62</v>
      </c>
    </row>
    <row r="347" spans="1:20" ht="12.75" customHeight="1" x14ac:dyDescent="0.25">
      <c r="A347" s="86" t="s">
        <v>326</v>
      </c>
      <c r="B347" s="22">
        <v>3143.1</v>
      </c>
      <c r="C347" s="22"/>
      <c r="D347" s="26"/>
      <c r="H347" s="11" t="str">
        <f t="shared" si="12"/>
        <v>2nd Pay Period ending 22/11/2022</v>
      </c>
      <c r="M347" s="22">
        <v>220</v>
      </c>
      <c r="T347" s="35">
        <f t="shared" si="13"/>
        <v>1885.8600000000001</v>
      </c>
    </row>
    <row r="348" spans="1:20" ht="12.75" customHeight="1" x14ac:dyDescent="0.25">
      <c r="A348" s="86" t="s">
        <v>327</v>
      </c>
      <c r="B348" s="22">
        <v>5384.62</v>
      </c>
      <c r="C348" s="22"/>
      <c r="D348" s="26"/>
      <c r="H348" s="11" t="str">
        <f t="shared" si="12"/>
        <v>2nd Pay Period ending 22/11/2022</v>
      </c>
      <c r="M348" s="22">
        <v>18716</v>
      </c>
      <c r="T348" s="35">
        <f t="shared" si="13"/>
        <v>3230.7719999999999</v>
      </c>
    </row>
    <row r="349" spans="1:20" ht="12.75" customHeight="1" x14ac:dyDescent="0.25">
      <c r="A349" s="86" t="s">
        <v>327</v>
      </c>
      <c r="B349" s="22">
        <v>2615.39</v>
      </c>
      <c r="C349" s="22"/>
      <c r="D349" s="26"/>
      <c r="H349" s="11" t="str">
        <f t="shared" si="12"/>
        <v>2nd Pay Period ending 22/11/2022</v>
      </c>
      <c r="M349" s="22">
        <v>18948</v>
      </c>
      <c r="T349" s="35">
        <f t="shared" si="13"/>
        <v>1569.2339999999999</v>
      </c>
    </row>
    <row r="350" spans="1:20" ht="12.75" customHeight="1" x14ac:dyDescent="0.25">
      <c r="A350" s="86" t="s">
        <v>329</v>
      </c>
      <c r="B350" s="22">
        <v>5384.62</v>
      </c>
      <c r="C350" s="22"/>
      <c r="D350" s="26"/>
      <c r="H350" s="11" t="str">
        <f t="shared" si="12"/>
        <v>2nd Pay Period ending 22/11/2022</v>
      </c>
      <c r="M350" s="22">
        <v>18969</v>
      </c>
      <c r="T350" s="35">
        <f t="shared" si="13"/>
        <v>3230.7719999999999</v>
      </c>
    </row>
    <row r="351" spans="1:20" ht="12.75" customHeight="1" x14ac:dyDescent="0.25">
      <c r="A351" s="86" t="s">
        <v>329</v>
      </c>
      <c r="B351" s="22">
        <v>2615.39</v>
      </c>
      <c r="C351" s="22"/>
      <c r="D351" s="26"/>
      <c r="H351" s="11" t="str">
        <f t="shared" si="12"/>
        <v>2nd Pay Period ending 22/11/2022</v>
      </c>
      <c r="M351" s="22">
        <v>18862</v>
      </c>
      <c r="T351" s="35">
        <f t="shared" si="13"/>
        <v>1569.2339999999999</v>
      </c>
    </row>
    <row r="352" spans="1:20" ht="12.75" customHeight="1" x14ac:dyDescent="0.25">
      <c r="A352" s="86" t="s">
        <v>330</v>
      </c>
      <c r="B352" s="22">
        <v>8165.89</v>
      </c>
      <c r="C352" s="22"/>
      <c r="D352" s="26"/>
      <c r="H352" s="11" t="str">
        <f t="shared" si="12"/>
        <v>2nd Pay Period ending 22/11/2022</v>
      </c>
      <c r="M352" s="22">
        <v>18886</v>
      </c>
      <c r="T352" s="35">
        <f t="shared" si="13"/>
        <v>4899.5340000000006</v>
      </c>
    </row>
    <row r="353" spans="1:20" ht="12.75" customHeight="1" x14ac:dyDescent="0.25">
      <c r="A353" s="86" t="s">
        <v>331</v>
      </c>
      <c r="B353" s="22">
        <v>6455.08</v>
      </c>
      <c r="C353" s="22"/>
      <c r="D353" s="26"/>
      <c r="H353" s="11" t="str">
        <f t="shared" si="12"/>
        <v>2nd Pay Period ending 22/11/2022</v>
      </c>
      <c r="M353" s="22">
        <v>18853</v>
      </c>
      <c r="T353" s="35">
        <f t="shared" si="13"/>
        <v>3873.0480000000002</v>
      </c>
    </row>
    <row r="354" spans="1:20" ht="12.75" customHeight="1" x14ac:dyDescent="0.25">
      <c r="A354" s="86" t="s">
        <v>331</v>
      </c>
      <c r="B354" s="22">
        <v>1815.85</v>
      </c>
      <c r="C354" s="22"/>
      <c r="D354" s="26"/>
      <c r="H354" s="11" t="str">
        <f t="shared" si="12"/>
        <v>2nd Pay Period ending 22/11/2022</v>
      </c>
      <c r="M354" s="22">
        <v>18550</v>
      </c>
      <c r="T354" s="35">
        <f t="shared" si="13"/>
        <v>1089.5099999999998</v>
      </c>
    </row>
    <row r="355" spans="1:20" ht="12.75" customHeight="1" x14ac:dyDescent="0.25">
      <c r="A355" s="86" t="s">
        <v>331</v>
      </c>
      <c r="B355" s="22">
        <v>2500</v>
      </c>
      <c r="C355" s="22"/>
      <c r="D355" s="26"/>
      <c r="H355" s="11" t="str">
        <f t="shared" si="12"/>
        <v>2nd Pay Period ending 22/11/2022</v>
      </c>
      <c r="M355" s="22">
        <v>19025</v>
      </c>
      <c r="T355" s="35">
        <f t="shared" si="13"/>
        <v>1500</v>
      </c>
    </row>
    <row r="356" spans="1:20" ht="12.75" customHeight="1" x14ac:dyDescent="0.25">
      <c r="A356" s="86" t="s">
        <v>331</v>
      </c>
      <c r="B356" s="22">
        <v>3115.38</v>
      </c>
      <c r="C356" s="22"/>
      <c r="D356" s="26"/>
      <c r="H356" s="11" t="str">
        <f t="shared" si="12"/>
        <v>2nd Pay Period ending 22/11/2022</v>
      </c>
      <c r="M356" s="22">
        <v>19003</v>
      </c>
      <c r="T356" s="35">
        <f t="shared" si="13"/>
        <v>1869.2280000000001</v>
      </c>
    </row>
    <row r="357" spans="1:20" ht="12.75" customHeight="1" x14ac:dyDescent="0.25">
      <c r="A357" s="86" t="s">
        <v>331</v>
      </c>
      <c r="B357" s="22">
        <v>3269.23</v>
      </c>
      <c r="C357" s="22"/>
      <c r="D357" s="26"/>
      <c r="H357" s="11" t="str">
        <f t="shared" si="12"/>
        <v>2nd Pay Period ending 22/11/2022</v>
      </c>
      <c r="M357" s="22">
        <v>18741</v>
      </c>
      <c r="T357" s="35">
        <f t="shared" si="13"/>
        <v>1961.538</v>
      </c>
    </row>
    <row r="358" spans="1:20" ht="12.75" customHeight="1" x14ac:dyDescent="0.25">
      <c r="A358" s="86" t="s">
        <v>331</v>
      </c>
      <c r="B358" s="22">
        <v>2292.31</v>
      </c>
      <c r="C358" s="22"/>
      <c r="D358" s="26"/>
      <c r="H358" s="11" t="str">
        <f t="shared" si="12"/>
        <v>2nd Pay Period ending 22/11/2022</v>
      </c>
      <c r="M358" s="22">
        <v>18968</v>
      </c>
      <c r="T358" s="35">
        <f t="shared" si="13"/>
        <v>1375.386</v>
      </c>
    </row>
    <row r="359" spans="1:20" ht="12.75" customHeight="1" x14ac:dyDescent="0.25">
      <c r="A359" s="86" t="s">
        <v>331</v>
      </c>
      <c r="B359" s="22">
        <v>1878.54</v>
      </c>
      <c r="C359" s="22"/>
      <c r="D359" s="26"/>
      <c r="H359" s="11" t="str">
        <f t="shared" si="12"/>
        <v>2nd Pay Period ending 22/11/2022</v>
      </c>
      <c r="M359" s="22">
        <v>19022</v>
      </c>
      <c r="T359" s="35">
        <f t="shared" si="13"/>
        <v>1127.1239999999998</v>
      </c>
    </row>
    <row r="360" spans="1:20" ht="12.75" customHeight="1" x14ac:dyDescent="0.25">
      <c r="A360" s="86" t="s">
        <v>332</v>
      </c>
      <c r="B360" s="22">
        <v>2534.62</v>
      </c>
      <c r="C360" s="22"/>
      <c r="D360" s="26"/>
      <c r="H360" s="11" t="str">
        <f t="shared" si="12"/>
        <v>2nd Pay Period ending 22/11/2022</v>
      </c>
      <c r="M360" s="22">
        <v>18619</v>
      </c>
      <c r="T360" s="35">
        <f t="shared" si="13"/>
        <v>1520.7719999999999</v>
      </c>
    </row>
    <row r="361" spans="1:20" ht="12.75" customHeight="1" x14ac:dyDescent="0.25">
      <c r="A361" s="86" t="s">
        <v>332</v>
      </c>
      <c r="B361" s="22">
        <v>2563.6999999999998</v>
      </c>
      <c r="C361" s="22"/>
      <c r="D361" s="26"/>
      <c r="H361" s="11" t="str">
        <f t="shared" si="12"/>
        <v>2nd Pay Period ending 22/11/2022</v>
      </c>
      <c r="M361" s="22">
        <v>18836</v>
      </c>
      <c r="T361" s="35">
        <f t="shared" si="13"/>
        <v>1538.22</v>
      </c>
    </row>
    <row r="362" spans="1:20" ht="12.75" customHeight="1" x14ac:dyDescent="0.25">
      <c r="A362" s="86" t="s">
        <v>458</v>
      </c>
      <c r="B362" s="22">
        <v>1269.23</v>
      </c>
      <c r="C362" s="22"/>
      <c r="D362" s="26"/>
      <c r="H362" s="11" t="str">
        <f t="shared" si="12"/>
        <v>2nd Pay Period ending 22/11/2022</v>
      </c>
      <c r="M362" s="22">
        <v>18893</v>
      </c>
      <c r="T362" s="35">
        <f t="shared" si="13"/>
        <v>761.53800000000001</v>
      </c>
    </row>
    <row r="363" spans="1:20" ht="12.75" customHeight="1" x14ac:dyDescent="0.25">
      <c r="A363" s="86" t="s">
        <v>458</v>
      </c>
      <c r="B363" s="22">
        <v>1255.06</v>
      </c>
      <c r="C363" s="22"/>
      <c r="D363" s="26"/>
      <c r="H363" s="11" t="str">
        <f t="shared" si="12"/>
        <v>2nd Pay Period ending 22/11/2022</v>
      </c>
      <c r="M363" s="22">
        <v>19040</v>
      </c>
      <c r="T363" s="35">
        <f t="shared" si="13"/>
        <v>753.03600000000006</v>
      </c>
    </row>
    <row r="364" spans="1:20" ht="12.75" customHeight="1" x14ac:dyDescent="0.25">
      <c r="A364" s="86" t="s">
        <v>333</v>
      </c>
      <c r="B364" s="22">
        <v>2488.87</v>
      </c>
      <c r="C364" s="22"/>
      <c r="D364" s="26"/>
      <c r="H364" s="11" t="str">
        <f t="shared" si="12"/>
        <v>2nd Pay Period ending 22/11/2022</v>
      </c>
      <c r="M364" s="22">
        <v>18866</v>
      </c>
      <c r="T364" s="35">
        <f t="shared" si="13"/>
        <v>1493.3220000000001</v>
      </c>
    </row>
    <row r="365" spans="1:20" ht="12.75" customHeight="1" x14ac:dyDescent="0.25">
      <c r="A365" s="86" t="s">
        <v>333</v>
      </c>
      <c r="B365" s="22">
        <v>1706.09</v>
      </c>
      <c r="C365" s="22"/>
      <c r="D365" s="26"/>
      <c r="H365" s="11" t="str">
        <f t="shared" si="12"/>
        <v>2nd Pay Period ending 22/11/2022</v>
      </c>
      <c r="M365" s="22">
        <v>18957</v>
      </c>
      <c r="T365" s="35">
        <f t="shared" si="13"/>
        <v>1023.6539999999999</v>
      </c>
    </row>
    <row r="366" spans="1:20" ht="12.75" customHeight="1" x14ac:dyDescent="0.25">
      <c r="A366" s="86" t="s">
        <v>333</v>
      </c>
      <c r="B366" s="22">
        <v>1514.66</v>
      </c>
      <c r="C366" s="22"/>
      <c r="D366" s="26"/>
      <c r="H366" s="11" t="str">
        <f t="shared" si="12"/>
        <v>2nd Pay Period ending 22/11/2022</v>
      </c>
      <c r="M366" s="22">
        <v>18903</v>
      </c>
      <c r="T366" s="35">
        <f t="shared" si="13"/>
        <v>908.79600000000005</v>
      </c>
    </row>
    <row r="367" spans="1:20" ht="12.75" customHeight="1" x14ac:dyDescent="0.25">
      <c r="A367" s="86" t="s">
        <v>333</v>
      </c>
      <c r="B367" s="22">
        <v>1176.27</v>
      </c>
      <c r="C367" s="22"/>
      <c r="D367" s="26"/>
      <c r="H367" s="11" t="str">
        <f t="shared" si="12"/>
        <v>2nd Pay Period ending 22/11/2022</v>
      </c>
      <c r="M367" s="22">
        <v>18831</v>
      </c>
      <c r="T367" s="35">
        <f t="shared" si="13"/>
        <v>705.76199999999994</v>
      </c>
    </row>
    <row r="368" spans="1:20" ht="12.75" customHeight="1" x14ac:dyDescent="0.25">
      <c r="A368" s="87" t="s">
        <v>333</v>
      </c>
      <c r="B368" s="22">
        <v>2223.73</v>
      </c>
      <c r="C368" s="22"/>
      <c r="D368" s="26"/>
      <c r="H368" s="11" t="str">
        <f t="shared" si="12"/>
        <v>2nd Pay Period ending 22/11/2022</v>
      </c>
      <c r="M368" s="22">
        <v>18589</v>
      </c>
      <c r="T368" s="35">
        <f t="shared" si="13"/>
        <v>1334.2379999999998</v>
      </c>
    </row>
    <row r="369" spans="1:20" ht="12.75" customHeight="1" x14ac:dyDescent="0.25">
      <c r="A369" s="87" t="s">
        <v>333</v>
      </c>
      <c r="B369" s="22">
        <v>1597.99</v>
      </c>
      <c r="C369" s="22"/>
      <c r="D369" s="26"/>
      <c r="H369" s="11" t="str">
        <f t="shared" si="12"/>
        <v>2nd Pay Period ending 22/11/2022</v>
      </c>
      <c r="M369" s="22">
        <v>18891</v>
      </c>
      <c r="T369" s="35">
        <f t="shared" si="13"/>
        <v>958.7940000000001</v>
      </c>
    </row>
    <row r="370" spans="1:20" ht="12.75" customHeight="1" x14ac:dyDescent="0.25">
      <c r="A370" s="87" t="s">
        <v>334</v>
      </c>
      <c r="B370" s="22">
        <v>1110.75</v>
      </c>
      <c r="C370" s="22"/>
      <c r="D370" s="26"/>
      <c r="H370" s="11" t="str">
        <f t="shared" si="12"/>
        <v>2nd Pay Period ending 22/11/2022</v>
      </c>
      <c r="M370" s="22">
        <v>18631</v>
      </c>
      <c r="T370" s="35">
        <f t="shared" si="13"/>
        <v>666.45</v>
      </c>
    </row>
    <row r="371" spans="1:20" ht="12.75" customHeight="1" x14ac:dyDescent="0.25">
      <c r="A371" s="87" t="s">
        <v>334</v>
      </c>
      <c r="B371" s="22">
        <v>3076.92</v>
      </c>
      <c r="C371" s="22"/>
      <c r="D371" s="26"/>
      <c r="H371" s="11" t="str">
        <f t="shared" si="12"/>
        <v>2nd Pay Period ending 22/11/2022</v>
      </c>
      <c r="M371" s="22">
        <v>18954</v>
      </c>
      <c r="T371" s="35">
        <f t="shared" si="13"/>
        <v>1846.152</v>
      </c>
    </row>
    <row r="372" spans="1:20" ht="12.75" customHeight="1" x14ac:dyDescent="0.25">
      <c r="A372" s="87" t="s">
        <v>334</v>
      </c>
      <c r="B372" s="22">
        <v>1074.81</v>
      </c>
      <c r="C372" s="22"/>
      <c r="D372" s="26"/>
      <c r="H372" s="11" t="str">
        <f t="shared" si="12"/>
        <v>2nd Pay Period ending 22/11/2022</v>
      </c>
      <c r="M372" s="22">
        <v>18</v>
      </c>
      <c r="T372" s="35">
        <f t="shared" si="13"/>
        <v>644.88599999999997</v>
      </c>
    </row>
    <row r="373" spans="1:20" ht="12.75" customHeight="1" x14ac:dyDescent="0.25">
      <c r="A373" s="87" t="s">
        <v>334</v>
      </c>
      <c r="B373" s="22">
        <v>2282.84</v>
      </c>
      <c r="C373" s="22"/>
      <c r="D373" s="26"/>
      <c r="H373" s="11" t="str">
        <f t="shared" si="12"/>
        <v>2nd Pay Period ending 22/11/2022</v>
      </c>
      <c r="M373" s="22">
        <v>18879</v>
      </c>
      <c r="T373" s="35">
        <f t="shared" si="13"/>
        <v>1369.7040000000002</v>
      </c>
    </row>
    <row r="374" spans="1:20" ht="12.75" customHeight="1" x14ac:dyDescent="0.25">
      <c r="A374" s="87" t="s">
        <v>335</v>
      </c>
      <c r="B374" s="22">
        <v>2223.7399999999998</v>
      </c>
      <c r="C374" s="22"/>
      <c r="D374" s="26"/>
      <c r="H374" s="11" t="str">
        <f t="shared" si="12"/>
        <v>2nd Pay Period ending 22/11/2022</v>
      </c>
      <c r="M374" s="22">
        <v>18630</v>
      </c>
      <c r="T374" s="35">
        <f t="shared" si="13"/>
        <v>1334.2439999999997</v>
      </c>
    </row>
    <row r="375" spans="1:20" ht="12.75" customHeight="1" x14ac:dyDescent="0.25">
      <c r="A375" s="87" t="s">
        <v>335</v>
      </c>
      <c r="B375" s="22">
        <v>2515.5500000000002</v>
      </c>
      <c r="C375" s="22"/>
      <c r="D375" s="26"/>
      <c r="H375" s="11" t="str">
        <f t="shared" si="12"/>
        <v>2nd Pay Period ending 22/11/2022</v>
      </c>
      <c r="M375" s="22">
        <v>19013</v>
      </c>
      <c r="T375" s="35">
        <f t="shared" si="13"/>
        <v>1509.33</v>
      </c>
    </row>
    <row r="376" spans="1:20" ht="12.75" customHeight="1" x14ac:dyDescent="0.25">
      <c r="A376" s="87" t="s">
        <v>336</v>
      </c>
      <c r="B376" s="22">
        <v>894.38</v>
      </c>
      <c r="C376" s="22"/>
      <c r="D376" s="26"/>
      <c r="H376" s="11" t="str">
        <f t="shared" si="12"/>
        <v>2nd Pay Period ending 22/11/2022</v>
      </c>
      <c r="M376" s="22">
        <v>18960</v>
      </c>
      <c r="T376" s="35">
        <f t="shared" si="13"/>
        <v>536.62800000000004</v>
      </c>
    </row>
    <row r="377" spans="1:20" ht="12.75" customHeight="1" x14ac:dyDescent="0.25">
      <c r="A377" s="87" t="s">
        <v>336</v>
      </c>
      <c r="B377" s="22">
        <v>2041.43</v>
      </c>
      <c r="C377" s="22"/>
      <c r="D377" s="26"/>
      <c r="H377" s="11" t="str">
        <f t="shared" si="12"/>
        <v>2nd Pay Period ending 22/11/2022</v>
      </c>
      <c r="M377" s="22">
        <v>18687</v>
      </c>
      <c r="T377" s="35">
        <f t="shared" si="13"/>
        <v>1224.8579999999999</v>
      </c>
    </row>
    <row r="378" spans="1:20" ht="12.75" customHeight="1" x14ac:dyDescent="0.25">
      <c r="A378" s="87" t="s">
        <v>336</v>
      </c>
      <c r="B378" s="22">
        <v>1164.79</v>
      </c>
      <c r="C378" s="22"/>
      <c r="D378" s="26"/>
      <c r="H378" s="11" t="str">
        <f t="shared" si="12"/>
        <v>2nd Pay Period ending 22/11/2022</v>
      </c>
      <c r="M378" s="22">
        <v>18894</v>
      </c>
      <c r="T378" s="35">
        <f t="shared" si="13"/>
        <v>698.87400000000002</v>
      </c>
    </row>
    <row r="379" spans="1:20" ht="12.75" customHeight="1" x14ac:dyDescent="0.25">
      <c r="A379" s="87" t="s">
        <v>336</v>
      </c>
      <c r="B379" s="22">
        <v>2052.87</v>
      </c>
      <c r="C379" s="22"/>
      <c r="D379" s="26"/>
      <c r="H379" s="11" t="str">
        <f t="shared" si="12"/>
        <v>2nd Pay Period ending 22/11/2022</v>
      </c>
      <c r="M379" s="22">
        <v>18781</v>
      </c>
      <c r="T379" s="35">
        <f t="shared" si="13"/>
        <v>1231.7219999999998</v>
      </c>
    </row>
    <row r="380" spans="1:20" ht="12.75" customHeight="1" x14ac:dyDescent="0.25">
      <c r="A380" s="87" t="s">
        <v>336</v>
      </c>
      <c r="B380" s="22">
        <v>2309.48</v>
      </c>
      <c r="C380" s="22"/>
      <c r="D380" s="26"/>
      <c r="H380" s="11" t="str">
        <f t="shared" si="12"/>
        <v>2nd Pay Period ending 22/11/2022</v>
      </c>
      <c r="M380" s="22">
        <v>18967</v>
      </c>
      <c r="T380" s="35">
        <f t="shared" si="13"/>
        <v>1385.6880000000001</v>
      </c>
    </row>
    <row r="381" spans="1:20" ht="12.75" customHeight="1" x14ac:dyDescent="0.25">
      <c r="A381" s="87" t="s">
        <v>336</v>
      </c>
      <c r="B381" s="22">
        <v>2188.62</v>
      </c>
      <c r="C381" s="22"/>
      <c r="D381" s="26"/>
      <c r="H381" s="11" t="str">
        <f t="shared" si="12"/>
        <v>2nd Pay Period ending 22/11/2022</v>
      </c>
      <c r="M381" s="22">
        <v>18733</v>
      </c>
      <c r="T381" s="35">
        <f t="shared" si="13"/>
        <v>1313.172</v>
      </c>
    </row>
    <row r="382" spans="1:20" ht="12.75" customHeight="1" x14ac:dyDescent="0.25">
      <c r="A382" s="87" t="s">
        <v>336</v>
      </c>
      <c r="B382" s="22">
        <v>4038.47</v>
      </c>
      <c r="C382" s="22"/>
      <c r="D382" s="26"/>
      <c r="H382" s="11" t="str">
        <f t="shared" si="12"/>
        <v>2nd Pay Period ending 22/11/2022</v>
      </c>
      <c r="M382" s="22">
        <v>18559</v>
      </c>
      <c r="T382" s="35">
        <f t="shared" si="13"/>
        <v>2423.0819999999999</v>
      </c>
    </row>
    <row r="383" spans="1:20" ht="12.75" customHeight="1" x14ac:dyDescent="0.25">
      <c r="A383" s="87" t="s">
        <v>336</v>
      </c>
      <c r="B383" s="22">
        <v>1769.37</v>
      </c>
      <c r="C383" s="22"/>
      <c r="D383" s="26"/>
      <c r="H383" s="11" t="str">
        <f t="shared" si="12"/>
        <v>2nd Pay Period ending 22/11/2022</v>
      </c>
      <c r="M383" s="22">
        <v>19033</v>
      </c>
      <c r="T383" s="35">
        <f t="shared" si="13"/>
        <v>1061.6219999999998</v>
      </c>
    </row>
    <row r="384" spans="1:20" ht="12.75" customHeight="1" x14ac:dyDescent="0.25">
      <c r="A384" s="87" t="s">
        <v>336</v>
      </c>
      <c r="B384" s="22">
        <v>2088.66</v>
      </c>
      <c r="C384" s="22"/>
      <c r="D384" s="26"/>
      <c r="H384" s="11" t="str">
        <f t="shared" si="12"/>
        <v>2nd Pay Period ending 22/11/2022</v>
      </c>
      <c r="M384" s="22">
        <v>18892</v>
      </c>
      <c r="T384" s="35">
        <f t="shared" si="13"/>
        <v>1253.1959999999999</v>
      </c>
    </row>
    <row r="385" spans="1:20" ht="12.75" customHeight="1" x14ac:dyDescent="0.25">
      <c r="A385" s="87" t="s">
        <v>336</v>
      </c>
      <c r="B385" s="22">
        <v>2362.67</v>
      </c>
      <c r="C385" s="22"/>
      <c r="D385" s="26"/>
      <c r="H385" s="11" t="str">
        <f t="shared" si="12"/>
        <v>2nd Pay Period ending 22/11/2022</v>
      </c>
      <c r="M385" s="22">
        <v>18659</v>
      </c>
      <c r="T385" s="35">
        <f t="shared" si="13"/>
        <v>1417.6019999999999</v>
      </c>
    </row>
    <row r="386" spans="1:20" ht="12.75" customHeight="1" x14ac:dyDescent="0.25">
      <c r="A386" s="87" t="s">
        <v>336</v>
      </c>
      <c r="B386" s="22">
        <v>2515.5500000000002</v>
      </c>
      <c r="C386" s="22"/>
      <c r="D386" s="26"/>
      <c r="H386" s="11" t="str">
        <f t="shared" si="12"/>
        <v>2nd Pay Period ending 22/11/2022</v>
      </c>
      <c r="M386" s="22">
        <v>18911</v>
      </c>
      <c r="T386" s="35">
        <f t="shared" si="13"/>
        <v>1509.33</v>
      </c>
    </row>
    <row r="387" spans="1:20" ht="12.75" customHeight="1" x14ac:dyDescent="0.25">
      <c r="A387" s="87" t="s">
        <v>337</v>
      </c>
      <c r="B387" s="22">
        <v>2156.5</v>
      </c>
      <c r="C387" s="22"/>
      <c r="D387" s="26"/>
      <c r="H387" s="11" t="str">
        <f t="shared" ref="H387:H450" si="14">$K$1</f>
        <v>2nd Pay Period ending 22/11/2022</v>
      </c>
      <c r="M387" s="22">
        <v>18961</v>
      </c>
      <c r="T387" s="35">
        <f t="shared" ref="T387:T450" si="15">B387/10*$V$1</f>
        <v>1293.9000000000001</v>
      </c>
    </row>
    <row r="388" spans="1:20" ht="12.75" customHeight="1" x14ac:dyDescent="0.25">
      <c r="A388" s="87" t="s">
        <v>337</v>
      </c>
      <c r="B388" s="22">
        <v>1866.65</v>
      </c>
      <c r="C388" s="22"/>
      <c r="D388" s="26"/>
      <c r="H388" s="11" t="str">
        <f t="shared" si="14"/>
        <v>2nd Pay Period ending 22/11/2022</v>
      </c>
      <c r="M388" s="22">
        <v>145</v>
      </c>
      <c r="T388" s="35">
        <f t="shared" si="15"/>
        <v>1119.9900000000002</v>
      </c>
    </row>
    <row r="389" spans="1:20" ht="12.75" customHeight="1" x14ac:dyDescent="0.25">
      <c r="A389" s="87" t="s">
        <v>337</v>
      </c>
      <c r="B389" s="22">
        <v>902.7</v>
      </c>
      <c r="C389" s="22"/>
      <c r="D389" s="26"/>
      <c r="H389" s="11" t="str">
        <f t="shared" si="14"/>
        <v>2nd Pay Period ending 22/11/2022</v>
      </c>
      <c r="M389" s="22">
        <v>141</v>
      </c>
      <c r="T389" s="35">
        <f t="shared" si="15"/>
        <v>541.62000000000012</v>
      </c>
    </row>
    <row r="390" spans="1:20" ht="12.75" customHeight="1" x14ac:dyDescent="0.25">
      <c r="A390" s="87" t="s">
        <v>338</v>
      </c>
      <c r="B390" s="22">
        <v>1866.65</v>
      </c>
      <c r="C390" s="22"/>
      <c r="D390" s="26"/>
      <c r="H390" s="11" t="str">
        <f t="shared" si="14"/>
        <v>2nd Pay Period ending 22/11/2022</v>
      </c>
      <c r="M390" s="22">
        <v>19035</v>
      </c>
      <c r="T390" s="35">
        <f t="shared" si="15"/>
        <v>1119.9900000000002</v>
      </c>
    </row>
    <row r="391" spans="1:20" ht="12.75" customHeight="1" x14ac:dyDescent="0.25">
      <c r="A391" s="87" t="s">
        <v>338</v>
      </c>
      <c r="B391" s="22">
        <v>1960.45</v>
      </c>
      <c r="C391" s="22"/>
      <c r="D391" s="26"/>
      <c r="H391" s="11" t="str">
        <f t="shared" si="14"/>
        <v>2nd Pay Period ending 22/11/2022</v>
      </c>
      <c r="M391" s="22">
        <v>19006</v>
      </c>
      <c r="T391" s="35">
        <f t="shared" si="15"/>
        <v>1176.27</v>
      </c>
    </row>
    <row r="392" spans="1:20" ht="12.75" customHeight="1" x14ac:dyDescent="0.25">
      <c r="A392" s="87" t="s">
        <v>338</v>
      </c>
      <c r="B392" s="22">
        <v>2275.16</v>
      </c>
      <c r="C392" s="22"/>
      <c r="D392" s="26"/>
      <c r="H392" s="11" t="str">
        <f t="shared" si="14"/>
        <v>2nd Pay Period ending 22/11/2022</v>
      </c>
      <c r="M392" s="22">
        <v>19007</v>
      </c>
      <c r="T392" s="35">
        <f t="shared" si="15"/>
        <v>1365.096</v>
      </c>
    </row>
    <row r="393" spans="1:20" ht="12.75" customHeight="1" x14ac:dyDescent="0.25">
      <c r="A393" s="87" t="s">
        <v>338</v>
      </c>
      <c r="B393" s="22">
        <v>207.41</v>
      </c>
      <c r="C393" s="22"/>
      <c r="D393" s="26"/>
      <c r="H393" s="11" t="str">
        <f t="shared" si="14"/>
        <v>2nd Pay Period ending 22/11/2022</v>
      </c>
      <c r="M393" s="22">
        <v>19042</v>
      </c>
      <c r="T393" s="35">
        <f t="shared" si="15"/>
        <v>124.446</v>
      </c>
    </row>
    <row r="394" spans="1:20" ht="12.75" customHeight="1" x14ac:dyDescent="0.25">
      <c r="A394" s="87" t="s">
        <v>338</v>
      </c>
      <c r="B394" s="22">
        <v>2890.85</v>
      </c>
      <c r="C394" s="22"/>
      <c r="D394" s="26"/>
      <c r="H394" s="11" t="str">
        <f t="shared" si="14"/>
        <v>2nd Pay Period ending 22/11/2022</v>
      </c>
      <c r="M394" s="22">
        <v>18974</v>
      </c>
      <c r="T394" s="35">
        <f t="shared" si="15"/>
        <v>1734.5099999999998</v>
      </c>
    </row>
    <row r="395" spans="1:20" ht="12.75" customHeight="1" x14ac:dyDescent="0.25">
      <c r="A395" s="87" t="s">
        <v>338</v>
      </c>
      <c r="B395" s="22">
        <v>2221.52</v>
      </c>
      <c r="C395" s="22"/>
      <c r="D395" s="26"/>
      <c r="H395" s="11" t="str">
        <f t="shared" si="14"/>
        <v>2nd Pay Period ending 22/11/2022</v>
      </c>
      <c r="M395" s="22">
        <v>18999</v>
      </c>
      <c r="T395" s="35">
        <f t="shared" si="15"/>
        <v>1332.9119999999998</v>
      </c>
    </row>
    <row r="396" spans="1:20" ht="12.75" customHeight="1" x14ac:dyDescent="0.25">
      <c r="A396" s="87" t="s">
        <v>338</v>
      </c>
      <c r="B396" s="22">
        <v>1176.27</v>
      </c>
      <c r="C396" s="22"/>
      <c r="D396" s="26"/>
      <c r="H396" s="11" t="str">
        <f t="shared" si="14"/>
        <v>2nd Pay Period ending 22/11/2022</v>
      </c>
      <c r="M396" s="22">
        <v>19026</v>
      </c>
      <c r="T396" s="35">
        <f t="shared" si="15"/>
        <v>705.76199999999994</v>
      </c>
    </row>
    <row r="397" spans="1:20" ht="12.75" customHeight="1" x14ac:dyDescent="0.25">
      <c r="A397" s="87" t="s">
        <v>338</v>
      </c>
      <c r="B397" s="22">
        <v>1176.27</v>
      </c>
      <c r="C397" s="22"/>
      <c r="D397" s="26"/>
      <c r="H397" s="11" t="str">
        <f t="shared" si="14"/>
        <v>2nd Pay Period ending 22/11/2022</v>
      </c>
      <c r="M397" s="22">
        <v>19032</v>
      </c>
      <c r="T397" s="35">
        <f t="shared" si="15"/>
        <v>705.76199999999994</v>
      </c>
    </row>
    <row r="398" spans="1:20" ht="12.75" customHeight="1" x14ac:dyDescent="0.25">
      <c r="A398" s="87" t="s">
        <v>338</v>
      </c>
      <c r="B398" s="22">
        <v>5000</v>
      </c>
      <c r="C398" s="22"/>
      <c r="D398" s="26"/>
      <c r="H398" s="11" t="str">
        <f t="shared" si="14"/>
        <v>2nd Pay Period ending 22/11/2022</v>
      </c>
      <c r="M398" s="22">
        <v>18962</v>
      </c>
      <c r="T398" s="35">
        <f t="shared" si="15"/>
        <v>3000</v>
      </c>
    </row>
    <row r="399" spans="1:20" ht="12.75" customHeight="1" x14ac:dyDescent="0.25">
      <c r="A399" s="87" t="s">
        <v>338</v>
      </c>
      <c r="B399" s="22">
        <v>1645.89</v>
      </c>
      <c r="C399" s="22"/>
      <c r="D399" s="26"/>
      <c r="H399" s="11" t="str">
        <f t="shared" si="14"/>
        <v>2nd Pay Period ending 22/11/2022</v>
      </c>
      <c r="M399" s="22">
        <v>18973</v>
      </c>
      <c r="T399" s="35">
        <f t="shared" si="15"/>
        <v>987.53399999999999</v>
      </c>
    </row>
    <row r="400" spans="1:20" ht="12.75" customHeight="1" x14ac:dyDescent="0.25">
      <c r="A400" s="87" t="s">
        <v>339</v>
      </c>
      <c r="B400" s="22">
        <v>3269.23</v>
      </c>
      <c r="C400" s="22"/>
      <c r="D400" s="26"/>
      <c r="H400" s="11" t="str">
        <f t="shared" si="14"/>
        <v>2nd Pay Period ending 22/11/2022</v>
      </c>
      <c r="M400" s="22">
        <v>19038</v>
      </c>
      <c r="T400" s="35">
        <f t="shared" si="15"/>
        <v>1961.538</v>
      </c>
    </row>
    <row r="401" spans="1:20" ht="12.75" customHeight="1" x14ac:dyDescent="0.25">
      <c r="A401" s="87" t="s">
        <v>339</v>
      </c>
      <c r="B401" s="22">
        <v>1911.44</v>
      </c>
      <c r="C401" s="22"/>
      <c r="D401" s="26"/>
      <c r="H401" s="11" t="str">
        <f t="shared" si="14"/>
        <v>2nd Pay Period ending 22/11/2022</v>
      </c>
      <c r="M401" s="22">
        <v>19027</v>
      </c>
      <c r="T401" s="35">
        <f t="shared" si="15"/>
        <v>1146.864</v>
      </c>
    </row>
    <row r="402" spans="1:20" ht="12.75" customHeight="1" x14ac:dyDescent="0.25">
      <c r="A402" s="87" t="s">
        <v>339</v>
      </c>
      <c r="B402" s="22">
        <v>1960.46</v>
      </c>
      <c r="C402" s="22"/>
      <c r="D402" s="26"/>
      <c r="H402" s="11" t="str">
        <f t="shared" si="14"/>
        <v>2nd Pay Period ending 22/11/2022</v>
      </c>
      <c r="M402" s="22">
        <v>19021</v>
      </c>
      <c r="T402" s="35">
        <f t="shared" si="15"/>
        <v>1176.2759999999998</v>
      </c>
    </row>
    <row r="403" spans="1:20" ht="12.75" customHeight="1" x14ac:dyDescent="0.25">
      <c r="A403" s="87" t="s">
        <v>339</v>
      </c>
      <c r="B403" s="22">
        <v>1958.3</v>
      </c>
      <c r="C403" s="22"/>
      <c r="D403" s="26"/>
      <c r="H403" s="11" t="str">
        <f t="shared" si="14"/>
        <v>2nd Pay Period ending 22/11/2022</v>
      </c>
      <c r="M403" s="22">
        <v>18980</v>
      </c>
      <c r="T403" s="35">
        <f t="shared" si="15"/>
        <v>1174.98</v>
      </c>
    </row>
    <row r="404" spans="1:20" ht="12.75" customHeight="1" x14ac:dyDescent="0.25">
      <c r="A404" s="87" t="s">
        <v>340</v>
      </c>
      <c r="B404" s="22">
        <v>2846.34</v>
      </c>
      <c r="C404" s="22"/>
      <c r="D404" s="26"/>
      <c r="H404" s="11" t="str">
        <f t="shared" si="14"/>
        <v>2nd Pay Period ending 22/11/2022</v>
      </c>
      <c r="M404" s="22">
        <v>18581</v>
      </c>
      <c r="T404" s="35">
        <f t="shared" si="15"/>
        <v>1707.8040000000001</v>
      </c>
    </row>
    <row r="405" spans="1:20" ht="12.75" customHeight="1" x14ac:dyDescent="0.25">
      <c r="A405" s="87" t="s">
        <v>341</v>
      </c>
      <c r="B405" s="22">
        <v>2500</v>
      </c>
      <c r="C405" s="22"/>
      <c r="D405" s="26"/>
      <c r="H405" s="11" t="str">
        <f t="shared" si="14"/>
        <v>2nd Pay Period ending 22/11/2022</v>
      </c>
      <c r="M405" s="22">
        <v>19034</v>
      </c>
      <c r="T405" s="35">
        <f t="shared" si="15"/>
        <v>1500</v>
      </c>
    </row>
    <row r="406" spans="1:20" ht="12.75" customHeight="1" x14ac:dyDescent="0.25">
      <c r="A406" s="87" t="s">
        <v>341</v>
      </c>
      <c r="B406" s="22">
        <v>5384.62</v>
      </c>
      <c r="C406" s="22"/>
      <c r="D406" s="26"/>
      <c r="H406" s="11" t="str">
        <f t="shared" si="14"/>
        <v>2nd Pay Period ending 22/11/2022</v>
      </c>
      <c r="M406" s="22">
        <v>44705</v>
      </c>
      <c r="T406" s="35">
        <f t="shared" si="15"/>
        <v>3230.7719999999999</v>
      </c>
    </row>
    <row r="407" spans="1:20" ht="12.75" customHeight="1" x14ac:dyDescent="0.25">
      <c r="A407" s="87" t="s">
        <v>342</v>
      </c>
      <c r="B407" s="22">
        <v>2307.69</v>
      </c>
      <c r="C407" s="22"/>
      <c r="D407" s="26"/>
      <c r="H407" s="11" t="str">
        <f t="shared" si="14"/>
        <v>2nd Pay Period ending 22/11/2022</v>
      </c>
      <c r="M407" s="22">
        <v>18805</v>
      </c>
      <c r="T407" s="35">
        <f t="shared" si="15"/>
        <v>1384.614</v>
      </c>
    </row>
    <row r="408" spans="1:20" ht="12.75" customHeight="1" x14ac:dyDescent="0.25">
      <c r="A408" s="87" t="s">
        <v>342</v>
      </c>
      <c r="B408" s="22">
        <v>2307.6799999999998</v>
      </c>
      <c r="C408" s="22"/>
      <c r="D408" s="26"/>
      <c r="H408" s="11" t="str">
        <f t="shared" si="14"/>
        <v>2nd Pay Period ending 22/11/2022</v>
      </c>
      <c r="M408" s="22">
        <v>18982</v>
      </c>
      <c r="T408" s="35">
        <f t="shared" si="15"/>
        <v>1384.6079999999997</v>
      </c>
    </row>
    <row r="409" spans="1:20" ht="12.75" customHeight="1" x14ac:dyDescent="0.25">
      <c r="A409" s="87" t="s">
        <v>343</v>
      </c>
      <c r="B409" s="22">
        <v>2153.85</v>
      </c>
      <c r="C409" s="22"/>
      <c r="D409" s="26"/>
      <c r="H409" s="11" t="str">
        <f t="shared" si="14"/>
        <v>2nd Pay Period ending 22/11/2022</v>
      </c>
      <c r="M409" s="22">
        <v>18841</v>
      </c>
      <c r="T409" s="35">
        <f t="shared" si="15"/>
        <v>1292.31</v>
      </c>
    </row>
    <row r="410" spans="1:20" ht="12.75" customHeight="1" x14ac:dyDescent="0.25">
      <c r="A410" s="87" t="s">
        <v>343</v>
      </c>
      <c r="B410" s="22">
        <v>2475.8000000000002</v>
      </c>
      <c r="C410" s="22"/>
      <c r="D410" s="26"/>
      <c r="H410" s="11" t="str">
        <f t="shared" si="14"/>
        <v>2nd Pay Period ending 22/11/2022</v>
      </c>
      <c r="M410" s="22">
        <v>266</v>
      </c>
      <c r="T410" s="35">
        <f t="shared" si="15"/>
        <v>1485.48</v>
      </c>
    </row>
    <row r="411" spans="1:20" ht="12.75" customHeight="1" x14ac:dyDescent="0.25">
      <c r="A411" s="87" t="s">
        <v>344</v>
      </c>
      <c r="B411" s="22">
        <v>950.21</v>
      </c>
      <c r="C411" s="22"/>
      <c r="D411" s="26"/>
      <c r="H411" s="11" t="str">
        <f t="shared" si="14"/>
        <v>2nd Pay Period ending 22/11/2022</v>
      </c>
      <c r="M411" s="22">
        <v>134</v>
      </c>
      <c r="T411" s="35">
        <f t="shared" si="15"/>
        <v>570.12599999999998</v>
      </c>
    </row>
    <row r="412" spans="1:20" ht="12.75" customHeight="1" x14ac:dyDescent="0.25">
      <c r="A412" s="87" t="s">
        <v>344</v>
      </c>
      <c r="B412" s="22">
        <v>1568.36</v>
      </c>
      <c r="C412" s="22"/>
      <c r="D412" s="26"/>
      <c r="H412" s="11" t="str">
        <f t="shared" si="14"/>
        <v>2nd Pay Period ending 22/11/2022</v>
      </c>
      <c r="M412" s="22">
        <v>18918</v>
      </c>
      <c r="T412" s="35">
        <f t="shared" si="15"/>
        <v>941.01599999999985</v>
      </c>
    </row>
    <row r="413" spans="1:20" ht="12.75" customHeight="1" x14ac:dyDescent="0.25">
      <c r="A413" s="87" t="s">
        <v>344</v>
      </c>
      <c r="B413" s="22">
        <v>2156.5</v>
      </c>
      <c r="C413" s="22"/>
      <c r="D413" s="26"/>
      <c r="H413" s="11" t="str">
        <f t="shared" si="14"/>
        <v>2nd Pay Period ending 22/11/2022</v>
      </c>
      <c r="M413" s="22">
        <v>18797</v>
      </c>
      <c r="T413" s="35">
        <f t="shared" si="15"/>
        <v>1293.9000000000001</v>
      </c>
    </row>
    <row r="414" spans="1:20" ht="12.75" customHeight="1" x14ac:dyDescent="0.25">
      <c r="A414" s="87" t="s">
        <v>344</v>
      </c>
      <c r="B414" s="22">
        <v>1758.39</v>
      </c>
      <c r="C414" s="22"/>
      <c r="D414" s="26"/>
      <c r="H414" s="11" t="str">
        <f t="shared" si="14"/>
        <v>2nd Pay Period ending 22/11/2022</v>
      </c>
      <c r="M414" s="22">
        <v>18822</v>
      </c>
      <c r="T414" s="35">
        <f t="shared" si="15"/>
        <v>1055.0340000000001</v>
      </c>
    </row>
    <row r="415" spans="1:20" ht="12.75" customHeight="1" x14ac:dyDescent="0.25">
      <c r="A415" s="87" t="s">
        <v>344</v>
      </c>
      <c r="B415" s="22">
        <v>1805.4</v>
      </c>
      <c r="C415" s="22"/>
      <c r="D415" s="26"/>
      <c r="H415" s="11" t="str">
        <f t="shared" si="14"/>
        <v>2nd Pay Period ending 22/11/2022</v>
      </c>
      <c r="M415" s="22">
        <v>18887</v>
      </c>
      <c r="T415" s="35">
        <f t="shared" si="15"/>
        <v>1083.2400000000002</v>
      </c>
    </row>
    <row r="416" spans="1:20" ht="12.75" customHeight="1" x14ac:dyDescent="0.25">
      <c r="A416" s="87" t="s">
        <v>344</v>
      </c>
      <c r="B416" s="22">
        <v>1801.44</v>
      </c>
      <c r="C416" s="22"/>
      <c r="D416" s="26"/>
      <c r="H416" s="11" t="str">
        <f t="shared" si="14"/>
        <v>2nd Pay Period ending 22/11/2022</v>
      </c>
      <c r="M416" s="22">
        <v>18949</v>
      </c>
      <c r="T416" s="35">
        <f t="shared" si="15"/>
        <v>1080.864</v>
      </c>
    </row>
    <row r="417" spans="1:20" ht="12.75" customHeight="1" x14ac:dyDescent="0.25">
      <c r="A417" s="87" t="s">
        <v>344</v>
      </c>
      <c r="B417" s="22">
        <v>1573.04</v>
      </c>
      <c r="C417" s="22"/>
      <c r="D417" s="26"/>
      <c r="H417" s="11" t="str">
        <f t="shared" si="14"/>
        <v>2nd Pay Period ending 22/11/2022</v>
      </c>
      <c r="M417" s="22">
        <v>18979</v>
      </c>
      <c r="T417" s="35">
        <f t="shared" si="15"/>
        <v>943.82400000000007</v>
      </c>
    </row>
    <row r="418" spans="1:20" ht="12.75" customHeight="1" x14ac:dyDescent="0.25">
      <c r="A418" s="87" t="s">
        <v>344</v>
      </c>
      <c r="B418" s="22">
        <v>920.25</v>
      </c>
      <c r="C418" s="22"/>
      <c r="D418" s="26"/>
      <c r="H418" s="11" t="str">
        <f t="shared" si="14"/>
        <v>2nd Pay Period ending 22/11/2022</v>
      </c>
      <c r="M418" s="22">
        <v>18929</v>
      </c>
      <c r="T418" s="35">
        <f t="shared" si="15"/>
        <v>552.15000000000009</v>
      </c>
    </row>
    <row r="419" spans="1:20" ht="12.75" customHeight="1" x14ac:dyDescent="0.25">
      <c r="A419" s="87" t="s">
        <v>344</v>
      </c>
      <c r="B419" s="22">
        <v>2343.08</v>
      </c>
      <c r="C419" s="22"/>
      <c r="D419" s="26"/>
      <c r="H419" s="11" t="str">
        <f t="shared" si="14"/>
        <v>2nd Pay Period ending 22/11/2022</v>
      </c>
      <c r="M419" s="22">
        <v>18827</v>
      </c>
      <c r="T419" s="35">
        <f t="shared" si="15"/>
        <v>1405.848</v>
      </c>
    </row>
    <row r="420" spans="1:20" ht="12.75" customHeight="1" x14ac:dyDescent="0.25">
      <c r="A420" s="87" t="s">
        <v>344</v>
      </c>
      <c r="B420" s="22">
        <v>3461.54</v>
      </c>
      <c r="C420" s="22"/>
      <c r="D420" s="26"/>
      <c r="H420" s="11" t="str">
        <f t="shared" si="14"/>
        <v>2nd Pay Period ending 22/11/2022</v>
      </c>
      <c r="M420" s="22">
        <v>18626</v>
      </c>
      <c r="T420" s="35">
        <f t="shared" si="15"/>
        <v>2076.924</v>
      </c>
    </row>
    <row r="421" spans="1:20" ht="12.75" customHeight="1" x14ac:dyDescent="0.25">
      <c r="A421" s="87" t="s">
        <v>345</v>
      </c>
      <c r="B421" s="22">
        <v>428.81</v>
      </c>
      <c r="C421" s="22"/>
      <c r="D421" s="26"/>
      <c r="H421" s="11" t="str">
        <f t="shared" si="14"/>
        <v>2nd Pay Period ending 22/11/2022</v>
      </c>
      <c r="M421" s="22">
        <v>18793</v>
      </c>
      <c r="T421" s="35">
        <f t="shared" si="15"/>
        <v>257.286</v>
      </c>
    </row>
    <row r="422" spans="1:20" ht="12.75" customHeight="1" x14ac:dyDescent="0.25">
      <c r="A422" s="87" t="s">
        <v>346</v>
      </c>
      <c r="B422" s="22">
        <v>1709.58</v>
      </c>
      <c r="C422" s="22"/>
      <c r="D422" s="26"/>
      <c r="H422" s="11" t="str">
        <f t="shared" si="14"/>
        <v>2nd Pay Period ending 22/11/2022</v>
      </c>
      <c r="M422" s="22">
        <v>18989</v>
      </c>
      <c r="T422" s="35">
        <f t="shared" si="15"/>
        <v>1025.748</v>
      </c>
    </row>
    <row r="423" spans="1:20" ht="12.75" customHeight="1" x14ac:dyDescent="0.25">
      <c r="A423" s="87" t="s">
        <v>347</v>
      </c>
      <c r="B423" s="22">
        <v>1667.07</v>
      </c>
      <c r="C423" s="22"/>
      <c r="D423" s="26"/>
      <c r="H423" s="11" t="str">
        <f t="shared" si="14"/>
        <v>2nd Pay Period ending 22/11/2022</v>
      </c>
      <c r="M423" s="22">
        <v>18736</v>
      </c>
      <c r="T423" s="35">
        <f t="shared" si="15"/>
        <v>1000.242</v>
      </c>
    </row>
    <row r="424" spans="1:20" ht="12.75" customHeight="1" x14ac:dyDescent="0.25">
      <c r="A424" s="87" t="s">
        <v>348</v>
      </c>
      <c r="B424" s="22">
        <v>1799.46</v>
      </c>
      <c r="C424" s="22"/>
      <c r="D424" s="26"/>
      <c r="H424" s="11" t="str">
        <f t="shared" si="14"/>
        <v>2nd Pay Period ending 22/11/2022</v>
      </c>
      <c r="M424" s="22">
        <v>19019</v>
      </c>
      <c r="T424" s="35">
        <f t="shared" si="15"/>
        <v>1079.6759999999999</v>
      </c>
    </row>
    <row r="425" spans="1:20" ht="12.75" customHeight="1" x14ac:dyDescent="0.25">
      <c r="A425" s="87" t="s">
        <v>348</v>
      </c>
      <c r="B425" s="22">
        <v>1510.07</v>
      </c>
      <c r="C425" s="22"/>
      <c r="D425" s="26"/>
      <c r="H425" s="11" t="str">
        <f t="shared" si="14"/>
        <v>2nd Pay Period ending 22/11/2022</v>
      </c>
      <c r="M425" s="22">
        <v>19017</v>
      </c>
      <c r="T425" s="35">
        <f t="shared" si="15"/>
        <v>906.04200000000003</v>
      </c>
    </row>
    <row r="426" spans="1:20" ht="12.75" customHeight="1" x14ac:dyDescent="0.25">
      <c r="A426" s="87" t="s">
        <v>348</v>
      </c>
      <c r="B426" s="22">
        <v>1789.96</v>
      </c>
      <c r="C426" s="22"/>
      <c r="D426" s="26"/>
      <c r="H426" s="11" t="str">
        <f t="shared" si="14"/>
        <v>2nd Pay Period ending 22/11/2022</v>
      </c>
      <c r="M426" s="22">
        <v>19028</v>
      </c>
      <c r="T426" s="35">
        <f t="shared" si="15"/>
        <v>1073.9760000000001</v>
      </c>
    </row>
    <row r="427" spans="1:20" ht="12.75" customHeight="1" x14ac:dyDescent="0.25">
      <c r="A427" s="87" t="s">
        <v>348</v>
      </c>
      <c r="B427" s="22">
        <v>1094.32</v>
      </c>
      <c r="C427" s="22"/>
      <c r="D427" s="26"/>
      <c r="H427" s="11" t="str">
        <f t="shared" si="14"/>
        <v>2nd Pay Period ending 22/11/2022</v>
      </c>
      <c r="M427" s="22">
        <v>18607</v>
      </c>
      <c r="T427" s="35">
        <f t="shared" si="15"/>
        <v>656.59199999999987</v>
      </c>
    </row>
    <row r="428" spans="1:20" ht="12.75" customHeight="1" x14ac:dyDescent="0.25">
      <c r="A428" s="87" t="s">
        <v>348</v>
      </c>
      <c r="B428" s="22">
        <v>1804.6</v>
      </c>
      <c r="C428" s="22"/>
      <c r="D428" s="26"/>
      <c r="H428" s="11" t="str">
        <f t="shared" si="14"/>
        <v>2nd Pay Period ending 22/11/2022</v>
      </c>
      <c r="M428" s="22">
        <v>19011</v>
      </c>
      <c r="T428" s="35">
        <f t="shared" si="15"/>
        <v>1082.7599999999998</v>
      </c>
    </row>
    <row r="429" spans="1:20" ht="12.75" customHeight="1" x14ac:dyDescent="0.25">
      <c r="A429" s="87" t="s">
        <v>348</v>
      </c>
      <c r="B429" s="22">
        <v>1893.29</v>
      </c>
      <c r="C429" s="22"/>
      <c r="D429" s="26"/>
      <c r="H429" s="11" t="str">
        <f t="shared" si="14"/>
        <v>2nd Pay Period ending 22/11/2022</v>
      </c>
      <c r="M429" s="22">
        <v>19009</v>
      </c>
      <c r="T429" s="35">
        <f t="shared" si="15"/>
        <v>1135.9740000000002</v>
      </c>
    </row>
    <row r="430" spans="1:20" ht="12.75" customHeight="1" x14ac:dyDescent="0.25">
      <c r="A430" s="87" t="s">
        <v>348</v>
      </c>
      <c r="B430" s="22">
        <v>1922.61</v>
      </c>
      <c r="C430" s="22"/>
      <c r="D430" s="26"/>
      <c r="H430" s="11" t="str">
        <f t="shared" si="14"/>
        <v>2nd Pay Period ending 22/11/2022</v>
      </c>
      <c r="M430" s="22">
        <v>19012</v>
      </c>
      <c r="T430" s="35">
        <f t="shared" si="15"/>
        <v>1153.566</v>
      </c>
    </row>
    <row r="431" spans="1:20" ht="12.75" customHeight="1" x14ac:dyDescent="0.25">
      <c r="A431" s="87" t="s">
        <v>348</v>
      </c>
      <c r="B431" s="22">
        <v>1972.87</v>
      </c>
      <c r="C431" s="22"/>
      <c r="D431" s="26"/>
      <c r="H431" s="11" t="str">
        <f t="shared" si="14"/>
        <v>2nd Pay Period ending 22/11/2022</v>
      </c>
      <c r="M431" s="22">
        <v>18983</v>
      </c>
      <c r="T431" s="35">
        <f t="shared" si="15"/>
        <v>1183.7219999999998</v>
      </c>
    </row>
    <row r="432" spans="1:20" ht="12.75" customHeight="1" x14ac:dyDescent="0.25">
      <c r="A432" s="87" t="s">
        <v>348</v>
      </c>
      <c r="B432" s="22">
        <v>2221.52</v>
      </c>
      <c r="C432" s="22"/>
      <c r="D432" s="26"/>
      <c r="H432" s="11" t="str">
        <f t="shared" si="14"/>
        <v>2nd Pay Period ending 22/11/2022</v>
      </c>
      <c r="M432" s="22">
        <v>18829</v>
      </c>
      <c r="T432" s="35">
        <f t="shared" si="15"/>
        <v>1332.9119999999998</v>
      </c>
    </row>
    <row r="433" spans="1:20" ht="12.75" customHeight="1" x14ac:dyDescent="0.25">
      <c r="A433" s="87" t="s">
        <v>348</v>
      </c>
      <c r="B433" s="22">
        <v>1918.24</v>
      </c>
      <c r="C433" s="22"/>
      <c r="D433" s="26"/>
      <c r="H433" s="11" t="str">
        <f t="shared" si="14"/>
        <v>2nd Pay Period ending 22/11/2022</v>
      </c>
      <c r="M433" s="22">
        <v>19029</v>
      </c>
      <c r="T433" s="35">
        <f t="shared" si="15"/>
        <v>1150.944</v>
      </c>
    </row>
    <row r="434" spans="1:20" ht="12.75" customHeight="1" x14ac:dyDescent="0.25">
      <c r="A434" s="87" t="s">
        <v>348</v>
      </c>
      <c r="B434" s="22">
        <v>2223.7399999999998</v>
      </c>
      <c r="C434" s="22"/>
      <c r="D434" s="26"/>
      <c r="H434" s="11" t="str">
        <f t="shared" si="14"/>
        <v>2nd Pay Period ending 22/11/2022</v>
      </c>
      <c r="M434" s="22">
        <v>18932</v>
      </c>
      <c r="T434" s="35">
        <f t="shared" si="15"/>
        <v>1334.2439999999997</v>
      </c>
    </row>
    <row r="435" spans="1:20" ht="12.75" customHeight="1" x14ac:dyDescent="0.25">
      <c r="A435" s="87" t="s">
        <v>348</v>
      </c>
      <c r="B435" s="22">
        <v>1223.48</v>
      </c>
      <c r="C435" s="22"/>
      <c r="D435" s="26"/>
      <c r="H435" s="11" t="str">
        <f t="shared" si="14"/>
        <v>2nd Pay Period ending 22/11/2022</v>
      </c>
      <c r="M435" s="22">
        <v>18923</v>
      </c>
      <c r="T435" s="35">
        <f t="shared" si="15"/>
        <v>734.08799999999997</v>
      </c>
    </row>
    <row r="436" spans="1:20" ht="12.75" customHeight="1" x14ac:dyDescent="0.25">
      <c r="A436" s="87" t="s">
        <v>348</v>
      </c>
      <c r="B436" s="22">
        <v>1980</v>
      </c>
      <c r="C436" s="22"/>
      <c r="D436" s="26"/>
      <c r="H436" s="11" t="str">
        <f t="shared" si="14"/>
        <v>2nd Pay Period ending 22/11/2022</v>
      </c>
      <c r="M436" s="22">
        <v>19015</v>
      </c>
      <c r="T436" s="35">
        <f t="shared" si="15"/>
        <v>1188</v>
      </c>
    </row>
    <row r="437" spans="1:20" ht="12.75" customHeight="1" x14ac:dyDescent="0.25">
      <c r="A437" s="87" t="s">
        <v>348</v>
      </c>
      <c r="B437" s="22">
        <v>1401.72</v>
      </c>
      <c r="C437" s="22"/>
      <c r="D437" s="26"/>
      <c r="H437" s="11" t="str">
        <f t="shared" si="14"/>
        <v>2nd Pay Period ending 22/11/2022</v>
      </c>
      <c r="M437" s="22">
        <v>19008</v>
      </c>
      <c r="T437" s="35">
        <f t="shared" si="15"/>
        <v>841.03199999999993</v>
      </c>
    </row>
    <row r="438" spans="1:20" ht="12.75" customHeight="1" x14ac:dyDescent="0.25">
      <c r="A438" s="87" t="s">
        <v>348</v>
      </c>
      <c r="B438" s="22">
        <v>1736.71</v>
      </c>
      <c r="C438" s="22"/>
      <c r="D438" s="26"/>
      <c r="H438" s="11" t="str">
        <f t="shared" si="14"/>
        <v>2nd Pay Period ending 22/11/2022</v>
      </c>
      <c r="M438" s="22">
        <v>18679</v>
      </c>
      <c r="T438" s="35">
        <f t="shared" si="15"/>
        <v>1042.0259999999998</v>
      </c>
    </row>
    <row r="439" spans="1:20" ht="12.75" customHeight="1" x14ac:dyDescent="0.25">
      <c r="A439" s="87" t="s">
        <v>349</v>
      </c>
      <c r="B439" s="22">
        <v>2884.62</v>
      </c>
      <c r="C439" s="22"/>
      <c r="D439" s="26"/>
      <c r="H439" s="11" t="str">
        <f t="shared" si="14"/>
        <v>2nd Pay Period ending 22/11/2022</v>
      </c>
      <c r="M439" s="22">
        <v>18998</v>
      </c>
      <c r="T439" s="35">
        <f t="shared" si="15"/>
        <v>1730.7719999999999</v>
      </c>
    </row>
    <row r="440" spans="1:20" ht="12.75" customHeight="1" x14ac:dyDescent="0.25">
      <c r="A440" s="87" t="s">
        <v>350</v>
      </c>
      <c r="B440" s="22">
        <v>2959.62</v>
      </c>
      <c r="C440" s="22"/>
      <c r="D440" s="26"/>
      <c r="H440" s="11" t="str">
        <f t="shared" si="14"/>
        <v>2nd Pay Period ending 22/11/2022</v>
      </c>
      <c r="M440" s="22">
        <v>115</v>
      </c>
      <c r="T440" s="35">
        <f t="shared" si="15"/>
        <v>1775.7719999999999</v>
      </c>
    </row>
    <row r="441" spans="1:20" ht="12.75" customHeight="1" x14ac:dyDescent="0.25">
      <c r="A441" s="87" t="s">
        <v>351</v>
      </c>
      <c r="B441" s="22">
        <v>2042.31</v>
      </c>
      <c r="C441" s="22"/>
      <c r="D441" s="26"/>
      <c r="H441" s="11" t="str">
        <f t="shared" si="14"/>
        <v>2nd Pay Period ending 22/11/2022</v>
      </c>
      <c r="M441" s="22">
        <v>19020</v>
      </c>
      <c r="T441" s="35">
        <f t="shared" si="15"/>
        <v>1225.386</v>
      </c>
    </row>
    <row r="442" spans="1:20" ht="12.75" customHeight="1" x14ac:dyDescent="0.25">
      <c r="A442" s="87" t="s">
        <v>351</v>
      </c>
      <c r="B442" s="22">
        <v>3076.92</v>
      </c>
      <c r="C442" s="22"/>
      <c r="D442" s="26"/>
      <c r="H442" s="11" t="str">
        <f t="shared" si="14"/>
        <v>2nd Pay Period ending 22/11/2022</v>
      </c>
      <c r="M442" s="22">
        <v>18649</v>
      </c>
      <c r="T442" s="35">
        <f t="shared" si="15"/>
        <v>1846.152</v>
      </c>
    </row>
    <row r="443" spans="1:20" ht="12.75" customHeight="1" x14ac:dyDescent="0.25">
      <c r="A443" s="87" t="s">
        <v>352</v>
      </c>
      <c r="B443" s="22">
        <v>1195.79</v>
      </c>
      <c r="C443" s="22"/>
      <c r="D443" s="26"/>
      <c r="H443" s="11" t="str">
        <f t="shared" si="14"/>
        <v>2nd Pay Period ending 22/11/2022</v>
      </c>
      <c r="M443" s="22">
        <v>18839</v>
      </c>
      <c r="T443" s="35">
        <f t="shared" si="15"/>
        <v>717.47399999999993</v>
      </c>
    </row>
    <row r="444" spans="1:20" ht="12.75" customHeight="1" x14ac:dyDescent="0.25">
      <c r="A444" s="87" t="s">
        <v>352</v>
      </c>
      <c r="B444" s="22">
        <v>1946.26</v>
      </c>
      <c r="C444" s="22"/>
      <c r="D444" s="26"/>
      <c r="H444" s="11" t="str">
        <f t="shared" si="14"/>
        <v>2nd Pay Period ending 22/11/2022</v>
      </c>
      <c r="M444" s="22">
        <v>18904</v>
      </c>
      <c r="T444" s="35">
        <f t="shared" si="15"/>
        <v>1167.7560000000001</v>
      </c>
    </row>
    <row r="445" spans="1:20" ht="12.75" customHeight="1" x14ac:dyDescent="0.25">
      <c r="A445" s="87" t="s">
        <v>353</v>
      </c>
      <c r="B445" s="22">
        <v>1153.8900000000001</v>
      </c>
      <c r="C445" s="22"/>
      <c r="D445" s="26"/>
      <c r="H445" s="11" t="str">
        <f t="shared" si="14"/>
        <v>2nd Pay Period ending 22/11/2022</v>
      </c>
      <c r="M445" s="22">
        <v>18650</v>
      </c>
      <c r="T445" s="35">
        <f t="shared" si="15"/>
        <v>692.33400000000006</v>
      </c>
    </row>
    <row r="446" spans="1:20" ht="12.75" customHeight="1" x14ac:dyDescent="0.25">
      <c r="A446" s="87" t="s">
        <v>354</v>
      </c>
      <c r="B446" s="22">
        <v>1785.6</v>
      </c>
      <c r="C446" s="22"/>
      <c r="D446" s="26"/>
      <c r="H446" s="11" t="str">
        <f t="shared" si="14"/>
        <v>2nd Pay Period ending 22/11/2022</v>
      </c>
      <c r="M446" s="22">
        <v>18986</v>
      </c>
      <c r="T446" s="35">
        <f t="shared" si="15"/>
        <v>1071.3600000000001</v>
      </c>
    </row>
    <row r="447" spans="1:20" ht="12.75" customHeight="1" x14ac:dyDescent="0.25">
      <c r="A447" s="87" t="s">
        <v>354</v>
      </c>
      <c r="B447" s="22">
        <v>950.21</v>
      </c>
      <c r="C447" s="22"/>
      <c r="D447" s="26"/>
      <c r="H447" s="11" t="str">
        <f t="shared" si="14"/>
        <v>2nd Pay Period ending 22/11/2022</v>
      </c>
      <c r="M447" s="22">
        <v>18924</v>
      </c>
      <c r="T447" s="35">
        <f t="shared" si="15"/>
        <v>570.12599999999998</v>
      </c>
    </row>
    <row r="448" spans="1:20" ht="12.75" customHeight="1" x14ac:dyDescent="0.25">
      <c r="A448" s="87" t="s">
        <v>354</v>
      </c>
      <c r="B448" s="22">
        <v>2331.91</v>
      </c>
      <c r="C448" s="22"/>
      <c r="D448" s="26"/>
      <c r="H448" s="11" t="str">
        <f t="shared" si="14"/>
        <v>2nd Pay Period ending 22/11/2022</v>
      </c>
      <c r="M448" s="22">
        <v>18942</v>
      </c>
      <c r="T448" s="35">
        <f t="shared" si="15"/>
        <v>1399.1459999999997</v>
      </c>
    </row>
    <row r="449" spans="1:20" ht="12.75" customHeight="1" x14ac:dyDescent="0.25">
      <c r="A449" s="87" t="s">
        <v>354</v>
      </c>
      <c r="B449" s="22">
        <v>1749.57</v>
      </c>
      <c r="C449" s="22"/>
      <c r="D449" s="26"/>
      <c r="H449" s="11" t="str">
        <f t="shared" si="14"/>
        <v>2nd Pay Period ending 22/11/2022</v>
      </c>
      <c r="M449" s="22">
        <v>19039</v>
      </c>
      <c r="T449" s="35">
        <f t="shared" si="15"/>
        <v>1049.742</v>
      </c>
    </row>
    <row r="450" spans="1:20" ht="12.75" customHeight="1" x14ac:dyDescent="0.25">
      <c r="A450" s="87" t="s">
        <v>354</v>
      </c>
      <c r="B450" s="22">
        <v>2218.41</v>
      </c>
      <c r="C450" s="22"/>
      <c r="D450" s="26"/>
      <c r="H450" s="11" t="str">
        <f t="shared" si="14"/>
        <v>2nd Pay Period ending 22/11/2022</v>
      </c>
      <c r="M450" s="22">
        <v>18850</v>
      </c>
      <c r="T450" s="35">
        <f t="shared" si="15"/>
        <v>1331.0459999999998</v>
      </c>
    </row>
    <row r="451" spans="1:20" ht="12.75" customHeight="1" x14ac:dyDescent="0.25">
      <c r="A451" s="87" t="s">
        <v>354</v>
      </c>
      <c r="B451" s="22">
        <v>1907.84</v>
      </c>
      <c r="C451" s="22"/>
      <c r="D451" s="26"/>
      <c r="H451" s="11" t="str">
        <f t="shared" ref="H451:H514" si="16">$K$1</f>
        <v>2nd Pay Period ending 22/11/2022</v>
      </c>
      <c r="M451" s="22">
        <v>18703</v>
      </c>
      <c r="T451" s="35">
        <f t="shared" ref="T451:T467" si="17">B451/10*$V$1</f>
        <v>1144.704</v>
      </c>
    </row>
    <row r="452" spans="1:20" ht="12.75" customHeight="1" x14ac:dyDescent="0.25">
      <c r="A452" s="87" t="s">
        <v>354</v>
      </c>
      <c r="B452" s="22">
        <v>2342.91</v>
      </c>
      <c r="C452" s="22"/>
      <c r="D452" s="26"/>
      <c r="H452" s="11" t="str">
        <f t="shared" si="16"/>
        <v>2nd Pay Period ending 22/11/2022</v>
      </c>
      <c r="M452" s="22">
        <v>18646</v>
      </c>
      <c r="T452" s="35">
        <f t="shared" si="17"/>
        <v>1405.7460000000001</v>
      </c>
    </row>
    <row r="453" spans="1:20" ht="12.75" customHeight="1" x14ac:dyDescent="0.25">
      <c r="A453" s="87" t="s">
        <v>354</v>
      </c>
      <c r="B453" s="22">
        <v>3154.33</v>
      </c>
      <c r="C453" s="22"/>
      <c r="D453" s="26"/>
      <c r="H453" s="11" t="str">
        <f t="shared" si="16"/>
        <v>2nd Pay Period ending 22/11/2022</v>
      </c>
      <c r="M453" s="22">
        <v>18713</v>
      </c>
      <c r="T453" s="35">
        <f t="shared" si="17"/>
        <v>1892.598</v>
      </c>
    </row>
    <row r="454" spans="1:20" ht="12.75" customHeight="1" x14ac:dyDescent="0.25">
      <c r="A454" s="87" t="s">
        <v>354</v>
      </c>
      <c r="B454" s="22">
        <v>1793.52</v>
      </c>
      <c r="C454" s="22"/>
      <c r="D454" s="26"/>
      <c r="H454" s="11" t="str">
        <f t="shared" si="16"/>
        <v>2nd Pay Period ending 22/11/2022</v>
      </c>
      <c r="M454" s="22">
        <v>18990</v>
      </c>
      <c r="T454" s="35">
        <f t="shared" si="17"/>
        <v>1076.1120000000001</v>
      </c>
    </row>
    <row r="455" spans="1:20" ht="12.75" customHeight="1" x14ac:dyDescent="0.25">
      <c r="A455" s="87" t="s">
        <v>355</v>
      </c>
      <c r="B455" s="22">
        <v>1748.49</v>
      </c>
      <c r="C455" s="22"/>
      <c r="D455" s="26"/>
      <c r="H455" s="11" t="str">
        <f t="shared" si="16"/>
        <v>2nd Pay Period ending 22/11/2022</v>
      </c>
      <c r="M455" s="22">
        <v>18970</v>
      </c>
      <c r="T455" s="35">
        <f t="shared" si="17"/>
        <v>1049.0940000000001</v>
      </c>
    </row>
    <row r="456" spans="1:20" ht="12.75" customHeight="1" x14ac:dyDescent="0.25">
      <c r="A456" s="87" t="s">
        <v>356</v>
      </c>
      <c r="B456" s="22">
        <v>2192.31</v>
      </c>
      <c r="C456" s="22"/>
      <c r="D456" s="26"/>
      <c r="H456" s="11" t="str">
        <f t="shared" si="16"/>
        <v>2nd Pay Period ending 22/11/2022</v>
      </c>
      <c r="M456" s="22">
        <v>18976</v>
      </c>
      <c r="T456" s="35">
        <f t="shared" si="17"/>
        <v>1315.386</v>
      </c>
    </row>
    <row r="457" spans="1:20" ht="12.75" customHeight="1" x14ac:dyDescent="0.25">
      <c r="A457" s="87" t="s">
        <v>356</v>
      </c>
      <c r="B457" s="22">
        <v>3269.23</v>
      </c>
      <c r="C457" s="22"/>
      <c r="D457" s="26"/>
      <c r="H457" s="11" t="str">
        <f t="shared" si="16"/>
        <v>2nd Pay Period ending 22/11/2022</v>
      </c>
      <c r="M457" s="22">
        <v>19031</v>
      </c>
      <c r="T457" s="35">
        <f t="shared" si="17"/>
        <v>1961.538</v>
      </c>
    </row>
    <row r="458" spans="1:20" ht="12.75" customHeight="1" x14ac:dyDescent="0.25">
      <c r="A458" s="87" t="s">
        <v>357</v>
      </c>
      <c r="B458" s="22">
        <v>2538.46</v>
      </c>
      <c r="C458" s="22"/>
      <c r="D458" s="26"/>
      <c r="H458" s="11" t="str">
        <f t="shared" si="16"/>
        <v>2nd Pay Period ending 22/11/2022</v>
      </c>
      <c r="M458" s="22">
        <v>18442</v>
      </c>
      <c r="T458" s="35">
        <f t="shared" si="17"/>
        <v>1523.076</v>
      </c>
    </row>
    <row r="459" spans="1:20" ht="12.75" customHeight="1" x14ac:dyDescent="0.25">
      <c r="A459" s="87" t="s">
        <v>358</v>
      </c>
      <c r="B459" s="22">
        <v>2399.5500000000002</v>
      </c>
      <c r="C459" s="22"/>
      <c r="D459" s="26"/>
      <c r="H459" s="11" t="str">
        <f t="shared" si="16"/>
        <v>2nd Pay Period ending 22/11/2022</v>
      </c>
      <c r="M459" s="22">
        <v>18823</v>
      </c>
      <c r="T459" s="35">
        <f t="shared" si="17"/>
        <v>1439.73</v>
      </c>
    </row>
    <row r="460" spans="1:20" ht="12.75" customHeight="1" x14ac:dyDescent="0.25">
      <c r="A460" s="87" t="s">
        <v>358</v>
      </c>
      <c r="B460" s="22">
        <v>1591.58</v>
      </c>
      <c r="C460" s="22"/>
      <c r="D460" s="26"/>
      <c r="H460" s="11" t="str">
        <f t="shared" si="16"/>
        <v>2nd Pay Period ending 22/11/2022</v>
      </c>
      <c r="M460" s="22">
        <v>18996</v>
      </c>
      <c r="T460" s="35">
        <f t="shared" si="17"/>
        <v>954.94799999999987</v>
      </c>
    </row>
    <row r="461" spans="1:20" ht="12.75" customHeight="1" x14ac:dyDescent="0.25">
      <c r="A461" s="87" t="s">
        <v>358</v>
      </c>
      <c r="B461" s="22">
        <v>580.83000000000004</v>
      </c>
      <c r="C461" s="22"/>
      <c r="D461" s="26"/>
      <c r="H461" s="11" t="str">
        <f t="shared" si="16"/>
        <v>2nd Pay Period ending 22/11/2022</v>
      </c>
      <c r="M461" s="22">
        <v>18927</v>
      </c>
      <c r="T461" s="35">
        <f t="shared" si="17"/>
        <v>348.49800000000005</v>
      </c>
    </row>
    <row r="462" spans="1:20" ht="12.75" customHeight="1" x14ac:dyDescent="0.25">
      <c r="A462" s="87" t="s">
        <v>358</v>
      </c>
      <c r="B462" s="22">
        <v>1615.64</v>
      </c>
      <c r="C462" s="22"/>
      <c r="D462" s="26"/>
      <c r="H462" s="11" t="str">
        <f t="shared" si="16"/>
        <v>2nd Pay Period ending 22/11/2022</v>
      </c>
      <c r="M462" s="22">
        <v>18895</v>
      </c>
      <c r="T462" s="35">
        <f t="shared" si="17"/>
        <v>969.38400000000013</v>
      </c>
    </row>
    <row r="463" spans="1:20" ht="12.75" customHeight="1" x14ac:dyDescent="0.25">
      <c r="A463" s="87" t="s">
        <v>358</v>
      </c>
      <c r="B463" s="22">
        <v>2926.92</v>
      </c>
      <c r="C463" s="22"/>
      <c r="D463" s="26"/>
      <c r="H463" s="11" t="str">
        <f t="shared" si="16"/>
        <v>2nd Pay Period ending 22/11/2022</v>
      </c>
      <c r="M463" s="22">
        <v>261</v>
      </c>
      <c r="T463" s="35">
        <f t="shared" si="17"/>
        <v>1756.152</v>
      </c>
    </row>
    <row r="464" spans="1:20" ht="12.75" customHeight="1" x14ac:dyDescent="0.25">
      <c r="A464" s="87" t="s">
        <v>358</v>
      </c>
      <c r="B464" s="22">
        <v>1764.41</v>
      </c>
      <c r="C464" s="22"/>
      <c r="D464" s="26"/>
      <c r="H464" s="11" t="str">
        <f t="shared" si="16"/>
        <v>2nd Pay Period ending 22/11/2022</v>
      </c>
      <c r="M464" s="22">
        <v>18898</v>
      </c>
      <c r="T464" s="35">
        <f t="shared" si="17"/>
        <v>1058.646</v>
      </c>
    </row>
    <row r="465" spans="1:20" ht="12.75" customHeight="1" x14ac:dyDescent="0.25">
      <c r="A465" s="87" t="s">
        <v>358</v>
      </c>
      <c r="B465" s="22">
        <v>1302.57</v>
      </c>
      <c r="C465" s="22"/>
      <c r="D465" s="26"/>
      <c r="H465" s="11" t="str">
        <f t="shared" si="16"/>
        <v>2nd Pay Period ending 22/11/2022</v>
      </c>
      <c r="M465" s="22">
        <v>18634</v>
      </c>
      <c r="T465" s="35">
        <f t="shared" si="17"/>
        <v>781.54200000000003</v>
      </c>
    </row>
    <row r="466" spans="1:20" ht="12.75" customHeight="1" x14ac:dyDescent="0.25">
      <c r="A466" s="87" t="s">
        <v>359</v>
      </c>
      <c r="B466" s="22">
        <v>240.26</v>
      </c>
      <c r="C466" s="22"/>
      <c r="D466" s="26"/>
      <c r="H466" s="11" t="str">
        <f t="shared" si="16"/>
        <v>2nd Pay Period ending 22/11/2022</v>
      </c>
      <c r="M466" s="22">
        <v>18791</v>
      </c>
      <c r="T466" s="35">
        <f t="shared" si="17"/>
        <v>144.15600000000001</v>
      </c>
    </row>
    <row r="467" spans="1:20" ht="12.75" customHeight="1" x14ac:dyDescent="0.25">
      <c r="A467" s="87" t="s">
        <v>360</v>
      </c>
      <c r="B467" s="22">
        <v>1263.3800000000001</v>
      </c>
      <c r="C467" s="22"/>
      <c r="D467" s="26"/>
      <c r="H467" s="11" t="str">
        <f t="shared" si="16"/>
        <v>2nd Pay Period ending 22/11/2022</v>
      </c>
      <c r="M467" s="22">
        <v>18953</v>
      </c>
      <c r="T467" s="35">
        <f t="shared" si="17"/>
        <v>758.02800000000002</v>
      </c>
    </row>
    <row r="468" spans="1:20" ht="12.75" customHeight="1" x14ac:dyDescent="0.25">
      <c r="A468" s="87" t="s">
        <v>360</v>
      </c>
      <c r="B468" s="22">
        <v>2515.54</v>
      </c>
      <c r="C468" s="22"/>
      <c r="D468" s="26"/>
      <c r="H468" s="11" t="str">
        <f t="shared" si="16"/>
        <v>2nd Pay Period ending 22/11/2022</v>
      </c>
      <c r="M468" s="22">
        <v>18561</v>
      </c>
      <c r="T468" s="35">
        <f>B468/10*$V$1</f>
        <v>1509.3240000000001</v>
      </c>
    </row>
    <row r="469" spans="1:20" ht="12.75" customHeight="1" x14ac:dyDescent="0.25">
      <c r="A469" s="87" t="s">
        <v>361</v>
      </c>
      <c r="B469" s="22">
        <v>702.23</v>
      </c>
      <c r="C469" s="22"/>
      <c r="D469" s="26"/>
      <c r="H469" s="11" t="str">
        <f t="shared" si="16"/>
        <v>2nd Pay Period ending 22/11/2022</v>
      </c>
      <c r="M469" s="22">
        <v>18506</v>
      </c>
      <c r="T469" s="35">
        <f t="shared" ref="T469:T480" si="18">B469/10*$V$1</f>
        <v>421.33799999999997</v>
      </c>
    </row>
    <row r="470" spans="1:20" ht="12.75" customHeight="1" x14ac:dyDescent="0.25">
      <c r="A470" s="87" t="s">
        <v>361</v>
      </c>
      <c r="B470" s="22">
        <v>551.94000000000005</v>
      </c>
      <c r="C470" s="22"/>
      <c r="D470" s="26"/>
      <c r="H470" s="11" t="str">
        <f t="shared" si="16"/>
        <v>2nd Pay Period ending 22/11/2022</v>
      </c>
      <c r="M470" s="22">
        <v>156</v>
      </c>
      <c r="T470" s="35">
        <f t="shared" si="18"/>
        <v>331.16399999999999</v>
      </c>
    </row>
    <row r="471" spans="1:20" ht="12.75" customHeight="1" x14ac:dyDescent="0.25">
      <c r="A471" s="87" t="s">
        <v>361</v>
      </c>
      <c r="B471" s="22">
        <v>1754.52</v>
      </c>
      <c r="C471" s="22"/>
      <c r="D471" s="26"/>
      <c r="H471" s="11" t="str">
        <f t="shared" si="16"/>
        <v>2nd Pay Period ending 22/11/2022</v>
      </c>
      <c r="M471" s="22">
        <v>18792</v>
      </c>
      <c r="T471" s="35">
        <f t="shared" si="18"/>
        <v>1052.712</v>
      </c>
    </row>
    <row r="472" spans="1:20" ht="12.75" customHeight="1" x14ac:dyDescent="0.25">
      <c r="A472" s="87" t="s">
        <v>448</v>
      </c>
      <c r="B472" s="22">
        <v>361.08</v>
      </c>
      <c r="C472" s="22"/>
      <c r="D472" s="26"/>
      <c r="H472" s="11" t="str">
        <f t="shared" si="16"/>
        <v>2nd Pay Period ending 22/11/2022</v>
      </c>
      <c r="M472" s="22">
        <v>19043</v>
      </c>
      <c r="T472" s="35">
        <f t="shared" si="18"/>
        <v>216.64799999999997</v>
      </c>
    </row>
    <row r="473" spans="1:20" ht="12.75" customHeight="1" x14ac:dyDescent="0.25">
      <c r="A473" s="87" t="s">
        <v>448</v>
      </c>
      <c r="B473" s="22">
        <v>627.14</v>
      </c>
      <c r="C473" s="22"/>
      <c r="D473" s="26"/>
      <c r="H473" s="11" t="str">
        <f t="shared" si="16"/>
        <v>2nd Pay Period ending 22/11/2022</v>
      </c>
      <c r="M473" s="22">
        <v>19037</v>
      </c>
      <c r="T473" s="35">
        <f t="shared" si="18"/>
        <v>376.28399999999999</v>
      </c>
    </row>
    <row r="474" spans="1:20" ht="12.75" customHeight="1" x14ac:dyDescent="0.25">
      <c r="A474" s="87" t="s">
        <v>362</v>
      </c>
      <c r="B474" s="22">
        <v>2884.62</v>
      </c>
      <c r="C474" s="22"/>
      <c r="D474" s="26"/>
      <c r="H474" s="11" t="str">
        <f t="shared" si="16"/>
        <v>2nd Pay Period ending 22/11/2022</v>
      </c>
      <c r="M474" s="22">
        <v>18876</v>
      </c>
      <c r="T474" s="35">
        <f t="shared" si="18"/>
        <v>1730.7719999999999</v>
      </c>
    </row>
    <row r="475" spans="1:20" ht="12.75" customHeight="1" x14ac:dyDescent="0.25">
      <c r="A475" s="86" t="s">
        <v>206</v>
      </c>
      <c r="B475" s="22"/>
      <c r="C475" s="22">
        <v>234.82</v>
      </c>
      <c r="D475" s="26"/>
      <c r="H475" s="11" t="str">
        <f t="shared" si="16"/>
        <v>2nd Pay Period ending 22/11/2022</v>
      </c>
      <c r="M475" s="22">
        <v>19022</v>
      </c>
      <c r="T475" s="35">
        <f t="shared" si="18"/>
        <v>0</v>
      </c>
    </row>
    <row r="476" spans="1:20" ht="12.75" customHeight="1" x14ac:dyDescent="0.25">
      <c r="A476" s="86" t="s">
        <v>206</v>
      </c>
      <c r="B476" s="22"/>
      <c r="C476" s="22">
        <v>444.74</v>
      </c>
      <c r="D476" s="26"/>
      <c r="H476" s="11" t="str">
        <f t="shared" si="16"/>
        <v>2nd Pay Period ending 22/11/2022</v>
      </c>
      <c r="M476" s="22">
        <v>18589</v>
      </c>
      <c r="T476" s="35">
        <f t="shared" si="18"/>
        <v>0</v>
      </c>
    </row>
    <row r="477" spans="1:20" ht="12.75" customHeight="1" x14ac:dyDescent="0.25">
      <c r="A477" s="86" t="s">
        <v>206</v>
      </c>
      <c r="B477" s="22"/>
      <c r="C477" s="22">
        <v>605.88</v>
      </c>
      <c r="D477" s="26"/>
      <c r="H477" s="11" t="str">
        <f t="shared" si="16"/>
        <v>2nd Pay Period ending 22/11/2022</v>
      </c>
      <c r="M477" s="22">
        <v>18903</v>
      </c>
      <c r="T477" s="35">
        <f t="shared" si="18"/>
        <v>0</v>
      </c>
    </row>
    <row r="478" spans="1:20" ht="12.75" customHeight="1" x14ac:dyDescent="0.25">
      <c r="A478" s="86" t="s">
        <v>206</v>
      </c>
      <c r="B478" s="22"/>
      <c r="C478" s="22">
        <v>228.28</v>
      </c>
      <c r="D478" s="26"/>
      <c r="H478" s="11" t="str">
        <f t="shared" si="16"/>
        <v>2nd Pay Period ending 22/11/2022</v>
      </c>
      <c r="M478" s="22">
        <v>18891</v>
      </c>
      <c r="T478" s="35">
        <f t="shared" si="18"/>
        <v>0</v>
      </c>
    </row>
    <row r="479" spans="1:20" ht="12.75" customHeight="1" x14ac:dyDescent="0.25">
      <c r="A479" s="86" t="s">
        <v>206</v>
      </c>
      <c r="B479" s="22"/>
      <c r="C479" s="22">
        <v>196.05</v>
      </c>
      <c r="D479" s="26"/>
      <c r="H479" s="11" t="str">
        <f t="shared" si="16"/>
        <v>2nd Pay Period ending 22/11/2022</v>
      </c>
      <c r="M479" s="22">
        <v>18831</v>
      </c>
      <c r="T479" s="35">
        <f t="shared" si="18"/>
        <v>0</v>
      </c>
    </row>
    <row r="480" spans="1:20" ht="12.75" customHeight="1" x14ac:dyDescent="0.25">
      <c r="A480" s="86" t="s">
        <v>206</v>
      </c>
      <c r="B480" s="22"/>
      <c r="C480" s="22">
        <v>201.96</v>
      </c>
      <c r="D480" s="26"/>
      <c r="H480" s="11" t="str">
        <f t="shared" si="16"/>
        <v>2nd Pay Period ending 22/11/2022</v>
      </c>
      <c r="M480" s="22">
        <v>18631</v>
      </c>
      <c r="T480" s="35">
        <f t="shared" si="18"/>
        <v>0</v>
      </c>
    </row>
    <row r="481" spans="1:20" ht="12.75" customHeight="1" x14ac:dyDescent="0.25">
      <c r="A481" s="86" t="s">
        <v>206</v>
      </c>
      <c r="B481" s="22"/>
      <c r="C481" s="22">
        <v>513.22</v>
      </c>
      <c r="D481" s="26"/>
      <c r="H481" s="11" t="str">
        <f t="shared" si="16"/>
        <v>2nd Pay Period ending 22/11/2022</v>
      </c>
      <c r="M481" s="22">
        <v>18781</v>
      </c>
      <c r="T481" s="35">
        <f t="shared" ref="T481:T483" si="19">B481/10*$V$1</f>
        <v>0</v>
      </c>
    </row>
    <row r="482" spans="1:20" ht="12.75" customHeight="1" x14ac:dyDescent="0.25">
      <c r="A482" s="86" t="s">
        <v>206</v>
      </c>
      <c r="B482" s="22"/>
      <c r="C482" s="22">
        <v>226.83</v>
      </c>
      <c r="D482" s="26"/>
      <c r="H482" s="11" t="str">
        <f t="shared" si="16"/>
        <v>2nd Pay Period ending 22/11/2022</v>
      </c>
      <c r="M482" s="22">
        <v>18687</v>
      </c>
      <c r="T482" s="35">
        <f t="shared" si="19"/>
        <v>0</v>
      </c>
    </row>
    <row r="483" spans="1:20" ht="12.75" customHeight="1" x14ac:dyDescent="0.25">
      <c r="A483" s="86" t="s">
        <v>206</v>
      </c>
      <c r="B483" s="22"/>
      <c r="C483" s="22">
        <v>256.61</v>
      </c>
      <c r="D483" s="26"/>
      <c r="H483" s="11" t="str">
        <f t="shared" si="16"/>
        <v>2nd Pay Period ending 22/11/2022</v>
      </c>
      <c r="M483" s="22">
        <v>18967</v>
      </c>
      <c r="T483" s="35">
        <f t="shared" si="19"/>
        <v>0</v>
      </c>
    </row>
    <row r="484" spans="1:20" ht="12.75" customHeight="1" x14ac:dyDescent="0.25">
      <c r="A484" s="86" t="s">
        <v>206</v>
      </c>
      <c r="B484" s="22"/>
      <c r="C484" s="22">
        <v>201.96</v>
      </c>
      <c r="D484" s="26"/>
      <c r="H484" s="11" t="str">
        <f t="shared" si="16"/>
        <v>2nd Pay Period ending 22/11/2022</v>
      </c>
      <c r="M484" s="22">
        <v>18894</v>
      </c>
      <c r="T484" s="35">
        <f t="shared" ref="T484:T515" si="20">B484/10*$V$1</f>
        <v>0</v>
      </c>
    </row>
    <row r="485" spans="1:20" ht="12.75" customHeight="1" x14ac:dyDescent="0.25">
      <c r="A485" s="86" t="s">
        <v>206</v>
      </c>
      <c r="B485" s="22"/>
      <c r="C485" s="22">
        <v>180.54</v>
      </c>
      <c r="D485" s="26"/>
      <c r="H485" s="11" t="str">
        <f t="shared" si="16"/>
        <v>2nd Pay Period ending 22/11/2022</v>
      </c>
      <c r="M485" s="22">
        <v>141</v>
      </c>
      <c r="T485" s="35">
        <f t="shared" si="20"/>
        <v>0</v>
      </c>
    </row>
    <row r="486" spans="1:20" ht="12.75" customHeight="1" x14ac:dyDescent="0.25">
      <c r="A486" s="86" t="s">
        <v>206</v>
      </c>
      <c r="B486" s="22"/>
      <c r="C486" s="22">
        <v>207.41</v>
      </c>
      <c r="D486" s="26"/>
      <c r="H486" s="11" t="str">
        <f t="shared" si="16"/>
        <v>2nd Pay Period ending 22/11/2022</v>
      </c>
      <c r="M486" s="22">
        <v>145</v>
      </c>
      <c r="T486" s="35">
        <f t="shared" si="20"/>
        <v>0</v>
      </c>
    </row>
    <row r="487" spans="1:20" ht="12.75" customHeight="1" x14ac:dyDescent="0.25">
      <c r="A487" s="86" t="s">
        <v>206</v>
      </c>
      <c r="B487" s="22"/>
      <c r="C487" s="22">
        <v>77.39</v>
      </c>
      <c r="D487" s="26"/>
      <c r="H487" s="11" t="str">
        <f t="shared" si="16"/>
        <v>2nd Pay Period ending 22/11/2022</v>
      </c>
      <c r="M487" s="22">
        <v>19007</v>
      </c>
      <c r="T487" s="35">
        <f t="shared" si="20"/>
        <v>0</v>
      </c>
    </row>
    <row r="488" spans="1:20" ht="12.75" customHeight="1" x14ac:dyDescent="0.25">
      <c r="A488" s="86" t="s">
        <v>206</v>
      </c>
      <c r="B488" s="22"/>
      <c r="C488" s="22">
        <v>316.26</v>
      </c>
      <c r="D488" s="26"/>
      <c r="H488" s="11" t="str">
        <f t="shared" si="16"/>
        <v>2nd Pay Period ending 22/11/2022</v>
      </c>
      <c r="M488" s="22">
        <v>18581</v>
      </c>
      <c r="T488" s="35">
        <f t="shared" si="20"/>
        <v>0</v>
      </c>
    </row>
    <row r="489" spans="1:20" ht="12.75" customHeight="1" x14ac:dyDescent="0.25">
      <c r="A489" s="86" t="s">
        <v>206</v>
      </c>
      <c r="B489" s="22"/>
      <c r="C489" s="22">
        <v>174.78</v>
      </c>
      <c r="D489" s="26"/>
      <c r="H489" s="11" t="str">
        <f t="shared" si="16"/>
        <v>2nd Pay Period ending 22/11/2022</v>
      </c>
      <c r="M489" s="22">
        <v>18979</v>
      </c>
      <c r="T489" s="35">
        <f t="shared" si="20"/>
        <v>0</v>
      </c>
    </row>
    <row r="490" spans="1:20" ht="12.75" customHeight="1" x14ac:dyDescent="0.25">
      <c r="A490" s="86" t="s">
        <v>206</v>
      </c>
      <c r="B490" s="22"/>
      <c r="C490" s="22">
        <v>196.05</v>
      </c>
      <c r="D490" s="26"/>
      <c r="H490" s="11" t="str">
        <f t="shared" si="16"/>
        <v>2nd Pay Period ending 22/11/2022</v>
      </c>
      <c r="M490" s="22">
        <v>18822</v>
      </c>
      <c r="T490" s="35">
        <f t="shared" si="20"/>
        <v>0</v>
      </c>
    </row>
    <row r="491" spans="1:20" ht="12.75" customHeight="1" x14ac:dyDescent="0.25">
      <c r="A491" s="86" t="s">
        <v>206</v>
      </c>
      <c r="B491" s="22"/>
      <c r="C491" s="22">
        <v>524.34</v>
      </c>
      <c r="D491" s="26"/>
      <c r="H491" s="11" t="str">
        <f t="shared" si="16"/>
        <v>2nd Pay Period ending 22/11/2022</v>
      </c>
      <c r="M491" s="22">
        <v>18923</v>
      </c>
      <c r="T491" s="35">
        <f t="shared" si="20"/>
        <v>0</v>
      </c>
    </row>
    <row r="492" spans="1:20" ht="12.75" customHeight="1" x14ac:dyDescent="0.25">
      <c r="A492" s="86" t="s">
        <v>206</v>
      </c>
      <c r="B492" s="22"/>
      <c r="C492" s="22">
        <v>889.48</v>
      </c>
      <c r="D492" s="26"/>
      <c r="H492" s="11" t="str">
        <f t="shared" si="16"/>
        <v>2nd Pay Period ending 22/11/2022</v>
      </c>
      <c r="M492" s="22">
        <v>18607</v>
      </c>
      <c r="T492" s="35">
        <f t="shared" si="20"/>
        <v>0</v>
      </c>
    </row>
    <row r="493" spans="1:20" ht="12.75" customHeight="1" x14ac:dyDescent="0.25">
      <c r="A493" s="86" t="s">
        <v>206</v>
      </c>
      <c r="B493" s="22"/>
      <c r="C493" s="22">
        <v>180.54</v>
      </c>
      <c r="D493" s="26"/>
      <c r="H493" s="11" t="str">
        <f t="shared" si="16"/>
        <v>2nd Pay Period ending 22/11/2022</v>
      </c>
      <c r="M493" s="22">
        <v>19019</v>
      </c>
      <c r="T493" s="35">
        <f t="shared" si="20"/>
        <v>0</v>
      </c>
    </row>
    <row r="494" spans="1:20" ht="12.75" customHeight="1" x14ac:dyDescent="0.25">
      <c r="A494" s="86" t="s">
        <v>206</v>
      </c>
      <c r="B494" s="22"/>
      <c r="C494" s="22">
        <v>697.53</v>
      </c>
      <c r="D494" s="26"/>
      <c r="H494" s="11" t="str">
        <f t="shared" si="16"/>
        <v>2nd Pay Period ending 22/11/2022</v>
      </c>
      <c r="M494" s="22">
        <v>18650</v>
      </c>
      <c r="T494" s="35">
        <f t="shared" si="20"/>
        <v>0</v>
      </c>
    </row>
    <row r="495" spans="1:20" ht="12.75" customHeight="1" x14ac:dyDescent="0.25">
      <c r="A495" s="86" t="s">
        <v>206</v>
      </c>
      <c r="B495" s="22"/>
      <c r="C495" s="22">
        <v>480.52</v>
      </c>
      <c r="D495" s="26"/>
      <c r="H495" s="11" t="str">
        <f t="shared" si="16"/>
        <v>2nd Pay Period ending 22/11/2022</v>
      </c>
      <c r="M495" s="22">
        <v>18703</v>
      </c>
      <c r="T495" s="35">
        <f t="shared" si="20"/>
        <v>0</v>
      </c>
    </row>
    <row r="496" spans="1:20" ht="12.75" customHeight="1" x14ac:dyDescent="0.25">
      <c r="A496" s="86" t="s">
        <v>206</v>
      </c>
      <c r="B496" s="22"/>
      <c r="C496" s="22">
        <v>361.08</v>
      </c>
      <c r="D496" s="26"/>
      <c r="H496" s="11" t="str">
        <f t="shared" si="16"/>
        <v>2nd Pay Period ending 22/11/2022</v>
      </c>
      <c r="M496" s="22">
        <v>18924</v>
      </c>
      <c r="T496" s="35">
        <f t="shared" si="20"/>
        <v>0</v>
      </c>
    </row>
    <row r="497" spans="1:20" ht="12.75" customHeight="1" x14ac:dyDescent="0.25">
      <c r="A497" s="86" t="s">
        <v>206</v>
      </c>
      <c r="B497" s="22"/>
      <c r="C497" s="22">
        <v>103.18</v>
      </c>
      <c r="D497" s="26"/>
      <c r="H497" s="11" t="str">
        <f t="shared" si="16"/>
        <v>2nd Pay Period ending 22/11/2022</v>
      </c>
      <c r="M497" s="22">
        <v>18927</v>
      </c>
      <c r="T497" s="35">
        <f t="shared" si="20"/>
        <v>0</v>
      </c>
    </row>
    <row r="498" spans="1:20" ht="12.75" customHeight="1" x14ac:dyDescent="0.25">
      <c r="A498" s="86" t="s">
        <v>206</v>
      </c>
      <c r="B498" s="22"/>
      <c r="C498" s="22">
        <v>240.26</v>
      </c>
      <c r="D498" s="26"/>
      <c r="H498" s="11" t="str">
        <f t="shared" si="16"/>
        <v>2nd Pay Period ending 22/11/2022</v>
      </c>
      <c r="M498" s="22">
        <v>18791</v>
      </c>
      <c r="T498" s="35">
        <f t="shared" si="20"/>
        <v>0</v>
      </c>
    </row>
    <row r="499" spans="1:20" ht="12.75" customHeight="1" x14ac:dyDescent="0.25">
      <c r="A499" s="86" t="s">
        <v>206</v>
      </c>
      <c r="B499" s="22"/>
      <c r="C499" s="22">
        <v>541.62</v>
      </c>
      <c r="D499" s="26"/>
      <c r="H499" s="11" t="str">
        <f t="shared" si="16"/>
        <v>2nd Pay Period ending 22/11/2022</v>
      </c>
      <c r="M499" s="22">
        <v>18953</v>
      </c>
      <c r="T499" s="35">
        <f t="shared" si="20"/>
        <v>0</v>
      </c>
    </row>
    <row r="500" spans="1:20" ht="12.75" customHeight="1" x14ac:dyDescent="0.25">
      <c r="A500" s="86" t="s">
        <v>206</v>
      </c>
      <c r="B500" s="22"/>
      <c r="C500" s="22">
        <v>196.05</v>
      </c>
      <c r="D500" s="26"/>
      <c r="H500" s="11" t="str">
        <f t="shared" si="16"/>
        <v>2nd Pay Period ending 22/11/2022</v>
      </c>
      <c r="M500" s="22">
        <v>18792</v>
      </c>
      <c r="T500" s="35">
        <f t="shared" si="20"/>
        <v>0</v>
      </c>
    </row>
    <row r="501" spans="1:20" ht="12.75" customHeight="1" x14ac:dyDescent="0.25">
      <c r="A501" s="86">
        <v>112.215</v>
      </c>
      <c r="B501" s="22"/>
      <c r="C501" s="22">
        <v>2358</v>
      </c>
      <c r="D501" s="26"/>
      <c r="H501" s="11" t="str">
        <f t="shared" si="16"/>
        <v>2nd Pay Period ending 22/11/2022</v>
      </c>
      <c r="M501" s="22">
        <v>18726</v>
      </c>
      <c r="T501" s="35">
        <f t="shared" si="20"/>
        <v>0</v>
      </c>
    </row>
    <row r="502" spans="1:20" ht="12.75" customHeight="1" x14ac:dyDescent="0.25">
      <c r="A502" s="86">
        <v>112.215</v>
      </c>
      <c r="B502" s="22"/>
      <c r="C502" s="22">
        <v>1094</v>
      </c>
      <c r="D502" s="26"/>
      <c r="H502" s="11" t="str">
        <f t="shared" si="16"/>
        <v>2nd Pay Period ending 22/11/2022</v>
      </c>
      <c r="M502" s="22">
        <v>18871</v>
      </c>
      <c r="T502" s="35">
        <f t="shared" si="20"/>
        <v>0</v>
      </c>
    </row>
    <row r="503" spans="1:20" ht="12.75" customHeight="1" x14ac:dyDescent="0.25">
      <c r="A503" s="86">
        <v>112.215</v>
      </c>
      <c r="B503" s="22"/>
      <c r="C503" s="22">
        <v>1618</v>
      </c>
      <c r="D503" s="26"/>
      <c r="H503" s="11" t="str">
        <f t="shared" si="16"/>
        <v>2nd Pay Period ending 22/11/2022</v>
      </c>
      <c r="M503" s="22">
        <v>18517</v>
      </c>
      <c r="T503" s="35">
        <f t="shared" si="20"/>
        <v>0</v>
      </c>
    </row>
    <row r="504" spans="1:20" ht="12.75" customHeight="1" x14ac:dyDescent="0.25">
      <c r="A504" s="86">
        <v>112.215</v>
      </c>
      <c r="B504" s="22"/>
      <c r="C504" s="22">
        <v>1072</v>
      </c>
      <c r="D504" s="26"/>
      <c r="H504" s="11" t="str">
        <f t="shared" si="16"/>
        <v>2nd Pay Period ending 22/11/2022</v>
      </c>
      <c r="M504" s="22">
        <v>18647</v>
      </c>
      <c r="T504" s="35">
        <f t="shared" si="20"/>
        <v>0</v>
      </c>
    </row>
    <row r="505" spans="1:20" ht="12.75" customHeight="1" x14ac:dyDescent="0.25">
      <c r="A505" s="86">
        <v>112.215</v>
      </c>
      <c r="B505" s="22"/>
      <c r="C505" s="22">
        <v>962</v>
      </c>
      <c r="D505" s="26"/>
      <c r="H505" s="11" t="str">
        <f t="shared" si="16"/>
        <v>2nd Pay Period ending 22/11/2022</v>
      </c>
      <c r="M505" s="22">
        <v>152</v>
      </c>
      <c r="T505" s="35">
        <f t="shared" si="20"/>
        <v>0</v>
      </c>
    </row>
    <row r="506" spans="1:20" ht="12.75" customHeight="1" x14ac:dyDescent="0.25">
      <c r="A506" s="86">
        <v>112.215</v>
      </c>
      <c r="B506" s="22"/>
      <c r="C506" s="22">
        <v>194.5</v>
      </c>
      <c r="D506" s="26"/>
      <c r="H506" s="11" t="str">
        <f t="shared" si="16"/>
        <v>2nd Pay Period ending 22/11/2022</v>
      </c>
      <c r="M506" s="22">
        <v>18736</v>
      </c>
      <c r="T506" s="35">
        <f t="shared" si="20"/>
        <v>0</v>
      </c>
    </row>
    <row r="507" spans="1:20" ht="12.75" customHeight="1" x14ac:dyDescent="0.25">
      <c r="A507" s="86">
        <v>112.215</v>
      </c>
      <c r="B507" s="22"/>
      <c r="C507" s="22">
        <v>574</v>
      </c>
      <c r="D507" s="26"/>
      <c r="H507" s="11" t="str">
        <f t="shared" si="16"/>
        <v>2nd Pay Period ending 22/11/2022</v>
      </c>
      <c r="M507" s="22">
        <v>19014</v>
      </c>
      <c r="T507" s="35">
        <f t="shared" si="20"/>
        <v>0</v>
      </c>
    </row>
    <row r="508" spans="1:20" ht="12.75" customHeight="1" x14ac:dyDescent="0.25">
      <c r="A508" s="86">
        <v>112.215</v>
      </c>
      <c r="B508" s="22"/>
      <c r="C508" s="22">
        <v>696</v>
      </c>
      <c r="D508" s="26"/>
      <c r="H508" s="11" t="str">
        <f t="shared" si="16"/>
        <v>2nd Pay Period ending 22/11/2022</v>
      </c>
      <c r="M508" s="22">
        <v>18987</v>
      </c>
      <c r="T508" s="35">
        <f t="shared" si="20"/>
        <v>0</v>
      </c>
    </row>
    <row r="509" spans="1:20" ht="12.75" customHeight="1" x14ac:dyDescent="0.25">
      <c r="A509" s="86">
        <v>112.215</v>
      </c>
      <c r="B509" s="22"/>
      <c r="C509" s="22">
        <v>604</v>
      </c>
      <c r="D509" s="26"/>
      <c r="H509" s="11" t="str">
        <f t="shared" si="16"/>
        <v>2nd Pay Period ending 22/11/2022</v>
      </c>
      <c r="M509" s="22">
        <v>18721</v>
      </c>
      <c r="T509" s="35">
        <f t="shared" si="20"/>
        <v>0</v>
      </c>
    </row>
    <row r="510" spans="1:20" ht="12.75" customHeight="1" x14ac:dyDescent="0.25">
      <c r="A510" s="86">
        <v>112.215</v>
      </c>
      <c r="B510" s="22"/>
      <c r="C510" s="22">
        <v>564</v>
      </c>
      <c r="D510" s="26"/>
      <c r="H510" s="11" t="str">
        <f t="shared" si="16"/>
        <v>2nd Pay Period ending 22/11/2022</v>
      </c>
      <c r="M510" s="22">
        <v>18988</v>
      </c>
      <c r="T510" s="35">
        <f t="shared" si="20"/>
        <v>0</v>
      </c>
    </row>
    <row r="511" spans="1:20" ht="12.75" customHeight="1" x14ac:dyDescent="0.25">
      <c r="A511" s="86">
        <v>112.215</v>
      </c>
      <c r="B511" s="22"/>
      <c r="C511" s="22">
        <v>430</v>
      </c>
      <c r="D511" s="26"/>
      <c r="H511" s="11" t="str">
        <f t="shared" si="16"/>
        <v>2nd Pay Period ending 22/11/2022</v>
      </c>
      <c r="M511" s="22">
        <v>18995</v>
      </c>
      <c r="T511" s="35">
        <f t="shared" si="20"/>
        <v>0</v>
      </c>
    </row>
    <row r="512" spans="1:20" ht="12.75" customHeight="1" x14ac:dyDescent="0.25">
      <c r="A512" s="86">
        <v>112.215</v>
      </c>
      <c r="B512" s="22"/>
      <c r="C512" s="22">
        <v>364</v>
      </c>
      <c r="D512" s="26"/>
      <c r="H512" s="11" t="str">
        <f t="shared" si="16"/>
        <v>2nd Pay Period ending 22/11/2022</v>
      </c>
      <c r="M512" s="22">
        <v>18946</v>
      </c>
      <c r="T512" s="35">
        <f t="shared" si="20"/>
        <v>0</v>
      </c>
    </row>
    <row r="513" spans="1:20" ht="12.75" customHeight="1" x14ac:dyDescent="0.25">
      <c r="A513" s="86">
        <v>112.215</v>
      </c>
      <c r="B513" s="22"/>
      <c r="C513" s="22">
        <v>1556</v>
      </c>
      <c r="D513" s="26"/>
      <c r="H513" s="11" t="str">
        <f t="shared" si="16"/>
        <v>2nd Pay Period ending 22/11/2022</v>
      </c>
      <c r="M513" s="22">
        <v>18920</v>
      </c>
      <c r="T513" s="35">
        <f t="shared" si="20"/>
        <v>0</v>
      </c>
    </row>
    <row r="514" spans="1:20" ht="12.75" customHeight="1" x14ac:dyDescent="0.25">
      <c r="A514" s="86">
        <v>112.215</v>
      </c>
      <c r="B514" s="22"/>
      <c r="C514" s="22">
        <v>770</v>
      </c>
      <c r="D514" s="26"/>
      <c r="H514" s="11" t="str">
        <f t="shared" si="16"/>
        <v>2nd Pay Period ending 22/11/2022</v>
      </c>
      <c r="M514" s="22">
        <v>220</v>
      </c>
      <c r="T514" s="35">
        <f t="shared" si="20"/>
        <v>0</v>
      </c>
    </row>
    <row r="515" spans="1:20" ht="12.75" customHeight="1" x14ac:dyDescent="0.25">
      <c r="A515" s="86">
        <v>112.215</v>
      </c>
      <c r="B515" s="22"/>
      <c r="C515" s="22">
        <v>776</v>
      </c>
      <c r="D515" s="26"/>
      <c r="H515" s="11" t="str">
        <f t="shared" ref="H515:H578" si="21">$K$1</f>
        <v>2nd Pay Period ending 22/11/2022</v>
      </c>
      <c r="M515" s="22">
        <v>18948</v>
      </c>
      <c r="T515" s="35">
        <f t="shared" si="20"/>
        <v>0</v>
      </c>
    </row>
    <row r="516" spans="1:20" ht="12.75" customHeight="1" x14ac:dyDescent="0.25">
      <c r="A516" s="86">
        <v>112.215</v>
      </c>
      <c r="B516" s="22"/>
      <c r="C516" s="22">
        <v>1798</v>
      </c>
      <c r="D516" s="26"/>
      <c r="H516" s="11" t="str">
        <f t="shared" si="21"/>
        <v>2nd Pay Period ending 22/11/2022</v>
      </c>
      <c r="M516" s="22">
        <v>18716</v>
      </c>
      <c r="T516" s="35">
        <f t="shared" ref="T516:T579" si="22">B516/10*$V$1</f>
        <v>0</v>
      </c>
    </row>
    <row r="517" spans="1:20" ht="12.75" customHeight="1" x14ac:dyDescent="0.25">
      <c r="A517" s="86">
        <v>112.215</v>
      </c>
      <c r="B517" s="22"/>
      <c r="C517" s="22">
        <v>1618</v>
      </c>
      <c r="D517" s="26"/>
      <c r="H517" s="11" t="str">
        <f t="shared" si="21"/>
        <v>2nd Pay Period ending 22/11/2022</v>
      </c>
      <c r="M517" s="22">
        <v>18969</v>
      </c>
      <c r="T517" s="35">
        <f t="shared" si="22"/>
        <v>0</v>
      </c>
    </row>
    <row r="518" spans="1:20" ht="12.75" customHeight="1" x14ac:dyDescent="0.25">
      <c r="A518" s="86">
        <v>112.215</v>
      </c>
      <c r="B518" s="22"/>
      <c r="C518" s="22">
        <v>630</v>
      </c>
      <c r="D518" s="26"/>
      <c r="H518" s="11" t="str">
        <f t="shared" si="21"/>
        <v>2nd Pay Period ending 22/11/2022</v>
      </c>
      <c r="M518" s="22">
        <v>18862</v>
      </c>
      <c r="T518" s="35">
        <f t="shared" si="22"/>
        <v>0</v>
      </c>
    </row>
    <row r="519" spans="1:20" ht="12.75" customHeight="1" x14ac:dyDescent="0.25">
      <c r="A519" s="86">
        <v>112.215</v>
      </c>
      <c r="B519" s="22"/>
      <c r="C519" s="22">
        <v>2710</v>
      </c>
      <c r="D519" s="26"/>
      <c r="H519" s="11" t="str">
        <f t="shared" si="21"/>
        <v>2nd Pay Period ending 22/11/2022</v>
      </c>
      <c r="M519" s="22">
        <v>18886</v>
      </c>
      <c r="T519" s="35">
        <f t="shared" si="22"/>
        <v>0</v>
      </c>
    </row>
    <row r="520" spans="1:20" ht="12.75" customHeight="1" x14ac:dyDescent="0.25">
      <c r="A520" s="86">
        <v>112.215</v>
      </c>
      <c r="B520" s="22"/>
      <c r="C520" s="22">
        <v>526</v>
      </c>
      <c r="D520" s="26"/>
      <c r="H520" s="11" t="str">
        <f t="shared" si="21"/>
        <v>2nd Pay Period ending 22/11/2022</v>
      </c>
      <c r="M520" s="22">
        <v>18968</v>
      </c>
      <c r="T520" s="35">
        <f t="shared" si="22"/>
        <v>0</v>
      </c>
    </row>
    <row r="521" spans="1:20" ht="12.75" customHeight="1" x14ac:dyDescent="0.25">
      <c r="A521" s="86">
        <v>112.215</v>
      </c>
      <c r="B521" s="22"/>
      <c r="C521" s="22">
        <v>710</v>
      </c>
      <c r="D521" s="26"/>
      <c r="H521" s="11" t="str">
        <f t="shared" si="21"/>
        <v>2nd Pay Period ending 22/11/2022</v>
      </c>
      <c r="M521" s="22">
        <v>19003</v>
      </c>
      <c r="T521" s="35">
        <f t="shared" si="22"/>
        <v>0</v>
      </c>
    </row>
    <row r="522" spans="1:20" ht="12.75" customHeight="1" x14ac:dyDescent="0.25">
      <c r="A522" s="86">
        <v>112.215</v>
      </c>
      <c r="B522" s="22"/>
      <c r="C522" s="22">
        <v>258</v>
      </c>
      <c r="D522" s="26"/>
      <c r="H522" s="11" t="str">
        <f t="shared" si="21"/>
        <v>2nd Pay Period ending 22/11/2022</v>
      </c>
      <c r="M522" s="22">
        <v>18550</v>
      </c>
      <c r="T522" s="35">
        <f t="shared" si="22"/>
        <v>0</v>
      </c>
    </row>
    <row r="523" spans="1:20" ht="12.75" customHeight="1" x14ac:dyDescent="0.25">
      <c r="A523" s="86">
        <v>112.215</v>
      </c>
      <c r="B523" s="22"/>
      <c r="C523" s="22">
        <v>2232</v>
      </c>
      <c r="D523" s="26"/>
      <c r="H523" s="11" t="str">
        <f t="shared" si="21"/>
        <v>2nd Pay Period ending 22/11/2022</v>
      </c>
      <c r="M523" s="22">
        <v>18853</v>
      </c>
      <c r="T523" s="35">
        <f t="shared" si="22"/>
        <v>0</v>
      </c>
    </row>
    <row r="524" spans="1:20" ht="12.75" customHeight="1" x14ac:dyDescent="0.25">
      <c r="A524" s="86">
        <v>112.215</v>
      </c>
      <c r="B524" s="22"/>
      <c r="C524" s="22">
        <v>498</v>
      </c>
      <c r="D524" s="26"/>
      <c r="H524" s="11" t="str">
        <f t="shared" si="21"/>
        <v>2nd Pay Period ending 22/11/2022</v>
      </c>
      <c r="M524" s="22">
        <v>19025</v>
      </c>
      <c r="T524" s="35">
        <f t="shared" si="22"/>
        <v>0</v>
      </c>
    </row>
    <row r="525" spans="1:20" ht="12.75" customHeight="1" x14ac:dyDescent="0.25">
      <c r="A525" s="86">
        <v>112.215</v>
      </c>
      <c r="B525" s="22"/>
      <c r="C525" s="22">
        <v>762</v>
      </c>
      <c r="D525" s="26"/>
      <c r="H525" s="11" t="str">
        <f t="shared" si="21"/>
        <v>2nd Pay Period ending 22/11/2022</v>
      </c>
      <c r="M525" s="22">
        <v>18741</v>
      </c>
      <c r="T525" s="35">
        <f t="shared" si="22"/>
        <v>0</v>
      </c>
    </row>
    <row r="526" spans="1:20" ht="12.75" customHeight="1" x14ac:dyDescent="0.25">
      <c r="A526" s="86">
        <v>112.215</v>
      </c>
      <c r="B526" s="22"/>
      <c r="C526" s="22">
        <v>362</v>
      </c>
      <c r="D526" s="26"/>
      <c r="H526" s="11" t="str">
        <f t="shared" si="21"/>
        <v>2nd Pay Period ending 22/11/2022</v>
      </c>
      <c r="M526" s="22">
        <v>19022</v>
      </c>
      <c r="T526" s="35">
        <f t="shared" si="22"/>
        <v>0</v>
      </c>
    </row>
    <row r="527" spans="1:20" ht="12.75" customHeight="1" x14ac:dyDescent="0.25">
      <c r="A527" s="86">
        <v>112.215</v>
      </c>
      <c r="B527" s="22"/>
      <c r="C527" s="22">
        <v>510</v>
      </c>
      <c r="D527" s="26"/>
      <c r="H527" s="11" t="str">
        <f t="shared" si="21"/>
        <v>2nd Pay Period ending 22/11/2022</v>
      </c>
      <c r="M527" s="22">
        <v>18619</v>
      </c>
      <c r="T527" s="35">
        <f t="shared" si="22"/>
        <v>0</v>
      </c>
    </row>
    <row r="528" spans="1:20" ht="12.75" customHeight="1" x14ac:dyDescent="0.25">
      <c r="A528" s="86">
        <v>112.215</v>
      </c>
      <c r="B528" s="22"/>
      <c r="C528" s="22">
        <v>610</v>
      </c>
      <c r="D528" s="26"/>
      <c r="H528" s="11" t="str">
        <f t="shared" si="21"/>
        <v>2nd Pay Period ending 22/11/2022</v>
      </c>
      <c r="M528" s="22">
        <v>18836</v>
      </c>
      <c r="T528" s="35">
        <f t="shared" si="22"/>
        <v>0</v>
      </c>
    </row>
    <row r="529" spans="1:20" ht="12.75" customHeight="1" x14ac:dyDescent="0.25">
      <c r="A529" s="86">
        <v>112.215</v>
      </c>
      <c r="B529" s="22"/>
      <c r="C529" s="22">
        <v>128</v>
      </c>
      <c r="D529" s="26"/>
      <c r="H529" s="11" t="str">
        <f t="shared" si="21"/>
        <v>2nd Pay Period ending 22/11/2022</v>
      </c>
      <c r="M529" s="22">
        <v>19040</v>
      </c>
      <c r="T529" s="35">
        <f t="shared" si="22"/>
        <v>0</v>
      </c>
    </row>
    <row r="530" spans="1:20" ht="12.75" customHeight="1" x14ac:dyDescent="0.25">
      <c r="A530" s="86">
        <v>112.215</v>
      </c>
      <c r="B530" s="22"/>
      <c r="C530" s="22">
        <v>130</v>
      </c>
      <c r="D530" s="26"/>
      <c r="H530" s="11" t="str">
        <f t="shared" si="21"/>
        <v>2nd Pay Period ending 22/11/2022</v>
      </c>
      <c r="M530" s="22">
        <v>18893</v>
      </c>
      <c r="T530" s="35">
        <f t="shared" si="22"/>
        <v>0</v>
      </c>
    </row>
    <row r="531" spans="1:20" ht="12.75" customHeight="1" x14ac:dyDescent="0.25">
      <c r="A531" s="86">
        <v>112.215</v>
      </c>
      <c r="B531" s="22"/>
      <c r="C531" s="22">
        <v>672</v>
      </c>
      <c r="D531" s="26"/>
      <c r="H531" s="11" t="str">
        <f t="shared" si="21"/>
        <v>2nd Pay Period ending 22/11/2022</v>
      </c>
      <c r="M531" s="22">
        <v>18589</v>
      </c>
      <c r="T531" s="35">
        <f t="shared" si="22"/>
        <v>0</v>
      </c>
    </row>
    <row r="532" spans="1:20" ht="12.75" customHeight="1" x14ac:dyDescent="0.25">
      <c r="A532" s="86">
        <v>112.215</v>
      </c>
      <c r="B532" s="22"/>
      <c r="C532" s="22">
        <v>442</v>
      </c>
      <c r="D532" s="26"/>
      <c r="H532" s="11" t="str">
        <f t="shared" si="21"/>
        <v>2nd Pay Period ending 22/11/2022</v>
      </c>
      <c r="M532" s="22">
        <v>18903</v>
      </c>
      <c r="T532" s="35">
        <f t="shared" si="22"/>
        <v>0</v>
      </c>
    </row>
    <row r="533" spans="1:20" ht="12.75" customHeight="1" x14ac:dyDescent="0.25">
      <c r="A533" s="86">
        <v>112.215</v>
      </c>
      <c r="B533" s="22"/>
      <c r="C533" s="22">
        <v>256</v>
      </c>
      <c r="D533" s="26"/>
      <c r="H533" s="11" t="str">
        <f t="shared" si="21"/>
        <v>2nd Pay Period ending 22/11/2022</v>
      </c>
      <c r="M533" s="22">
        <v>18957</v>
      </c>
      <c r="T533" s="35">
        <f t="shared" si="22"/>
        <v>0</v>
      </c>
    </row>
    <row r="534" spans="1:20" ht="12.75" customHeight="1" x14ac:dyDescent="0.25">
      <c r="A534" s="86">
        <v>112.215</v>
      </c>
      <c r="B534" s="22"/>
      <c r="C534" s="22">
        <v>176</v>
      </c>
      <c r="D534" s="26"/>
      <c r="H534" s="11" t="str">
        <f t="shared" si="21"/>
        <v>2nd Pay Period ending 22/11/2022</v>
      </c>
      <c r="M534" s="22">
        <v>18831</v>
      </c>
      <c r="T534" s="35">
        <f t="shared" si="22"/>
        <v>0</v>
      </c>
    </row>
    <row r="535" spans="1:20" ht="12.75" customHeight="1" x14ac:dyDescent="0.25">
      <c r="A535" s="86">
        <v>112.215</v>
      </c>
      <c r="B535" s="22"/>
      <c r="C535" s="22">
        <v>620</v>
      </c>
      <c r="D535" s="26"/>
      <c r="H535" s="11" t="str">
        <f t="shared" si="21"/>
        <v>2nd Pay Period ending 22/11/2022</v>
      </c>
      <c r="M535" s="22">
        <v>18866</v>
      </c>
      <c r="T535" s="35">
        <f t="shared" si="22"/>
        <v>0</v>
      </c>
    </row>
    <row r="536" spans="1:20" ht="12.75" customHeight="1" x14ac:dyDescent="0.25">
      <c r="A536" s="86">
        <v>112.215</v>
      </c>
      <c r="B536" s="22"/>
      <c r="C536" s="22">
        <v>264</v>
      </c>
      <c r="D536" s="26"/>
      <c r="H536" s="11" t="str">
        <f t="shared" si="21"/>
        <v>2nd Pay Period ending 22/11/2022</v>
      </c>
      <c r="M536" s="22">
        <v>18891</v>
      </c>
      <c r="T536" s="35">
        <f t="shared" si="22"/>
        <v>0</v>
      </c>
    </row>
    <row r="537" spans="1:20" ht="12.75" customHeight="1" x14ac:dyDescent="0.25">
      <c r="A537" s="86">
        <v>112.215</v>
      </c>
      <c r="B537" s="22"/>
      <c r="C537" s="22">
        <v>696</v>
      </c>
      <c r="D537" s="26"/>
      <c r="H537" s="11" t="str">
        <f t="shared" si="21"/>
        <v>2nd Pay Period ending 22/11/2022</v>
      </c>
      <c r="M537" s="22">
        <v>18954</v>
      </c>
      <c r="T537" s="35">
        <f t="shared" si="22"/>
        <v>0</v>
      </c>
    </row>
    <row r="538" spans="1:20" ht="12.75" customHeight="1" x14ac:dyDescent="0.25">
      <c r="A538" s="86">
        <v>112.215</v>
      </c>
      <c r="B538" s="22"/>
      <c r="C538" s="22">
        <v>760</v>
      </c>
      <c r="D538" s="26"/>
      <c r="H538" s="11" t="str">
        <f t="shared" si="21"/>
        <v>2nd Pay Period ending 22/11/2022</v>
      </c>
      <c r="M538" s="22">
        <v>18879</v>
      </c>
      <c r="T538" s="35">
        <f t="shared" si="22"/>
        <v>0</v>
      </c>
    </row>
    <row r="539" spans="1:20" ht="12.75" customHeight="1" x14ac:dyDescent="0.25">
      <c r="A539" s="86">
        <v>112.215</v>
      </c>
      <c r="B539" s="22"/>
      <c r="C539" s="22">
        <v>148</v>
      </c>
      <c r="D539" s="26"/>
      <c r="H539" s="11" t="str">
        <f t="shared" si="21"/>
        <v>2nd Pay Period ending 22/11/2022</v>
      </c>
      <c r="M539" s="22">
        <v>18631</v>
      </c>
      <c r="T539" s="35">
        <f t="shared" si="22"/>
        <v>0</v>
      </c>
    </row>
    <row r="540" spans="1:20" ht="12.75" customHeight="1" x14ac:dyDescent="0.25">
      <c r="A540" s="86">
        <v>112.215</v>
      </c>
      <c r="B540" s="22"/>
      <c r="C540" s="22">
        <v>94</v>
      </c>
      <c r="D540" s="26"/>
      <c r="H540" s="11" t="str">
        <f t="shared" si="21"/>
        <v>2nd Pay Period ending 22/11/2022</v>
      </c>
      <c r="M540" s="22">
        <v>18</v>
      </c>
      <c r="T540" s="35">
        <f t="shared" si="22"/>
        <v>0</v>
      </c>
    </row>
    <row r="541" spans="1:20" ht="12.75" customHeight="1" x14ac:dyDescent="0.25">
      <c r="A541" s="86">
        <v>112.215</v>
      </c>
      <c r="B541" s="22"/>
      <c r="C541" s="22">
        <v>522</v>
      </c>
      <c r="D541" s="26"/>
      <c r="H541" s="11" t="str">
        <f t="shared" si="21"/>
        <v>2nd Pay Period ending 22/11/2022</v>
      </c>
      <c r="M541" s="22">
        <v>18630</v>
      </c>
      <c r="T541" s="35">
        <f t="shared" si="22"/>
        <v>0</v>
      </c>
    </row>
    <row r="542" spans="1:20" ht="12.75" customHeight="1" x14ac:dyDescent="0.25">
      <c r="A542" s="86">
        <v>112.215</v>
      </c>
      <c r="B542" s="22"/>
      <c r="C542" s="22">
        <v>1060</v>
      </c>
      <c r="D542" s="26"/>
      <c r="H542" s="11" t="str">
        <f t="shared" si="21"/>
        <v>2nd Pay Period ending 22/11/2022</v>
      </c>
      <c r="M542" s="22">
        <v>19013</v>
      </c>
      <c r="T542" s="35">
        <f t="shared" si="22"/>
        <v>0</v>
      </c>
    </row>
    <row r="543" spans="1:20" ht="12.75" customHeight="1" x14ac:dyDescent="0.25">
      <c r="A543" s="86">
        <v>112.215</v>
      </c>
      <c r="B543" s="22"/>
      <c r="C543" s="22">
        <v>1028</v>
      </c>
      <c r="D543" s="26"/>
      <c r="H543" s="11" t="str">
        <f t="shared" si="21"/>
        <v>2nd Pay Period ending 22/11/2022</v>
      </c>
      <c r="M543" s="22">
        <v>18559</v>
      </c>
      <c r="T543" s="35">
        <f t="shared" si="22"/>
        <v>0</v>
      </c>
    </row>
    <row r="544" spans="1:20" ht="12.75" customHeight="1" x14ac:dyDescent="0.25">
      <c r="A544" s="86">
        <v>112.215</v>
      </c>
      <c r="B544" s="22"/>
      <c r="C544" s="22">
        <v>154</v>
      </c>
      <c r="D544" s="26"/>
      <c r="H544" s="11" t="str">
        <f t="shared" si="21"/>
        <v>2nd Pay Period ending 22/11/2022</v>
      </c>
      <c r="M544" s="22">
        <v>18894</v>
      </c>
      <c r="T544" s="35">
        <f t="shared" si="22"/>
        <v>0</v>
      </c>
    </row>
    <row r="545" spans="1:20" ht="12.75" customHeight="1" x14ac:dyDescent="0.25">
      <c r="A545" s="86">
        <v>112.215</v>
      </c>
      <c r="B545" s="22"/>
      <c r="C545" s="22">
        <v>70</v>
      </c>
      <c r="D545" s="26"/>
      <c r="H545" s="11" t="str">
        <f t="shared" si="21"/>
        <v>2nd Pay Period ending 22/11/2022</v>
      </c>
      <c r="M545" s="22">
        <v>18960</v>
      </c>
      <c r="T545" s="35">
        <f t="shared" si="22"/>
        <v>0</v>
      </c>
    </row>
    <row r="546" spans="1:20" ht="12.75" customHeight="1" x14ac:dyDescent="0.25">
      <c r="A546" s="86">
        <v>112.215</v>
      </c>
      <c r="B546" s="22"/>
      <c r="C546" s="22">
        <v>520</v>
      </c>
      <c r="D546" s="26"/>
      <c r="H546" s="11" t="str">
        <f t="shared" si="21"/>
        <v>2nd Pay Period ending 22/11/2022</v>
      </c>
      <c r="M546" s="22">
        <v>18659</v>
      </c>
      <c r="T546" s="35">
        <f t="shared" si="22"/>
        <v>0</v>
      </c>
    </row>
    <row r="547" spans="1:20" ht="12.75" customHeight="1" x14ac:dyDescent="0.25">
      <c r="A547" s="86">
        <v>112.215</v>
      </c>
      <c r="B547" s="22"/>
      <c r="C547" s="22">
        <v>632</v>
      </c>
      <c r="D547" s="26"/>
      <c r="H547" s="11" t="str">
        <f t="shared" si="21"/>
        <v>2nd Pay Period ending 22/11/2022</v>
      </c>
      <c r="M547" s="22">
        <v>18967</v>
      </c>
      <c r="T547" s="35">
        <f t="shared" si="22"/>
        <v>0</v>
      </c>
    </row>
    <row r="548" spans="1:20" ht="12.75" customHeight="1" x14ac:dyDescent="0.25">
      <c r="A548" s="86">
        <v>112.215</v>
      </c>
      <c r="B548" s="22"/>
      <c r="C548" s="22">
        <v>436</v>
      </c>
      <c r="D548" s="26"/>
      <c r="H548" s="11" t="str">
        <f t="shared" si="21"/>
        <v>2nd Pay Period ending 22/11/2022</v>
      </c>
      <c r="M548" s="22">
        <v>18733</v>
      </c>
      <c r="T548" s="35">
        <f t="shared" si="22"/>
        <v>0</v>
      </c>
    </row>
    <row r="549" spans="1:20" ht="12.75" customHeight="1" x14ac:dyDescent="0.25">
      <c r="A549" s="86">
        <v>112.215</v>
      </c>
      <c r="B549" s="22"/>
      <c r="C549" s="22">
        <v>506</v>
      </c>
      <c r="D549" s="26"/>
      <c r="H549" s="11" t="str">
        <f t="shared" si="21"/>
        <v>2nd Pay Period ending 22/11/2022</v>
      </c>
      <c r="M549" s="22">
        <v>18687</v>
      </c>
      <c r="T549" s="35">
        <f t="shared" si="22"/>
        <v>0</v>
      </c>
    </row>
    <row r="550" spans="1:20" ht="12.75" customHeight="1" x14ac:dyDescent="0.25">
      <c r="A550" s="86">
        <v>112.215</v>
      </c>
      <c r="B550" s="22"/>
      <c r="C550" s="22">
        <v>290</v>
      </c>
      <c r="D550" s="26"/>
      <c r="H550" s="11" t="str">
        <f t="shared" si="21"/>
        <v>2nd Pay Period ending 22/11/2022</v>
      </c>
      <c r="M550" s="22">
        <v>19033</v>
      </c>
      <c r="T550" s="35">
        <f t="shared" si="22"/>
        <v>0</v>
      </c>
    </row>
    <row r="551" spans="1:20" ht="12.75" customHeight="1" x14ac:dyDescent="0.25">
      <c r="A551" s="86">
        <v>112.215</v>
      </c>
      <c r="B551" s="22"/>
      <c r="C551" s="22">
        <v>584</v>
      </c>
      <c r="D551" s="26"/>
      <c r="H551" s="11" t="str">
        <f t="shared" si="21"/>
        <v>2nd Pay Period ending 22/11/2022</v>
      </c>
      <c r="M551" s="22">
        <v>18781</v>
      </c>
      <c r="T551" s="35">
        <f t="shared" si="22"/>
        <v>0</v>
      </c>
    </row>
    <row r="552" spans="1:20" ht="12.75" customHeight="1" x14ac:dyDescent="0.25">
      <c r="A552" s="86">
        <v>112.215</v>
      </c>
      <c r="B552" s="22"/>
      <c r="C552" s="22">
        <v>354</v>
      </c>
      <c r="D552" s="26"/>
      <c r="H552" s="11" t="str">
        <f t="shared" si="21"/>
        <v>2nd Pay Period ending 22/11/2022</v>
      </c>
      <c r="M552" s="22">
        <v>18892</v>
      </c>
      <c r="T552" s="35">
        <f t="shared" si="22"/>
        <v>0</v>
      </c>
    </row>
    <row r="553" spans="1:20" ht="12.75" customHeight="1" x14ac:dyDescent="0.25">
      <c r="A553" s="86">
        <v>112.215</v>
      </c>
      <c r="B553" s="22"/>
      <c r="C553" s="22">
        <v>602</v>
      </c>
      <c r="D553" s="26"/>
      <c r="H553" s="11" t="str">
        <f t="shared" si="21"/>
        <v>2nd Pay Period ending 22/11/2022</v>
      </c>
      <c r="M553" s="22">
        <v>18911</v>
      </c>
      <c r="T553" s="35">
        <f t="shared" si="22"/>
        <v>0</v>
      </c>
    </row>
    <row r="554" spans="1:20" ht="12.75" customHeight="1" x14ac:dyDescent="0.25">
      <c r="A554" s="86">
        <v>112.215</v>
      </c>
      <c r="B554" s="22"/>
      <c r="C554" s="22">
        <v>722</v>
      </c>
      <c r="D554" s="26"/>
      <c r="H554" s="11" t="str">
        <f t="shared" si="21"/>
        <v>2nd Pay Period ending 22/11/2022</v>
      </c>
      <c r="M554" s="22">
        <v>18961</v>
      </c>
      <c r="T554" s="35">
        <f t="shared" si="22"/>
        <v>0</v>
      </c>
    </row>
    <row r="555" spans="1:20" ht="12.75" customHeight="1" x14ac:dyDescent="0.25">
      <c r="A555" s="86">
        <v>112.215</v>
      </c>
      <c r="B555" s="22"/>
      <c r="C555" s="22">
        <v>494</v>
      </c>
      <c r="D555" s="26"/>
      <c r="H555" s="11" t="str">
        <f t="shared" si="21"/>
        <v>2nd Pay Period ending 22/11/2022</v>
      </c>
      <c r="M555" s="22">
        <v>145</v>
      </c>
      <c r="T555" s="35">
        <f t="shared" si="22"/>
        <v>0</v>
      </c>
    </row>
    <row r="556" spans="1:20" ht="12.75" customHeight="1" x14ac:dyDescent="0.25">
      <c r="A556" s="86">
        <v>112.215</v>
      </c>
      <c r="B556" s="22"/>
      <c r="C556" s="22">
        <v>120</v>
      </c>
      <c r="D556" s="26"/>
      <c r="H556" s="11" t="str">
        <f t="shared" si="21"/>
        <v>2nd Pay Period ending 22/11/2022</v>
      </c>
      <c r="M556" s="22">
        <v>141</v>
      </c>
      <c r="T556" s="35">
        <f t="shared" si="22"/>
        <v>0</v>
      </c>
    </row>
    <row r="557" spans="1:20" ht="12.75" customHeight="1" x14ac:dyDescent="0.25">
      <c r="A557" s="86">
        <v>112.215</v>
      </c>
      <c r="B557" s="22"/>
      <c r="C557" s="22">
        <v>278</v>
      </c>
      <c r="D557" s="26"/>
      <c r="H557" s="11" t="str">
        <f t="shared" si="21"/>
        <v>2nd Pay Period ending 22/11/2022</v>
      </c>
      <c r="M557" s="22">
        <v>19035</v>
      </c>
      <c r="T557" s="35">
        <f t="shared" si="22"/>
        <v>0</v>
      </c>
    </row>
    <row r="558" spans="1:20" ht="12.75" customHeight="1" x14ac:dyDescent="0.25">
      <c r="A558" s="86">
        <v>112.215</v>
      </c>
      <c r="B558" s="22"/>
      <c r="C558" s="22">
        <v>544</v>
      </c>
      <c r="D558" s="26"/>
      <c r="H558" s="11" t="str">
        <f t="shared" si="21"/>
        <v>2nd Pay Period ending 22/11/2022</v>
      </c>
      <c r="M558" s="22">
        <v>19006</v>
      </c>
      <c r="T558" s="35">
        <f t="shared" si="22"/>
        <v>0</v>
      </c>
    </row>
    <row r="559" spans="1:20" ht="12.75" customHeight="1" x14ac:dyDescent="0.25">
      <c r="A559" s="86">
        <v>112.215</v>
      </c>
      <c r="B559" s="22"/>
      <c r="C559" s="22">
        <v>300</v>
      </c>
      <c r="D559" s="26"/>
      <c r="H559" s="11" t="str">
        <f t="shared" si="21"/>
        <v>2nd Pay Period ending 22/11/2022</v>
      </c>
      <c r="M559" s="22">
        <v>19026</v>
      </c>
      <c r="T559" s="35">
        <f t="shared" si="22"/>
        <v>0</v>
      </c>
    </row>
    <row r="560" spans="1:20" ht="12.75" customHeight="1" x14ac:dyDescent="0.25">
      <c r="A560" s="86">
        <v>112.215</v>
      </c>
      <c r="B560" s="22"/>
      <c r="C560" s="22">
        <v>110</v>
      </c>
      <c r="D560" s="26"/>
      <c r="H560" s="11" t="str">
        <f t="shared" si="21"/>
        <v>2nd Pay Period ending 22/11/2022</v>
      </c>
      <c r="M560" s="22">
        <v>19032</v>
      </c>
      <c r="T560" s="35">
        <f t="shared" si="22"/>
        <v>0</v>
      </c>
    </row>
    <row r="561" spans="1:20" ht="12.75" customHeight="1" x14ac:dyDescent="0.25">
      <c r="A561" s="86">
        <v>112.215</v>
      </c>
      <c r="B561" s="22"/>
      <c r="C561" s="22">
        <v>210</v>
      </c>
      <c r="D561" s="26"/>
      <c r="H561" s="11" t="str">
        <f t="shared" si="21"/>
        <v>2nd Pay Period ending 22/11/2022</v>
      </c>
      <c r="M561" s="22">
        <v>18973</v>
      </c>
      <c r="T561" s="35">
        <f t="shared" si="22"/>
        <v>0</v>
      </c>
    </row>
    <row r="562" spans="1:20" ht="12.75" customHeight="1" x14ac:dyDescent="0.25">
      <c r="A562" s="86">
        <v>112.215</v>
      </c>
      <c r="B562" s="22"/>
      <c r="C562" s="22">
        <v>864</v>
      </c>
      <c r="D562" s="26"/>
      <c r="H562" s="11" t="str">
        <f t="shared" si="21"/>
        <v>2nd Pay Period ending 22/11/2022</v>
      </c>
      <c r="M562" s="22">
        <v>18974</v>
      </c>
      <c r="T562" s="35">
        <f t="shared" si="22"/>
        <v>0</v>
      </c>
    </row>
    <row r="563" spans="1:20" ht="12.75" customHeight="1" x14ac:dyDescent="0.25">
      <c r="A563" s="86">
        <v>112.215</v>
      </c>
      <c r="B563" s="22"/>
      <c r="C563" s="22">
        <v>456</v>
      </c>
      <c r="D563" s="26"/>
      <c r="H563" s="11" t="str">
        <f t="shared" si="21"/>
        <v>2nd Pay Period ending 22/11/2022</v>
      </c>
      <c r="M563" s="22">
        <v>18999</v>
      </c>
      <c r="T563" s="35">
        <f t="shared" si="22"/>
        <v>0</v>
      </c>
    </row>
    <row r="564" spans="1:20" ht="12.75" customHeight="1" x14ac:dyDescent="0.25">
      <c r="A564" s="86">
        <v>112.215</v>
      </c>
      <c r="B564" s="22"/>
      <c r="C564" s="22">
        <v>718</v>
      </c>
      <c r="D564" s="26"/>
      <c r="H564" s="11" t="str">
        <f t="shared" si="21"/>
        <v>2nd Pay Period ending 22/11/2022</v>
      </c>
      <c r="M564" s="22">
        <v>19007</v>
      </c>
      <c r="T564" s="35">
        <f t="shared" si="22"/>
        <v>0</v>
      </c>
    </row>
    <row r="565" spans="1:20" ht="12.75" customHeight="1" x14ac:dyDescent="0.25">
      <c r="A565" s="86">
        <v>112.215</v>
      </c>
      <c r="B565" s="22"/>
      <c r="C565" s="22">
        <v>1468</v>
      </c>
      <c r="D565" s="26"/>
      <c r="H565" s="11" t="str">
        <f t="shared" si="21"/>
        <v>2nd Pay Period ending 22/11/2022</v>
      </c>
      <c r="M565" s="22">
        <v>18962</v>
      </c>
      <c r="T565" s="35">
        <f t="shared" si="22"/>
        <v>0</v>
      </c>
    </row>
    <row r="566" spans="1:20" ht="12.75" customHeight="1" x14ac:dyDescent="0.25">
      <c r="A566" s="86">
        <v>112.215</v>
      </c>
      <c r="B566" s="22"/>
      <c r="C566" s="22">
        <v>336</v>
      </c>
      <c r="D566" s="26"/>
      <c r="H566" s="11" t="str">
        <f t="shared" si="21"/>
        <v>2nd Pay Period ending 22/11/2022</v>
      </c>
      <c r="M566" s="22">
        <v>19041</v>
      </c>
      <c r="T566" s="35">
        <f t="shared" si="22"/>
        <v>0</v>
      </c>
    </row>
    <row r="567" spans="1:20" ht="12.75" customHeight="1" x14ac:dyDescent="0.25">
      <c r="A567" s="86">
        <v>112.215</v>
      </c>
      <c r="B567" s="22"/>
      <c r="C567" s="22">
        <v>302</v>
      </c>
      <c r="D567" s="26"/>
      <c r="H567" s="11" t="str">
        <f t="shared" si="21"/>
        <v>2nd Pay Period ending 22/11/2022</v>
      </c>
      <c r="M567" s="22">
        <v>19027</v>
      </c>
      <c r="T567" s="35">
        <f t="shared" si="22"/>
        <v>0</v>
      </c>
    </row>
    <row r="568" spans="1:20" ht="12.75" customHeight="1" x14ac:dyDescent="0.25">
      <c r="A568" s="86">
        <v>112.215</v>
      </c>
      <c r="B568" s="22"/>
      <c r="C568" s="22">
        <v>338</v>
      </c>
      <c r="D568" s="26"/>
      <c r="H568" s="11" t="str">
        <f t="shared" si="21"/>
        <v>2nd Pay Period ending 22/11/2022</v>
      </c>
      <c r="M568" s="22">
        <v>19021</v>
      </c>
      <c r="T568" s="35">
        <f t="shared" si="22"/>
        <v>0</v>
      </c>
    </row>
    <row r="569" spans="1:20" ht="12.75" customHeight="1" x14ac:dyDescent="0.25">
      <c r="A569" s="86">
        <v>112.215</v>
      </c>
      <c r="B569" s="22"/>
      <c r="C569" s="22">
        <v>762</v>
      </c>
      <c r="D569" s="26"/>
      <c r="H569" s="11" t="str">
        <f t="shared" si="21"/>
        <v>2nd Pay Period ending 22/11/2022</v>
      </c>
      <c r="M569" s="22">
        <v>19038</v>
      </c>
      <c r="T569" s="35">
        <f t="shared" si="22"/>
        <v>0</v>
      </c>
    </row>
    <row r="570" spans="1:20" ht="12.75" customHeight="1" x14ac:dyDescent="0.25">
      <c r="A570" s="86">
        <v>112.215</v>
      </c>
      <c r="B570" s="22"/>
      <c r="C570" s="22">
        <v>356</v>
      </c>
      <c r="D570" s="26"/>
      <c r="H570" s="11" t="str">
        <f t="shared" si="21"/>
        <v>2nd Pay Period ending 22/11/2022</v>
      </c>
      <c r="M570" s="22">
        <v>18980</v>
      </c>
      <c r="T570" s="35">
        <f t="shared" si="22"/>
        <v>0</v>
      </c>
    </row>
    <row r="571" spans="1:20" ht="12.75" customHeight="1" x14ac:dyDescent="0.25">
      <c r="A571" s="86">
        <v>112.215</v>
      </c>
      <c r="B571" s="22"/>
      <c r="C571" s="22">
        <v>726</v>
      </c>
      <c r="D571" s="26"/>
      <c r="H571" s="11" t="str">
        <f t="shared" si="21"/>
        <v>2nd Pay Period ending 22/11/2022</v>
      </c>
      <c r="M571" s="22">
        <v>18581</v>
      </c>
      <c r="T571" s="35">
        <f t="shared" si="22"/>
        <v>0</v>
      </c>
    </row>
    <row r="572" spans="1:20" ht="12.75" customHeight="1" x14ac:dyDescent="0.25">
      <c r="A572" s="86">
        <v>112.215</v>
      </c>
      <c r="B572" s="22"/>
      <c r="C572" s="22">
        <v>696</v>
      </c>
      <c r="D572" s="26"/>
      <c r="H572" s="11" t="str">
        <f t="shared" si="21"/>
        <v>2nd Pay Period ending 22/11/2022</v>
      </c>
      <c r="M572" s="22">
        <v>19034</v>
      </c>
      <c r="T572" s="35">
        <f t="shared" si="22"/>
        <v>0</v>
      </c>
    </row>
    <row r="573" spans="1:20" ht="12.75" customHeight="1" x14ac:dyDescent="0.25">
      <c r="A573" s="86">
        <v>112.215</v>
      </c>
      <c r="B573" s="22"/>
      <c r="C573" s="22">
        <v>1858</v>
      </c>
      <c r="D573" s="26"/>
      <c r="H573" s="11" t="str">
        <f t="shared" si="21"/>
        <v>2nd Pay Period ending 22/11/2022</v>
      </c>
      <c r="M573" s="22">
        <v>44705</v>
      </c>
      <c r="T573" s="35">
        <f t="shared" si="22"/>
        <v>0</v>
      </c>
    </row>
    <row r="574" spans="1:20" ht="12.75" customHeight="1" x14ac:dyDescent="0.25">
      <c r="A574" s="86">
        <v>112.215</v>
      </c>
      <c r="B574" s="22"/>
      <c r="C574" s="22">
        <v>430</v>
      </c>
      <c r="D574" s="26"/>
      <c r="H574" s="11" t="str">
        <f t="shared" si="21"/>
        <v>2nd Pay Period ending 22/11/2022</v>
      </c>
      <c r="M574" s="22">
        <v>18805</v>
      </c>
      <c r="T574" s="35">
        <f t="shared" si="22"/>
        <v>0</v>
      </c>
    </row>
    <row r="575" spans="1:20" ht="12.75" customHeight="1" x14ac:dyDescent="0.25">
      <c r="A575" s="86">
        <v>112.215</v>
      </c>
      <c r="B575" s="22"/>
      <c r="C575" s="22">
        <v>488</v>
      </c>
      <c r="D575" s="26"/>
      <c r="H575" s="11" t="str">
        <f t="shared" si="21"/>
        <v>2nd Pay Period ending 22/11/2022</v>
      </c>
      <c r="M575" s="22">
        <v>18982</v>
      </c>
      <c r="T575" s="35">
        <f t="shared" si="22"/>
        <v>0</v>
      </c>
    </row>
    <row r="576" spans="1:20" ht="12.75" customHeight="1" x14ac:dyDescent="0.25">
      <c r="A576" s="86">
        <v>112.215</v>
      </c>
      <c r="B576" s="22"/>
      <c r="C576" s="22">
        <v>420</v>
      </c>
      <c r="D576" s="26"/>
      <c r="H576" s="11" t="str">
        <f t="shared" si="21"/>
        <v>2nd Pay Period ending 22/11/2022</v>
      </c>
      <c r="M576" s="22">
        <v>18841</v>
      </c>
      <c r="T576" s="35">
        <f t="shared" si="22"/>
        <v>0</v>
      </c>
    </row>
    <row r="577" spans="1:20" ht="12.75" customHeight="1" x14ac:dyDescent="0.25">
      <c r="A577" s="86">
        <v>112.215</v>
      </c>
      <c r="B577" s="22"/>
      <c r="C577" s="22">
        <v>488</v>
      </c>
      <c r="D577" s="26"/>
      <c r="H577" s="11" t="str">
        <f t="shared" si="21"/>
        <v>2nd Pay Period ending 22/11/2022</v>
      </c>
      <c r="M577" s="22">
        <v>266</v>
      </c>
      <c r="T577" s="35">
        <f t="shared" si="22"/>
        <v>0</v>
      </c>
    </row>
    <row r="578" spans="1:20" ht="12.75" customHeight="1" x14ac:dyDescent="0.25">
      <c r="A578" s="86">
        <v>112.215</v>
      </c>
      <c r="B578" s="22"/>
      <c r="C578" s="22">
        <v>772</v>
      </c>
      <c r="D578" s="26"/>
      <c r="H578" s="11" t="str">
        <f t="shared" si="21"/>
        <v>2nd Pay Period ending 22/11/2022</v>
      </c>
      <c r="M578" s="22">
        <v>18918</v>
      </c>
      <c r="T578" s="35">
        <f t="shared" si="22"/>
        <v>0</v>
      </c>
    </row>
    <row r="579" spans="1:20" ht="12.75" customHeight="1" x14ac:dyDescent="0.25">
      <c r="A579" s="86">
        <v>112.215</v>
      </c>
      <c r="B579" s="22"/>
      <c r="C579" s="22">
        <v>458</v>
      </c>
      <c r="D579" s="26"/>
      <c r="H579" s="11" t="str">
        <f t="shared" ref="H579:H642" si="23">$K$1</f>
        <v>2nd Pay Period ending 22/11/2022</v>
      </c>
      <c r="M579" s="22">
        <v>18822</v>
      </c>
      <c r="T579" s="35">
        <f t="shared" si="22"/>
        <v>0</v>
      </c>
    </row>
    <row r="580" spans="1:20" ht="12.75" customHeight="1" x14ac:dyDescent="0.25">
      <c r="A580" s="86">
        <v>112.215</v>
      </c>
      <c r="B580" s="22"/>
      <c r="C580" s="22">
        <v>474</v>
      </c>
      <c r="D580" s="26"/>
      <c r="H580" s="11" t="str">
        <f t="shared" si="23"/>
        <v>2nd Pay Period ending 22/11/2022</v>
      </c>
      <c r="M580" s="22">
        <v>18797</v>
      </c>
      <c r="T580" s="35">
        <f t="shared" ref="T580:T643" si="24">B580/10*$V$1</f>
        <v>0</v>
      </c>
    </row>
    <row r="581" spans="1:20" ht="12.75" customHeight="1" x14ac:dyDescent="0.25">
      <c r="A581" s="86">
        <v>112.215</v>
      </c>
      <c r="B581" s="22"/>
      <c r="C581" s="22">
        <v>948</v>
      </c>
      <c r="D581" s="26"/>
      <c r="H581" s="11" t="str">
        <f t="shared" si="23"/>
        <v>2nd Pay Period ending 22/11/2022</v>
      </c>
      <c r="M581" s="22">
        <v>18626</v>
      </c>
      <c r="T581" s="35">
        <f t="shared" si="24"/>
        <v>0</v>
      </c>
    </row>
    <row r="582" spans="1:20" ht="12.75" customHeight="1" x14ac:dyDescent="0.25">
      <c r="A582" s="86">
        <v>112.215</v>
      </c>
      <c r="B582" s="22"/>
      <c r="C582" s="22">
        <v>482</v>
      </c>
      <c r="D582" s="26"/>
      <c r="H582" s="11" t="str">
        <f t="shared" si="23"/>
        <v>2nd Pay Period ending 22/11/2022</v>
      </c>
      <c r="M582" s="22">
        <v>18887</v>
      </c>
      <c r="T582" s="35">
        <f t="shared" si="24"/>
        <v>0</v>
      </c>
    </row>
    <row r="583" spans="1:20" ht="12.75" customHeight="1" x14ac:dyDescent="0.25">
      <c r="A583" s="86">
        <v>112.215</v>
      </c>
      <c r="B583" s="22"/>
      <c r="C583" s="22">
        <v>526</v>
      </c>
      <c r="D583" s="26"/>
      <c r="H583" s="11" t="str">
        <f t="shared" si="23"/>
        <v>2nd Pay Period ending 22/11/2022</v>
      </c>
      <c r="M583" s="22">
        <v>18949</v>
      </c>
      <c r="T583" s="35">
        <f t="shared" si="24"/>
        <v>0</v>
      </c>
    </row>
    <row r="584" spans="1:20" ht="12.75" customHeight="1" x14ac:dyDescent="0.25">
      <c r="A584" s="86">
        <v>112.215</v>
      </c>
      <c r="B584" s="22"/>
      <c r="C584" s="22">
        <v>84</v>
      </c>
      <c r="D584" s="26"/>
      <c r="H584" s="11" t="str">
        <f t="shared" si="23"/>
        <v>2nd Pay Period ending 22/11/2022</v>
      </c>
      <c r="M584" s="22">
        <v>134</v>
      </c>
      <c r="T584" s="35">
        <f t="shared" si="24"/>
        <v>0</v>
      </c>
    </row>
    <row r="585" spans="1:20" ht="12.75" customHeight="1" x14ac:dyDescent="0.25">
      <c r="A585" s="86">
        <v>112.215</v>
      </c>
      <c r="B585" s="22"/>
      <c r="C585" s="22">
        <v>478</v>
      </c>
      <c r="D585" s="26"/>
      <c r="H585" s="11" t="str">
        <f t="shared" si="23"/>
        <v>2nd Pay Period ending 22/11/2022</v>
      </c>
      <c r="M585" s="22">
        <v>18979</v>
      </c>
      <c r="T585" s="35">
        <f t="shared" si="24"/>
        <v>0</v>
      </c>
    </row>
    <row r="586" spans="1:20" ht="12.75" customHeight="1" x14ac:dyDescent="0.25">
      <c r="A586" s="86">
        <v>112.215</v>
      </c>
      <c r="B586" s="22"/>
      <c r="C586" s="22">
        <v>138</v>
      </c>
      <c r="D586" s="26"/>
      <c r="H586" s="11" t="str">
        <f t="shared" si="23"/>
        <v>2nd Pay Period ending 22/11/2022</v>
      </c>
      <c r="M586" s="22">
        <v>18929</v>
      </c>
      <c r="T586" s="35">
        <f t="shared" si="24"/>
        <v>0</v>
      </c>
    </row>
    <row r="587" spans="1:20" ht="12.75" customHeight="1" x14ac:dyDescent="0.25">
      <c r="A587" s="86">
        <v>112.215</v>
      </c>
      <c r="B587" s="22"/>
      <c r="C587" s="22">
        <v>544</v>
      </c>
      <c r="D587" s="26"/>
      <c r="H587" s="11" t="str">
        <f t="shared" si="23"/>
        <v>2nd Pay Period ending 22/11/2022</v>
      </c>
      <c r="M587" s="22">
        <v>18827</v>
      </c>
      <c r="T587" s="35">
        <f t="shared" si="24"/>
        <v>0</v>
      </c>
    </row>
    <row r="588" spans="1:20" ht="12.75" customHeight="1" x14ac:dyDescent="0.25">
      <c r="A588" s="86">
        <v>112.215</v>
      </c>
      <c r="B588" s="22"/>
      <c r="C588" s="22">
        <v>94</v>
      </c>
      <c r="D588" s="26"/>
      <c r="H588" s="11" t="str">
        <f t="shared" si="23"/>
        <v>2nd Pay Period ending 22/11/2022</v>
      </c>
      <c r="M588" s="22">
        <v>18793</v>
      </c>
      <c r="T588" s="35">
        <f t="shared" si="24"/>
        <v>0</v>
      </c>
    </row>
    <row r="589" spans="1:20" ht="12.75" customHeight="1" x14ac:dyDescent="0.25">
      <c r="A589" s="86">
        <v>112.215</v>
      </c>
      <c r="B589" s="22"/>
      <c r="C589" s="22">
        <v>280</v>
      </c>
      <c r="D589" s="26"/>
      <c r="H589" s="11" t="str">
        <f t="shared" si="23"/>
        <v>2nd Pay Period ending 22/11/2022</v>
      </c>
      <c r="M589" s="22">
        <v>18989</v>
      </c>
      <c r="T589" s="35">
        <f t="shared" si="24"/>
        <v>0</v>
      </c>
    </row>
    <row r="590" spans="1:20" ht="12.75" customHeight="1" x14ac:dyDescent="0.25">
      <c r="A590" s="86">
        <v>112.215</v>
      </c>
      <c r="B590" s="22"/>
      <c r="C590" s="22">
        <v>583.5</v>
      </c>
      <c r="D590" s="26"/>
      <c r="H590" s="11" t="str">
        <f t="shared" si="23"/>
        <v>2nd Pay Period ending 22/11/2022</v>
      </c>
      <c r="M590" s="22">
        <v>18736</v>
      </c>
      <c r="T590" s="35">
        <f t="shared" si="24"/>
        <v>0</v>
      </c>
    </row>
    <row r="591" spans="1:20" ht="12.75" customHeight="1" x14ac:dyDescent="0.25">
      <c r="A591" s="86">
        <v>112.215</v>
      </c>
      <c r="B591" s="22"/>
      <c r="C591" s="22">
        <v>502</v>
      </c>
      <c r="D591" s="26"/>
      <c r="H591" s="11" t="str">
        <f t="shared" si="23"/>
        <v>2nd Pay Period ending 22/11/2022</v>
      </c>
      <c r="M591" s="22">
        <v>19012</v>
      </c>
      <c r="T591" s="35">
        <f t="shared" si="24"/>
        <v>0</v>
      </c>
    </row>
    <row r="592" spans="1:20" ht="12.75" customHeight="1" x14ac:dyDescent="0.25">
      <c r="A592" s="86">
        <v>112.215</v>
      </c>
      <c r="B592" s="22"/>
      <c r="C592" s="22">
        <v>946</v>
      </c>
      <c r="D592" s="26"/>
      <c r="H592" s="11" t="str">
        <f t="shared" si="23"/>
        <v>2nd Pay Period ending 22/11/2022</v>
      </c>
      <c r="M592" s="22">
        <v>18829</v>
      </c>
      <c r="T592" s="35">
        <f t="shared" si="24"/>
        <v>0</v>
      </c>
    </row>
    <row r="593" spans="1:20" ht="12.75" customHeight="1" x14ac:dyDescent="0.25">
      <c r="A593" s="86">
        <v>112.215</v>
      </c>
      <c r="B593" s="22"/>
      <c r="C593" s="22">
        <v>320</v>
      </c>
      <c r="D593" s="26"/>
      <c r="H593" s="11" t="str">
        <f t="shared" si="23"/>
        <v>2nd Pay Period ending 22/11/2022</v>
      </c>
      <c r="M593" s="22">
        <v>19009</v>
      </c>
      <c r="T593" s="35">
        <f t="shared" si="24"/>
        <v>0</v>
      </c>
    </row>
    <row r="594" spans="1:20" ht="12.75" customHeight="1" x14ac:dyDescent="0.25">
      <c r="A594" s="86">
        <v>112.215</v>
      </c>
      <c r="B594" s="22"/>
      <c r="C594" s="22">
        <v>350</v>
      </c>
      <c r="D594" s="26"/>
      <c r="H594" s="11" t="str">
        <f t="shared" si="23"/>
        <v>2nd Pay Period ending 22/11/2022</v>
      </c>
      <c r="M594" s="22">
        <v>19011</v>
      </c>
      <c r="T594" s="35">
        <f t="shared" si="24"/>
        <v>0</v>
      </c>
    </row>
    <row r="595" spans="1:20" ht="12.75" customHeight="1" x14ac:dyDescent="0.25">
      <c r="A595" s="86">
        <v>112.215</v>
      </c>
      <c r="B595" s="22"/>
      <c r="C595" s="22">
        <v>484</v>
      </c>
      <c r="D595" s="26"/>
      <c r="H595" s="11" t="str">
        <f t="shared" si="23"/>
        <v>2nd Pay Period ending 22/11/2022</v>
      </c>
      <c r="M595" s="22">
        <v>19019</v>
      </c>
      <c r="T595" s="35">
        <f t="shared" si="24"/>
        <v>0</v>
      </c>
    </row>
    <row r="596" spans="1:20" ht="12.75" customHeight="1" x14ac:dyDescent="0.25">
      <c r="A596" s="86">
        <v>112.215</v>
      </c>
      <c r="B596" s="22"/>
      <c r="C596" s="22">
        <v>372</v>
      </c>
      <c r="D596" s="26"/>
      <c r="H596" s="11" t="str">
        <f t="shared" si="23"/>
        <v>2nd Pay Period ending 22/11/2022</v>
      </c>
      <c r="M596" s="22">
        <v>19017</v>
      </c>
      <c r="T596" s="35">
        <f t="shared" si="24"/>
        <v>0</v>
      </c>
    </row>
    <row r="597" spans="1:20" ht="12.75" customHeight="1" x14ac:dyDescent="0.25">
      <c r="A597" s="86">
        <v>112.215</v>
      </c>
      <c r="B597" s="22"/>
      <c r="C597" s="22">
        <v>172</v>
      </c>
      <c r="D597" s="26"/>
      <c r="H597" s="11" t="str">
        <f t="shared" si="23"/>
        <v>2nd Pay Period ending 22/11/2022</v>
      </c>
      <c r="M597" s="22">
        <v>19008</v>
      </c>
      <c r="T597" s="35">
        <f t="shared" si="24"/>
        <v>0</v>
      </c>
    </row>
    <row r="598" spans="1:20" ht="12.75" customHeight="1" x14ac:dyDescent="0.25">
      <c r="A598" s="86">
        <v>112.215</v>
      </c>
      <c r="B598" s="22"/>
      <c r="C598" s="22">
        <v>234</v>
      </c>
      <c r="D598" s="26"/>
      <c r="H598" s="11" t="str">
        <f t="shared" si="23"/>
        <v>2nd Pay Period ending 22/11/2022</v>
      </c>
      <c r="M598" s="22">
        <v>18679</v>
      </c>
      <c r="T598" s="35">
        <f t="shared" si="24"/>
        <v>0</v>
      </c>
    </row>
    <row r="599" spans="1:20" ht="12.75" customHeight="1" x14ac:dyDescent="0.25">
      <c r="A599" s="86">
        <v>112.215</v>
      </c>
      <c r="B599" s="22"/>
      <c r="C599" s="22">
        <v>328</v>
      </c>
      <c r="D599" s="26"/>
      <c r="H599" s="11" t="str">
        <f t="shared" si="23"/>
        <v>2nd Pay Period ending 22/11/2022</v>
      </c>
      <c r="M599" s="22">
        <v>18607</v>
      </c>
      <c r="T599" s="35">
        <f t="shared" si="24"/>
        <v>0</v>
      </c>
    </row>
    <row r="600" spans="1:20" ht="12.75" customHeight="1" x14ac:dyDescent="0.25">
      <c r="A600" s="86">
        <v>112.215</v>
      </c>
      <c r="B600" s="22"/>
      <c r="C600" s="22">
        <v>742</v>
      </c>
      <c r="D600" s="26"/>
      <c r="H600" s="11" t="str">
        <f t="shared" si="23"/>
        <v>2nd Pay Period ending 22/11/2022</v>
      </c>
      <c r="M600" s="22">
        <v>18932</v>
      </c>
      <c r="T600" s="35">
        <f t="shared" si="24"/>
        <v>0</v>
      </c>
    </row>
    <row r="601" spans="1:20" ht="12.75" customHeight="1" x14ac:dyDescent="0.25">
      <c r="A601" s="86">
        <v>112.215</v>
      </c>
      <c r="B601" s="22"/>
      <c r="C601" s="22">
        <v>494</v>
      </c>
      <c r="D601" s="26"/>
      <c r="H601" s="11" t="str">
        <f t="shared" si="23"/>
        <v>2nd Pay Period ending 22/11/2022</v>
      </c>
      <c r="M601" s="22">
        <v>19028</v>
      </c>
      <c r="T601" s="35">
        <f t="shared" si="24"/>
        <v>0</v>
      </c>
    </row>
    <row r="602" spans="1:20" ht="12.75" customHeight="1" x14ac:dyDescent="0.25">
      <c r="A602" s="86">
        <v>112.215</v>
      </c>
      <c r="B602" s="22"/>
      <c r="C602" s="22">
        <v>366</v>
      </c>
      <c r="D602" s="26"/>
      <c r="H602" s="11" t="str">
        <f t="shared" si="23"/>
        <v>2nd Pay Period ending 22/11/2022</v>
      </c>
      <c r="M602" s="22">
        <v>19030</v>
      </c>
      <c r="T602" s="35">
        <f t="shared" si="24"/>
        <v>0</v>
      </c>
    </row>
    <row r="603" spans="1:20" ht="12.75" customHeight="1" x14ac:dyDescent="0.25">
      <c r="A603" s="86">
        <v>112.215</v>
      </c>
      <c r="B603" s="22"/>
      <c r="C603" s="22">
        <v>482</v>
      </c>
      <c r="D603" s="26"/>
      <c r="H603" s="11" t="str">
        <f t="shared" si="23"/>
        <v>2nd Pay Period ending 22/11/2022</v>
      </c>
      <c r="M603" s="22">
        <v>19029</v>
      </c>
      <c r="T603" s="35">
        <f t="shared" si="24"/>
        <v>0</v>
      </c>
    </row>
    <row r="604" spans="1:20" ht="12.75" customHeight="1" x14ac:dyDescent="0.25">
      <c r="A604" s="86">
        <v>112.215</v>
      </c>
      <c r="B604" s="22"/>
      <c r="C604" s="22">
        <v>644</v>
      </c>
      <c r="D604" s="26"/>
      <c r="H604" s="11" t="str">
        <f t="shared" si="23"/>
        <v>2nd Pay Period ending 22/11/2022</v>
      </c>
      <c r="M604" s="22">
        <v>18983</v>
      </c>
      <c r="T604" s="35">
        <f t="shared" si="24"/>
        <v>0</v>
      </c>
    </row>
    <row r="605" spans="1:20" ht="12.75" customHeight="1" x14ac:dyDescent="0.25">
      <c r="A605" s="86">
        <v>112.215</v>
      </c>
      <c r="B605" s="22"/>
      <c r="C605" s="22">
        <v>536</v>
      </c>
      <c r="D605" s="26"/>
      <c r="H605" s="11" t="str">
        <f t="shared" si="23"/>
        <v>2nd Pay Period ending 22/11/2022</v>
      </c>
      <c r="M605" s="22">
        <v>19015</v>
      </c>
      <c r="T605" s="35">
        <f t="shared" si="24"/>
        <v>0</v>
      </c>
    </row>
    <row r="606" spans="1:20" ht="12.75" customHeight="1" x14ac:dyDescent="0.25">
      <c r="A606" s="86">
        <v>112.215</v>
      </c>
      <c r="B606" s="22"/>
      <c r="C606" s="22">
        <v>256</v>
      </c>
      <c r="D606" s="26"/>
      <c r="H606" s="11" t="str">
        <f t="shared" si="23"/>
        <v>2nd Pay Period ending 22/11/2022</v>
      </c>
      <c r="M606" s="22">
        <v>18923</v>
      </c>
      <c r="T606" s="35">
        <f t="shared" si="24"/>
        <v>0</v>
      </c>
    </row>
    <row r="607" spans="1:20" ht="12.75" customHeight="1" x14ac:dyDescent="0.25">
      <c r="A607" s="86">
        <v>112.215</v>
      </c>
      <c r="B607" s="22"/>
      <c r="C607" s="22">
        <v>1082</v>
      </c>
      <c r="D607" s="26"/>
      <c r="H607" s="11" t="str">
        <f t="shared" si="23"/>
        <v>2nd Pay Period ending 22/11/2022</v>
      </c>
      <c r="M607" s="22">
        <v>18998</v>
      </c>
      <c r="T607" s="35">
        <f t="shared" si="24"/>
        <v>0</v>
      </c>
    </row>
    <row r="608" spans="1:20" ht="12.75" customHeight="1" x14ac:dyDescent="0.25">
      <c r="A608" s="86">
        <v>112.215</v>
      </c>
      <c r="B608" s="22"/>
      <c r="C608" s="22">
        <v>676</v>
      </c>
      <c r="D608" s="26"/>
      <c r="H608" s="11" t="str">
        <f t="shared" si="23"/>
        <v>2nd Pay Period ending 22/11/2022</v>
      </c>
      <c r="M608" s="22">
        <v>115</v>
      </c>
      <c r="T608" s="35">
        <f t="shared" si="24"/>
        <v>0</v>
      </c>
    </row>
    <row r="609" spans="1:20" ht="12.75" customHeight="1" x14ac:dyDescent="0.25">
      <c r="A609" s="86">
        <v>112.215</v>
      </c>
      <c r="B609" s="22"/>
      <c r="C609" s="22">
        <v>338</v>
      </c>
      <c r="D609" s="26"/>
      <c r="H609" s="11" t="str">
        <f t="shared" si="23"/>
        <v>2nd Pay Period ending 22/11/2022</v>
      </c>
      <c r="M609" s="22">
        <v>19020</v>
      </c>
      <c r="T609" s="35">
        <f t="shared" si="24"/>
        <v>0</v>
      </c>
    </row>
    <row r="610" spans="1:20" ht="12.75" customHeight="1" x14ac:dyDescent="0.25">
      <c r="A610" s="86">
        <v>112.215</v>
      </c>
      <c r="B610" s="22"/>
      <c r="C610" s="22">
        <v>796</v>
      </c>
      <c r="D610" s="26"/>
      <c r="H610" s="11" t="str">
        <f t="shared" si="23"/>
        <v>2nd Pay Period ending 22/11/2022</v>
      </c>
      <c r="M610" s="22">
        <v>18649</v>
      </c>
      <c r="T610" s="35">
        <f t="shared" si="24"/>
        <v>0</v>
      </c>
    </row>
    <row r="611" spans="1:20" ht="12.75" customHeight="1" x14ac:dyDescent="0.25">
      <c r="A611" s="86">
        <v>112.215</v>
      </c>
      <c r="B611" s="22"/>
      <c r="C611" s="22">
        <v>320</v>
      </c>
      <c r="D611" s="26"/>
      <c r="H611" s="11" t="str">
        <f t="shared" si="23"/>
        <v>2nd Pay Period ending 22/11/2022</v>
      </c>
      <c r="M611" s="22">
        <v>18904</v>
      </c>
      <c r="T611" s="35">
        <f t="shared" si="24"/>
        <v>0</v>
      </c>
    </row>
    <row r="612" spans="1:20" ht="12.75" customHeight="1" x14ac:dyDescent="0.25">
      <c r="A612" s="86">
        <v>112.215</v>
      </c>
      <c r="B612" s="22"/>
      <c r="C612" s="22">
        <v>114</v>
      </c>
      <c r="D612" s="26"/>
      <c r="H612" s="11" t="str">
        <f t="shared" si="23"/>
        <v>2nd Pay Period ending 22/11/2022</v>
      </c>
      <c r="M612" s="22">
        <v>18839</v>
      </c>
      <c r="T612" s="35">
        <f t="shared" si="24"/>
        <v>0</v>
      </c>
    </row>
    <row r="613" spans="1:20" ht="12.75" customHeight="1" x14ac:dyDescent="0.25">
      <c r="A613" s="86">
        <v>112.215</v>
      </c>
      <c r="B613" s="22"/>
      <c r="C613" s="22">
        <v>272</v>
      </c>
      <c r="D613" s="26"/>
      <c r="H613" s="11" t="str">
        <f t="shared" si="23"/>
        <v>2nd Pay Period ending 22/11/2022</v>
      </c>
      <c r="M613" s="22">
        <v>18650</v>
      </c>
      <c r="T613" s="35">
        <f t="shared" si="24"/>
        <v>0</v>
      </c>
    </row>
    <row r="614" spans="1:20" ht="12.75" customHeight="1" x14ac:dyDescent="0.25">
      <c r="A614" s="86">
        <v>112.215</v>
      </c>
      <c r="B614" s="22"/>
      <c r="C614" s="22">
        <v>192</v>
      </c>
      <c r="D614" s="26"/>
      <c r="H614" s="11" t="str">
        <f t="shared" si="23"/>
        <v>2nd Pay Period ending 22/11/2022</v>
      </c>
      <c r="M614" s="22">
        <v>18924</v>
      </c>
      <c r="T614" s="35">
        <f t="shared" si="24"/>
        <v>0</v>
      </c>
    </row>
    <row r="615" spans="1:20" ht="12.75" customHeight="1" x14ac:dyDescent="0.25">
      <c r="A615" s="86">
        <v>112.215</v>
      </c>
      <c r="B615" s="22"/>
      <c r="C615" s="22">
        <v>802</v>
      </c>
      <c r="D615" s="26"/>
      <c r="H615" s="11" t="str">
        <f t="shared" si="23"/>
        <v>2nd Pay Period ending 22/11/2022</v>
      </c>
      <c r="M615" s="22">
        <v>18713</v>
      </c>
      <c r="T615" s="35">
        <f t="shared" si="24"/>
        <v>0</v>
      </c>
    </row>
    <row r="616" spans="1:20" ht="12.75" customHeight="1" x14ac:dyDescent="0.25">
      <c r="A616" s="86">
        <v>112.215</v>
      </c>
      <c r="B616" s="22"/>
      <c r="C616" s="22">
        <v>50</v>
      </c>
      <c r="D616" s="26"/>
      <c r="H616" s="11" t="str">
        <f t="shared" si="23"/>
        <v>2nd Pay Period ending 22/11/2022</v>
      </c>
      <c r="M616" s="22">
        <v>19023</v>
      </c>
      <c r="T616" s="35">
        <f t="shared" si="24"/>
        <v>0</v>
      </c>
    </row>
    <row r="617" spans="1:20" ht="12.75" customHeight="1" x14ac:dyDescent="0.25">
      <c r="A617" s="86">
        <v>112.215</v>
      </c>
      <c r="B617" s="22"/>
      <c r="C617" s="22">
        <v>344</v>
      </c>
      <c r="D617" s="26"/>
      <c r="H617" s="11" t="str">
        <f t="shared" si="23"/>
        <v>2nd Pay Period ending 22/11/2022</v>
      </c>
      <c r="M617" s="22">
        <v>18986</v>
      </c>
      <c r="T617" s="35">
        <f t="shared" si="24"/>
        <v>0</v>
      </c>
    </row>
    <row r="618" spans="1:20" ht="12.75" customHeight="1" x14ac:dyDescent="0.25">
      <c r="A618" s="86">
        <v>112.215</v>
      </c>
      <c r="B618" s="22"/>
      <c r="C618" s="22">
        <v>518</v>
      </c>
      <c r="D618" s="26"/>
      <c r="H618" s="11" t="str">
        <f t="shared" si="23"/>
        <v>2nd Pay Period ending 22/11/2022</v>
      </c>
      <c r="M618" s="22">
        <v>18703</v>
      </c>
      <c r="T618" s="35">
        <f t="shared" si="24"/>
        <v>0</v>
      </c>
    </row>
    <row r="619" spans="1:20" ht="12.75" customHeight="1" x14ac:dyDescent="0.25">
      <c r="A619" s="86">
        <v>112.215</v>
      </c>
      <c r="B619" s="22"/>
      <c r="C619" s="22">
        <v>456</v>
      </c>
      <c r="D619" s="26"/>
      <c r="H619" s="11" t="str">
        <f t="shared" si="23"/>
        <v>2nd Pay Period ending 22/11/2022</v>
      </c>
      <c r="M619" s="22">
        <v>18850</v>
      </c>
      <c r="T619" s="35">
        <f t="shared" si="24"/>
        <v>0</v>
      </c>
    </row>
    <row r="620" spans="1:20" ht="12.75" customHeight="1" x14ac:dyDescent="0.25">
      <c r="A620" s="86">
        <v>112.215</v>
      </c>
      <c r="B620" s="22"/>
      <c r="C620" s="22">
        <v>306</v>
      </c>
      <c r="D620" s="26"/>
      <c r="H620" s="11" t="str">
        <f t="shared" si="23"/>
        <v>2nd Pay Period ending 22/11/2022</v>
      </c>
      <c r="M620" s="22">
        <v>19039</v>
      </c>
      <c r="T620" s="35">
        <f t="shared" si="24"/>
        <v>0</v>
      </c>
    </row>
    <row r="621" spans="1:20" ht="12.75" customHeight="1" x14ac:dyDescent="0.25">
      <c r="A621" s="86">
        <v>112.215</v>
      </c>
      <c r="B621" s="22"/>
      <c r="C621" s="22">
        <v>584</v>
      </c>
      <c r="D621" s="26"/>
      <c r="H621" s="11" t="str">
        <f t="shared" si="23"/>
        <v>2nd Pay Period ending 22/11/2022</v>
      </c>
      <c r="M621" s="22">
        <v>18646</v>
      </c>
      <c r="T621" s="35">
        <f t="shared" si="24"/>
        <v>0</v>
      </c>
    </row>
    <row r="622" spans="1:20" ht="12.75" customHeight="1" x14ac:dyDescent="0.25">
      <c r="A622" s="86">
        <v>112.215</v>
      </c>
      <c r="B622" s="22"/>
      <c r="C622" s="22">
        <v>476</v>
      </c>
      <c r="D622" s="26"/>
      <c r="H622" s="11" t="str">
        <f t="shared" si="23"/>
        <v>2nd Pay Period ending 22/11/2022</v>
      </c>
      <c r="M622" s="22">
        <v>18942</v>
      </c>
      <c r="T622" s="35">
        <f t="shared" si="24"/>
        <v>0</v>
      </c>
    </row>
    <row r="623" spans="1:20" ht="12.75" customHeight="1" x14ac:dyDescent="0.25">
      <c r="A623" s="86">
        <v>112.215</v>
      </c>
      <c r="B623" s="22"/>
      <c r="C623" s="22">
        <v>268</v>
      </c>
      <c r="D623" s="26"/>
      <c r="H623" s="11" t="str">
        <f t="shared" si="23"/>
        <v>2nd Pay Period ending 22/11/2022</v>
      </c>
      <c r="M623" s="22">
        <v>18990</v>
      </c>
      <c r="T623" s="35">
        <f t="shared" si="24"/>
        <v>0</v>
      </c>
    </row>
    <row r="624" spans="1:20" ht="12.75" customHeight="1" x14ac:dyDescent="0.25">
      <c r="A624" s="86">
        <v>112.215</v>
      </c>
      <c r="B624" s="22"/>
      <c r="C624" s="22">
        <v>236</v>
      </c>
      <c r="D624" s="26"/>
      <c r="H624" s="11" t="str">
        <f t="shared" si="23"/>
        <v>2nd Pay Period ending 22/11/2022</v>
      </c>
      <c r="M624" s="22">
        <v>18970</v>
      </c>
      <c r="T624" s="35">
        <f t="shared" si="24"/>
        <v>0</v>
      </c>
    </row>
    <row r="625" spans="1:20" ht="12.75" customHeight="1" x14ac:dyDescent="0.25">
      <c r="A625" s="86">
        <v>112.215</v>
      </c>
      <c r="B625" s="22"/>
      <c r="C625" s="22">
        <v>390</v>
      </c>
      <c r="D625" s="26"/>
      <c r="H625" s="11" t="str">
        <f t="shared" si="23"/>
        <v>2nd Pay Period ending 22/11/2022</v>
      </c>
      <c r="M625" s="22">
        <v>18976</v>
      </c>
      <c r="T625" s="35">
        <f t="shared" si="24"/>
        <v>0</v>
      </c>
    </row>
    <row r="626" spans="1:20" ht="12.75" customHeight="1" x14ac:dyDescent="0.25">
      <c r="A626" s="86">
        <v>112.215</v>
      </c>
      <c r="B626" s="22"/>
      <c r="C626" s="22">
        <v>1002</v>
      </c>
      <c r="D626" s="26"/>
      <c r="H626" s="11" t="str">
        <f t="shared" si="23"/>
        <v>2nd Pay Period ending 22/11/2022</v>
      </c>
      <c r="M626" s="22">
        <v>19031</v>
      </c>
      <c r="T626" s="35">
        <f t="shared" si="24"/>
        <v>0</v>
      </c>
    </row>
    <row r="627" spans="1:20" ht="12.75" customHeight="1" x14ac:dyDescent="0.25">
      <c r="A627" s="86">
        <v>112.215</v>
      </c>
      <c r="B627" s="22"/>
      <c r="C627" s="22">
        <v>510</v>
      </c>
      <c r="D627" s="26"/>
      <c r="H627" s="11" t="str">
        <f t="shared" si="23"/>
        <v>2nd Pay Period ending 22/11/2022</v>
      </c>
      <c r="M627" s="22">
        <v>18442</v>
      </c>
      <c r="T627" s="35">
        <f t="shared" si="24"/>
        <v>0</v>
      </c>
    </row>
    <row r="628" spans="1:20" ht="12.75" customHeight="1" x14ac:dyDescent="0.25">
      <c r="A628" s="86">
        <v>112.215</v>
      </c>
      <c r="B628" s="22"/>
      <c r="C628" s="22">
        <v>506</v>
      </c>
      <c r="D628" s="26"/>
      <c r="H628" s="11" t="str">
        <f t="shared" si="23"/>
        <v>2nd Pay Period ending 22/11/2022</v>
      </c>
      <c r="M628" s="22">
        <v>18996</v>
      </c>
      <c r="T628" s="35">
        <f t="shared" si="24"/>
        <v>0</v>
      </c>
    </row>
    <row r="629" spans="1:20" ht="12.75" customHeight="1" x14ac:dyDescent="0.25">
      <c r="A629" s="86">
        <v>112.215</v>
      </c>
      <c r="B629" s="22"/>
      <c r="C629" s="22">
        <v>620</v>
      </c>
      <c r="D629" s="26"/>
      <c r="H629" s="11" t="str">
        <f t="shared" si="23"/>
        <v>2nd Pay Period ending 22/11/2022</v>
      </c>
      <c r="M629" s="22">
        <v>18823</v>
      </c>
      <c r="T629" s="35">
        <f t="shared" si="24"/>
        <v>0</v>
      </c>
    </row>
    <row r="630" spans="1:20" ht="12.75" customHeight="1" x14ac:dyDescent="0.25">
      <c r="A630" s="86">
        <v>112.215</v>
      </c>
      <c r="B630" s="22"/>
      <c r="C630" s="22">
        <v>148</v>
      </c>
      <c r="D630" s="26"/>
      <c r="H630" s="11" t="str">
        <f t="shared" si="23"/>
        <v>2nd Pay Period ending 22/11/2022</v>
      </c>
      <c r="M630" s="22">
        <v>18634</v>
      </c>
      <c r="T630" s="35">
        <f t="shared" si="24"/>
        <v>0</v>
      </c>
    </row>
    <row r="631" spans="1:20" ht="12.75" customHeight="1" x14ac:dyDescent="0.25">
      <c r="A631" s="86">
        <v>112.215</v>
      </c>
      <c r="B631" s="22"/>
      <c r="C631" s="22">
        <v>416</v>
      </c>
      <c r="D631" s="26"/>
      <c r="H631" s="11" t="str">
        <f t="shared" si="23"/>
        <v>2nd Pay Period ending 22/11/2022</v>
      </c>
      <c r="M631" s="22">
        <v>18927</v>
      </c>
      <c r="T631" s="35">
        <f t="shared" si="24"/>
        <v>0</v>
      </c>
    </row>
    <row r="632" spans="1:20" ht="12.75" customHeight="1" x14ac:dyDescent="0.25">
      <c r="A632" s="86">
        <v>112.215</v>
      </c>
      <c r="B632" s="22"/>
      <c r="C632" s="22">
        <v>644</v>
      </c>
      <c r="D632" s="26"/>
      <c r="H632" s="11" t="str">
        <f t="shared" si="23"/>
        <v>2nd Pay Period ending 22/11/2022</v>
      </c>
      <c r="M632" s="22">
        <v>261</v>
      </c>
      <c r="T632" s="35">
        <f t="shared" si="24"/>
        <v>0</v>
      </c>
    </row>
    <row r="633" spans="1:20" ht="12.75" customHeight="1" x14ac:dyDescent="0.25">
      <c r="A633" s="86">
        <v>112.215</v>
      </c>
      <c r="B633" s="22"/>
      <c r="C633" s="22">
        <v>248</v>
      </c>
      <c r="D633" s="26"/>
      <c r="H633" s="11" t="str">
        <f t="shared" si="23"/>
        <v>2nd Pay Period ending 22/11/2022</v>
      </c>
      <c r="M633" s="22">
        <v>18895</v>
      </c>
      <c r="T633" s="35">
        <f t="shared" si="24"/>
        <v>0</v>
      </c>
    </row>
    <row r="634" spans="1:20" ht="12.75" customHeight="1" x14ac:dyDescent="0.25">
      <c r="A634" s="86">
        <v>112.215</v>
      </c>
      <c r="B634" s="22"/>
      <c r="C634" s="22">
        <v>410</v>
      </c>
      <c r="D634" s="26"/>
      <c r="H634" s="11" t="str">
        <f t="shared" si="23"/>
        <v>2nd Pay Period ending 22/11/2022</v>
      </c>
      <c r="M634" s="22">
        <v>18898</v>
      </c>
      <c r="T634" s="35">
        <f t="shared" si="24"/>
        <v>0</v>
      </c>
    </row>
    <row r="635" spans="1:20" ht="12.75" customHeight="1" x14ac:dyDescent="0.25">
      <c r="A635" s="86">
        <v>112.215</v>
      </c>
      <c r="B635" s="22"/>
      <c r="C635" s="22">
        <v>428</v>
      </c>
      <c r="D635" s="26"/>
      <c r="H635" s="11" t="str">
        <f t="shared" si="23"/>
        <v>2nd Pay Period ending 22/11/2022</v>
      </c>
      <c r="M635" s="22">
        <v>18791</v>
      </c>
      <c r="T635" s="35">
        <f t="shared" si="24"/>
        <v>0</v>
      </c>
    </row>
    <row r="636" spans="1:20" ht="12.75" customHeight="1" x14ac:dyDescent="0.25">
      <c r="A636" s="86">
        <v>112.215</v>
      </c>
      <c r="B636" s="22"/>
      <c r="C636" s="22">
        <v>276</v>
      </c>
      <c r="D636" s="26"/>
      <c r="H636" s="11" t="str">
        <f t="shared" si="23"/>
        <v>2nd Pay Period ending 22/11/2022</v>
      </c>
      <c r="M636" s="22">
        <v>18953</v>
      </c>
      <c r="T636" s="35">
        <f t="shared" si="24"/>
        <v>0</v>
      </c>
    </row>
    <row r="637" spans="1:20" ht="12.75" customHeight="1" x14ac:dyDescent="0.25">
      <c r="A637" s="86">
        <v>112.215</v>
      </c>
      <c r="B637" s="22"/>
      <c r="C637" s="22">
        <v>606</v>
      </c>
      <c r="D637" s="26"/>
      <c r="H637" s="11" t="str">
        <f t="shared" si="23"/>
        <v>2nd Pay Period ending 22/11/2022</v>
      </c>
      <c r="M637" s="22">
        <v>18561</v>
      </c>
      <c r="T637" s="35">
        <f t="shared" si="24"/>
        <v>0</v>
      </c>
    </row>
    <row r="638" spans="1:20" ht="12.75" customHeight="1" x14ac:dyDescent="0.25">
      <c r="A638" s="86">
        <v>112.215</v>
      </c>
      <c r="B638" s="22"/>
      <c r="C638" s="22">
        <v>326</v>
      </c>
      <c r="D638" s="26"/>
      <c r="H638" s="11" t="str">
        <f t="shared" si="23"/>
        <v>2nd Pay Period ending 22/11/2022</v>
      </c>
      <c r="M638" s="22">
        <v>18792</v>
      </c>
      <c r="T638" s="35">
        <f t="shared" si="24"/>
        <v>0</v>
      </c>
    </row>
    <row r="639" spans="1:20" ht="12.75" customHeight="1" x14ac:dyDescent="0.25">
      <c r="A639" s="86">
        <v>112.215</v>
      </c>
      <c r="B639" s="22"/>
      <c r="C639" s="22">
        <v>6</v>
      </c>
      <c r="D639" s="26"/>
      <c r="H639" s="11" t="str">
        <f t="shared" si="23"/>
        <v>2nd Pay Period ending 22/11/2022</v>
      </c>
      <c r="M639" s="22">
        <v>18506</v>
      </c>
      <c r="T639" s="35">
        <f t="shared" si="24"/>
        <v>0</v>
      </c>
    </row>
    <row r="640" spans="1:20" ht="12.75" customHeight="1" x14ac:dyDescent="0.25">
      <c r="A640" s="86">
        <v>112.215</v>
      </c>
      <c r="B640" s="22"/>
      <c r="C640" s="22">
        <v>54</v>
      </c>
      <c r="D640" s="26"/>
      <c r="H640" s="11" t="str">
        <f t="shared" si="23"/>
        <v>2nd Pay Period ending 22/11/2022</v>
      </c>
      <c r="M640" s="22">
        <v>19037</v>
      </c>
      <c r="T640" s="35">
        <f t="shared" si="24"/>
        <v>0</v>
      </c>
    </row>
    <row r="641" spans="1:20" ht="12.75" customHeight="1" x14ac:dyDescent="0.25">
      <c r="A641" s="86">
        <v>112.215</v>
      </c>
      <c r="B641" s="22"/>
      <c r="C641" s="22">
        <v>1082</v>
      </c>
      <c r="D641" s="26"/>
      <c r="H641" s="11" t="str">
        <f t="shared" si="23"/>
        <v>2nd Pay Period ending 22/11/2022</v>
      </c>
      <c r="M641" s="22">
        <v>18876</v>
      </c>
      <c r="T641" s="35">
        <f t="shared" si="24"/>
        <v>0</v>
      </c>
    </row>
    <row r="642" spans="1:20" ht="12.75" customHeight="1" x14ac:dyDescent="0.25">
      <c r="A642" s="86" t="s">
        <v>206</v>
      </c>
      <c r="B642" s="22"/>
      <c r="C642" s="22">
        <v>5175.6899999999996</v>
      </c>
      <c r="D642" s="26"/>
      <c r="H642" s="11" t="str">
        <f t="shared" si="23"/>
        <v>2nd Pay Period ending 22/11/2022</v>
      </c>
      <c r="M642" s="22">
        <v>18726</v>
      </c>
      <c r="T642" s="35">
        <f t="shared" si="24"/>
        <v>0</v>
      </c>
    </row>
    <row r="643" spans="1:20" ht="12.75" customHeight="1" x14ac:dyDescent="0.25">
      <c r="A643" s="86" t="s">
        <v>206</v>
      </c>
      <c r="B643" s="22"/>
      <c r="C643" s="22">
        <v>3997.39</v>
      </c>
      <c r="D643" s="26"/>
      <c r="H643" s="11" t="str">
        <f t="shared" ref="H643:H706" si="25">$K$1</f>
        <v>2nd Pay Period ending 22/11/2022</v>
      </c>
      <c r="M643" s="22">
        <v>18517</v>
      </c>
      <c r="T643" s="35">
        <f t="shared" si="24"/>
        <v>0</v>
      </c>
    </row>
    <row r="644" spans="1:20" ht="12.75" customHeight="1" x14ac:dyDescent="0.25">
      <c r="A644" s="86" t="s">
        <v>206</v>
      </c>
      <c r="B644" s="22"/>
      <c r="C644" s="22">
        <v>3136.78</v>
      </c>
      <c r="D644" s="26"/>
      <c r="H644" s="11" t="str">
        <f t="shared" si="25"/>
        <v>2nd Pay Period ending 22/11/2022</v>
      </c>
      <c r="M644" s="22">
        <v>18871</v>
      </c>
      <c r="T644" s="35">
        <f t="shared" ref="T644:T707" si="26">B644/10*$V$1</f>
        <v>0</v>
      </c>
    </row>
    <row r="645" spans="1:20" ht="12.75" customHeight="1" x14ac:dyDescent="0.25">
      <c r="A645" s="86" t="s">
        <v>206</v>
      </c>
      <c r="B645" s="22"/>
      <c r="C645" s="22">
        <v>3095.12</v>
      </c>
      <c r="D645" s="26"/>
      <c r="H645" s="11" t="str">
        <f t="shared" si="25"/>
        <v>2nd Pay Period ending 22/11/2022</v>
      </c>
      <c r="M645" s="22">
        <v>18647</v>
      </c>
      <c r="T645" s="35">
        <f t="shared" si="26"/>
        <v>0</v>
      </c>
    </row>
    <row r="646" spans="1:20" ht="12.75" customHeight="1" x14ac:dyDescent="0.25">
      <c r="A646" s="86" t="s">
        <v>206</v>
      </c>
      <c r="B646" s="22"/>
      <c r="C646" s="22">
        <v>2884.15</v>
      </c>
      <c r="D646" s="26"/>
      <c r="H646" s="11" t="str">
        <f t="shared" si="25"/>
        <v>2nd Pay Period ending 22/11/2022</v>
      </c>
      <c r="M646" s="22">
        <v>152</v>
      </c>
      <c r="T646" s="35">
        <f t="shared" si="26"/>
        <v>0</v>
      </c>
    </row>
    <row r="647" spans="1:20" ht="12.75" customHeight="1" x14ac:dyDescent="0.25">
      <c r="A647" s="86" t="s">
        <v>206</v>
      </c>
      <c r="B647" s="22"/>
      <c r="C647" s="22">
        <v>633.14</v>
      </c>
      <c r="D647" s="26"/>
      <c r="H647" s="11" t="str">
        <f t="shared" si="25"/>
        <v>2nd Pay Period ending 22/11/2022</v>
      </c>
      <c r="M647" s="22">
        <v>18736</v>
      </c>
      <c r="T647" s="35">
        <f t="shared" si="26"/>
        <v>0</v>
      </c>
    </row>
    <row r="648" spans="1:20" ht="12.75" customHeight="1" x14ac:dyDescent="0.25">
      <c r="A648" s="86" t="s">
        <v>206</v>
      </c>
      <c r="B648" s="22"/>
      <c r="C648" s="22">
        <v>1926</v>
      </c>
      <c r="D648" s="26"/>
      <c r="H648" s="11" t="str">
        <f t="shared" si="25"/>
        <v>2nd Pay Period ending 22/11/2022</v>
      </c>
      <c r="M648" s="22">
        <v>19014</v>
      </c>
      <c r="T648" s="35">
        <f t="shared" si="26"/>
        <v>0</v>
      </c>
    </row>
    <row r="649" spans="1:20" ht="12.75" customHeight="1" x14ac:dyDescent="0.25">
      <c r="A649" s="86" t="s">
        <v>206</v>
      </c>
      <c r="B649" s="22"/>
      <c r="C649" s="22">
        <v>1750.42</v>
      </c>
      <c r="D649" s="26"/>
      <c r="H649" s="11" t="str">
        <f t="shared" si="25"/>
        <v>2nd Pay Period ending 22/11/2022</v>
      </c>
      <c r="M649" s="22">
        <v>18946</v>
      </c>
      <c r="T649" s="35">
        <f t="shared" si="26"/>
        <v>0</v>
      </c>
    </row>
    <row r="650" spans="1:20" ht="12.75" customHeight="1" x14ac:dyDescent="0.25">
      <c r="A650" s="86" t="s">
        <v>206</v>
      </c>
      <c r="B650" s="22"/>
      <c r="C650" s="22">
        <v>1877.69</v>
      </c>
      <c r="D650" s="26"/>
      <c r="H650" s="11" t="str">
        <f t="shared" si="25"/>
        <v>2nd Pay Period ending 22/11/2022</v>
      </c>
      <c r="M650" s="22">
        <v>18995</v>
      </c>
      <c r="T650" s="35">
        <f t="shared" si="26"/>
        <v>0</v>
      </c>
    </row>
    <row r="651" spans="1:20" ht="12.75" customHeight="1" x14ac:dyDescent="0.25">
      <c r="A651" s="86" t="s">
        <v>206</v>
      </c>
      <c r="B651" s="22"/>
      <c r="C651" s="22">
        <v>2380.9299999999998</v>
      </c>
      <c r="D651" s="26"/>
      <c r="H651" s="11" t="str">
        <f t="shared" si="25"/>
        <v>2nd Pay Period ending 22/11/2022</v>
      </c>
      <c r="M651" s="22">
        <v>18987</v>
      </c>
      <c r="T651" s="35">
        <f t="shared" si="26"/>
        <v>0</v>
      </c>
    </row>
    <row r="652" spans="1:20" ht="12.75" customHeight="1" x14ac:dyDescent="0.25">
      <c r="A652" s="86" t="s">
        <v>206</v>
      </c>
      <c r="B652" s="22"/>
      <c r="C652" s="22">
        <v>2203.6999999999998</v>
      </c>
      <c r="D652" s="26"/>
      <c r="H652" s="11" t="str">
        <f t="shared" si="25"/>
        <v>2nd Pay Period ending 22/11/2022</v>
      </c>
      <c r="M652" s="22">
        <v>18721</v>
      </c>
      <c r="T652" s="35">
        <f t="shared" si="26"/>
        <v>0</v>
      </c>
    </row>
    <row r="653" spans="1:20" ht="12.75" customHeight="1" x14ac:dyDescent="0.25">
      <c r="A653" s="86" t="s">
        <v>206</v>
      </c>
      <c r="B653" s="22"/>
      <c r="C653" s="22">
        <v>3905.54</v>
      </c>
      <c r="D653" s="26"/>
      <c r="H653" s="11" t="str">
        <f t="shared" si="25"/>
        <v>2nd Pay Period ending 22/11/2022</v>
      </c>
      <c r="M653" s="22">
        <v>18920</v>
      </c>
      <c r="T653" s="35">
        <f t="shared" si="26"/>
        <v>0</v>
      </c>
    </row>
    <row r="654" spans="1:20" ht="12.75" customHeight="1" x14ac:dyDescent="0.25">
      <c r="A654" s="86" t="s">
        <v>206</v>
      </c>
      <c r="B654" s="22"/>
      <c r="C654" s="22">
        <v>2128.31</v>
      </c>
      <c r="D654" s="26"/>
      <c r="H654" s="11" t="str">
        <f t="shared" si="25"/>
        <v>2nd Pay Period ending 22/11/2022</v>
      </c>
      <c r="M654" s="22">
        <v>18988</v>
      </c>
      <c r="T654" s="35">
        <f t="shared" si="26"/>
        <v>0</v>
      </c>
    </row>
    <row r="655" spans="1:20" ht="12.75" customHeight="1" x14ac:dyDescent="0.25">
      <c r="A655" s="86" t="s">
        <v>206</v>
      </c>
      <c r="B655" s="22"/>
      <c r="C655" s="22">
        <v>2373.1</v>
      </c>
      <c r="D655" s="26"/>
      <c r="H655" s="11" t="str">
        <f t="shared" si="25"/>
        <v>2nd Pay Period ending 22/11/2022</v>
      </c>
      <c r="M655" s="22">
        <v>220</v>
      </c>
      <c r="T655" s="35">
        <f t="shared" si="26"/>
        <v>0</v>
      </c>
    </row>
    <row r="656" spans="1:20" ht="12.75" customHeight="1" x14ac:dyDescent="0.25">
      <c r="A656" s="86" t="s">
        <v>206</v>
      </c>
      <c r="B656" s="22"/>
      <c r="C656" s="22">
        <v>4278.93</v>
      </c>
      <c r="D656" s="26"/>
      <c r="H656" s="11" t="str">
        <f t="shared" si="25"/>
        <v>2nd Pay Period ending 22/11/2022</v>
      </c>
      <c r="M656" s="22">
        <v>18716</v>
      </c>
      <c r="T656" s="35">
        <f t="shared" si="26"/>
        <v>0</v>
      </c>
    </row>
    <row r="657" spans="1:20" ht="12.75" customHeight="1" x14ac:dyDescent="0.25">
      <c r="A657" s="66" t="s">
        <v>206</v>
      </c>
      <c r="B657" s="22"/>
      <c r="C657" s="22">
        <v>2531.6999999999998</v>
      </c>
      <c r="D657" s="26"/>
      <c r="H657" s="11" t="str">
        <f t="shared" si="25"/>
        <v>2nd Pay Period ending 22/11/2022</v>
      </c>
      <c r="M657" s="22">
        <v>18948</v>
      </c>
      <c r="T657" s="35">
        <f t="shared" si="26"/>
        <v>0</v>
      </c>
    </row>
    <row r="658" spans="1:20" ht="12.75" customHeight="1" x14ac:dyDescent="0.25">
      <c r="A658" s="66" t="s">
        <v>206</v>
      </c>
      <c r="B658" s="22"/>
      <c r="C658" s="22">
        <v>2021.85</v>
      </c>
      <c r="D658" s="26"/>
      <c r="H658" s="11" t="str">
        <f t="shared" si="25"/>
        <v>2nd Pay Period ending 22/11/2022</v>
      </c>
      <c r="M658" s="22">
        <v>18862</v>
      </c>
      <c r="T658" s="35">
        <f t="shared" si="26"/>
        <v>0</v>
      </c>
    </row>
    <row r="659" spans="1:20" ht="12.75" customHeight="1" x14ac:dyDescent="0.25">
      <c r="A659" s="66" t="s">
        <v>206</v>
      </c>
      <c r="B659" s="22"/>
      <c r="C659" s="22">
        <v>4033.85</v>
      </c>
      <c r="D659" s="26"/>
      <c r="H659" s="11" t="str">
        <f t="shared" si="25"/>
        <v>2nd Pay Period ending 22/11/2022</v>
      </c>
      <c r="M659" s="22">
        <v>18969</v>
      </c>
      <c r="T659" s="35">
        <f t="shared" si="26"/>
        <v>0</v>
      </c>
    </row>
    <row r="660" spans="1:20" ht="12.75" customHeight="1" x14ac:dyDescent="0.25">
      <c r="A660" s="66" t="s">
        <v>206</v>
      </c>
      <c r="B660" s="22"/>
      <c r="C660" s="22">
        <v>6148.2</v>
      </c>
      <c r="D660" s="26"/>
      <c r="H660" s="11" t="str">
        <f t="shared" si="25"/>
        <v>2nd Pay Period ending 22/11/2022</v>
      </c>
      <c r="M660" s="22">
        <v>18886</v>
      </c>
      <c r="T660" s="35">
        <f t="shared" si="26"/>
        <v>0</v>
      </c>
    </row>
    <row r="661" spans="1:20" ht="12.75" customHeight="1" x14ac:dyDescent="0.25">
      <c r="A661" s="66" t="s">
        <v>206</v>
      </c>
      <c r="B661" s="22"/>
      <c r="C661" s="22">
        <v>4915.3900000000003</v>
      </c>
      <c r="D661" s="26"/>
      <c r="H661" s="11" t="str">
        <f t="shared" si="25"/>
        <v>2nd Pay Period ending 22/11/2022</v>
      </c>
      <c r="M661" s="22">
        <v>18853</v>
      </c>
      <c r="T661" s="35">
        <f t="shared" si="26"/>
        <v>0</v>
      </c>
    </row>
    <row r="662" spans="1:20" ht="12.75" customHeight="1" x14ac:dyDescent="0.25">
      <c r="A662" s="66" t="s">
        <v>206</v>
      </c>
      <c r="B662" s="22"/>
      <c r="C662" s="22">
        <v>1766.31</v>
      </c>
      <c r="D662" s="26"/>
      <c r="H662" s="11" t="str">
        <f t="shared" si="25"/>
        <v>2nd Pay Period ending 22/11/2022</v>
      </c>
      <c r="M662" s="22">
        <v>18968</v>
      </c>
      <c r="T662" s="35">
        <f t="shared" si="26"/>
        <v>0</v>
      </c>
    </row>
    <row r="663" spans="1:20" ht="12.75" customHeight="1" x14ac:dyDescent="0.25">
      <c r="A663" s="66" t="s">
        <v>206</v>
      </c>
      <c r="B663" s="22"/>
      <c r="C663" s="22">
        <v>1557.85</v>
      </c>
      <c r="D663" s="26"/>
      <c r="H663" s="11" t="str">
        <f t="shared" si="25"/>
        <v>2nd Pay Period ending 22/11/2022</v>
      </c>
      <c r="M663" s="22">
        <v>18550</v>
      </c>
      <c r="T663" s="35">
        <f t="shared" si="26"/>
        <v>0</v>
      </c>
    </row>
    <row r="664" spans="1:20" ht="12.75" customHeight="1" x14ac:dyDescent="0.25">
      <c r="A664" s="66" t="s">
        <v>206</v>
      </c>
      <c r="B664" s="22"/>
      <c r="C664" s="22">
        <v>1516.54</v>
      </c>
      <c r="D664" s="26"/>
      <c r="H664" s="11" t="str">
        <f t="shared" si="25"/>
        <v>2nd Pay Period ending 22/11/2022</v>
      </c>
      <c r="M664" s="22">
        <v>19022</v>
      </c>
      <c r="T664" s="35">
        <f t="shared" si="26"/>
        <v>0</v>
      </c>
    </row>
    <row r="665" spans="1:20" ht="12.75" customHeight="1" x14ac:dyDescent="0.25">
      <c r="A665" s="66" t="s">
        <v>206</v>
      </c>
      <c r="B665" s="22"/>
      <c r="C665" s="22">
        <v>2507.23</v>
      </c>
      <c r="D665" s="26"/>
      <c r="H665" s="11" t="str">
        <f t="shared" si="25"/>
        <v>2nd Pay Period ending 22/11/2022</v>
      </c>
      <c r="M665" s="22">
        <v>18741</v>
      </c>
      <c r="T665" s="35">
        <f t="shared" si="26"/>
        <v>0</v>
      </c>
    </row>
    <row r="666" spans="1:20" ht="12.75" customHeight="1" x14ac:dyDescent="0.25">
      <c r="A666" s="66" t="s">
        <v>206</v>
      </c>
      <c r="B666" s="22"/>
      <c r="C666" s="22">
        <v>2405.38</v>
      </c>
      <c r="D666" s="26"/>
      <c r="H666" s="11" t="str">
        <f t="shared" si="25"/>
        <v>2nd Pay Period ending 22/11/2022</v>
      </c>
      <c r="M666" s="22">
        <v>19003</v>
      </c>
      <c r="T666" s="35">
        <f t="shared" si="26"/>
        <v>0</v>
      </c>
    </row>
    <row r="667" spans="1:20" ht="12.75" customHeight="1" x14ac:dyDescent="0.25">
      <c r="A667" s="66" t="s">
        <v>206</v>
      </c>
      <c r="B667" s="22"/>
      <c r="C667" s="22">
        <v>2002</v>
      </c>
      <c r="D667" s="26"/>
      <c r="H667" s="11" t="str">
        <f t="shared" si="25"/>
        <v>2nd Pay Period ending 22/11/2022</v>
      </c>
      <c r="M667" s="22">
        <v>19025</v>
      </c>
      <c r="T667" s="35">
        <f t="shared" si="26"/>
        <v>0</v>
      </c>
    </row>
    <row r="668" spans="1:20" ht="12.75" customHeight="1" x14ac:dyDescent="0.25">
      <c r="A668" s="66" t="s">
        <v>206</v>
      </c>
      <c r="B668" s="22"/>
      <c r="C668" s="22">
        <v>2024.62</v>
      </c>
      <c r="D668" s="26"/>
      <c r="H668" s="11" t="str">
        <f t="shared" si="25"/>
        <v>2nd Pay Period ending 22/11/2022</v>
      </c>
      <c r="M668" s="22">
        <v>18619</v>
      </c>
      <c r="T668" s="35">
        <f t="shared" si="26"/>
        <v>0</v>
      </c>
    </row>
    <row r="669" spans="1:20" ht="12.75" customHeight="1" x14ac:dyDescent="0.25">
      <c r="A669" s="66" t="s">
        <v>206</v>
      </c>
      <c r="B669" s="22"/>
      <c r="C669" s="22">
        <v>1953.7</v>
      </c>
      <c r="D669" s="26"/>
      <c r="H669" s="11" t="str">
        <f t="shared" si="25"/>
        <v>2nd Pay Period ending 22/11/2022</v>
      </c>
      <c r="M669" s="22">
        <v>18836</v>
      </c>
      <c r="T669" s="35">
        <f t="shared" si="26"/>
        <v>0</v>
      </c>
    </row>
    <row r="670" spans="1:20" ht="12.75" customHeight="1" x14ac:dyDescent="0.25">
      <c r="A670" s="66" t="s">
        <v>206</v>
      </c>
      <c r="B670" s="22"/>
      <c r="C670" s="22">
        <v>1127.06</v>
      </c>
      <c r="D670" s="26"/>
      <c r="H670" s="11" t="str">
        <f t="shared" si="25"/>
        <v>2nd Pay Period ending 22/11/2022</v>
      </c>
      <c r="M670" s="22">
        <v>19040</v>
      </c>
      <c r="T670" s="35">
        <f t="shared" si="26"/>
        <v>0</v>
      </c>
    </row>
    <row r="671" spans="1:20" ht="12.75" customHeight="1" x14ac:dyDescent="0.25">
      <c r="A671" s="66" t="s">
        <v>206</v>
      </c>
      <c r="B671" s="22"/>
      <c r="C671" s="22">
        <v>1139.23</v>
      </c>
      <c r="D671" s="26"/>
      <c r="H671" s="11" t="str">
        <f t="shared" si="25"/>
        <v>2nd Pay Period ending 22/11/2022</v>
      </c>
      <c r="M671" s="22">
        <v>18893</v>
      </c>
      <c r="T671" s="35">
        <f t="shared" si="26"/>
        <v>0</v>
      </c>
    </row>
    <row r="672" spans="1:20" ht="12.75" customHeight="1" x14ac:dyDescent="0.25">
      <c r="A672" s="66" t="s">
        <v>206</v>
      </c>
      <c r="B672" s="22"/>
      <c r="C672" s="22">
        <v>1294.28</v>
      </c>
      <c r="D672" s="26"/>
      <c r="H672" s="11" t="str">
        <f t="shared" si="25"/>
        <v>2nd Pay Period ending 22/11/2022</v>
      </c>
      <c r="M672" s="22">
        <v>18903</v>
      </c>
      <c r="T672" s="35">
        <f t="shared" si="26"/>
        <v>0</v>
      </c>
    </row>
    <row r="673" spans="1:20" ht="12.75" customHeight="1" x14ac:dyDescent="0.25">
      <c r="A673" s="66" t="s">
        <v>206</v>
      </c>
      <c r="B673" s="22"/>
      <c r="C673" s="22">
        <v>2273.75</v>
      </c>
      <c r="D673" s="26"/>
      <c r="H673" s="11" t="str">
        <f t="shared" si="25"/>
        <v>2nd Pay Period ending 22/11/2022</v>
      </c>
      <c r="M673" s="22">
        <v>18866</v>
      </c>
      <c r="T673" s="35">
        <f t="shared" si="26"/>
        <v>0</v>
      </c>
    </row>
    <row r="674" spans="1:20" ht="12.75" customHeight="1" x14ac:dyDescent="0.25">
      <c r="A674" s="66" t="s">
        <v>206</v>
      </c>
      <c r="B674" s="22"/>
      <c r="C674" s="22">
        <v>1117.9000000000001</v>
      </c>
      <c r="D674" s="26"/>
      <c r="H674" s="11" t="str">
        <f t="shared" si="25"/>
        <v>2nd Pay Period ending 22/11/2022</v>
      </c>
      <c r="M674" s="22">
        <v>18831</v>
      </c>
      <c r="T674" s="35">
        <f t="shared" si="26"/>
        <v>0</v>
      </c>
    </row>
    <row r="675" spans="1:20" ht="12.75" customHeight="1" x14ac:dyDescent="0.25">
      <c r="A675" s="66" t="s">
        <v>206</v>
      </c>
      <c r="B675" s="22"/>
      <c r="C675" s="22">
        <v>1333.99</v>
      </c>
      <c r="D675" s="26"/>
      <c r="H675" s="11" t="str">
        <f t="shared" si="25"/>
        <v>2nd Pay Period ending 22/11/2022</v>
      </c>
      <c r="M675" s="22">
        <v>18891</v>
      </c>
      <c r="T675" s="35">
        <f t="shared" si="26"/>
        <v>0</v>
      </c>
    </row>
    <row r="676" spans="1:20" ht="12.75" customHeight="1" x14ac:dyDescent="0.25">
      <c r="A676" s="66" t="s">
        <v>206</v>
      </c>
      <c r="B676" s="22"/>
      <c r="C676" s="22">
        <v>1888.22</v>
      </c>
      <c r="D676" s="26"/>
      <c r="H676" s="11" t="str">
        <f t="shared" si="25"/>
        <v>2nd Pay Period ending 22/11/2022</v>
      </c>
      <c r="M676" s="22">
        <v>18589</v>
      </c>
      <c r="T676" s="35">
        <f t="shared" si="26"/>
        <v>0</v>
      </c>
    </row>
    <row r="677" spans="1:20" ht="12.75" customHeight="1" x14ac:dyDescent="0.25">
      <c r="A677" s="66" t="s">
        <v>206</v>
      </c>
      <c r="B677" s="22"/>
      <c r="C677" s="22">
        <v>1551.38</v>
      </c>
      <c r="D677" s="26"/>
      <c r="H677" s="11" t="str">
        <f t="shared" si="25"/>
        <v>2nd Pay Period ending 22/11/2022</v>
      </c>
      <c r="M677" s="22">
        <v>18957</v>
      </c>
      <c r="T677" s="35">
        <f t="shared" si="26"/>
        <v>0</v>
      </c>
    </row>
    <row r="678" spans="1:20" ht="12.75" customHeight="1" x14ac:dyDescent="0.25">
      <c r="A678" s="66" t="s">
        <v>206</v>
      </c>
      <c r="B678" s="22"/>
      <c r="C678" s="22">
        <v>2380.92</v>
      </c>
      <c r="D678" s="26"/>
      <c r="H678" s="11" t="str">
        <f t="shared" si="25"/>
        <v>2nd Pay Period ending 22/11/2022</v>
      </c>
      <c r="M678" s="22">
        <v>18954</v>
      </c>
      <c r="T678" s="35">
        <f t="shared" si="26"/>
        <v>0</v>
      </c>
    </row>
    <row r="679" spans="1:20" ht="12.75" customHeight="1" x14ac:dyDescent="0.25">
      <c r="A679" s="66" t="s">
        <v>206</v>
      </c>
      <c r="B679" s="22"/>
      <c r="C679" s="22">
        <v>1005.24</v>
      </c>
      <c r="D679" s="26"/>
      <c r="H679" s="11" t="str">
        <f t="shared" si="25"/>
        <v>2nd Pay Period ending 22/11/2022</v>
      </c>
      <c r="M679" s="22">
        <v>18</v>
      </c>
      <c r="T679" s="35">
        <f t="shared" si="26"/>
        <v>0</v>
      </c>
    </row>
    <row r="680" spans="1:20" ht="12.75" customHeight="1" x14ac:dyDescent="0.25">
      <c r="A680" s="66" t="s">
        <v>206</v>
      </c>
      <c r="B680" s="22"/>
      <c r="C680" s="22">
        <v>1039.07</v>
      </c>
      <c r="D680" s="26"/>
      <c r="H680" s="11" t="str">
        <f t="shared" si="25"/>
        <v>2nd Pay Period ending 22/11/2022</v>
      </c>
      <c r="M680" s="22">
        <v>18631</v>
      </c>
      <c r="T680" s="35">
        <f t="shared" si="26"/>
        <v>0</v>
      </c>
    </row>
    <row r="681" spans="1:20" ht="12.75" customHeight="1" x14ac:dyDescent="0.25">
      <c r="A681" s="66" t="s">
        <v>206</v>
      </c>
      <c r="B681" s="22"/>
      <c r="C681" s="22">
        <v>2159.98</v>
      </c>
      <c r="D681" s="26"/>
      <c r="H681" s="11" t="str">
        <f t="shared" si="25"/>
        <v>2nd Pay Period ending 22/11/2022</v>
      </c>
      <c r="M681" s="22">
        <v>18879</v>
      </c>
      <c r="T681" s="35">
        <f t="shared" si="26"/>
        <v>0</v>
      </c>
    </row>
    <row r="682" spans="1:20" ht="12.75" customHeight="1" x14ac:dyDescent="0.25">
      <c r="A682" s="66" t="s">
        <v>206</v>
      </c>
      <c r="B682" s="22"/>
      <c r="C682" s="22">
        <v>2456.69</v>
      </c>
      <c r="D682" s="26"/>
      <c r="H682" s="11" t="str">
        <f t="shared" si="25"/>
        <v>2nd Pay Period ending 22/11/2022</v>
      </c>
      <c r="M682" s="22">
        <v>19013</v>
      </c>
      <c r="T682" s="35">
        <f t="shared" si="26"/>
        <v>0</v>
      </c>
    </row>
    <row r="683" spans="1:20" ht="12.75" customHeight="1" x14ac:dyDescent="0.25">
      <c r="A683" s="66" t="s">
        <v>206</v>
      </c>
      <c r="B683" s="22"/>
      <c r="C683" s="22">
        <v>1877.3</v>
      </c>
      <c r="D683" s="26"/>
      <c r="H683" s="11" t="str">
        <f t="shared" si="25"/>
        <v>2nd Pay Period ending 22/11/2022</v>
      </c>
      <c r="M683" s="22">
        <v>18630</v>
      </c>
      <c r="T683" s="35">
        <f t="shared" si="26"/>
        <v>0</v>
      </c>
    </row>
    <row r="684" spans="1:20" ht="12.75" customHeight="1" x14ac:dyDescent="0.25">
      <c r="A684" s="66" t="s">
        <v>206</v>
      </c>
      <c r="B684" s="22"/>
      <c r="C684" s="22">
        <v>1615.37</v>
      </c>
      <c r="D684" s="26"/>
      <c r="H684" s="11" t="str">
        <f t="shared" si="25"/>
        <v>2nd Pay Period ending 22/11/2022</v>
      </c>
      <c r="M684" s="22">
        <v>19033</v>
      </c>
      <c r="T684" s="35">
        <f t="shared" si="26"/>
        <v>0</v>
      </c>
    </row>
    <row r="685" spans="1:20" ht="12.75" customHeight="1" x14ac:dyDescent="0.25">
      <c r="A685" s="66" t="s">
        <v>206</v>
      </c>
      <c r="B685" s="22"/>
      <c r="C685" s="22">
        <v>1025.4100000000001</v>
      </c>
      <c r="D685" s="26"/>
      <c r="H685" s="11" t="str">
        <f t="shared" si="25"/>
        <v>2nd Pay Period ending 22/11/2022</v>
      </c>
      <c r="M685" s="22">
        <v>18894</v>
      </c>
      <c r="T685" s="35">
        <f t="shared" si="26"/>
        <v>0</v>
      </c>
    </row>
    <row r="686" spans="1:20" ht="12.75" customHeight="1" x14ac:dyDescent="0.25">
      <c r="A686" s="66" t="s">
        <v>206</v>
      </c>
      <c r="B686" s="22"/>
      <c r="C686" s="22">
        <v>3010.47</v>
      </c>
      <c r="D686" s="26"/>
      <c r="H686" s="11" t="str">
        <f t="shared" si="25"/>
        <v>2nd Pay Period ending 22/11/2022</v>
      </c>
      <c r="M686" s="22">
        <v>18559</v>
      </c>
      <c r="T686" s="35">
        <f t="shared" si="26"/>
        <v>0</v>
      </c>
    </row>
    <row r="687" spans="1:20" ht="12.75" customHeight="1" x14ac:dyDescent="0.25">
      <c r="A687" s="66" t="s">
        <v>206</v>
      </c>
      <c r="B687" s="22"/>
      <c r="C687" s="22">
        <v>1875.31</v>
      </c>
      <c r="D687" s="26"/>
      <c r="H687" s="11" t="str">
        <f t="shared" si="25"/>
        <v>2nd Pay Period ending 22/11/2022</v>
      </c>
      <c r="M687" s="22">
        <v>18659</v>
      </c>
      <c r="T687" s="35">
        <f t="shared" si="26"/>
        <v>0</v>
      </c>
    </row>
    <row r="688" spans="1:20" ht="12.75" customHeight="1" x14ac:dyDescent="0.25">
      <c r="A688" s="66" t="s">
        <v>206</v>
      </c>
      <c r="B688" s="22"/>
      <c r="C688" s="22">
        <v>1887.22</v>
      </c>
      <c r="D688" s="26"/>
      <c r="H688" s="11" t="str">
        <f t="shared" si="25"/>
        <v>2nd Pay Period ending 22/11/2022</v>
      </c>
      <c r="M688" s="22">
        <v>18733</v>
      </c>
      <c r="T688" s="35">
        <f t="shared" si="26"/>
        <v>0</v>
      </c>
    </row>
    <row r="689" spans="1:20" ht="12.75" customHeight="1" x14ac:dyDescent="0.25">
      <c r="A689" s="66" t="s">
        <v>206</v>
      </c>
      <c r="B689" s="22"/>
      <c r="C689" s="22">
        <v>2239.63</v>
      </c>
      <c r="D689" s="26"/>
      <c r="H689" s="11" t="str">
        <f t="shared" si="25"/>
        <v>2nd Pay Period ending 22/11/2022</v>
      </c>
      <c r="M689" s="22">
        <v>18911</v>
      </c>
      <c r="T689" s="35">
        <f t="shared" si="26"/>
        <v>0</v>
      </c>
    </row>
    <row r="690" spans="1:20" ht="12.75" customHeight="1" x14ac:dyDescent="0.25">
      <c r="A690" s="66" t="s">
        <v>206</v>
      </c>
      <c r="B690" s="22"/>
      <c r="C690" s="22">
        <v>945.29</v>
      </c>
      <c r="D690" s="26"/>
      <c r="H690" s="11" t="str">
        <f t="shared" si="25"/>
        <v>2nd Pay Period ending 22/11/2022</v>
      </c>
      <c r="M690" s="22">
        <v>18960</v>
      </c>
      <c r="T690" s="35">
        <f t="shared" si="26"/>
        <v>0</v>
      </c>
    </row>
    <row r="691" spans="1:20" ht="12.75" customHeight="1" x14ac:dyDescent="0.25">
      <c r="A691" s="66" t="s">
        <v>206</v>
      </c>
      <c r="B691" s="22"/>
      <c r="C691" s="22">
        <v>1999.99</v>
      </c>
      <c r="D691" s="26"/>
      <c r="H691" s="11" t="str">
        <f t="shared" si="25"/>
        <v>2nd Pay Period ending 22/11/2022</v>
      </c>
      <c r="M691" s="22">
        <v>18967</v>
      </c>
      <c r="T691" s="35">
        <f t="shared" si="26"/>
        <v>0</v>
      </c>
    </row>
    <row r="692" spans="1:20" ht="12.75" customHeight="1" x14ac:dyDescent="0.25">
      <c r="A692" s="66" t="s">
        <v>206</v>
      </c>
      <c r="B692" s="22"/>
      <c r="C692" s="22">
        <v>1792.53</v>
      </c>
      <c r="D692" s="26"/>
      <c r="H692" s="11" t="str">
        <f t="shared" si="25"/>
        <v>2nd Pay Period ending 22/11/2022</v>
      </c>
      <c r="M692" s="22">
        <v>18687</v>
      </c>
      <c r="T692" s="35">
        <f t="shared" si="26"/>
        <v>0</v>
      </c>
    </row>
    <row r="693" spans="1:20" ht="12.75" customHeight="1" x14ac:dyDescent="0.25">
      <c r="A693" s="66" t="s">
        <v>206</v>
      </c>
      <c r="B693" s="22"/>
      <c r="C693" s="22">
        <v>1734.66</v>
      </c>
      <c r="D693" s="26"/>
      <c r="H693" s="11" t="str">
        <f t="shared" si="25"/>
        <v>2nd Pay Period ending 22/11/2022</v>
      </c>
      <c r="M693" s="22">
        <v>18892</v>
      </c>
      <c r="T693" s="35">
        <f t="shared" si="26"/>
        <v>0</v>
      </c>
    </row>
    <row r="694" spans="1:20" ht="12.75" customHeight="1" x14ac:dyDescent="0.25">
      <c r="A694" s="66" t="s">
        <v>206</v>
      </c>
      <c r="B694" s="22"/>
      <c r="C694" s="22">
        <v>1652.88</v>
      </c>
      <c r="D694" s="26"/>
      <c r="H694" s="11" t="str">
        <f t="shared" si="25"/>
        <v>2nd Pay Period ending 22/11/2022</v>
      </c>
      <c r="M694" s="22">
        <v>18781</v>
      </c>
      <c r="T694" s="35">
        <f t="shared" si="26"/>
        <v>0</v>
      </c>
    </row>
    <row r="695" spans="1:20" ht="12.75" customHeight="1" x14ac:dyDescent="0.25">
      <c r="A695" s="66" t="s">
        <v>206</v>
      </c>
      <c r="B695" s="22"/>
      <c r="C695" s="22">
        <v>871.78</v>
      </c>
      <c r="D695" s="26"/>
      <c r="H695" s="11" t="str">
        <f t="shared" si="25"/>
        <v>2nd Pay Period ending 22/11/2022</v>
      </c>
      <c r="M695" s="22">
        <v>141</v>
      </c>
      <c r="T695" s="35">
        <f t="shared" si="26"/>
        <v>0</v>
      </c>
    </row>
    <row r="696" spans="1:20" ht="12.75" customHeight="1" x14ac:dyDescent="0.25">
      <c r="A696" s="66" t="s">
        <v>206</v>
      </c>
      <c r="B696" s="22"/>
      <c r="C696" s="22">
        <v>1621.54</v>
      </c>
      <c r="D696" s="26"/>
      <c r="H696" s="11" t="str">
        <f t="shared" si="25"/>
        <v>2nd Pay Period ending 22/11/2022</v>
      </c>
      <c r="M696" s="22">
        <v>145</v>
      </c>
      <c r="T696" s="35">
        <f t="shared" si="26"/>
        <v>0</v>
      </c>
    </row>
    <row r="697" spans="1:20" ht="12.75" customHeight="1" x14ac:dyDescent="0.25">
      <c r="A697" s="66" t="s">
        <v>206</v>
      </c>
      <c r="B697" s="22"/>
      <c r="C697" s="22">
        <v>1727.79</v>
      </c>
      <c r="D697" s="26"/>
      <c r="H697" s="11" t="str">
        <f t="shared" si="25"/>
        <v>2nd Pay Period ending 22/11/2022</v>
      </c>
      <c r="M697" s="22">
        <v>18961</v>
      </c>
      <c r="T697" s="35">
        <f t="shared" si="26"/>
        <v>0</v>
      </c>
    </row>
    <row r="698" spans="1:20" ht="12.75" customHeight="1" x14ac:dyDescent="0.25">
      <c r="A698" s="66" t="s">
        <v>206</v>
      </c>
      <c r="B698" s="22"/>
      <c r="C698" s="22">
        <v>1435.89</v>
      </c>
      <c r="D698" s="26"/>
      <c r="H698" s="11" t="str">
        <f t="shared" si="25"/>
        <v>2nd Pay Period ending 22/11/2022</v>
      </c>
      <c r="M698" s="22">
        <v>18973</v>
      </c>
      <c r="T698" s="35">
        <f t="shared" si="26"/>
        <v>0</v>
      </c>
    </row>
    <row r="699" spans="1:20" ht="12.75" customHeight="1" x14ac:dyDescent="0.25">
      <c r="A699" s="66" t="s">
        <v>206</v>
      </c>
      <c r="B699" s="22"/>
      <c r="C699" s="22">
        <v>1702.18</v>
      </c>
      <c r="D699" s="26"/>
      <c r="H699" s="11" t="str">
        <f t="shared" si="25"/>
        <v>2nd Pay Period ending 22/11/2022</v>
      </c>
      <c r="M699" s="22">
        <v>19041</v>
      </c>
      <c r="T699" s="35">
        <f t="shared" si="26"/>
        <v>0</v>
      </c>
    </row>
    <row r="700" spans="1:20" ht="12.75" customHeight="1" x14ac:dyDescent="0.25">
      <c r="A700" s="66" t="s">
        <v>206</v>
      </c>
      <c r="B700" s="22"/>
      <c r="C700" s="22">
        <v>238.52</v>
      </c>
      <c r="D700" s="26"/>
      <c r="H700" s="11" t="str">
        <f t="shared" si="25"/>
        <v>2nd Pay Period ending 22/11/2022</v>
      </c>
      <c r="M700" s="22">
        <v>19042</v>
      </c>
      <c r="T700" s="35">
        <f t="shared" si="26"/>
        <v>0</v>
      </c>
    </row>
    <row r="701" spans="1:20" ht="12.75" customHeight="1" x14ac:dyDescent="0.25">
      <c r="A701" s="66" t="s">
        <v>206</v>
      </c>
      <c r="B701" s="22"/>
      <c r="C701" s="22">
        <v>2284.23</v>
      </c>
      <c r="D701" s="26"/>
      <c r="H701" s="11" t="str">
        <f t="shared" si="25"/>
        <v>2nd Pay Period ending 22/11/2022</v>
      </c>
      <c r="M701" s="22">
        <v>18974</v>
      </c>
      <c r="T701" s="35">
        <f t="shared" si="26"/>
        <v>0</v>
      </c>
    </row>
    <row r="702" spans="1:20" ht="12.75" customHeight="1" x14ac:dyDescent="0.25">
      <c r="A702" s="66" t="s">
        <v>206</v>
      </c>
      <c r="B702" s="22"/>
      <c r="C702" s="22">
        <v>934.31</v>
      </c>
      <c r="D702" s="26"/>
      <c r="H702" s="11" t="str">
        <f t="shared" si="25"/>
        <v>2nd Pay Period ending 22/11/2022</v>
      </c>
      <c r="M702" s="22">
        <v>19026</v>
      </c>
      <c r="T702" s="35">
        <f t="shared" si="26"/>
        <v>0</v>
      </c>
    </row>
    <row r="703" spans="1:20" ht="12.75" customHeight="1" x14ac:dyDescent="0.25">
      <c r="A703" s="66" t="s">
        <v>206</v>
      </c>
      <c r="B703" s="22"/>
      <c r="C703" s="22">
        <v>1588.65</v>
      </c>
      <c r="D703" s="26"/>
      <c r="H703" s="11" t="str">
        <f t="shared" si="25"/>
        <v>2nd Pay Period ending 22/11/2022</v>
      </c>
      <c r="M703" s="22">
        <v>19035</v>
      </c>
      <c r="T703" s="35">
        <f t="shared" si="26"/>
        <v>0</v>
      </c>
    </row>
    <row r="704" spans="1:20" ht="12.75" customHeight="1" x14ac:dyDescent="0.25">
      <c r="A704" s="66" t="s">
        <v>206</v>
      </c>
      <c r="B704" s="22"/>
      <c r="C704" s="22">
        <v>1884.64</v>
      </c>
      <c r="D704" s="26"/>
      <c r="H704" s="11" t="str">
        <f t="shared" si="25"/>
        <v>2nd Pay Period ending 22/11/2022</v>
      </c>
      <c r="M704" s="22">
        <v>19006</v>
      </c>
      <c r="T704" s="35">
        <f t="shared" si="26"/>
        <v>0</v>
      </c>
    </row>
    <row r="705" spans="1:20" ht="12.75" customHeight="1" x14ac:dyDescent="0.25">
      <c r="A705" s="66" t="s">
        <v>206</v>
      </c>
      <c r="B705" s="22"/>
      <c r="C705" s="22">
        <v>1924.96</v>
      </c>
      <c r="D705" s="26"/>
      <c r="H705" s="11" t="str">
        <f t="shared" si="25"/>
        <v>2nd Pay Period ending 22/11/2022</v>
      </c>
      <c r="M705" s="22">
        <v>18999</v>
      </c>
      <c r="T705" s="35">
        <f t="shared" si="26"/>
        <v>0</v>
      </c>
    </row>
    <row r="706" spans="1:20" ht="12.75" customHeight="1" x14ac:dyDescent="0.25">
      <c r="A706" s="66" t="s">
        <v>206</v>
      </c>
      <c r="B706" s="22"/>
      <c r="C706" s="22">
        <v>1644.61</v>
      </c>
      <c r="D706" s="26"/>
      <c r="H706" s="11" t="str">
        <f t="shared" si="25"/>
        <v>2nd Pay Period ending 22/11/2022</v>
      </c>
      <c r="M706" s="22">
        <v>19007</v>
      </c>
      <c r="T706" s="35">
        <f t="shared" si="26"/>
        <v>0</v>
      </c>
    </row>
    <row r="707" spans="1:20" ht="12.75" customHeight="1" x14ac:dyDescent="0.25">
      <c r="A707" s="66" t="s">
        <v>206</v>
      </c>
      <c r="B707" s="22"/>
      <c r="C707" s="22">
        <v>1066.27</v>
      </c>
      <c r="D707" s="26"/>
      <c r="H707" s="11" t="str">
        <f t="shared" ref="H707:H770" si="27">$K$1</f>
        <v>2nd Pay Period ending 22/11/2022</v>
      </c>
      <c r="M707" s="22">
        <v>19032</v>
      </c>
      <c r="T707" s="35">
        <f t="shared" si="26"/>
        <v>0</v>
      </c>
    </row>
    <row r="708" spans="1:20" ht="12.75" customHeight="1" x14ac:dyDescent="0.25">
      <c r="A708" s="66" t="s">
        <v>206</v>
      </c>
      <c r="B708" s="22"/>
      <c r="C708" s="22">
        <v>3762.77</v>
      </c>
      <c r="D708" s="26"/>
      <c r="H708" s="11" t="str">
        <f t="shared" si="27"/>
        <v>2nd Pay Period ending 22/11/2022</v>
      </c>
      <c r="M708" s="22">
        <v>18962</v>
      </c>
      <c r="T708" s="35">
        <f t="shared" ref="T708:T771" si="28">B708/10*$V$1</f>
        <v>0</v>
      </c>
    </row>
    <row r="709" spans="1:20" ht="12.75" customHeight="1" x14ac:dyDescent="0.25">
      <c r="A709" s="66" t="s">
        <v>206</v>
      </c>
      <c r="B709" s="22"/>
      <c r="C709" s="22">
        <v>1738.37</v>
      </c>
      <c r="D709" s="26"/>
      <c r="H709" s="11" t="str">
        <f t="shared" si="27"/>
        <v>2nd Pay Period ending 22/11/2022</v>
      </c>
      <c r="M709" s="22">
        <v>18980</v>
      </c>
      <c r="T709" s="35">
        <f t="shared" si="28"/>
        <v>0</v>
      </c>
    </row>
    <row r="710" spans="1:20" ht="12.75" customHeight="1" x14ac:dyDescent="0.25">
      <c r="A710" s="66" t="s">
        <v>206</v>
      </c>
      <c r="B710" s="22"/>
      <c r="C710" s="22">
        <v>2507.23</v>
      </c>
      <c r="D710" s="26"/>
      <c r="H710" s="11" t="str">
        <f t="shared" si="27"/>
        <v>2nd Pay Period ending 22/11/2022</v>
      </c>
      <c r="M710" s="22">
        <v>19038</v>
      </c>
      <c r="T710" s="35">
        <f t="shared" si="28"/>
        <v>0</v>
      </c>
    </row>
    <row r="711" spans="1:20" ht="12.75" customHeight="1" x14ac:dyDescent="0.25">
      <c r="A711" s="66" t="s">
        <v>206</v>
      </c>
      <c r="B711" s="22"/>
      <c r="C711" s="22">
        <v>1634.59</v>
      </c>
      <c r="D711" s="26"/>
      <c r="H711" s="11" t="str">
        <f t="shared" si="27"/>
        <v>2nd Pay Period ending 22/11/2022</v>
      </c>
      <c r="M711" s="22">
        <v>19027</v>
      </c>
      <c r="T711" s="35">
        <f t="shared" si="28"/>
        <v>0</v>
      </c>
    </row>
    <row r="712" spans="1:20" ht="12.75" customHeight="1" x14ac:dyDescent="0.25">
      <c r="A712" s="66" t="s">
        <v>206</v>
      </c>
      <c r="B712" s="22"/>
      <c r="C712" s="22">
        <v>1705</v>
      </c>
      <c r="D712" s="26"/>
      <c r="H712" s="11" t="str">
        <f t="shared" si="27"/>
        <v>2nd Pay Period ending 22/11/2022</v>
      </c>
      <c r="M712" s="22">
        <v>19021</v>
      </c>
      <c r="T712" s="35">
        <f t="shared" si="28"/>
        <v>0</v>
      </c>
    </row>
    <row r="713" spans="1:20" ht="12.75" customHeight="1" x14ac:dyDescent="0.25">
      <c r="A713" s="66" t="s">
        <v>206</v>
      </c>
      <c r="B713" s="22"/>
      <c r="C713" s="22">
        <v>2120.34</v>
      </c>
      <c r="D713" s="26"/>
      <c r="H713" s="11" t="str">
        <f t="shared" si="27"/>
        <v>2nd Pay Period ending 22/11/2022</v>
      </c>
      <c r="M713" s="22">
        <v>18581</v>
      </c>
      <c r="T713" s="35">
        <f t="shared" si="28"/>
        <v>0</v>
      </c>
    </row>
    <row r="714" spans="1:20" ht="12.75" customHeight="1" x14ac:dyDescent="0.25">
      <c r="A714" s="66" t="s">
        <v>206</v>
      </c>
      <c r="B714" s="22"/>
      <c r="C714" s="22">
        <v>2380.92</v>
      </c>
      <c r="D714" s="26"/>
      <c r="H714" s="11" t="str">
        <f t="shared" si="27"/>
        <v>2nd Pay Period ending 22/11/2022</v>
      </c>
      <c r="M714" s="22">
        <v>19034</v>
      </c>
      <c r="T714" s="35">
        <f t="shared" si="28"/>
        <v>0</v>
      </c>
    </row>
    <row r="715" spans="1:20" ht="12.75" customHeight="1" x14ac:dyDescent="0.25">
      <c r="A715" s="66" t="s">
        <v>206</v>
      </c>
      <c r="B715" s="22"/>
      <c r="C715" s="22">
        <v>4372.7700000000004</v>
      </c>
      <c r="D715" s="26"/>
      <c r="H715" s="11" t="str">
        <f t="shared" si="27"/>
        <v>2nd Pay Period ending 22/11/2022</v>
      </c>
      <c r="M715" s="22">
        <v>44705</v>
      </c>
      <c r="T715" s="35">
        <f t="shared" si="28"/>
        <v>0</v>
      </c>
    </row>
    <row r="716" spans="1:20" ht="12.75" customHeight="1" x14ac:dyDescent="0.25">
      <c r="A716" s="66" t="s">
        <v>206</v>
      </c>
      <c r="B716" s="22"/>
      <c r="C716" s="22">
        <v>1877.69</v>
      </c>
      <c r="D716" s="26"/>
      <c r="H716" s="11" t="str">
        <f t="shared" si="27"/>
        <v>2nd Pay Period ending 22/11/2022</v>
      </c>
      <c r="M716" s="22">
        <v>18805</v>
      </c>
      <c r="T716" s="35">
        <f t="shared" si="28"/>
        <v>0</v>
      </c>
    </row>
    <row r="717" spans="1:20" ht="12.75" customHeight="1" x14ac:dyDescent="0.25">
      <c r="A717" s="66" t="s">
        <v>206</v>
      </c>
      <c r="B717" s="22"/>
      <c r="C717" s="22">
        <v>1819.68</v>
      </c>
      <c r="D717" s="26"/>
      <c r="H717" s="11" t="str">
        <f t="shared" si="27"/>
        <v>2nd Pay Period ending 22/11/2022</v>
      </c>
      <c r="M717" s="22">
        <v>18982</v>
      </c>
      <c r="T717" s="35">
        <f t="shared" si="28"/>
        <v>0</v>
      </c>
    </row>
    <row r="718" spans="1:20" ht="12.75" customHeight="1" x14ac:dyDescent="0.25">
      <c r="A718" s="66" t="s">
        <v>206</v>
      </c>
      <c r="B718" s="22"/>
      <c r="C718" s="22">
        <v>1733.85</v>
      </c>
      <c r="D718" s="26"/>
      <c r="H718" s="11" t="str">
        <f t="shared" si="27"/>
        <v>2nd Pay Period ending 22/11/2022</v>
      </c>
      <c r="M718" s="22">
        <v>18841</v>
      </c>
      <c r="T718" s="35">
        <f t="shared" si="28"/>
        <v>0</v>
      </c>
    </row>
    <row r="719" spans="1:20" ht="12.75" customHeight="1" x14ac:dyDescent="0.25">
      <c r="A719" s="66" t="s">
        <v>206</v>
      </c>
      <c r="B719" s="22"/>
      <c r="C719" s="22">
        <v>1987.8</v>
      </c>
      <c r="D719" s="26"/>
      <c r="H719" s="11" t="str">
        <f t="shared" si="27"/>
        <v>2nd Pay Period ending 22/11/2022</v>
      </c>
      <c r="M719" s="22">
        <v>266</v>
      </c>
      <c r="T719" s="35">
        <f t="shared" si="28"/>
        <v>0</v>
      </c>
    </row>
    <row r="720" spans="1:20" ht="12.75" customHeight="1" x14ac:dyDescent="0.25">
      <c r="A720" s="66" t="s">
        <v>206</v>
      </c>
      <c r="B720" s="22"/>
      <c r="C720" s="22">
        <v>1958.49</v>
      </c>
      <c r="D720" s="26"/>
      <c r="H720" s="11" t="str">
        <f t="shared" si="27"/>
        <v>2nd Pay Period ending 22/11/2022</v>
      </c>
      <c r="M720" s="22">
        <v>18797</v>
      </c>
      <c r="T720" s="35">
        <f t="shared" si="28"/>
        <v>0</v>
      </c>
    </row>
    <row r="721" spans="1:20" ht="12.75" customHeight="1" x14ac:dyDescent="0.25">
      <c r="A721" s="66" t="s">
        <v>206</v>
      </c>
      <c r="B721" s="22"/>
      <c r="C721" s="22">
        <v>2859.54</v>
      </c>
      <c r="D721" s="26"/>
      <c r="H721" s="11" t="str">
        <f t="shared" si="27"/>
        <v>2nd Pay Period ending 22/11/2022</v>
      </c>
      <c r="M721" s="22">
        <v>18626</v>
      </c>
      <c r="T721" s="35">
        <f t="shared" si="28"/>
        <v>0</v>
      </c>
    </row>
    <row r="722" spans="1:20" ht="12.75" customHeight="1" x14ac:dyDescent="0.25">
      <c r="A722" s="66" t="s">
        <v>206</v>
      </c>
      <c r="B722" s="22"/>
      <c r="C722" s="22">
        <v>1735.38</v>
      </c>
      <c r="D722" s="26"/>
      <c r="H722" s="11" t="str">
        <f t="shared" si="27"/>
        <v>2nd Pay Period ending 22/11/2022</v>
      </c>
      <c r="M722" s="22">
        <v>18822</v>
      </c>
      <c r="T722" s="35">
        <f t="shared" si="28"/>
        <v>0</v>
      </c>
    </row>
    <row r="723" spans="1:20" ht="12.75" customHeight="1" x14ac:dyDescent="0.25">
      <c r="A723" s="66" t="s">
        <v>206</v>
      </c>
      <c r="B723" s="22"/>
      <c r="C723" s="22">
        <v>2527.21</v>
      </c>
      <c r="D723" s="26"/>
      <c r="H723" s="11" t="str">
        <f t="shared" si="27"/>
        <v>2nd Pay Period ending 22/11/2022</v>
      </c>
      <c r="M723" s="22">
        <v>18918</v>
      </c>
      <c r="T723" s="35">
        <f t="shared" si="28"/>
        <v>0</v>
      </c>
    </row>
    <row r="724" spans="1:20" ht="12.75" customHeight="1" x14ac:dyDescent="0.25">
      <c r="A724" s="66" t="s">
        <v>206</v>
      </c>
      <c r="B724" s="22"/>
      <c r="C724" s="22">
        <v>2093.75</v>
      </c>
      <c r="D724" s="26"/>
      <c r="H724" s="11" t="str">
        <f t="shared" si="27"/>
        <v>2nd Pay Period ending 22/11/2022</v>
      </c>
      <c r="M724" s="22">
        <v>18827</v>
      </c>
      <c r="T724" s="35">
        <f t="shared" si="28"/>
        <v>0</v>
      </c>
    </row>
    <row r="725" spans="1:20" ht="12.75" customHeight="1" x14ac:dyDescent="0.25">
      <c r="A725" s="66" t="s">
        <v>206</v>
      </c>
      <c r="B725" s="22"/>
      <c r="C725" s="22">
        <v>2056.06</v>
      </c>
      <c r="D725" s="26"/>
      <c r="H725" s="11" t="str">
        <f t="shared" si="27"/>
        <v>2nd Pay Period ending 22/11/2022</v>
      </c>
      <c r="M725" s="22">
        <v>18949</v>
      </c>
      <c r="T725" s="35">
        <f t="shared" si="28"/>
        <v>0</v>
      </c>
    </row>
    <row r="726" spans="1:20" ht="12.75" customHeight="1" x14ac:dyDescent="0.25">
      <c r="A726" s="66" t="s">
        <v>206</v>
      </c>
      <c r="B726" s="22"/>
      <c r="C726" s="22">
        <v>1976.67</v>
      </c>
      <c r="D726" s="26"/>
      <c r="H726" s="11" t="str">
        <f t="shared" si="27"/>
        <v>2nd Pay Period ending 22/11/2022</v>
      </c>
      <c r="M726" s="22">
        <v>18887</v>
      </c>
      <c r="T726" s="35">
        <f t="shared" si="28"/>
        <v>0</v>
      </c>
    </row>
    <row r="727" spans="1:20" ht="12.75" customHeight="1" x14ac:dyDescent="0.25">
      <c r="A727" s="66" t="s">
        <v>206</v>
      </c>
      <c r="B727" s="22"/>
      <c r="C727" s="22">
        <v>1791.76</v>
      </c>
      <c r="D727" s="26"/>
      <c r="H727" s="11" t="str">
        <f t="shared" si="27"/>
        <v>2nd Pay Period ending 22/11/2022</v>
      </c>
      <c r="M727" s="22">
        <v>18979</v>
      </c>
      <c r="T727" s="35">
        <f t="shared" si="28"/>
        <v>0</v>
      </c>
    </row>
    <row r="728" spans="1:20" ht="12.75" customHeight="1" x14ac:dyDescent="0.25">
      <c r="A728" s="66" t="s">
        <v>206</v>
      </c>
      <c r="B728" s="22"/>
      <c r="C728" s="22">
        <v>975.48</v>
      </c>
      <c r="D728" s="26"/>
      <c r="H728" s="11" t="str">
        <f t="shared" si="27"/>
        <v>2nd Pay Period ending 22/11/2022</v>
      </c>
      <c r="M728" s="22">
        <v>134</v>
      </c>
      <c r="T728" s="35">
        <f t="shared" si="28"/>
        <v>0</v>
      </c>
    </row>
    <row r="729" spans="1:20" ht="12.75" customHeight="1" x14ac:dyDescent="0.25">
      <c r="A729" s="66" t="s">
        <v>206</v>
      </c>
      <c r="B729" s="22"/>
      <c r="C729" s="22">
        <v>1168.32</v>
      </c>
      <c r="D729" s="26"/>
      <c r="H729" s="11" t="str">
        <f t="shared" si="27"/>
        <v>2nd Pay Period ending 22/11/2022</v>
      </c>
      <c r="M729" s="22">
        <v>18929</v>
      </c>
      <c r="T729" s="35">
        <f t="shared" si="28"/>
        <v>0</v>
      </c>
    </row>
    <row r="730" spans="1:20" ht="12.75" customHeight="1" x14ac:dyDescent="0.25">
      <c r="A730" s="66" t="s">
        <v>206</v>
      </c>
      <c r="B730" s="22"/>
      <c r="C730" s="22">
        <v>334.81</v>
      </c>
      <c r="D730" s="26"/>
      <c r="H730" s="11" t="str">
        <f t="shared" si="27"/>
        <v>2nd Pay Period ending 22/11/2022</v>
      </c>
      <c r="M730" s="22">
        <v>18793</v>
      </c>
      <c r="T730" s="35">
        <f t="shared" si="28"/>
        <v>0</v>
      </c>
    </row>
    <row r="731" spans="1:20" ht="12.75" customHeight="1" x14ac:dyDescent="0.25">
      <c r="A731" s="66" t="s">
        <v>206</v>
      </c>
      <c r="B731" s="22"/>
      <c r="C731" s="22">
        <v>1595.33</v>
      </c>
      <c r="D731" s="26"/>
      <c r="H731" s="11" t="str">
        <f t="shared" si="27"/>
        <v>2nd Pay Period ending 22/11/2022</v>
      </c>
      <c r="M731" s="22">
        <v>18989</v>
      </c>
      <c r="T731" s="35">
        <f t="shared" si="28"/>
        <v>0</v>
      </c>
    </row>
    <row r="732" spans="1:20" ht="12.75" customHeight="1" x14ac:dyDescent="0.25">
      <c r="A732" s="66" t="s">
        <v>206</v>
      </c>
      <c r="B732" s="22"/>
      <c r="C732" s="22">
        <v>1899.4</v>
      </c>
      <c r="D732" s="26"/>
      <c r="H732" s="11" t="str">
        <f t="shared" si="27"/>
        <v>2nd Pay Period ending 22/11/2022</v>
      </c>
      <c r="M732" s="22">
        <v>18736</v>
      </c>
      <c r="T732" s="35">
        <f t="shared" si="28"/>
        <v>0</v>
      </c>
    </row>
    <row r="733" spans="1:20" ht="12.75" customHeight="1" x14ac:dyDescent="0.25">
      <c r="A733" s="66" t="s">
        <v>206</v>
      </c>
      <c r="B733" s="22"/>
      <c r="C733" s="22">
        <v>1725.48</v>
      </c>
      <c r="D733" s="26"/>
      <c r="H733" s="11" t="str">
        <f t="shared" si="27"/>
        <v>2nd Pay Period ending 22/11/2022</v>
      </c>
      <c r="M733" s="22">
        <v>19011</v>
      </c>
      <c r="T733" s="35">
        <f t="shared" si="28"/>
        <v>0</v>
      </c>
    </row>
    <row r="734" spans="1:20" ht="12.75" customHeight="1" x14ac:dyDescent="0.25">
      <c r="A734" s="66" t="s">
        <v>206</v>
      </c>
      <c r="B734" s="22"/>
      <c r="C734" s="22">
        <v>795.58</v>
      </c>
      <c r="D734" s="26"/>
      <c r="H734" s="11" t="str">
        <f t="shared" si="27"/>
        <v>2nd Pay Period ending 22/11/2022</v>
      </c>
      <c r="M734" s="22">
        <v>18607</v>
      </c>
      <c r="T734" s="35">
        <f t="shared" si="28"/>
        <v>0</v>
      </c>
    </row>
    <row r="735" spans="1:20" ht="12.75" customHeight="1" x14ac:dyDescent="0.25">
      <c r="A735" s="66" t="s">
        <v>206</v>
      </c>
      <c r="B735" s="22"/>
      <c r="C735" s="22">
        <v>1299.8699999999999</v>
      </c>
      <c r="D735" s="26"/>
      <c r="H735" s="11" t="str">
        <f t="shared" si="27"/>
        <v>2nd Pay Period ending 22/11/2022</v>
      </c>
      <c r="M735" s="22">
        <v>19008</v>
      </c>
      <c r="T735" s="35">
        <f t="shared" si="28"/>
        <v>0</v>
      </c>
    </row>
    <row r="736" spans="1:20" ht="12.75" customHeight="1" x14ac:dyDescent="0.25">
      <c r="A736" s="66" t="s">
        <v>206</v>
      </c>
      <c r="B736" s="22"/>
      <c r="C736" s="22">
        <v>2010.7</v>
      </c>
      <c r="D736" s="26"/>
      <c r="H736" s="11" t="str">
        <f t="shared" si="27"/>
        <v>2nd Pay Period ending 22/11/2022</v>
      </c>
      <c r="M736" s="22">
        <v>19012</v>
      </c>
      <c r="T736" s="35">
        <f t="shared" si="28"/>
        <v>0</v>
      </c>
    </row>
    <row r="737" spans="1:20" ht="12.75" customHeight="1" x14ac:dyDescent="0.25">
      <c r="A737" s="66" t="s">
        <v>206</v>
      </c>
      <c r="B737" s="22"/>
      <c r="C737" s="22">
        <v>1795.65</v>
      </c>
      <c r="D737" s="26"/>
      <c r="H737" s="11" t="str">
        <f t="shared" si="27"/>
        <v>2nd Pay Period ending 22/11/2022</v>
      </c>
      <c r="M737" s="22">
        <v>19019</v>
      </c>
      <c r="T737" s="35">
        <f t="shared" si="28"/>
        <v>0</v>
      </c>
    </row>
    <row r="738" spans="1:20" ht="12.75" customHeight="1" x14ac:dyDescent="0.25">
      <c r="A738" s="66" t="s">
        <v>206</v>
      </c>
      <c r="B738" s="22"/>
      <c r="C738" s="22">
        <v>1999.02</v>
      </c>
      <c r="D738" s="26"/>
      <c r="H738" s="11" t="str">
        <f t="shared" si="27"/>
        <v>2nd Pay Period ending 22/11/2022</v>
      </c>
      <c r="M738" s="22">
        <v>19028</v>
      </c>
      <c r="T738" s="35">
        <f t="shared" si="28"/>
        <v>0</v>
      </c>
    </row>
    <row r="739" spans="1:20" ht="12.75" customHeight="1" x14ac:dyDescent="0.25">
      <c r="A739" s="66" t="s">
        <v>206</v>
      </c>
      <c r="B739" s="22"/>
      <c r="C739" s="22">
        <v>2333.0700000000002</v>
      </c>
      <c r="D739" s="26"/>
      <c r="H739" s="11" t="str">
        <f t="shared" si="27"/>
        <v>2nd Pay Period ending 22/11/2022</v>
      </c>
      <c r="M739" s="22">
        <v>18829</v>
      </c>
      <c r="T739" s="35">
        <f t="shared" si="28"/>
        <v>0</v>
      </c>
    </row>
    <row r="740" spans="1:20" ht="12.75" customHeight="1" x14ac:dyDescent="0.25">
      <c r="A740" s="66" t="s">
        <v>206</v>
      </c>
      <c r="B740" s="22"/>
      <c r="C740" s="22">
        <v>2075.69</v>
      </c>
      <c r="D740" s="26"/>
      <c r="H740" s="11" t="str">
        <f t="shared" si="27"/>
        <v>2nd Pay Period ending 22/11/2022</v>
      </c>
      <c r="M740" s="22">
        <v>19015</v>
      </c>
      <c r="T740" s="35">
        <f t="shared" si="28"/>
        <v>0</v>
      </c>
    </row>
    <row r="741" spans="1:20" ht="12.75" customHeight="1" x14ac:dyDescent="0.25">
      <c r="A741" s="66" t="s">
        <v>206</v>
      </c>
      <c r="B741" s="22"/>
      <c r="C741" s="22">
        <v>1511.33</v>
      </c>
      <c r="D741" s="26"/>
      <c r="H741" s="11" t="str">
        <f t="shared" si="27"/>
        <v>2nd Pay Period ending 22/11/2022</v>
      </c>
      <c r="M741" s="22">
        <v>18679</v>
      </c>
      <c r="T741" s="35">
        <f t="shared" si="28"/>
        <v>0</v>
      </c>
    </row>
    <row r="742" spans="1:20" ht="12.75" customHeight="1" x14ac:dyDescent="0.25">
      <c r="A742" s="66" t="s">
        <v>206</v>
      </c>
      <c r="B742" s="22"/>
      <c r="C742" s="22">
        <v>1024.97</v>
      </c>
      <c r="D742" s="26"/>
      <c r="H742" s="11" t="str">
        <f t="shared" si="27"/>
        <v>2nd Pay Period ending 22/11/2022</v>
      </c>
      <c r="M742" s="22">
        <v>18923</v>
      </c>
      <c r="T742" s="35">
        <f t="shared" si="28"/>
        <v>0</v>
      </c>
    </row>
    <row r="743" spans="1:20" ht="12.75" customHeight="1" x14ac:dyDescent="0.25">
      <c r="A743" s="66" t="s">
        <v>206</v>
      </c>
      <c r="B743" s="22"/>
      <c r="C743" s="22">
        <v>1712.75</v>
      </c>
      <c r="D743" s="26"/>
      <c r="H743" s="11" t="str">
        <f t="shared" si="27"/>
        <v>2nd Pay Period ending 22/11/2022</v>
      </c>
      <c r="M743" s="22">
        <v>19017</v>
      </c>
      <c r="T743" s="35">
        <f t="shared" si="28"/>
        <v>0</v>
      </c>
    </row>
    <row r="744" spans="1:20" ht="12.75" customHeight="1" x14ac:dyDescent="0.25">
      <c r="A744" s="66" t="s">
        <v>206</v>
      </c>
      <c r="B744" s="22"/>
      <c r="C744" s="22">
        <v>1668.91</v>
      </c>
      <c r="D744" s="26"/>
      <c r="H744" s="11" t="str">
        <f t="shared" si="27"/>
        <v>2nd Pay Period ending 22/11/2022</v>
      </c>
      <c r="M744" s="22">
        <v>19009</v>
      </c>
      <c r="T744" s="35">
        <f t="shared" si="28"/>
        <v>0</v>
      </c>
    </row>
    <row r="745" spans="1:20" ht="12.75" customHeight="1" x14ac:dyDescent="0.25">
      <c r="A745" s="66" t="s">
        <v>206</v>
      </c>
      <c r="B745" s="22"/>
      <c r="C745" s="22">
        <v>1754.15</v>
      </c>
      <c r="D745" s="26"/>
      <c r="H745" s="11" t="str">
        <f t="shared" si="27"/>
        <v>2nd Pay Period ending 22/11/2022</v>
      </c>
      <c r="M745" s="22">
        <v>19030</v>
      </c>
      <c r="T745" s="35">
        <f t="shared" si="28"/>
        <v>0</v>
      </c>
    </row>
    <row r="746" spans="1:20" ht="12.75" customHeight="1" x14ac:dyDescent="0.25">
      <c r="A746" s="66" t="s">
        <v>206</v>
      </c>
      <c r="B746" s="22"/>
      <c r="C746" s="22">
        <v>1973.62</v>
      </c>
      <c r="D746" s="26"/>
      <c r="H746" s="11" t="str">
        <f t="shared" si="27"/>
        <v>2nd Pay Period ending 22/11/2022</v>
      </c>
      <c r="M746" s="22">
        <v>19029</v>
      </c>
      <c r="T746" s="35">
        <f t="shared" si="28"/>
        <v>0</v>
      </c>
    </row>
    <row r="747" spans="1:20" ht="12.75" customHeight="1" x14ac:dyDescent="0.25">
      <c r="A747" s="66" t="s">
        <v>206</v>
      </c>
      <c r="B747" s="22"/>
      <c r="C747" s="22">
        <v>2280.27</v>
      </c>
      <c r="D747" s="26"/>
      <c r="H747" s="11" t="str">
        <f t="shared" si="27"/>
        <v>2nd Pay Period ending 22/11/2022</v>
      </c>
      <c r="M747" s="22">
        <v>18983</v>
      </c>
      <c r="T747" s="35">
        <f t="shared" si="28"/>
        <v>0</v>
      </c>
    </row>
    <row r="748" spans="1:20" ht="12.75" customHeight="1" x14ac:dyDescent="0.25">
      <c r="A748" s="66" t="s">
        <v>206</v>
      </c>
      <c r="B748" s="22"/>
      <c r="C748" s="22">
        <v>2467.2199999999998</v>
      </c>
      <c r="D748" s="26"/>
      <c r="H748" s="11" t="str">
        <f t="shared" si="27"/>
        <v>2nd Pay Period ending 22/11/2022</v>
      </c>
      <c r="M748" s="22">
        <v>18932</v>
      </c>
      <c r="T748" s="35">
        <f t="shared" si="28"/>
        <v>0</v>
      </c>
    </row>
    <row r="749" spans="1:20" ht="12.75" customHeight="1" x14ac:dyDescent="0.25">
      <c r="A749" s="66" t="s">
        <v>206</v>
      </c>
      <c r="B749" s="22"/>
      <c r="C749" s="22">
        <v>2494.9299999999998</v>
      </c>
      <c r="D749" s="26"/>
      <c r="H749" s="11" t="str">
        <f t="shared" si="27"/>
        <v>2nd Pay Period ending 22/11/2022</v>
      </c>
      <c r="M749" s="22">
        <v>18998</v>
      </c>
      <c r="T749" s="35">
        <f t="shared" si="28"/>
        <v>0</v>
      </c>
    </row>
    <row r="750" spans="1:20" ht="12.75" customHeight="1" x14ac:dyDescent="0.25">
      <c r="A750" s="66" t="s">
        <v>206</v>
      </c>
      <c r="B750" s="22"/>
      <c r="C750" s="22">
        <v>2283.62</v>
      </c>
      <c r="D750" s="26"/>
      <c r="H750" s="11" t="str">
        <f t="shared" si="27"/>
        <v>2nd Pay Period ending 22/11/2022</v>
      </c>
      <c r="M750" s="22">
        <v>115</v>
      </c>
      <c r="T750" s="35">
        <f t="shared" si="28"/>
        <v>0</v>
      </c>
    </row>
    <row r="751" spans="1:20" ht="12.75" customHeight="1" x14ac:dyDescent="0.25">
      <c r="A751" s="66" t="s">
        <v>206</v>
      </c>
      <c r="B751" s="22"/>
      <c r="C751" s="22">
        <v>2317.38</v>
      </c>
      <c r="D751" s="26"/>
      <c r="H751" s="11" t="str">
        <f t="shared" si="27"/>
        <v>2nd Pay Period ending 22/11/2022</v>
      </c>
      <c r="M751" s="22">
        <v>18649</v>
      </c>
      <c r="T751" s="35">
        <f t="shared" si="28"/>
        <v>0</v>
      </c>
    </row>
    <row r="752" spans="1:20" ht="12.75" customHeight="1" x14ac:dyDescent="0.25">
      <c r="A752" s="66" t="s">
        <v>206</v>
      </c>
      <c r="B752" s="22"/>
      <c r="C752" s="22">
        <v>1704.31</v>
      </c>
      <c r="D752" s="26"/>
      <c r="H752" s="11" t="str">
        <f t="shared" si="27"/>
        <v>2nd Pay Period ending 22/11/2022</v>
      </c>
      <c r="M752" s="22">
        <v>19020</v>
      </c>
      <c r="T752" s="35">
        <f t="shared" si="28"/>
        <v>0</v>
      </c>
    </row>
    <row r="753" spans="1:20" ht="12.75" customHeight="1" x14ac:dyDescent="0.25">
      <c r="A753" s="66" t="s">
        <v>206</v>
      </c>
      <c r="B753" s="22"/>
      <c r="C753" s="22">
        <v>1673.98</v>
      </c>
      <c r="D753" s="26"/>
      <c r="H753" s="11" t="str">
        <f t="shared" si="27"/>
        <v>2nd Pay Period ending 22/11/2022</v>
      </c>
      <c r="M753" s="22">
        <v>18904</v>
      </c>
      <c r="T753" s="35">
        <f t="shared" si="28"/>
        <v>0</v>
      </c>
    </row>
    <row r="754" spans="1:20" ht="12.75" customHeight="1" x14ac:dyDescent="0.25">
      <c r="A754" s="66" t="s">
        <v>206</v>
      </c>
      <c r="B754" s="22"/>
      <c r="C754" s="22">
        <v>1081.79</v>
      </c>
      <c r="D754" s="26"/>
      <c r="H754" s="11" t="str">
        <f t="shared" si="27"/>
        <v>2nd Pay Period ending 22/11/2022</v>
      </c>
      <c r="M754" s="22">
        <v>18839</v>
      </c>
      <c r="T754" s="35">
        <f t="shared" si="28"/>
        <v>0</v>
      </c>
    </row>
    <row r="755" spans="1:20" ht="12.75" customHeight="1" x14ac:dyDescent="0.25">
      <c r="A755" s="66" t="s">
        <v>206</v>
      </c>
      <c r="B755" s="22"/>
      <c r="C755" s="22">
        <v>881.89</v>
      </c>
      <c r="D755" s="26"/>
      <c r="H755" s="11" t="str">
        <f t="shared" si="27"/>
        <v>2nd Pay Period ending 22/11/2022</v>
      </c>
      <c r="M755" s="22">
        <v>18650</v>
      </c>
      <c r="T755" s="35">
        <f t="shared" si="28"/>
        <v>0</v>
      </c>
    </row>
    <row r="756" spans="1:20" ht="12.75" customHeight="1" x14ac:dyDescent="0.25">
      <c r="A756" s="66" t="s">
        <v>206</v>
      </c>
      <c r="B756" s="22"/>
      <c r="C756" s="22">
        <v>1571.84</v>
      </c>
      <c r="D756" s="26"/>
      <c r="H756" s="11" t="str">
        <f t="shared" si="27"/>
        <v>2nd Pay Period ending 22/11/2022</v>
      </c>
      <c r="M756" s="22">
        <v>18990</v>
      </c>
      <c r="T756" s="35">
        <f t="shared" si="28"/>
        <v>0</v>
      </c>
    </row>
    <row r="757" spans="1:20" ht="12.75" customHeight="1" x14ac:dyDescent="0.25">
      <c r="A757" s="66" t="s">
        <v>206</v>
      </c>
      <c r="B757" s="22"/>
      <c r="C757" s="22">
        <v>1391.42</v>
      </c>
      <c r="D757" s="26"/>
      <c r="H757" s="11" t="str">
        <f t="shared" si="27"/>
        <v>2nd Pay Period ending 22/11/2022</v>
      </c>
      <c r="M757" s="22">
        <v>18703</v>
      </c>
      <c r="T757" s="35">
        <f t="shared" si="28"/>
        <v>0</v>
      </c>
    </row>
    <row r="758" spans="1:20" ht="12.75" customHeight="1" x14ac:dyDescent="0.25">
      <c r="A758" s="66" t="s">
        <v>206</v>
      </c>
      <c r="B758" s="22"/>
      <c r="C758" s="22">
        <v>1717.4</v>
      </c>
      <c r="D758" s="26"/>
      <c r="H758" s="11" t="str">
        <f t="shared" si="27"/>
        <v>2nd Pay Period ending 22/11/2022</v>
      </c>
      <c r="M758" s="22">
        <v>18986</v>
      </c>
      <c r="T758" s="35">
        <f t="shared" si="28"/>
        <v>0</v>
      </c>
    </row>
    <row r="759" spans="1:20" ht="12.75" customHeight="1" x14ac:dyDescent="0.25">
      <c r="A759" s="66" t="s">
        <v>206</v>
      </c>
      <c r="B759" s="22"/>
      <c r="C759" s="22">
        <v>1961.54</v>
      </c>
      <c r="D759" s="26"/>
      <c r="H759" s="11" t="str">
        <f t="shared" si="27"/>
        <v>2nd Pay Period ending 22/11/2022</v>
      </c>
      <c r="M759" s="22">
        <v>18942</v>
      </c>
      <c r="T759" s="35">
        <f t="shared" si="28"/>
        <v>0</v>
      </c>
    </row>
    <row r="760" spans="1:20" ht="12.75" customHeight="1" x14ac:dyDescent="0.25">
      <c r="A760" s="66" t="s">
        <v>206</v>
      </c>
      <c r="B760" s="22"/>
      <c r="C760" s="22">
        <v>475.1</v>
      </c>
      <c r="D760" s="26"/>
      <c r="H760" s="11" t="str">
        <f t="shared" si="27"/>
        <v>2nd Pay Period ending 22/11/2022</v>
      </c>
      <c r="M760" s="22">
        <v>18917</v>
      </c>
      <c r="T760" s="35">
        <f t="shared" si="28"/>
        <v>0</v>
      </c>
    </row>
    <row r="761" spans="1:20" ht="12.75" customHeight="1" x14ac:dyDescent="0.25">
      <c r="A761" s="66" t="s">
        <v>206</v>
      </c>
      <c r="B761" s="22"/>
      <c r="C761" s="22">
        <v>1926.2</v>
      </c>
      <c r="D761" s="26"/>
      <c r="H761" s="11" t="str">
        <f t="shared" si="27"/>
        <v>2nd Pay Period ending 22/11/2022</v>
      </c>
      <c r="M761" s="22">
        <v>18850</v>
      </c>
      <c r="T761" s="35">
        <f t="shared" si="28"/>
        <v>0</v>
      </c>
    </row>
    <row r="762" spans="1:20" ht="12.75" customHeight="1" x14ac:dyDescent="0.25">
      <c r="A762" s="66" t="s">
        <v>206</v>
      </c>
      <c r="B762" s="22"/>
      <c r="C762" s="22">
        <v>1944.39</v>
      </c>
      <c r="D762" s="26"/>
      <c r="H762" s="11" t="str">
        <f t="shared" si="27"/>
        <v>2nd Pay Period ending 22/11/2022</v>
      </c>
      <c r="M762" s="22">
        <v>18646</v>
      </c>
      <c r="T762" s="35">
        <f t="shared" si="28"/>
        <v>0</v>
      </c>
    </row>
    <row r="763" spans="1:20" ht="12.75" customHeight="1" x14ac:dyDescent="0.25">
      <c r="A763" s="66" t="s">
        <v>206</v>
      </c>
      <c r="B763" s="22"/>
      <c r="C763" s="22">
        <v>2619.5500000000002</v>
      </c>
      <c r="D763" s="26"/>
      <c r="H763" s="11" t="str">
        <f t="shared" si="27"/>
        <v>2nd Pay Period ending 22/11/2022</v>
      </c>
      <c r="M763" s="22">
        <v>18713</v>
      </c>
      <c r="T763" s="35">
        <f t="shared" si="28"/>
        <v>0</v>
      </c>
    </row>
    <row r="764" spans="1:20" ht="12.75" customHeight="1" x14ac:dyDescent="0.25">
      <c r="A764" s="66" t="s">
        <v>206</v>
      </c>
      <c r="B764" s="22"/>
      <c r="C764" s="22">
        <v>1644.07</v>
      </c>
      <c r="D764" s="26"/>
      <c r="H764" s="11" t="str">
        <f t="shared" si="27"/>
        <v>2nd Pay Period ending 22/11/2022</v>
      </c>
      <c r="M764" s="22">
        <v>19039</v>
      </c>
      <c r="T764" s="35">
        <f t="shared" si="28"/>
        <v>0</v>
      </c>
    </row>
    <row r="765" spans="1:20" ht="12.75" customHeight="1" x14ac:dyDescent="0.25">
      <c r="A765" s="66" t="s">
        <v>206</v>
      </c>
      <c r="B765" s="22"/>
      <c r="C765" s="22">
        <v>36.46</v>
      </c>
      <c r="D765" s="26"/>
      <c r="H765" s="11" t="str">
        <f t="shared" si="27"/>
        <v>2nd Pay Period ending 22/11/2022</v>
      </c>
      <c r="M765" s="22">
        <v>18858</v>
      </c>
      <c r="T765" s="35">
        <f t="shared" si="28"/>
        <v>0</v>
      </c>
    </row>
    <row r="766" spans="1:20" ht="12.75" customHeight="1" x14ac:dyDescent="0.25">
      <c r="A766" s="66" t="s">
        <v>206</v>
      </c>
      <c r="B766" s="22"/>
      <c r="C766" s="22">
        <v>896.11</v>
      </c>
      <c r="D766" s="26"/>
      <c r="H766" s="11" t="str">
        <f t="shared" si="27"/>
        <v>2nd Pay Period ending 22/11/2022</v>
      </c>
      <c r="M766" s="22">
        <v>19023</v>
      </c>
      <c r="T766" s="35">
        <f t="shared" si="28"/>
        <v>0</v>
      </c>
    </row>
    <row r="767" spans="1:20" ht="12.75" customHeight="1" x14ac:dyDescent="0.25">
      <c r="A767" s="66" t="s">
        <v>206</v>
      </c>
      <c r="B767" s="22"/>
      <c r="C767" s="22">
        <v>1007.64</v>
      </c>
      <c r="D767" s="26"/>
      <c r="H767" s="11" t="str">
        <f t="shared" si="27"/>
        <v>2nd Pay Period ending 22/11/2022</v>
      </c>
      <c r="M767" s="22">
        <v>18924</v>
      </c>
      <c r="T767" s="35">
        <f t="shared" si="28"/>
        <v>0</v>
      </c>
    </row>
    <row r="768" spans="1:20" ht="12.75" customHeight="1" x14ac:dyDescent="0.25">
      <c r="A768" s="66" t="s">
        <v>206</v>
      </c>
      <c r="B768" s="22"/>
      <c r="C768" s="22">
        <v>1512.49</v>
      </c>
      <c r="D768" s="26"/>
      <c r="H768" s="11" t="str">
        <f t="shared" si="27"/>
        <v>2nd Pay Period ending 22/11/2022</v>
      </c>
      <c r="M768" s="22">
        <v>18970</v>
      </c>
      <c r="T768" s="35">
        <f t="shared" si="28"/>
        <v>0</v>
      </c>
    </row>
    <row r="769" spans="1:20" ht="12.75" customHeight="1" x14ac:dyDescent="0.25">
      <c r="A769" s="66" t="s">
        <v>206</v>
      </c>
      <c r="B769" s="22"/>
      <c r="C769" s="22">
        <v>2959.54</v>
      </c>
      <c r="D769" s="26"/>
      <c r="H769" s="11" t="str">
        <f t="shared" si="27"/>
        <v>2nd Pay Period ending 22/11/2022</v>
      </c>
      <c r="M769" s="22">
        <v>19031</v>
      </c>
      <c r="T769" s="35">
        <f t="shared" si="28"/>
        <v>0</v>
      </c>
    </row>
    <row r="770" spans="1:20" ht="12.75" customHeight="1" x14ac:dyDescent="0.25">
      <c r="A770" s="66" t="s">
        <v>206</v>
      </c>
      <c r="B770" s="22"/>
      <c r="C770" s="22">
        <v>1802.31</v>
      </c>
      <c r="D770" s="26"/>
      <c r="H770" s="11" t="str">
        <f t="shared" si="27"/>
        <v>2nd Pay Period ending 22/11/2022</v>
      </c>
      <c r="M770" s="22">
        <v>18976</v>
      </c>
      <c r="T770" s="35">
        <f t="shared" si="28"/>
        <v>0</v>
      </c>
    </row>
    <row r="771" spans="1:20" ht="12.75" customHeight="1" x14ac:dyDescent="0.25">
      <c r="A771" s="66" t="s">
        <v>206</v>
      </c>
      <c r="B771" s="22"/>
      <c r="C771" s="22">
        <v>2064.92</v>
      </c>
      <c r="D771" s="26"/>
      <c r="H771" s="11" t="str">
        <f t="shared" ref="H771:H834" si="29">$K$1</f>
        <v>2nd Pay Period ending 22/11/2022</v>
      </c>
      <c r="M771" s="22">
        <v>18442</v>
      </c>
      <c r="T771" s="35">
        <f t="shared" si="28"/>
        <v>0</v>
      </c>
    </row>
    <row r="772" spans="1:20" ht="12.75" customHeight="1" x14ac:dyDescent="0.25">
      <c r="A772" s="66" t="s">
        <v>206</v>
      </c>
      <c r="B772" s="22"/>
      <c r="C772" s="22">
        <v>1203.54</v>
      </c>
      <c r="D772" s="26"/>
      <c r="H772" s="11" t="str">
        <f t="shared" si="29"/>
        <v>2nd Pay Period ending 22/11/2022</v>
      </c>
      <c r="M772" s="22">
        <v>18634</v>
      </c>
      <c r="T772" s="35">
        <f t="shared" ref="T772:T835" si="30">B772/10*$V$1</f>
        <v>0</v>
      </c>
    </row>
    <row r="773" spans="1:20" ht="12.75" customHeight="1" x14ac:dyDescent="0.25">
      <c r="A773" s="66" t="s">
        <v>206</v>
      </c>
      <c r="B773" s="22"/>
      <c r="C773" s="22">
        <v>1534.32</v>
      </c>
      <c r="D773" s="26"/>
      <c r="H773" s="11" t="str">
        <f t="shared" si="29"/>
        <v>2nd Pay Period ending 22/11/2022</v>
      </c>
      <c r="M773" s="22">
        <v>18895</v>
      </c>
      <c r="T773" s="35">
        <f t="shared" si="30"/>
        <v>0</v>
      </c>
    </row>
    <row r="774" spans="1:20" ht="12.75" customHeight="1" x14ac:dyDescent="0.25">
      <c r="A774" s="66" t="s">
        <v>206</v>
      </c>
      <c r="B774" s="22"/>
      <c r="C774" s="22">
        <v>2009.76</v>
      </c>
      <c r="D774" s="26"/>
      <c r="H774" s="11" t="str">
        <f t="shared" si="29"/>
        <v>2nd Pay Period ending 22/11/2022</v>
      </c>
      <c r="M774" s="22">
        <v>18823</v>
      </c>
      <c r="T774" s="35">
        <f t="shared" si="30"/>
        <v>0</v>
      </c>
    </row>
    <row r="775" spans="1:20" ht="12.75" customHeight="1" x14ac:dyDescent="0.25">
      <c r="A775" s="66" t="s">
        <v>206</v>
      </c>
      <c r="B775" s="22"/>
      <c r="C775" s="22">
        <v>1319.02</v>
      </c>
      <c r="D775" s="26"/>
      <c r="H775" s="11" t="str">
        <f t="shared" si="29"/>
        <v>2nd Pay Period ending 22/11/2022</v>
      </c>
      <c r="M775" s="22">
        <v>18996</v>
      </c>
      <c r="T775" s="35">
        <f t="shared" si="30"/>
        <v>0</v>
      </c>
    </row>
    <row r="776" spans="1:20" ht="12.75" customHeight="1" x14ac:dyDescent="0.25">
      <c r="A776" s="66" t="s">
        <v>206</v>
      </c>
      <c r="B776" s="22"/>
      <c r="C776" s="22">
        <v>1841.31</v>
      </c>
      <c r="D776" s="26"/>
      <c r="H776" s="11" t="str">
        <f t="shared" si="29"/>
        <v>2nd Pay Period ending 22/11/2022</v>
      </c>
      <c r="M776" s="22">
        <v>18898</v>
      </c>
      <c r="T776" s="35">
        <f t="shared" si="30"/>
        <v>0</v>
      </c>
    </row>
    <row r="777" spans="1:20" ht="12.75" customHeight="1" x14ac:dyDescent="0.25">
      <c r="A777" s="66" t="s">
        <v>206</v>
      </c>
      <c r="B777" s="22"/>
      <c r="C777" s="22">
        <v>1704.95</v>
      </c>
      <c r="D777" s="26"/>
      <c r="H777" s="11" t="str">
        <f t="shared" si="29"/>
        <v>2nd Pay Period ending 22/11/2022</v>
      </c>
      <c r="M777" s="22">
        <v>18927</v>
      </c>
      <c r="T777" s="35">
        <f t="shared" si="30"/>
        <v>0</v>
      </c>
    </row>
    <row r="778" spans="1:20" ht="12.75" customHeight="1" x14ac:dyDescent="0.25">
      <c r="A778" s="66" t="s">
        <v>206</v>
      </c>
      <c r="B778" s="22"/>
      <c r="C778" s="22">
        <v>2319.38</v>
      </c>
      <c r="D778" s="26"/>
      <c r="H778" s="11" t="str">
        <f t="shared" si="29"/>
        <v>2nd Pay Period ending 22/11/2022</v>
      </c>
      <c r="M778" s="22">
        <v>261</v>
      </c>
      <c r="T778" s="35">
        <f t="shared" si="30"/>
        <v>0</v>
      </c>
    </row>
    <row r="779" spans="1:20" ht="12.75" customHeight="1" x14ac:dyDescent="0.25">
      <c r="A779" s="66" t="s">
        <v>206</v>
      </c>
      <c r="B779" s="22"/>
      <c r="C779" s="22">
        <v>1119.94</v>
      </c>
      <c r="D779" s="26"/>
      <c r="H779" s="11" t="str">
        <f t="shared" si="29"/>
        <v>2nd Pay Period ending 22/11/2022</v>
      </c>
      <c r="M779" s="22">
        <v>18791</v>
      </c>
      <c r="T779" s="35">
        <f t="shared" si="30"/>
        <v>0</v>
      </c>
    </row>
    <row r="780" spans="1:20" ht="12.75" customHeight="1" x14ac:dyDescent="0.25">
      <c r="A780" s="66" t="s">
        <v>206</v>
      </c>
      <c r="B780" s="22"/>
      <c r="C780" s="22">
        <v>1044.99</v>
      </c>
      <c r="D780" s="26"/>
      <c r="H780" s="11" t="str">
        <f t="shared" si="29"/>
        <v>2nd Pay Period ending 22/11/2022</v>
      </c>
      <c r="M780" s="22">
        <v>18953</v>
      </c>
      <c r="T780" s="35">
        <f t="shared" si="30"/>
        <v>0</v>
      </c>
    </row>
    <row r="781" spans="1:20" ht="12.75" customHeight="1" x14ac:dyDescent="0.25">
      <c r="A781" s="66" t="s">
        <v>206</v>
      </c>
      <c r="B781" s="22"/>
      <c r="C781" s="22">
        <v>2206.98</v>
      </c>
      <c r="D781" s="26"/>
      <c r="H781" s="11" t="str">
        <f t="shared" si="29"/>
        <v>2nd Pay Period ending 22/11/2022</v>
      </c>
      <c r="M781" s="22">
        <v>18561</v>
      </c>
      <c r="T781" s="35">
        <f t="shared" si="30"/>
        <v>0</v>
      </c>
    </row>
    <row r="782" spans="1:20" ht="12.75" customHeight="1" x14ac:dyDescent="0.25">
      <c r="A782" s="66" t="s">
        <v>206</v>
      </c>
      <c r="B782" s="22"/>
      <c r="C782" s="22">
        <v>1485.27</v>
      </c>
      <c r="D782" s="26"/>
      <c r="H782" s="11" t="str">
        <f t="shared" si="29"/>
        <v>2nd Pay Period ending 22/11/2022</v>
      </c>
      <c r="M782" s="22">
        <v>18792</v>
      </c>
      <c r="T782" s="35">
        <f t="shared" si="30"/>
        <v>0</v>
      </c>
    </row>
    <row r="783" spans="1:20" ht="12.75" customHeight="1" x14ac:dyDescent="0.25">
      <c r="A783" s="66" t="s">
        <v>206</v>
      </c>
      <c r="B783" s="22"/>
      <c r="C783" s="22">
        <v>740.12</v>
      </c>
      <c r="D783" s="26"/>
      <c r="H783" s="11" t="str">
        <f t="shared" si="29"/>
        <v>2nd Pay Period ending 22/11/2022</v>
      </c>
      <c r="M783" s="22">
        <v>18506</v>
      </c>
      <c r="T783" s="35">
        <f t="shared" si="30"/>
        <v>0</v>
      </c>
    </row>
    <row r="784" spans="1:20" ht="12.75" customHeight="1" x14ac:dyDescent="0.25">
      <c r="A784" s="66" t="s">
        <v>206</v>
      </c>
      <c r="B784" s="22"/>
      <c r="C784" s="22">
        <v>559.99</v>
      </c>
      <c r="D784" s="26"/>
      <c r="H784" s="11" t="str">
        <f t="shared" si="29"/>
        <v>2nd Pay Period ending 22/11/2022</v>
      </c>
      <c r="M784" s="22">
        <v>156</v>
      </c>
      <c r="T784" s="35">
        <f t="shared" si="30"/>
        <v>0</v>
      </c>
    </row>
    <row r="785" spans="1:20" ht="12.75" customHeight="1" x14ac:dyDescent="0.25">
      <c r="A785" s="66" t="s">
        <v>206</v>
      </c>
      <c r="B785" s="22"/>
      <c r="C785" s="22">
        <v>361.08</v>
      </c>
      <c r="D785" s="26"/>
      <c r="H785" s="11" t="str">
        <f t="shared" si="29"/>
        <v>2nd Pay Period ending 22/11/2022</v>
      </c>
      <c r="M785" s="22">
        <v>19043</v>
      </c>
      <c r="T785" s="35">
        <f t="shared" si="30"/>
        <v>0</v>
      </c>
    </row>
    <row r="786" spans="1:20" ht="12.75" customHeight="1" x14ac:dyDescent="0.25">
      <c r="A786" s="66" t="s">
        <v>206</v>
      </c>
      <c r="B786" s="22"/>
      <c r="C786" s="22">
        <v>905.12</v>
      </c>
      <c r="D786" s="26"/>
      <c r="H786" s="11" t="str">
        <f t="shared" si="29"/>
        <v>2nd Pay Period ending 22/11/2022</v>
      </c>
      <c r="M786" s="22">
        <v>19037</v>
      </c>
      <c r="T786" s="35">
        <f t="shared" si="30"/>
        <v>0</v>
      </c>
    </row>
    <row r="787" spans="1:20" ht="12.75" customHeight="1" x14ac:dyDescent="0.25">
      <c r="A787" s="66" t="s">
        <v>206</v>
      </c>
      <c r="B787" s="22"/>
      <c r="C787" s="22">
        <v>2494.9299999999998</v>
      </c>
      <c r="D787" s="26"/>
      <c r="H787" s="11" t="str">
        <f t="shared" si="29"/>
        <v>2nd Pay Period ending 22/11/2022</v>
      </c>
      <c r="M787" s="22">
        <v>18876</v>
      </c>
      <c r="T787" s="35">
        <f t="shared" si="30"/>
        <v>0</v>
      </c>
    </row>
    <row r="788" spans="1:20" ht="12.75" customHeight="1" x14ac:dyDescent="0.25">
      <c r="A788" s="66" t="s">
        <v>210</v>
      </c>
      <c r="B788" s="22"/>
      <c r="C788" s="22">
        <v>165</v>
      </c>
      <c r="D788" s="26"/>
      <c r="H788" s="11" t="str">
        <f t="shared" si="29"/>
        <v>2nd Pay Period ending 22/11/2022</v>
      </c>
      <c r="M788" s="22">
        <v>18726</v>
      </c>
      <c r="T788" s="35">
        <f t="shared" si="30"/>
        <v>0</v>
      </c>
    </row>
    <row r="789" spans="1:20" ht="12.75" customHeight="1" x14ac:dyDescent="0.25">
      <c r="A789" s="66" t="s">
        <v>210</v>
      </c>
      <c r="B789" s="22"/>
      <c r="C789" s="22">
        <v>300</v>
      </c>
      <c r="D789" s="26"/>
      <c r="H789" s="11" t="str">
        <f t="shared" si="29"/>
        <v>2nd Pay Period ending 22/11/2022</v>
      </c>
      <c r="M789" s="22">
        <v>18946</v>
      </c>
      <c r="T789" s="35">
        <f t="shared" si="30"/>
        <v>0</v>
      </c>
    </row>
    <row r="790" spans="1:20" ht="12.75" customHeight="1" x14ac:dyDescent="0.25">
      <c r="A790" s="66" t="s">
        <v>210</v>
      </c>
      <c r="B790" s="22"/>
      <c r="C790" s="22">
        <v>75</v>
      </c>
      <c r="D790" s="26"/>
      <c r="H790" s="11" t="str">
        <f t="shared" si="29"/>
        <v>2nd Pay Period ending 22/11/2022</v>
      </c>
      <c r="M790" s="22">
        <v>220</v>
      </c>
      <c r="T790" s="35">
        <f t="shared" si="30"/>
        <v>0</v>
      </c>
    </row>
    <row r="791" spans="1:20" ht="12.75" customHeight="1" x14ac:dyDescent="0.25">
      <c r="A791" s="66" t="s">
        <v>210</v>
      </c>
      <c r="B791" s="22"/>
      <c r="C791" s="22">
        <v>400</v>
      </c>
      <c r="D791" s="26"/>
      <c r="H791" s="11" t="str">
        <f t="shared" si="29"/>
        <v>2nd Pay Period ending 22/11/2022</v>
      </c>
      <c r="M791" s="22">
        <v>18968</v>
      </c>
      <c r="T791" s="35">
        <f t="shared" si="30"/>
        <v>0</v>
      </c>
    </row>
    <row r="792" spans="1:20" ht="12.75" customHeight="1" x14ac:dyDescent="0.25">
      <c r="A792" s="66" t="s">
        <v>210</v>
      </c>
      <c r="B792" s="22"/>
      <c r="C792" s="22">
        <v>780</v>
      </c>
      <c r="D792" s="26"/>
      <c r="H792" s="11" t="str">
        <f t="shared" si="29"/>
        <v>2nd Pay Period ending 22/11/2022</v>
      </c>
      <c r="M792" s="22">
        <v>18550</v>
      </c>
      <c r="T792" s="35">
        <f t="shared" si="30"/>
        <v>0</v>
      </c>
    </row>
    <row r="793" spans="1:20" ht="12.75" customHeight="1" x14ac:dyDescent="0.25">
      <c r="A793" s="66" t="s">
        <v>210</v>
      </c>
      <c r="B793" s="22"/>
      <c r="C793" s="22">
        <v>860</v>
      </c>
      <c r="D793" s="26"/>
      <c r="H793" s="11" t="str">
        <f t="shared" si="29"/>
        <v>2nd Pay Period ending 22/11/2022</v>
      </c>
      <c r="M793" s="22">
        <v>18957</v>
      </c>
      <c r="T793" s="35">
        <f t="shared" si="30"/>
        <v>0</v>
      </c>
    </row>
    <row r="794" spans="1:20" ht="12.75" customHeight="1" x14ac:dyDescent="0.25">
      <c r="A794" s="66" t="s">
        <v>210</v>
      </c>
      <c r="B794" s="22"/>
      <c r="C794" s="22">
        <v>150</v>
      </c>
      <c r="D794" s="26"/>
      <c r="H794" s="11" t="str">
        <f t="shared" si="29"/>
        <v>2nd Pay Period ending 22/11/2022</v>
      </c>
      <c r="M794" s="22">
        <v>261</v>
      </c>
      <c r="T794" s="35">
        <f t="shared" si="30"/>
        <v>0</v>
      </c>
    </row>
    <row r="795" spans="1:20" ht="12.75" customHeight="1" x14ac:dyDescent="0.25">
      <c r="A795" s="66" t="s">
        <v>210</v>
      </c>
      <c r="B795" s="22"/>
      <c r="C795" s="22">
        <v>565.39</v>
      </c>
      <c r="D795" s="26"/>
      <c r="H795" s="11" t="str">
        <f t="shared" si="29"/>
        <v>2nd Pay Period ending 22/11/2022</v>
      </c>
      <c r="M795" s="22">
        <v>18517</v>
      </c>
      <c r="T795" s="35">
        <f t="shared" si="30"/>
        <v>0</v>
      </c>
    </row>
    <row r="796" spans="1:20" ht="12.75" customHeight="1" x14ac:dyDescent="0.25">
      <c r="A796" s="66" t="s">
        <v>210</v>
      </c>
      <c r="B796" s="22"/>
      <c r="C796" s="22">
        <v>444.23</v>
      </c>
      <c r="D796" s="26"/>
      <c r="H796" s="11" t="str">
        <f t="shared" si="29"/>
        <v>2nd Pay Period ending 22/11/2022</v>
      </c>
      <c r="M796" s="22">
        <v>18871</v>
      </c>
      <c r="T796" s="35">
        <f t="shared" si="30"/>
        <v>0</v>
      </c>
    </row>
    <row r="797" spans="1:20" ht="12.75" customHeight="1" x14ac:dyDescent="0.25">
      <c r="A797" s="66" t="s">
        <v>210</v>
      </c>
      <c r="B797" s="22"/>
      <c r="C797" s="22">
        <v>437.55</v>
      </c>
      <c r="D797" s="26"/>
      <c r="H797" s="11" t="str">
        <f t="shared" si="29"/>
        <v>2nd Pay Period ending 22/11/2022</v>
      </c>
      <c r="M797" s="22">
        <v>18647</v>
      </c>
      <c r="T797" s="35">
        <f t="shared" si="30"/>
        <v>0</v>
      </c>
    </row>
    <row r="798" spans="1:20" ht="12.75" customHeight="1" x14ac:dyDescent="0.25">
      <c r="A798" s="66" t="s">
        <v>210</v>
      </c>
      <c r="B798" s="22"/>
      <c r="C798" s="22">
        <v>102.98</v>
      </c>
      <c r="D798" s="26"/>
      <c r="H798" s="11" t="str">
        <f t="shared" si="29"/>
        <v>2nd Pay Period ending 22/11/2022</v>
      </c>
      <c r="M798" s="22">
        <v>18726</v>
      </c>
      <c r="T798" s="35">
        <f t="shared" si="30"/>
        <v>0</v>
      </c>
    </row>
    <row r="799" spans="1:20" ht="12.75" customHeight="1" x14ac:dyDescent="0.25">
      <c r="A799" s="66" t="s">
        <v>210</v>
      </c>
      <c r="B799" s="22"/>
      <c r="C799" s="22">
        <v>403.85</v>
      </c>
      <c r="D799" s="26"/>
      <c r="H799" s="11" t="str">
        <f t="shared" si="29"/>
        <v>2nd Pay Period ending 22/11/2022</v>
      </c>
      <c r="M799" s="22">
        <v>152</v>
      </c>
      <c r="T799" s="35">
        <f t="shared" si="30"/>
        <v>0</v>
      </c>
    </row>
    <row r="800" spans="1:20" ht="12.75" customHeight="1" x14ac:dyDescent="0.25">
      <c r="A800" s="66" t="s">
        <v>210</v>
      </c>
      <c r="B800" s="22"/>
      <c r="C800" s="22">
        <v>262.5</v>
      </c>
      <c r="D800" s="26"/>
      <c r="H800" s="11" t="str">
        <f t="shared" si="29"/>
        <v>2nd Pay Period ending 22/11/2022</v>
      </c>
      <c r="M800" s="22">
        <v>19014</v>
      </c>
      <c r="T800" s="35">
        <f t="shared" si="30"/>
        <v>0</v>
      </c>
    </row>
    <row r="801" spans="1:20" ht="12.75" customHeight="1" x14ac:dyDescent="0.25">
      <c r="A801" s="66" t="s">
        <v>210</v>
      </c>
      <c r="B801" s="22"/>
      <c r="C801" s="22">
        <v>61.44</v>
      </c>
      <c r="D801" s="26"/>
      <c r="H801" s="11" t="str">
        <f t="shared" si="29"/>
        <v>2nd Pay Period ending 22/11/2022</v>
      </c>
      <c r="M801" s="22">
        <v>18736</v>
      </c>
      <c r="T801" s="35">
        <f t="shared" si="30"/>
        <v>0</v>
      </c>
    </row>
    <row r="802" spans="1:20" ht="12.75" customHeight="1" x14ac:dyDescent="0.25">
      <c r="A802" s="66" t="s">
        <v>210</v>
      </c>
      <c r="B802" s="22"/>
      <c r="C802" s="22">
        <v>323.08</v>
      </c>
      <c r="D802" s="26"/>
      <c r="H802" s="11" t="str">
        <f t="shared" si="29"/>
        <v>2nd Pay Period ending 22/11/2022</v>
      </c>
      <c r="M802" s="22">
        <v>18987</v>
      </c>
      <c r="T802" s="35">
        <f t="shared" si="30"/>
        <v>0</v>
      </c>
    </row>
    <row r="803" spans="1:20" ht="12.75" customHeight="1" x14ac:dyDescent="0.25">
      <c r="A803" s="66" t="s">
        <v>210</v>
      </c>
      <c r="B803" s="22"/>
      <c r="C803" s="22">
        <v>282.69</v>
      </c>
      <c r="D803" s="26"/>
      <c r="H803" s="11" t="str">
        <f t="shared" si="29"/>
        <v>2nd Pay Period ending 22/11/2022</v>
      </c>
      <c r="M803" s="22">
        <v>18988</v>
      </c>
      <c r="T803" s="35">
        <f t="shared" si="30"/>
        <v>0</v>
      </c>
    </row>
    <row r="804" spans="1:20" ht="12.75" customHeight="1" x14ac:dyDescent="0.25">
      <c r="A804" s="66" t="s">
        <v>210</v>
      </c>
      <c r="B804" s="22"/>
      <c r="C804" s="22">
        <v>242.31</v>
      </c>
      <c r="D804" s="26"/>
      <c r="H804" s="11" t="str">
        <f t="shared" si="29"/>
        <v>2nd Pay Period ending 22/11/2022</v>
      </c>
      <c r="M804" s="22">
        <v>18995</v>
      </c>
      <c r="T804" s="35">
        <f t="shared" si="30"/>
        <v>0</v>
      </c>
    </row>
    <row r="805" spans="1:20" ht="12.75" customHeight="1" x14ac:dyDescent="0.25">
      <c r="A805" s="66" t="s">
        <v>210</v>
      </c>
      <c r="B805" s="22"/>
      <c r="C805" s="22">
        <v>500.77</v>
      </c>
      <c r="D805" s="26"/>
      <c r="H805" s="11" t="str">
        <f t="shared" si="29"/>
        <v>2nd Pay Period ending 22/11/2022</v>
      </c>
      <c r="M805" s="22">
        <v>18920</v>
      </c>
      <c r="T805" s="35">
        <f t="shared" si="30"/>
        <v>0</v>
      </c>
    </row>
    <row r="806" spans="1:20" ht="12.75" customHeight="1" x14ac:dyDescent="0.25">
      <c r="A806" s="66" t="s">
        <v>210</v>
      </c>
      <c r="B806" s="22"/>
      <c r="C806" s="22">
        <v>294.81</v>
      </c>
      <c r="D806" s="26"/>
      <c r="H806" s="11" t="str">
        <f t="shared" si="29"/>
        <v>2nd Pay Period ending 22/11/2022</v>
      </c>
      <c r="M806" s="22">
        <v>18721</v>
      </c>
      <c r="T806" s="35">
        <f t="shared" si="30"/>
        <v>0</v>
      </c>
    </row>
    <row r="807" spans="1:20" ht="12.75" customHeight="1" x14ac:dyDescent="0.25">
      <c r="A807" s="66" t="s">
        <v>210</v>
      </c>
      <c r="B807" s="22"/>
      <c r="C807" s="22">
        <v>253.51</v>
      </c>
      <c r="D807" s="26"/>
      <c r="H807" s="11" t="str">
        <f t="shared" si="29"/>
        <v>2nd Pay Period ending 22/11/2022</v>
      </c>
      <c r="M807" s="22">
        <v>18946</v>
      </c>
      <c r="T807" s="35">
        <f t="shared" si="30"/>
        <v>0</v>
      </c>
    </row>
    <row r="808" spans="1:20" ht="12.75" customHeight="1" x14ac:dyDescent="0.25">
      <c r="A808" s="66" t="s">
        <v>210</v>
      </c>
      <c r="B808" s="22"/>
      <c r="C808" s="22">
        <v>337.9</v>
      </c>
      <c r="D808" s="26"/>
      <c r="H808" s="11" t="str">
        <f t="shared" si="29"/>
        <v>2nd Pay Period ending 22/11/2022</v>
      </c>
      <c r="M808" s="22">
        <v>220</v>
      </c>
      <c r="T808" s="35">
        <f t="shared" si="30"/>
        <v>0</v>
      </c>
    </row>
    <row r="809" spans="1:20" ht="12.75" customHeight="1" x14ac:dyDescent="0.25">
      <c r="A809" s="66" t="s">
        <v>210</v>
      </c>
      <c r="B809" s="22"/>
      <c r="C809" s="22">
        <v>274.62</v>
      </c>
      <c r="D809" s="26"/>
      <c r="H809" s="11" t="str">
        <f t="shared" si="29"/>
        <v>2nd Pay Period ending 22/11/2022</v>
      </c>
      <c r="M809" s="22">
        <v>18948</v>
      </c>
      <c r="T809" s="35">
        <f t="shared" si="30"/>
        <v>0</v>
      </c>
    </row>
    <row r="810" spans="1:20" ht="12.75" customHeight="1" x14ac:dyDescent="0.25">
      <c r="A810" s="66" t="s">
        <v>210</v>
      </c>
      <c r="B810" s="22"/>
      <c r="C810" s="22">
        <v>565.39</v>
      </c>
      <c r="D810" s="26"/>
      <c r="H810" s="11" t="str">
        <f t="shared" si="29"/>
        <v>2nd Pay Period ending 22/11/2022</v>
      </c>
      <c r="M810" s="22">
        <v>18716</v>
      </c>
      <c r="T810" s="35">
        <f t="shared" si="30"/>
        <v>0</v>
      </c>
    </row>
    <row r="811" spans="1:20" ht="12.75" customHeight="1" x14ac:dyDescent="0.25">
      <c r="A811" s="66" t="s">
        <v>210</v>
      </c>
      <c r="B811" s="22"/>
      <c r="C811" s="22">
        <v>565.39</v>
      </c>
      <c r="D811" s="26"/>
      <c r="H811" s="11" t="str">
        <f t="shared" si="29"/>
        <v>2nd Pay Period ending 22/11/2022</v>
      </c>
      <c r="M811" s="22">
        <v>18969</v>
      </c>
      <c r="T811" s="35">
        <f t="shared" si="30"/>
        <v>0</v>
      </c>
    </row>
    <row r="812" spans="1:20" ht="12.75" customHeight="1" x14ac:dyDescent="0.25">
      <c r="A812" s="66" t="s">
        <v>210</v>
      </c>
      <c r="B812" s="22"/>
      <c r="C812" s="22">
        <v>274.62</v>
      </c>
      <c r="D812" s="26"/>
      <c r="H812" s="11" t="str">
        <f t="shared" si="29"/>
        <v>2nd Pay Period ending 22/11/2022</v>
      </c>
      <c r="M812" s="22">
        <v>18862</v>
      </c>
      <c r="T812" s="35">
        <f t="shared" si="30"/>
        <v>0</v>
      </c>
    </row>
    <row r="813" spans="1:20" ht="12.75" customHeight="1" x14ac:dyDescent="0.25">
      <c r="A813" s="66" t="s">
        <v>210</v>
      </c>
      <c r="B813" s="22"/>
      <c r="C813" s="22">
        <v>857.42</v>
      </c>
      <c r="D813" s="26"/>
      <c r="H813" s="11" t="str">
        <f t="shared" si="29"/>
        <v>2nd Pay Period ending 22/11/2022</v>
      </c>
      <c r="M813" s="22">
        <v>18886</v>
      </c>
      <c r="T813" s="35">
        <f t="shared" si="30"/>
        <v>0</v>
      </c>
    </row>
    <row r="814" spans="1:20" ht="12.75" customHeight="1" x14ac:dyDescent="0.25">
      <c r="A814" s="66" t="s">
        <v>210</v>
      </c>
      <c r="B814" s="22"/>
      <c r="C814" s="22">
        <v>327.11</v>
      </c>
      <c r="D814" s="26"/>
      <c r="H814" s="11" t="str">
        <f t="shared" si="29"/>
        <v>2nd Pay Period ending 22/11/2022</v>
      </c>
      <c r="M814" s="22">
        <v>19003</v>
      </c>
      <c r="T814" s="35">
        <f t="shared" si="30"/>
        <v>0</v>
      </c>
    </row>
    <row r="815" spans="1:20" ht="12.75" customHeight="1" x14ac:dyDescent="0.25">
      <c r="A815" s="66" t="s">
        <v>210</v>
      </c>
      <c r="B815" s="22"/>
      <c r="C815" s="22">
        <v>262.5</v>
      </c>
      <c r="D815" s="26"/>
      <c r="H815" s="11" t="str">
        <f t="shared" si="29"/>
        <v>2nd Pay Period ending 22/11/2022</v>
      </c>
      <c r="M815" s="22">
        <v>19025</v>
      </c>
      <c r="T815" s="35">
        <f t="shared" si="30"/>
        <v>0</v>
      </c>
    </row>
    <row r="816" spans="1:20" ht="12.75" customHeight="1" x14ac:dyDescent="0.25">
      <c r="A816" s="66" t="s">
        <v>210</v>
      </c>
      <c r="B816" s="22"/>
      <c r="C816" s="22">
        <v>677.78</v>
      </c>
      <c r="D816" s="26"/>
      <c r="H816" s="11" t="str">
        <f t="shared" si="29"/>
        <v>2nd Pay Period ending 22/11/2022</v>
      </c>
      <c r="M816" s="22">
        <v>18853</v>
      </c>
      <c r="T816" s="35">
        <f t="shared" si="30"/>
        <v>0</v>
      </c>
    </row>
    <row r="817" spans="1:20" ht="12.75" customHeight="1" x14ac:dyDescent="0.25">
      <c r="A817" s="66" t="s">
        <v>210</v>
      </c>
      <c r="B817" s="22"/>
      <c r="C817" s="22">
        <v>282.69</v>
      </c>
      <c r="D817" s="26"/>
      <c r="H817" s="11" t="str">
        <f t="shared" si="29"/>
        <v>2nd Pay Period ending 22/11/2022</v>
      </c>
      <c r="M817" s="22">
        <v>18968</v>
      </c>
      <c r="T817" s="35">
        <f t="shared" si="30"/>
        <v>0</v>
      </c>
    </row>
    <row r="818" spans="1:20" ht="12.75" customHeight="1" x14ac:dyDescent="0.25">
      <c r="A818" s="66" t="s">
        <v>210</v>
      </c>
      <c r="B818" s="22"/>
      <c r="C818" s="22">
        <v>272.56</v>
      </c>
      <c r="D818" s="26"/>
      <c r="H818" s="11" t="str">
        <f t="shared" si="29"/>
        <v>2nd Pay Period ending 22/11/2022</v>
      </c>
      <c r="M818" s="22">
        <v>18550</v>
      </c>
      <c r="T818" s="35">
        <f t="shared" si="30"/>
        <v>0</v>
      </c>
    </row>
    <row r="819" spans="1:20" ht="12.75" customHeight="1" x14ac:dyDescent="0.25">
      <c r="A819" s="66" t="s">
        <v>210</v>
      </c>
      <c r="B819" s="22"/>
      <c r="C819" s="22">
        <v>343.27</v>
      </c>
      <c r="D819" s="26"/>
      <c r="H819" s="11" t="str">
        <f t="shared" si="29"/>
        <v>2nd Pay Period ending 22/11/2022</v>
      </c>
      <c r="M819" s="22">
        <v>18741</v>
      </c>
      <c r="T819" s="35">
        <f t="shared" si="30"/>
        <v>0</v>
      </c>
    </row>
    <row r="820" spans="1:20" ht="12.75" customHeight="1" x14ac:dyDescent="0.25">
      <c r="A820" s="66" t="s">
        <v>210</v>
      </c>
      <c r="B820" s="22"/>
      <c r="C820" s="22">
        <v>221.9</v>
      </c>
      <c r="D820" s="26"/>
      <c r="H820" s="11" t="str">
        <f t="shared" si="29"/>
        <v>2nd Pay Period ending 22/11/2022</v>
      </c>
      <c r="M820" s="22">
        <v>19022</v>
      </c>
      <c r="T820" s="35">
        <f t="shared" si="30"/>
        <v>0</v>
      </c>
    </row>
    <row r="821" spans="1:20" ht="12.75" customHeight="1" x14ac:dyDescent="0.25">
      <c r="A821" s="66" t="s">
        <v>210</v>
      </c>
      <c r="B821" s="22"/>
      <c r="C821" s="22">
        <v>266.14</v>
      </c>
      <c r="D821" s="26"/>
      <c r="H821" s="11" t="str">
        <f t="shared" si="29"/>
        <v>2nd Pay Period ending 22/11/2022</v>
      </c>
      <c r="M821" s="22">
        <v>18619</v>
      </c>
      <c r="T821" s="35">
        <f t="shared" si="30"/>
        <v>0</v>
      </c>
    </row>
    <row r="822" spans="1:20" ht="12.75" customHeight="1" x14ac:dyDescent="0.25">
      <c r="A822" s="66" t="s">
        <v>210</v>
      </c>
      <c r="B822" s="22"/>
      <c r="C822" s="22">
        <v>269.19</v>
      </c>
      <c r="D822" s="26"/>
      <c r="H822" s="11" t="str">
        <f t="shared" si="29"/>
        <v>2nd Pay Period ending 22/11/2022</v>
      </c>
      <c r="M822" s="22">
        <v>18836</v>
      </c>
      <c r="T822" s="35">
        <f t="shared" si="30"/>
        <v>0</v>
      </c>
    </row>
    <row r="823" spans="1:20" ht="12.75" customHeight="1" x14ac:dyDescent="0.25">
      <c r="A823" s="66" t="s">
        <v>210</v>
      </c>
      <c r="B823" s="22"/>
      <c r="C823" s="22">
        <v>131.78</v>
      </c>
      <c r="D823" s="26"/>
      <c r="H823" s="11" t="str">
        <f t="shared" si="29"/>
        <v>2nd Pay Period ending 22/11/2022</v>
      </c>
      <c r="M823" s="22">
        <v>19040</v>
      </c>
      <c r="T823" s="35">
        <f t="shared" si="30"/>
        <v>0</v>
      </c>
    </row>
    <row r="824" spans="1:20" ht="12.75" customHeight="1" x14ac:dyDescent="0.25">
      <c r="A824" s="66" t="s">
        <v>210</v>
      </c>
      <c r="B824" s="22"/>
      <c r="C824" s="22">
        <v>133.27000000000001</v>
      </c>
      <c r="D824" s="26"/>
      <c r="H824" s="11" t="str">
        <f t="shared" si="29"/>
        <v>2nd Pay Period ending 22/11/2022</v>
      </c>
      <c r="M824" s="22">
        <v>18893</v>
      </c>
      <c r="T824" s="35">
        <f t="shared" si="30"/>
        <v>0</v>
      </c>
    </row>
    <row r="825" spans="1:20" ht="12.75" customHeight="1" x14ac:dyDescent="0.25">
      <c r="A825" s="66" t="s">
        <v>210</v>
      </c>
      <c r="B825" s="22"/>
      <c r="C825" s="22">
        <v>272.01</v>
      </c>
      <c r="D825" s="26"/>
      <c r="H825" s="11" t="str">
        <f t="shared" si="29"/>
        <v>2nd Pay Period ending 22/11/2022</v>
      </c>
      <c r="M825" s="22">
        <v>18957</v>
      </c>
      <c r="T825" s="35">
        <f t="shared" si="30"/>
        <v>0</v>
      </c>
    </row>
    <row r="826" spans="1:20" ht="12.75" customHeight="1" x14ac:dyDescent="0.25">
      <c r="A826" s="66" t="s">
        <v>210</v>
      </c>
      <c r="B826" s="22"/>
      <c r="C826" s="22">
        <v>263.82</v>
      </c>
      <c r="D826" s="26"/>
      <c r="H826" s="11" t="str">
        <f t="shared" si="29"/>
        <v>2nd Pay Period ending 22/11/2022</v>
      </c>
      <c r="M826" s="22">
        <v>18866</v>
      </c>
      <c r="T826" s="35">
        <f t="shared" si="30"/>
        <v>0</v>
      </c>
    </row>
    <row r="827" spans="1:20" ht="12.75" customHeight="1" x14ac:dyDescent="0.25">
      <c r="A827" s="66" t="s">
        <v>210</v>
      </c>
      <c r="B827" s="22"/>
      <c r="C827" s="22">
        <v>282.86</v>
      </c>
      <c r="D827" s="26"/>
      <c r="H827" s="11" t="str">
        <f t="shared" si="29"/>
        <v>2nd Pay Period ending 22/11/2022</v>
      </c>
      <c r="M827" s="22">
        <v>18589</v>
      </c>
      <c r="T827" s="35">
        <f t="shared" si="30"/>
        <v>0</v>
      </c>
    </row>
    <row r="828" spans="1:20" ht="12.75" customHeight="1" x14ac:dyDescent="0.25">
      <c r="A828" s="66" t="s">
        <v>210</v>
      </c>
      <c r="B828" s="22"/>
      <c r="C828" s="22">
        <v>157.93</v>
      </c>
      <c r="D828" s="26"/>
      <c r="H828" s="11" t="str">
        <f t="shared" si="29"/>
        <v>2nd Pay Period ending 22/11/2022</v>
      </c>
      <c r="M828" s="22">
        <v>18831</v>
      </c>
      <c r="T828" s="35">
        <f t="shared" si="30"/>
        <v>0</v>
      </c>
    </row>
    <row r="829" spans="1:20" ht="12.75" customHeight="1" x14ac:dyDescent="0.25">
      <c r="A829" s="66" t="s">
        <v>210</v>
      </c>
      <c r="B829" s="22"/>
      <c r="C829" s="22">
        <v>193.59</v>
      </c>
      <c r="D829" s="26"/>
      <c r="H829" s="11" t="str">
        <f t="shared" si="29"/>
        <v>2nd Pay Period ending 22/11/2022</v>
      </c>
      <c r="M829" s="22">
        <v>18891</v>
      </c>
      <c r="T829" s="35">
        <f t="shared" si="30"/>
        <v>0</v>
      </c>
    </row>
    <row r="830" spans="1:20" ht="12.75" customHeight="1" x14ac:dyDescent="0.25">
      <c r="A830" s="66" t="s">
        <v>210</v>
      </c>
      <c r="B830" s="22"/>
      <c r="C830" s="22">
        <v>244.04</v>
      </c>
      <c r="D830" s="26"/>
      <c r="H830" s="11" t="str">
        <f t="shared" si="29"/>
        <v>2nd Pay Period ending 22/11/2022</v>
      </c>
      <c r="M830" s="22">
        <v>18903</v>
      </c>
      <c r="T830" s="35">
        <f t="shared" si="30"/>
        <v>0</v>
      </c>
    </row>
    <row r="831" spans="1:20" ht="12.75" customHeight="1" x14ac:dyDescent="0.25">
      <c r="A831" s="66" t="s">
        <v>210</v>
      </c>
      <c r="B831" s="22"/>
      <c r="C831" s="22">
        <v>139.13999999999999</v>
      </c>
      <c r="D831" s="26"/>
      <c r="H831" s="11" t="str">
        <f t="shared" si="29"/>
        <v>2nd Pay Period ending 22/11/2022</v>
      </c>
      <c r="M831" s="22">
        <v>18631</v>
      </c>
      <c r="T831" s="35">
        <f t="shared" si="30"/>
        <v>0</v>
      </c>
    </row>
    <row r="832" spans="1:20" ht="12.75" customHeight="1" x14ac:dyDescent="0.25">
      <c r="A832" s="66" t="s">
        <v>210</v>
      </c>
      <c r="B832" s="22"/>
      <c r="C832" s="22">
        <v>274.64999999999998</v>
      </c>
      <c r="D832" s="26"/>
      <c r="H832" s="11" t="str">
        <f t="shared" si="29"/>
        <v>2nd Pay Period ending 22/11/2022</v>
      </c>
      <c r="M832" s="22">
        <v>18879</v>
      </c>
      <c r="T832" s="35">
        <f t="shared" si="30"/>
        <v>0</v>
      </c>
    </row>
    <row r="833" spans="1:20" ht="12.75" customHeight="1" x14ac:dyDescent="0.25">
      <c r="A833" s="66" t="s">
        <v>210</v>
      </c>
      <c r="B833" s="22"/>
      <c r="C833" s="22">
        <v>113.93</v>
      </c>
      <c r="D833" s="26"/>
      <c r="H833" s="11" t="str">
        <f t="shared" si="29"/>
        <v>2nd Pay Period ending 22/11/2022</v>
      </c>
      <c r="M833" s="22">
        <v>18</v>
      </c>
      <c r="T833" s="35">
        <f t="shared" si="30"/>
        <v>0</v>
      </c>
    </row>
    <row r="834" spans="1:20" ht="12.75" customHeight="1" x14ac:dyDescent="0.25">
      <c r="A834" s="66" t="s">
        <v>210</v>
      </c>
      <c r="B834" s="22"/>
      <c r="C834" s="22">
        <v>323.08</v>
      </c>
      <c r="D834" s="26"/>
      <c r="H834" s="11" t="str">
        <f t="shared" si="29"/>
        <v>2nd Pay Period ending 22/11/2022</v>
      </c>
      <c r="M834" s="22">
        <v>18954</v>
      </c>
      <c r="T834" s="35">
        <f t="shared" si="30"/>
        <v>0</v>
      </c>
    </row>
    <row r="835" spans="1:20" ht="12.75" customHeight="1" x14ac:dyDescent="0.25">
      <c r="A835" s="66" t="s">
        <v>210</v>
      </c>
      <c r="B835" s="22"/>
      <c r="C835" s="22">
        <v>304.33999999999997</v>
      </c>
      <c r="D835" s="26"/>
      <c r="H835" s="11" t="str">
        <f t="shared" ref="H835:H898" si="31">$K$1</f>
        <v>2nd Pay Period ending 22/11/2022</v>
      </c>
      <c r="M835" s="22">
        <v>19013</v>
      </c>
      <c r="T835" s="35">
        <f t="shared" si="30"/>
        <v>0</v>
      </c>
    </row>
    <row r="836" spans="1:20" ht="12.75" customHeight="1" x14ac:dyDescent="0.25">
      <c r="A836" s="66" t="s">
        <v>210</v>
      </c>
      <c r="B836" s="22"/>
      <c r="C836" s="22">
        <v>235.71</v>
      </c>
      <c r="D836" s="26"/>
      <c r="H836" s="11" t="str">
        <f t="shared" si="31"/>
        <v>2nd Pay Period ending 22/11/2022</v>
      </c>
      <c r="M836" s="22">
        <v>18630</v>
      </c>
      <c r="T836" s="35">
        <f t="shared" ref="T836:T899" si="32">B836/10*$V$1</f>
        <v>0</v>
      </c>
    </row>
    <row r="837" spans="1:20" ht="12.75" customHeight="1" x14ac:dyDescent="0.25">
      <c r="A837" s="66" t="s">
        <v>210</v>
      </c>
      <c r="B837" s="22"/>
      <c r="C837" s="22">
        <v>424.04</v>
      </c>
      <c r="D837" s="26"/>
      <c r="H837" s="11" t="str">
        <f t="shared" si="31"/>
        <v>2nd Pay Period ending 22/11/2022</v>
      </c>
      <c r="M837" s="22">
        <v>18559</v>
      </c>
      <c r="T837" s="35">
        <f t="shared" si="32"/>
        <v>0</v>
      </c>
    </row>
    <row r="838" spans="1:20" ht="12.75" customHeight="1" x14ac:dyDescent="0.25">
      <c r="A838" s="66" t="s">
        <v>210</v>
      </c>
      <c r="B838" s="22"/>
      <c r="C838" s="22">
        <v>99.19</v>
      </c>
      <c r="D838" s="26"/>
      <c r="H838" s="11" t="str">
        <f t="shared" si="31"/>
        <v>2nd Pay Period ending 22/11/2022</v>
      </c>
      <c r="M838" s="22">
        <v>18960</v>
      </c>
      <c r="T838" s="35">
        <f t="shared" si="32"/>
        <v>0</v>
      </c>
    </row>
    <row r="839" spans="1:20" ht="12.75" customHeight="1" x14ac:dyDescent="0.25">
      <c r="A839" s="66" t="s">
        <v>210</v>
      </c>
      <c r="B839" s="22"/>
      <c r="C839" s="22">
        <v>272.01</v>
      </c>
      <c r="D839" s="26"/>
      <c r="H839" s="11" t="str">
        <f t="shared" si="31"/>
        <v>2nd Pay Period ending 22/11/2022</v>
      </c>
      <c r="M839" s="22">
        <v>18781</v>
      </c>
      <c r="T839" s="35">
        <f t="shared" si="32"/>
        <v>0</v>
      </c>
    </row>
    <row r="840" spans="1:20" ht="12.75" customHeight="1" x14ac:dyDescent="0.25">
      <c r="A840" s="66" t="s">
        <v>210</v>
      </c>
      <c r="B840" s="22"/>
      <c r="C840" s="22">
        <v>144.88</v>
      </c>
      <c r="D840" s="26"/>
      <c r="H840" s="11" t="str">
        <f t="shared" si="31"/>
        <v>2nd Pay Period ending 22/11/2022</v>
      </c>
      <c r="M840" s="22">
        <v>18894</v>
      </c>
      <c r="T840" s="35">
        <f t="shared" si="32"/>
        <v>0</v>
      </c>
    </row>
    <row r="841" spans="1:20" ht="12.75" customHeight="1" x14ac:dyDescent="0.25">
      <c r="A841" s="66" t="s">
        <v>210</v>
      </c>
      <c r="B841" s="22"/>
      <c r="C841" s="22">
        <v>242.13</v>
      </c>
      <c r="D841" s="26"/>
      <c r="H841" s="11" t="str">
        <f t="shared" si="31"/>
        <v>2nd Pay Period ending 22/11/2022</v>
      </c>
      <c r="M841" s="22">
        <v>18687</v>
      </c>
      <c r="T841" s="35">
        <f t="shared" si="32"/>
        <v>0</v>
      </c>
    </row>
    <row r="842" spans="1:20" ht="12.75" customHeight="1" x14ac:dyDescent="0.25">
      <c r="A842" s="66" t="s">
        <v>210</v>
      </c>
      <c r="B842" s="22"/>
      <c r="C842" s="22">
        <v>232</v>
      </c>
      <c r="D842" s="26"/>
      <c r="H842" s="11" t="str">
        <f t="shared" si="31"/>
        <v>2nd Pay Period ending 22/11/2022</v>
      </c>
      <c r="M842" s="22">
        <v>18733</v>
      </c>
      <c r="T842" s="35">
        <f t="shared" si="32"/>
        <v>0</v>
      </c>
    </row>
    <row r="843" spans="1:20" ht="12.75" customHeight="1" x14ac:dyDescent="0.25">
      <c r="A843" s="66" t="s">
        <v>210</v>
      </c>
      <c r="B843" s="22"/>
      <c r="C843" s="22">
        <v>273.7</v>
      </c>
      <c r="D843" s="26"/>
      <c r="H843" s="11" t="str">
        <f t="shared" si="31"/>
        <v>2nd Pay Period ending 22/11/2022</v>
      </c>
      <c r="M843" s="22">
        <v>18967</v>
      </c>
      <c r="T843" s="35">
        <f t="shared" si="32"/>
        <v>0</v>
      </c>
    </row>
    <row r="844" spans="1:20" ht="12.75" customHeight="1" x14ac:dyDescent="0.25">
      <c r="A844" s="66" t="s">
        <v>210</v>
      </c>
      <c r="B844" s="22"/>
      <c r="C844" s="22">
        <v>250.44</v>
      </c>
      <c r="D844" s="26"/>
      <c r="H844" s="11" t="str">
        <f t="shared" si="31"/>
        <v>2nd Pay Period ending 22/11/2022</v>
      </c>
      <c r="M844" s="22">
        <v>18659</v>
      </c>
      <c r="T844" s="35">
        <f t="shared" si="32"/>
        <v>0</v>
      </c>
    </row>
    <row r="845" spans="1:20" ht="12.75" customHeight="1" x14ac:dyDescent="0.25">
      <c r="A845" s="66" t="s">
        <v>210</v>
      </c>
      <c r="B845" s="22"/>
      <c r="C845" s="22">
        <v>187.55</v>
      </c>
      <c r="D845" s="26"/>
      <c r="H845" s="11" t="str">
        <f t="shared" si="31"/>
        <v>2nd Pay Period ending 22/11/2022</v>
      </c>
      <c r="M845" s="22">
        <v>19033</v>
      </c>
      <c r="T845" s="35">
        <f t="shared" si="32"/>
        <v>0</v>
      </c>
    </row>
    <row r="846" spans="1:20" ht="12.75" customHeight="1" x14ac:dyDescent="0.25">
      <c r="A846" s="66" t="s">
        <v>210</v>
      </c>
      <c r="B846" s="22"/>
      <c r="C846" s="22">
        <v>221.4</v>
      </c>
      <c r="D846" s="26"/>
      <c r="H846" s="11" t="str">
        <f t="shared" si="31"/>
        <v>2nd Pay Period ending 22/11/2022</v>
      </c>
      <c r="M846" s="22">
        <v>18892</v>
      </c>
      <c r="T846" s="35">
        <f t="shared" si="32"/>
        <v>0</v>
      </c>
    </row>
    <row r="847" spans="1:20" ht="12.75" customHeight="1" x14ac:dyDescent="0.25">
      <c r="A847" s="66" t="s">
        <v>210</v>
      </c>
      <c r="B847" s="22"/>
      <c r="C847" s="22">
        <v>266.64999999999998</v>
      </c>
      <c r="D847" s="26"/>
      <c r="H847" s="11" t="str">
        <f t="shared" si="31"/>
        <v>2nd Pay Period ending 22/11/2022</v>
      </c>
      <c r="M847" s="22">
        <v>18911</v>
      </c>
      <c r="T847" s="35">
        <f t="shared" si="32"/>
        <v>0</v>
      </c>
    </row>
    <row r="848" spans="1:20" ht="12.75" customHeight="1" x14ac:dyDescent="0.25">
      <c r="A848" s="66" t="s">
        <v>210</v>
      </c>
      <c r="B848" s="22"/>
      <c r="C848" s="22">
        <v>114.82</v>
      </c>
      <c r="D848" s="26"/>
      <c r="H848" s="11" t="str">
        <f t="shared" si="31"/>
        <v>2nd Pay Period ending 22/11/2022</v>
      </c>
      <c r="M848" s="22">
        <v>141</v>
      </c>
      <c r="T848" s="35">
        <f t="shared" si="32"/>
        <v>0</v>
      </c>
    </row>
    <row r="849" spans="1:20" ht="12.75" customHeight="1" x14ac:dyDescent="0.25">
      <c r="A849" s="66" t="s">
        <v>210</v>
      </c>
      <c r="B849" s="22"/>
      <c r="C849" s="22">
        <v>253.52</v>
      </c>
      <c r="D849" s="26"/>
      <c r="H849" s="11" t="str">
        <f t="shared" si="31"/>
        <v>2nd Pay Period ending 22/11/2022</v>
      </c>
      <c r="M849" s="22">
        <v>18961</v>
      </c>
      <c r="T849" s="35">
        <f t="shared" si="32"/>
        <v>0</v>
      </c>
    </row>
    <row r="850" spans="1:20" ht="12.75" customHeight="1" x14ac:dyDescent="0.25">
      <c r="A850" s="66" t="s">
        <v>210</v>
      </c>
      <c r="B850" s="22"/>
      <c r="C850" s="22">
        <v>246.23</v>
      </c>
      <c r="D850" s="26"/>
      <c r="H850" s="11" t="str">
        <f t="shared" si="31"/>
        <v>2nd Pay Period ending 22/11/2022</v>
      </c>
      <c r="M850" s="22">
        <v>145</v>
      </c>
      <c r="T850" s="35">
        <f t="shared" si="32"/>
        <v>0</v>
      </c>
    </row>
    <row r="851" spans="1:20" ht="12.75" customHeight="1" x14ac:dyDescent="0.25">
      <c r="A851" s="66" t="s">
        <v>210</v>
      </c>
      <c r="B851" s="22"/>
      <c r="C851" s="22">
        <v>525</v>
      </c>
      <c r="D851" s="26"/>
      <c r="H851" s="11" t="str">
        <f t="shared" si="31"/>
        <v>2nd Pay Period ending 22/11/2022</v>
      </c>
      <c r="M851" s="22">
        <v>18962</v>
      </c>
      <c r="T851" s="35">
        <f t="shared" si="32"/>
        <v>0</v>
      </c>
    </row>
    <row r="852" spans="1:20" ht="12.75" customHeight="1" x14ac:dyDescent="0.25">
      <c r="A852" s="66" t="s">
        <v>210</v>
      </c>
      <c r="B852" s="22"/>
      <c r="C852" s="22">
        <v>252.49</v>
      </c>
      <c r="D852" s="26"/>
      <c r="H852" s="11" t="str">
        <f t="shared" si="31"/>
        <v>2nd Pay Period ending 22/11/2022</v>
      </c>
      <c r="M852" s="22">
        <v>19007</v>
      </c>
      <c r="T852" s="35">
        <f t="shared" si="32"/>
        <v>0</v>
      </c>
    </row>
    <row r="853" spans="1:20" ht="12.75" customHeight="1" x14ac:dyDescent="0.25">
      <c r="A853" s="66" t="s">
        <v>210</v>
      </c>
      <c r="B853" s="22"/>
      <c r="C853" s="22">
        <v>124.69</v>
      </c>
      <c r="D853" s="26"/>
      <c r="H853" s="11" t="str">
        <f t="shared" si="31"/>
        <v>2nd Pay Period ending 22/11/2022</v>
      </c>
      <c r="M853" s="22">
        <v>19032</v>
      </c>
      <c r="T853" s="35">
        <f t="shared" si="32"/>
        <v>0</v>
      </c>
    </row>
    <row r="854" spans="1:20" ht="12.75" customHeight="1" x14ac:dyDescent="0.25">
      <c r="A854" s="66" t="s">
        <v>210</v>
      </c>
      <c r="B854" s="22"/>
      <c r="C854" s="22">
        <v>238.97</v>
      </c>
      <c r="D854" s="26"/>
      <c r="H854" s="11" t="str">
        <f t="shared" si="31"/>
        <v>2nd Pay Period ending 22/11/2022</v>
      </c>
      <c r="M854" s="22">
        <v>19006</v>
      </c>
      <c r="T854" s="35">
        <f t="shared" si="32"/>
        <v>0</v>
      </c>
    </row>
    <row r="855" spans="1:20" ht="12.75" customHeight="1" x14ac:dyDescent="0.25">
      <c r="A855" s="66" t="s">
        <v>210</v>
      </c>
      <c r="B855" s="22"/>
      <c r="C855" s="22">
        <v>235.48</v>
      </c>
      <c r="D855" s="26"/>
      <c r="H855" s="11" t="str">
        <f t="shared" si="31"/>
        <v>2nd Pay Period ending 22/11/2022</v>
      </c>
      <c r="M855" s="22">
        <v>18999</v>
      </c>
      <c r="T855" s="35">
        <f t="shared" si="32"/>
        <v>0</v>
      </c>
    </row>
    <row r="856" spans="1:20" ht="12.75" customHeight="1" x14ac:dyDescent="0.25">
      <c r="A856" s="66" t="s">
        <v>210</v>
      </c>
      <c r="B856" s="22"/>
      <c r="C856" s="22">
        <v>216.05</v>
      </c>
      <c r="D856" s="26"/>
      <c r="H856" s="11" t="str">
        <f t="shared" si="31"/>
        <v>2nd Pay Period ending 22/11/2022</v>
      </c>
      <c r="M856" s="22">
        <v>19041</v>
      </c>
      <c r="T856" s="35">
        <f t="shared" si="32"/>
        <v>0</v>
      </c>
    </row>
    <row r="857" spans="1:20" ht="12.75" customHeight="1" x14ac:dyDescent="0.25">
      <c r="A857" s="66" t="s">
        <v>210</v>
      </c>
      <c r="B857" s="22"/>
      <c r="C857" s="22">
        <v>308.12</v>
      </c>
      <c r="D857" s="26"/>
      <c r="H857" s="11" t="str">
        <f t="shared" si="31"/>
        <v>2nd Pay Period ending 22/11/2022</v>
      </c>
      <c r="M857" s="22">
        <v>18974</v>
      </c>
      <c r="T857" s="35">
        <f t="shared" si="32"/>
        <v>0</v>
      </c>
    </row>
    <row r="858" spans="1:20" ht="12.75" customHeight="1" x14ac:dyDescent="0.25">
      <c r="A858" s="66" t="s">
        <v>210</v>
      </c>
      <c r="B858" s="22"/>
      <c r="C858" s="22">
        <v>124.69</v>
      </c>
      <c r="D858" s="26"/>
      <c r="H858" s="11" t="str">
        <f t="shared" si="31"/>
        <v>2nd Pay Period ending 22/11/2022</v>
      </c>
      <c r="M858" s="22">
        <v>19026</v>
      </c>
      <c r="T858" s="35">
        <f t="shared" si="32"/>
        <v>0</v>
      </c>
    </row>
    <row r="859" spans="1:20" ht="12.75" customHeight="1" x14ac:dyDescent="0.25">
      <c r="A859" s="66" t="s">
        <v>210</v>
      </c>
      <c r="B859" s="22"/>
      <c r="C859" s="22">
        <v>25.28</v>
      </c>
      <c r="D859" s="26"/>
      <c r="H859" s="11" t="str">
        <f t="shared" si="31"/>
        <v>2nd Pay Period ending 22/11/2022</v>
      </c>
      <c r="M859" s="22">
        <v>19042</v>
      </c>
      <c r="T859" s="35">
        <f t="shared" si="32"/>
        <v>0</v>
      </c>
    </row>
    <row r="860" spans="1:20" ht="12.75" customHeight="1" x14ac:dyDescent="0.25">
      <c r="A860" s="66" t="s">
        <v>210</v>
      </c>
      <c r="B860" s="22"/>
      <c r="C860" s="22">
        <v>197.87</v>
      </c>
      <c r="D860" s="26"/>
      <c r="H860" s="11" t="str">
        <f t="shared" si="31"/>
        <v>2nd Pay Period ending 22/11/2022</v>
      </c>
      <c r="M860" s="22">
        <v>19035</v>
      </c>
      <c r="T860" s="35">
        <f t="shared" si="32"/>
        <v>0</v>
      </c>
    </row>
    <row r="861" spans="1:20" ht="12.75" customHeight="1" x14ac:dyDescent="0.25">
      <c r="A861" s="66" t="s">
        <v>210</v>
      </c>
      <c r="B861" s="22"/>
      <c r="C861" s="22">
        <v>174.47</v>
      </c>
      <c r="D861" s="26"/>
      <c r="H861" s="11" t="str">
        <f t="shared" si="31"/>
        <v>2nd Pay Period ending 22/11/2022</v>
      </c>
      <c r="M861" s="22">
        <v>18973</v>
      </c>
      <c r="T861" s="35">
        <f t="shared" si="32"/>
        <v>0</v>
      </c>
    </row>
    <row r="862" spans="1:20" ht="12.75" customHeight="1" x14ac:dyDescent="0.25">
      <c r="A862" s="66" t="s">
        <v>210</v>
      </c>
      <c r="B862" s="22"/>
      <c r="C862" s="22">
        <v>207.81</v>
      </c>
      <c r="D862" s="26"/>
      <c r="H862" s="11" t="str">
        <f t="shared" si="31"/>
        <v>2nd Pay Period ending 22/11/2022</v>
      </c>
      <c r="M862" s="22">
        <v>19021</v>
      </c>
      <c r="T862" s="35">
        <f t="shared" si="32"/>
        <v>0</v>
      </c>
    </row>
    <row r="863" spans="1:20" ht="12.75" customHeight="1" x14ac:dyDescent="0.25">
      <c r="A863" s="66" t="s">
        <v>210</v>
      </c>
      <c r="B863" s="22"/>
      <c r="C863" s="22">
        <v>202.61</v>
      </c>
      <c r="D863" s="26"/>
      <c r="H863" s="11" t="str">
        <f t="shared" si="31"/>
        <v>2nd Pay Period ending 22/11/2022</v>
      </c>
      <c r="M863" s="22">
        <v>19027</v>
      </c>
      <c r="T863" s="35">
        <f t="shared" si="32"/>
        <v>0</v>
      </c>
    </row>
    <row r="864" spans="1:20" ht="12.75" customHeight="1" x14ac:dyDescent="0.25">
      <c r="A864" s="66" t="s">
        <v>210</v>
      </c>
      <c r="B864" s="22"/>
      <c r="C864" s="22">
        <v>207.58</v>
      </c>
      <c r="D864" s="26"/>
      <c r="H864" s="11" t="str">
        <f t="shared" si="31"/>
        <v>2nd Pay Period ending 22/11/2022</v>
      </c>
      <c r="M864" s="22">
        <v>18980</v>
      </c>
      <c r="T864" s="35">
        <f t="shared" si="32"/>
        <v>0</v>
      </c>
    </row>
    <row r="865" spans="1:20" ht="12.75" customHeight="1" x14ac:dyDescent="0.25">
      <c r="A865" s="66" t="s">
        <v>210</v>
      </c>
      <c r="B865" s="22"/>
      <c r="C865" s="22">
        <v>343.27</v>
      </c>
      <c r="D865" s="26"/>
      <c r="H865" s="11" t="str">
        <f t="shared" si="31"/>
        <v>2nd Pay Period ending 22/11/2022</v>
      </c>
      <c r="M865" s="22">
        <v>19038</v>
      </c>
      <c r="T865" s="35">
        <f t="shared" si="32"/>
        <v>0</v>
      </c>
    </row>
    <row r="866" spans="1:20" ht="12.75" customHeight="1" x14ac:dyDescent="0.25">
      <c r="A866" s="66" t="s">
        <v>210</v>
      </c>
      <c r="B866" s="22"/>
      <c r="C866" s="22">
        <v>332.07</v>
      </c>
      <c r="D866" s="26"/>
      <c r="H866" s="11" t="str">
        <f t="shared" si="31"/>
        <v>2nd Pay Period ending 22/11/2022</v>
      </c>
      <c r="M866" s="22">
        <v>18581</v>
      </c>
      <c r="T866" s="35">
        <f t="shared" si="32"/>
        <v>0</v>
      </c>
    </row>
    <row r="867" spans="1:20" ht="12.75" customHeight="1" x14ac:dyDescent="0.25">
      <c r="A867" s="66" t="s">
        <v>210</v>
      </c>
      <c r="B867" s="22"/>
      <c r="C867" s="22">
        <v>565.39</v>
      </c>
      <c r="D867" s="26"/>
      <c r="H867" s="11" t="str">
        <f t="shared" si="31"/>
        <v>2nd Pay Period ending 22/11/2022</v>
      </c>
      <c r="M867" s="22">
        <v>44705</v>
      </c>
      <c r="T867" s="35">
        <f t="shared" si="32"/>
        <v>0</v>
      </c>
    </row>
    <row r="868" spans="1:20" ht="12.75" customHeight="1" x14ac:dyDescent="0.25">
      <c r="A868" s="66" t="s">
        <v>210</v>
      </c>
      <c r="B868" s="22"/>
      <c r="C868" s="22">
        <v>262.5</v>
      </c>
      <c r="D868" s="26"/>
      <c r="H868" s="11" t="str">
        <f t="shared" si="31"/>
        <v>2nd Pay Period ending 22/11/2022</v>
      </c>
      <c r="M868" s="22">
        <v>19034</v>
      </c>
      <c r="T868" s="35">
        <f t="shared" si="32"/>
        <v>0</v>
      </c>
    </row>
    <row r="869" spans="1:20" ht="12.75" customHeight="1" x14ac:dyDescent="0.25">
      <c r="A869" s="66" t="s">
        <v>210</v>
      </c>
      <c r="B869" s="22"/>
      <c r="C869" s="22">
        <v>242.31</v>
      </c>
      <c r="D869" s="26"/>
      <c r="H869" s="11" t="str">
        <f t="shared" si="31"/>
        <v>2nd Pay Period ending 22/11/2022</v>
      </c>
      <c r="M869" s="22">
        <v>18982</v>
      </c>
      <c r="T869" s="35">
        <f t="shared" si="32"/>
        <v>0</v>
      </c>
    </row>
    <row r="870" spans="1:20" ht="12.75" customHeight="1" x14ac:dyDescent="0.25">
      <c r="A870" s="66" t="s">
        <v>210</v>
      </c>
      <c r="B870" s="22"/>
      <c r="C870" s="22">
        <v>242.31</v>
      </c>
      <c r="D870" s="26"/>
      <c r="H870" s="11" t="str">
        <f t="shared" si="31"/>
        <v>2nd Pay Period ending 22/11/2022</v>
      </c>
      <c r="M870" s="22">
        <v>18805</v>
      </c>
      <c r="T870" s="35">
        <f t="shared" si="32"/>
        <v>0</v>
      </c>
    </row>
    <row r="871" spans="1:20" ht="12.75" customHeight="1" x14ac:dyDescent="0.25">
      <c r="A871" s="66" t="s">
        <v>210</v>
      </c>
      <c r="B871" s="22"/>
      <c r="C871" s="22">
        <v>259.95999999999998</v>
      </c>
      <c r="D871" s="26"/>
      <c r="H871" s="11" t="str">
        <f t="shared" si="31"/>
        <v>2nd Pay Period ending 22/11/2022</v>
      </c>
      <c r="M871" s="22">
        <v>266</v>
      </c>
      <c r="T871" s="35">
        <f t="shared" si="32"/>
        <v>0</v>
      </c>
    </row>
    <row r="872" spans="1:20" ht="12.75" customHeight="1" x14ac:dyDescent="0.25">
      <c r="A872" s="66" t="s">
        <v>210</v>
      </c>
      <c r="B872" s="22"/>
      <c r="C872" s="22">
        <v>226.15</v>
      </c>
      <c r="D872" s="26"/>
      <c r="H872" s="11" t="str">
        <f t="shared" si="31"/>
        <v>2nd Pay Period ending 22/11/2022</v>
      </c>
      <c r="M872" s="22">
        <v>18841</v>
      </c>
      <c r="T872" s="35">
        <f t="shared" si="32"/>
        <v>0</v>
      </c>
    </row>
    <row r="873" spans="1:20" ht="12.75" customHeight="1" x14ac:dyDescent="0.25">
      <c r="A873" s="66" t="s">
        <v>210</v>
      </c>
      <c r="B873" s="22"/>
      <c r="C873" s="22">
        <v>202.78</v>
      </c>
      <c r="D873" s="26"/>
      <c r="H873" s="11" t="str">
        <f t="shared" si="31"/>
        <v>2nd Pay Period ending 22/11/2022</v>
      </c>
      <c r="M873" s="22">
        <v>18949</v>
      </c>
      <c r="T873" s="35">
        <f t="shared" si="32"/>
        <v>0</v>
      </c>
    </row>
    <row r="874" spans="1:20" ht="12.75" customHeight="1" x14ac:dyDescent="0.25">
      <c r="A874" s="66" t="s">
        <v>210</v>
      </c>
      <c r="B874" s="22"/>
      <c r="C874" s="22">
        <v>201.52</v>
      </c>
      <c r="D874" s="26"/>
      <c r="H874" s="11" t="str">
        <f t="shared" si="31"/>
        <v>2nd Pay Period ending 22/11/2022</v>
      </c>
      <c r="M874" s="22">
        <v>18887</v>
      </c>
      <c r="T874" s="35">
        <f t="shared" si="32"/>
        <v>0</v>
      </c>
    </row>
    <row r="875" spans="1:20" ht="12.75" customHeight="1" x14ac:dyDescent="0.25">
      <c r="A875" s="66" t="s">
        <v>210</v>
      </c>
      <c r="B875" s="22"/>
      <c r="C875" s="22">
        <v>209.19</v>
      </c>
      <c r="D875" s="26"/>
      <c r="H875" s="11" t="str">
        <f t="shared" si="31"/>
        <v>2nd Pay Period ending 22/11/2022</v>
      </c>
      <c r="M875" s="22">
        <v>18979</v>
      </c>
      <c r="T875" s="35">
        <f t="shared" si="32"/>
        <v>0</v>
      </c>
    </row>
    <row r="876" spans="1:20" ht="12.75" customHeight="1" x14ac:dyDescent="0.25">
      <c r="A876" s="66" t="s">
        <v>210</v>
      </c>
      <c r="B876" s="22"/>
      <c r="C876" s="22">
        <v>199.63</v>
      </c>
      <c r="D876" s="26"/>
      <c r="H876" s="11" t="str">
        <f t="shared" si="31"/>
        <v>2nd Pay Period ending 22/11/2022</v>
      </c>
      <c r="M876" s="22">
        <v>18918</v>
      </c>
      <c r="T876" s="35">
        <f t="shared" si="32"/>
        <v>0</v>
      </c>
    </row>
    <row r="877" spans="1:20" ht="12.75" customHeight="1" x14ac:dyDescent="0.25">
      <c r="A877" s="66" t="s">
        <v>210</v>
      </c>
      <c r="B877" s="22"/>
      <c r="C877" s="22">
        <v>100.72</v>
      </c>
      <c r="D877" s="26"/>
      <c r="H877" s="11" t="str">
        <f t="shared" si="31"/>
        <v>2nd Pay Period ending 22/11/2022</v>
      </c>
      <c r="M877" s="22">
        <v>134</v>
      </c>
      <c r="T877" s="35">
        <f t="shared" si="32"/>
        <v>0</v>
      </c>
    </row>
    <row r="878" spans="1:20" ht="12.75" customHeight="1" x14ac:dyDescent="0.25">
      <c r="A878" s="66" t="s">
        <v>210</v>
      </c>
      <c r="B878" s="22"/>
      <c r="C878" s="22">
        <v>230.28</v>
      </c>
      <c r="D878" s="26"/>
      <c r="H878" s="11" t="str">
        <f t="shared" si="31"/>
        <v>2nd Pay Period ending 22/11/2022</v>
      </c>
      <c r="M878" s="22">
        <v>18797</v>
      </c>
      <c r="T878" s="35">
        <f t="shared" si="32"/>
        <v>0</v>
      </c>
    </row>
    <row r="879" spans="1:20" ht="12.75" customHeight="1" x14ac:dyDescent="0.25">
      <c r="A879" s="66" t="s">
        <v>210</v>
      </c>
      <c r="B879" s="22"/>
      <c r="C879" s="22">
        <v>251.74</v>
      </c>
      <c r="D879" s="26"/>
      <c r="H879" s="11" t="str">
        <f t="shared" si="31"/>
        <v>2nd Pay Period ending 22/11/2022</v>
      </c>
      <c r="M879" s="22">
        <v>18827</v>
      </c>
      <c r="T879" s="35">
        <f t="shared" si="32"/>
        <v>0</v>
      </c>
    </row>
    <row r="880" spans="1:20" ht="12.75" customHeight="1" x14ac:dyDescent="0.25">
      <c r="A880" s="66" t="s">
        <v>210</v>
      </c>
      <c r="B880" s="22"/>
      <c r="C880" s="22">
        <v>97.55</v>
      </c>
      <c r="D880" s="26"/>
      <c r="H880" s="11" t="str">
        <f t="shared" si="31"/>
        <v>2nd Pay Period ending 22/11/2022</v>
      </c>
      <c r="M880" s="22">
        <v>18929</v>
      </c>
      <c r="T880" s="35">
        <f t="shared" si="32"/>
        <v>0</v>
      </c>
    </row>
    <row r="881" spans="1:20" ht="12.75" customHeight="1" x14ac:dyDescent="0.25">
      <c r="A881" s="66" t="s">
        <v>210</v>
      </c>
      <c r="B881" s="22"/>
      <c r="C881" s="22">
        <v>207.17</v>
      </c>
      <c r="D881" s="26"/>
      <c r="H881" s="11" t="str">
        <f t="shared" si="31"/>
        <v>2nd Pay Period ending 22/11/2022</v>
      </c>
      <c r="M881" s="22">
        <v>18822</v>
      </c>
      <c r="T881" s="35">
        <f t="shared" si="32"/>
        <v>0</v>
      </c>
    </row>
    <row r="882" spans="1:20" ht="12.75" customHeight="1" x14ac:dyDescent="0.25">
      <c r="A882" s="66" t="s">
        <v>210</v>
      </c>
      <c r="B882" s="22"/>
      <c r="C882" s="22">
        <v>363.46</v>
      </c>
      <c r="D882" s="26"/>
      <c r="H882" s="11" t="str">
        <f t="shared" si="31"/>
        <v>2nd Pay Period ending 22/11/2022</v>
      </c>
      <c r="M882" s="22">
        <v>18626</v>
      </c>
      <c r="T882" s="35">
        <f t="shared" si="32"/>
        <v>0</v>
      </c>
    </row>
    <row r="883" spans="1:20" ht="12.75" customHeight="1" x14ac:dyDescent="0.25">
      <c r="A883" s="66" t="s">
        <v>210</v>
      </c>
      <c r="B883" s="22"/>
      <c r="C883" s="22">
        <v>45.46</v>
      </c>
      <c r="D883" s="26"/>
      <c r="H883" s="11" t="str">
        <f t="shared" si="31"/>
        <v>2nd Pay Period ending 22/11/2022</v>
      </c>
      <c r="M883" s="22">
        <v>18793</v>
      </c>
      <c r="T883" s="35">
        <f t="shared" si="32"/>
        <v>0</v>
      </c>
    </row>
    <row r="884" spans="1:20" ht="12.75" customHeight="1" x14ac:dyDescent="0.25">
      <c r="A884" s="66" t="s">
        <v>210</v>
      </c>
      <c r="B884" s="22"/>
      <c r="C884" s="22">
        <v>182.91</v>
      </c>
      <c r="D884" s="26"/>
      <c r="H884" s="11" t="str">
        <f t="shared" si="31"/>
        <v>2nd Pay Period ending 22/11/2022</v>
      </c>
      <c r="M884" s="22">
        <v>18989</v>
      </c>
      <c r="T884" s="35">
        <f t="shared" si="32"/>
        <v>0</v>
      </c>
    </row>
    <row r="885" spans="1:20" ht="12.75" customHeight="1" x14ac:dyDescent="0.25">
      <c r="A885" s="66" t="s">
        <v>210</v>
      </c>
      <c r="B885" s="22"/>
      <c r="C885" s="22">
        <v>184.31</v>
      </c>
      <c r="D885" s="26"/>
      <c r="H885" s="11" t="str">
        <f t="shared" si="31"/>
        <v>2nd Pay Period ending 22/11/2022</v>
      </c>
      <c r="M885" s="22">
        <v>18736</v>
      </c>
      <c r="T885" s="35">
        <f t="shared" si="32"/>
        <v>0</v>
      </c>
    </row>
    <row r="886" spans="1:20" ht="12.75" customHeight="1" x14ac:dyDescent="0.25">
      <c r="A886" s="66" t="s">
        <v>210</v>
      </c>
      <c r="B886" s="22"/>
      <c r="C886" s="22">
        <v>262.16000000000003</v>
      </c>
      <c r="D886" s="26"/>
      <c r="H886" s="11" t="str">
        <f t="shared" si="31"/>
        <v>2nd Pay Period ending 22/11/2022</v>
      </c>
      <c r="M886" s="22">
        <v>18932</v>
      </c>
      <c r="T886" s="35">
        <f t="shared" si="32"/>
        <v>0</v>
      </c>
    </row>
    <row r="887" spans="1:20" ht="12.75" customHeight="1" x14ac:dyDescent="0.25">
      <c r="A887" s="66" t="s">
        <v>210</v>
      </c>
      <c r="B887" s="22"/>
      <c r="C887" s="22">
        <v>184.09</v>
      </c>
      <c r="D887" s="26"/>
      <c r="H887" s="11" t="str">
        <f t="shared" si="31"/>
        <v>2nd Pay Period ending 22/11/2022</v>
      </c>
      <c r="M887" s="22">
        <v>18679</v>
      </c>
      <c r="T887" s="35">
        <f t="shared" si="32"/>
        <v>0</v>
      </c>
    </row>
    <row r="888" spans="1:20" ht="12.75" customHeight="1" x14ac:dyDescent="0.25">
      <c r="A888" s="66" t="s">
        <v>210</v>
      </c>
      <c r="B888" s="22"/>
      <c r="C888" s="22">
        <v>224.74</v>
      </c>
      <c r="D888" s="26"/>
      <c r="H888" s="11" t="str">
        <f t="shared" si="31"/>
        <v>2nd Pay Period ending 22/11/2022</v>
      </c>
      <c r="M888" s="22">
        <v>19030</v>
      </c>
      <c r="T888" s="35">
        <f t="shared" si="32"/>
        <v>0</v>
      </c>
    </row>
    <row r="889" spans="1:20" ht="12.75" customHeight="1" x14ac:dyDescent="0.25">
      <c r="A889" s="66" t="s">
        <v>210</v>
      </c>
      <c r="B889" s="22"/>
      <c r="C889" s="22">
        <v>211.79</v>
      </c>
      <c r="D889" s="26"/>
      <c r="H889" s="11" t="str">
        <f t="shared" si="31"/>
        <v>2nd Pay Period ending 22/11/2022</v>
      </c>
      <c r="M889" s="22">
        <v>19029</v>
      </c>
      <c r="T889" s="35">
        <f t="shared" si="32"/>
        <v>0</v>
      </c>
    </row>
    <row r="890" spans="1:20" ht="12.75" customHeight="1" x14ac:dyDescent="0.25">
      <c r="A890" s="66" t="s">
        <v>210</v>
      </c>
      <c r="B890" s="22"/>
      <c r="C890" s="22">
        <v>148.58000000000001</v>
      </c>
      <c r="D890" s="26"/>
      <c r="H890" s="11" t="str">
        <f t="shared" si="31"/>
        <v>2nd Pay Period ending 22/11/2022</v>
      </c>
      <c r="M890" s="22">
        <v>19008</v>
      </c>
      <c r="T890" s="35">
        <f t="shared" si="32"/>
        <v>0</v>
      </c>
    </row>
    <row r="891" spans="1:20" ht="12.75" customHeight="1" x14ac:dyDescent="0.25">
      <c r="A891" s="66" t="s">
        <v>210</v>
      </c>
      <c r="B891" s="22"/>
      <c r="C891" s="22">
        <v>199.88</v>
      </c>
      <c r="D891" s="26"/>
      <c r="H891" s="11" t="str">
        <f t="shared" si="31"/>
        <v>2nd Pay Period ending 22/11/2022</v>
      </c>
      <c r="M891" s="22">
        <v>19028</v>
      </c>
      <c r="T891" s="35">
        <f t="shared" si="32"/>
        <v>0</v>
      </c>
    </row>
    <row r="892" spans="1:20" ht="12.75" customHeight="1" x14ac:dyDescent="0.25">
      <c r="A892" s="66" t="s">
        <v>210</v>
      </c>
      <c r="B892" s="22"/>
      <c r="C892" s="22">
        <v>219.26</v>
      </c>
      <c r="D892" s="26"/>
      <c r="H892" s="11" t="str">
        <f t="shared" si="31"/>
        <v>2nd Pay Period ending 22/11/2022</v>
      </c>
      <c r="M892" s="22">
        <v>18983</v>
      </c>
      <c r="T892" s="35">
        <f t="shared" si="32"/>
        <v>0</v>
      </c>
    </row>
    <row r="893" spans="1:20" ht="12.75" customHeight="1" x14ac:dyDescent="0.25">
      <c r="A893" s="66" t="s">
        <v>210</v>
      </c>
      <c r="B893" s="22"/>
      <c r="C893" s="22">
        <v>220.02</v>
      </c>
      <c r="D893" s="26"/>
      <c r="H893" s="11" t="str">
        <f t="shared" si="31"/>
        <v>2nd Pay Period ending 22/11/2022</v>
      </c>
      <c r="M893" s="22">
        <v>19015</v>
      </c>
      <c r="T893" s="35">
        <f t="shared" si="32"/>
        <v>0</v>
      </c>
    </row>
    <row r="894" spans="1:20" ht="12.75" customHeight="1" x14ac:dyDescent="0.25">
      <c r="A894" s="66" t="s">
        <v>210</v>
      </c>
      <c r="B894" s="22"/>
      <c r="C894" s="22">
        <v>185.27</v>
      </c>
      <c r="D894" s="26"/>
      <c r="H894" s="11" t="str">
        <f t="shared" si="31"/>
        <v>2nd Pay Period ending 22/11/2022</v>
      </c>
      <c r="M894" s="22">
        <v>18923</v>
      </c>
      <c r="N894" s="37"/>
      <c r="T894" s="35">
        <f t="shared" si="32"/>
        <v>0</v>
      </c>
    </row>
    <row r="895" spans="1:20" ht="12.75" customHeight="1" x14ac:dyDescent="0.25">
      <c r="A895" s="66" t="s">
        <v>210</v>
      </c>
      <c r="B895" s="22"/>
      <c r="C895" s="22">
        <v>245.62</v>
      </c>
      <c r="D895" s="26"/>
      <c r="H895" s="11" t="str">
        <f t="shared" si="31"/>
        <v>2nd Pay Period ending 22/11/2022</v>
      </c>
      <c r="M895" s="22">
        <v>18829</v>
      </c>
      <c r="N895" s="37"/>
      <c r="T895" s="35">
        <f t="shared" si="32"/>
        <v>0</v>
      </c>
    </row>
    <row r="896" spans="1:20" ht="15" x14ac:dyDescent="0.25">
      <c r="A896" s="66" t="s">
        <v>210</v>
      </c>
      <c r="B896" s="22"/>
      <c r="C896" s="22">
        <v>218.33</v>
      </c>
      <c r="D896" s="26"/>
      <c r="H896" s="11" t="str">
        <f t="shared" si="31"/>
        <v>2nd Pay Period ending 22/11/2022</v>
      </c>
      <c r="M896" s="22">
        <v>19019</v>
      </c>
      <c r="N896" s="37"/>
      <c r="T896" s="35">
        <f t="shared" si="32"/>
        <v>0</v>
      </c>
    </row>
    <row r="897" spans="1:20" ht="12.75" customHeight="1" x14ac:dyDescent="0.25">
      <c r="A897" s="66" t="s">
        <v>210</v>
      </c>
      <c r="B897" s="22"/>
      <c r="C897" s="22">
        <v>192.97</v>
      </c>
      <c r="D897" s="26"/>
      <c r="H897" s="11" t="str">
        <f t="shared" si="31"/>
        <v>2nd Pay Period ending 22/11/2022</v>
      </c>
      <c r="M897" s="22">
        <v>19011</v>
      </c>
      <c r="N897" s="37"/>
      <c r="T897" s="35">
        <f t="shared" si="32"/>
        <v>0</v>
      </c>
    </row>
    <row r="898" spans="1:20" ht="15" x14ac:dyDescent="0.25">
      <c r="A898" s="66" t="s">
        <v>210</v>
      </c>
      <c r="B898" s="22"/>
      <c r="C898" s="22">
        <v>161.76</v>
      </c>
      <c r="D898" s="26"/>
      <c r="H898" s="11" t="str">
        <f t="shared" si="31"/>
        <v>2nd Pay Period ending 22/11/2022</v>
      </c>
      <c r="M898" s="22">
        <v>19017</v>
      </c>
      <c r="N898" s="37"/>
      <c r="T898" s="35">
        <f t="shared" si="32"/>
        <v>0</v>
      </c>
    </row>
    <row r="899" spans="1:20" ht="15" x14ac:dyDescent="0.25">
      <c r="A899" s="66" t="s">
        <v>210</v>
      </c>
      <c r="B899" s="22"/>
      <c r="C899" s="22">
        <v>210.28</v>
      </c>
      <c r="D899" s="26"/>
      <c r="H899" s="11" t="str">
        <f t="shared" ref="H899:H939" si="33">$K$1</f>
        <v>2nd Pay Period ending 22/11/2022</v>
      </c>
      <c r="M899" s="22">
        <v>18607</v>
      </c>
      <c r="N899" s="37"/>
      <c r="T899" s="35">
        <f t="shared" si="32"/>
        <v>0</v>
      </c>
    </row>
    <row r="900" spans="1:20" ht="15" x14ac:dyDescent="0.25">
      <c r="A900" s="66" t="s">
        <v>210</v>
      </c>
      <c r="B900" s="22"/>
      <c r="C900" s="22">
        <v>200.69</v>
      </c>
      <c r="D900" s="26"/>
      <c r="H900" s="11" t="str">
        <f t="shared" si="33"/>
        <v>2nd Pay Period ending 22/11/2022</v>
      </c>
      <c r="M900" s="22">
        <v>19009</v>
      </c>
      <c r="N900" s="37"/>
      <c r="T900" s="35">
        <f t="shared" ref="T900:T950" si="34">B900/10*$V$1</f>
        <v>0</v>
      </c>
    </row>
    <row r="901" spans="1:20" ht="15" x14ac:dyDescent="0.25">
      <c r="A901" s="66" t="s">
        <v>210</v>
      </c>
      <c r="B901" s="22"/>
      <c r="C901" s="22">
        <v>212.25</v>
      </c>
      <c r="D901" s="26"/>
      <c r="H901" s="11" t="str">
        <f t="shared" si="33"/>
        <v>2nd Pay Period ending 22/11/2022</v>
      </c>
      <c r="M901" s="22">
        <v>19012</v>
      </c>
      <c r="N901" s="37"/>
      <c r="T901" s="35">
        <f t="shared" si="34"/>
        <v>0</v>
      </c>
    </row>
    <row r="902" spans="1:20" ht="15" x14ac:dyDescent="0.25">
      <c r="A902" s="66" t="s">
        <v>210</v>
      </c>
      <c r="B902" s="22"/>
      <c r="C902" s="22">
        <v>302.89</v>
      </c>
      <c r="D902" s="26"/>
      <c r="H902" s="11" t="str">
        <f t="shared" si="33"/>
        <v>2nd Pay Period ending 22/11/2022</v>
      </c>
      <c r="M902" s="22">
        <v>18998</v>
      </c>
      <c r="N902" s="38"/>
      <c r="T902" s="35">
        <f t="shared" si="34"/>
        <v>0</v>
      </c>
    </row>
    <row r="903" spans="1:20" ht="15" x14ac:dyDescent="0.25">
      <c r="A903" s="66" t="s">
        <v>210</v>
      </c>
      <c r="B903" s="22"/>
      <c r="C903" s="22">
        <v>310.76</v>
      </c>
      <c r="D903" s="26"/>
      <c r="H903" s="11" t="str">
        <f t="shared" si="33"/>
        <v>2nd Pay Period ending 22/11/2022</v>
      </c>
      <c r="M903" s="22">
        <v>115</v>
      </c>
      <c r="N903" s="38"/>
      <c r="T903" s="35">
        <f t="shared" si="34"/>
        <v>0</v>
      </c>
    </row>
    <row r="904" spans="1:20" ht="15" x14ac:dyDescent="0.25">
      <c r="A904" s="66" t="s">
        <v>210</v>
      </c>
      <c r="B904" s="22"/>
      <c r="C904" s="22">
        <v>323.08</v>
      </c>
      <c r="D904" s="26"/>
      <c r="H904" s="11" t="str">
        <f t="shared" si="33"/>
        <v>2nd Pay Period ending 22/11/2022</v>
      </c>
      <c r="M904" s="22">
        <v>18649</v>
      </c>
      <c r="N904" s="38"/>
      <c r="T904" s="35">
        <f t="shared" si="34"/>
        <v>0</v>
      </c>
    </row>
    <row r="905" spans="1:20" ht="15" x14ac:dyDescent="0.25">
      <c r="A905" s="66" t="s">
        <v>210</v>
      </c>
      <c r="B905" s="22"/>
      <c r="C905" s="22">
        <v>214.44</v>
      </c>
      <c r="D905" s="26"/>
      <c r="H905" s="11" t="str">
        <f t="shared" si="33"/>
        <v>2nd Pay Period ending 22/11/2022</v>
      </c>
      <c r="M905" s="22">
        <v>19020</v>
      </c>
      <c r="N905" s="38"/>
      <c r="T905" s="35">
        <f t="shared" si="34"/>
        <v>0</v>
      </c>
    </row>
    <row r="906" spans="1:20" ht="15" x14ac:dyDescent="0.25">
      <c r="A906" s="66" t="s">
        <v>210</v>
      </c>
      <c r="B906" s="22"/>
      <c r="C906" s="22">
        <v>206.31</v>
      </c>
      <c r="D906" s="26"/>
      <c r="H906" s="11" t="str">
        <f t="shared" si="33"/>
        <v>2nd Pay Period ending 22/11/2022</v>
      </c>
      <c r="M906" s="22">
        <v>18904</v>
      </c>
      <c r="N906" s="38"/>
      <c r="T906" s="35">
        <f t="shared" si="34"/>
        <v>0</v>
      </c>
    </row>
    <row r="907" spans="1:20" ht="15" x14ac:dyDescent="0.25">
      <c r="A907" s="66" t="s">
        <v>210</v>
      </c>
      <c r="B907" s="22"/>
      <c r="C907" s="22">
        <v>126.76</v>
      </c>
      <c r="D907" s="26"/>
      <c r="H907" s="11" t="str">
        <f t="shared" si="33"/>
        <v>2nd Pay Period ending 22/11/2022</v>
      </c>
      <c r="M907" s="22">
        <v>18839</v>
      </c>
      <c r="N907" s="38"/>
      <c r="T907" s="35">
        <f t="shared" si="34"/>
        <v>0</v>
      </c>
    </row>
    <row r="908" spans="1:20" ht="15" x14ac:dyDescent="0.25">
      <c r="A908" s="66" t="s">
        <v>210</v>
      </c>
      <c r="B908" s="22"/>
      <c r="C908" s="22">
        <v>196.25</v>
      </c>
      <c r="D908" s="26"/>
      <c r="H908" s="11" t="str">
        <f t="shared" si="33"/>
        <v>2nd Pay Period ending 22/11/2022</v>
      </c>
      <c r="M908" s="22">
        <v>18650</v>
      </c>
      <c r="N908" s="38"/>
      <c r="T908" s="35">
        <f t="shared" si="34"/>
        <v>0</v>
      </c>
    </row>
    <row r="909" spans="1:20" ht="15" x14ac:dyDescent="0.25">
      <c r="A909" s="66" t="s">
        <v>210</v>
      </c>
      <c r="B909" s="22"/>
      <c r="C909" s="22">
        <v>139</v>
      </c>
      <c r="D909" s="26"/>
      <c r="H909" s="11" t="str">
        <f t="shared" si="33"/>
        <v>2nd Pay Period ending 22/11/2022</v>
      </c>
      <c r="M909" s="22">
        <v>18924</v>
      </c>
      <c r="N909" s="38"/>
      <c r="T909" s="35">
        <f t="shared" si="34"/>
        <v>0</v>
      </c>
    </row>
    <row r="910" spans="1:20" ht="15" x14ac:dyDescent="0.25">
      <c r="A910" s="66" t="s">
        <v>210</v>
      </c>
      <c r="B910" s="22"/>
      <c r="C910" s="22">
        <v>100.29</v>
      </c>
      <c r="D910" s="26"/>
      <c r="H910" s="11" t="str">
        <f t="shared" si="33"/>
        <v>2nd Pay Period ending 22/11/2022</v>
      </c>
      <c r="M910" s="22">
        <v>19023</v>
      </c>
      <c r="N910" s="38"/>
      <c r="T910" s="35">
        <f t="shared" si="34"/>
        <v>0</v>
      </c>
    </row>
    <row r="911" spans="1:20" ht="15" x14ac:dyDescent="0.25">
      <c r="A911" s="66" t="s">
        <v>210</v>
      </c>
      <c r="B911" s="22"/>
      <c r="C911" s="22">
        <v>248.35</v>
      </c>
      <c r="D911" s="26"/>
      <c r="H911" s="11" t="str">
        <f t="shared" si="33"/>
        <v>2nd Pay Period ending 22/11/2022</v>
      </c>
      <c r="M911" s="22">
        <v>18646</v>
      </c>
      <c r="N911" s="38"/>
      <c r="T911" s="35">
        <f t="shared" si="34"/>
        <v>0</v>
      </c>
    </row>
    <row r="912" spans="1:20" ht="15" x14ac:dyDescent="0.25">
      <c r="A912" s="66" t="s">
        <v>210</v>
      </c>
      <c r="B912" s="22"/>
      <c r="C912" s="22">
        <v>331.2</v>
      </c>
      <c r="D912" s="26"/>
      <c r="H912" s="11" t="str">
        <f t="shared" si="33"/>
        <v>2nd Pay Period ending 22/11/2022</v>
      </c>
      <c r="M912" s="22">
        <v>18713</v>
      </c>
      <c r="N912" s="38"/>
      <c r="T912" s="35">
        <f t="shared" si="34"/>
        <v>0</v>
      </c>
    </row>
    <row r="913" spans="1:20" ht="15" x14ac:dyDescent="0.25">
      <c r="A913" s="66" t="s">
        <v>210</v>
      </c>
      <c r="B913" s="22"/>
      <c r="C913" s="22">
        <v>190.11</v>
      </c>
      <c r="D913" s="26"/>
      <c r="H913" s="11" t="str">
        <f t="shared" si="33"/>
        <v>2nd Pay Period ending 22/11/2022</v>
      </c>
      <c r="M913" s="22">
        <v>18990</v>
      </c>
      <c r="N913" s="38"/>
      <c r="T913" s="35">
        <f t="shared" si="34"/>
        <v>0</v>
      </c>
    </row>
    <row r="914" spans="1:20" ht="15" x14ac:dyDescent="0.25">
      <c r="A914" s="66" t="s">
        <v>210</v>
      </c>
      <c r="B914" s="22"/>
      <c r="C914" s="22">
        <v>256.52999999999997</v>
      </c>
      <c r="D914" s="26"/>
      <c r="H914" s="11" t="str">
        <f t="shared" si="33"/>
        <v>2nd Pay Period ending 22/11/2022</v>
      </c>
      <c r="M914" s="22">
        <v>18942</v>
      </c>
      <c r="N914" s="38"/>
      <c r="T914" s="35">
        <f t="shared" si="34"/>
        <v>0</v>
      </c>
    </row>
    <row r="915" spans="1:20" ht="15" x14ac:dyDescent="0.25">
      <c r="A915" s="66" t="s">
        <v>210</v>
      </c>
      <c r="B915" s="22"/>
      <c r="C915" s="22">
        <v>235.15</v>
      </c>
      <c r="D915" s="26"/>
      <c r="H915" s="11" t="str">
        <f t="shared" si="33"/>
        <v>2nd Pay Period ending 22/11/2022</v>
      </c>
      <c r="M915" s="22">
        <v>18850</v>
      </c>
      <c r="N915" s="38"/>
      <c r="T915" s="35">
        <f t="shared" si="34"/>
        <v>0</v>
      </c>
    </row>
    <row r="916" spans="1:20" ht="15" x14ac:dyDescent="0.25">
      <c r="A916" s="66" t="s">
        <v>210</v>
      </c>
      <c r="B916" s="22"/>
      <c r="C916" s="22">
        <v>253.17</v>
      </c>
      <c r="D916" s="26"/>
      <c r="H916" s="11" t="str">
        <f t="shared" si="33"/>
        <v>2nd Pay Period ending 22/11/2022</v>
      </c>
      <c r="M916" s="22">
        <v>18703</v>
      </c>
      <c r="N916" s="38"/>
      <c r="T916" s="35">
        <f t="shared" si="34"/>
        <v>0</v>
      </c>
    </row>
    <row r="917" spans="1:20" ht="15" x14ac:dyDescent="0.25">
      <c r="A917" s="66" t="s">
        <v>210</v>
      </c>
      <c r="B917" s="22"/>
      <c r="C917" s="22">
        <v>215.11</v>
      </c>
      <c r="D917" s="26"/>
      <c r="H917" s="11" t="str">
        <f t="shared" si="33"/>
        <v>2nd Pay Period ending 22/11/2022</v>
      </c>
      <c r="M917" s="22">
        <v>18986</v>
      </c>
      <c r="N917" s="38"/>
      <c r="T917" s="35">
        <f t="shared" si="34"/>
        <v>0</v>
      </c>
    </row>
    <row r="918" spans="1:20" ht="15" x14ac:dyDescent="0.25">
      <c r="A918" s="66" t="s">
        <v>210</v>
      </c>
      <c r="B918" s="22"/>
      <c r="C918" s="22">
        <v>50.37</v>
      </c>
      <c r="D918" s="26"/>
      <c r="H918" s="11" t="str">
        <f t="shared" si="33"/>
        <v>2nd Pay Period ending 22/11/2022</v>
      </c>
      <c r="M918" s="22">
        <v>18917</v>
      </c>
      <c r="N918" s="38"/>
      <c r="T918" s="35">
        <f t="shared" si="34"/>
        <v>0</v>
      </c>
    </row>
    <row r="919" spans="1:20" ht="15" x14ac:dyDescent="0.25">
      <c r="A919" s="66" t="s">
        <v>210</v>
      </c>
      <c r="B919" s="22"/>
      <c r="C919" s="22">
        <v>202.68</v>
      </c>
      <c r="D919" s="26"/>
      <c r="H919" s="11" t="str">
        <f t="shared" si="33"/>
        <v>2nd Pay Period ending 22/11/2022</v>
      </c>
      <c r="M919" s="22">
        <v>19039</v>
      </c>
      <c r="N919" s="38"/>
      <c r="T919" s="35">
        <f t="shared" si="34"/>
        <v>0</v>
      </c>
    </row>
    <row r="920" spans="1:20" ht="15" x14ac:dyDescent="0.25">
      <c r="A920" s="66" t="s">
        <v>210</v>
      </c>
      <c r="B920" s="22"/>
      <c r="C920" s="22">
        <v>185.34</v>
      </c>
      <c r="D920" s="26"/>
      <c r="H920" s="11" t="str">
        <f t="shared" si="33"/>
        <v>2nd Pay Period ending 22/11/2022</v>
      </c>
      <c r="M920" s="22">
        <v>18970</v>
      </c>
      <c r="N920" s="38"/>
      <c r="T920" s="35">
        <f t="shared" si="34"/>
        <v>0</v>
      </c>
    </row>
    <row r="921" spans="1:20" ht="15" x14ac:dyDescent="0.25">
      <c r="A921" s="66" t="s">
        <v>210</v>
      </c>
      <c r="B921" s="22"/>
      <c r="C921" s="22">
        <v>230.19</v>
      </c>
      <c r="D921" s="26"/>
      <c r="H921" s="11" t="str">
        <f t="shared" si="33"/>
        <v>2nd Pay Period ending 22/11/2022</v>
      </c>
      <c r="M921" s="22">
        <v>18976</v>
      </c>
      <c r="N921" s="38"/>
      <c r="T921" s="35">
        <f t="shared" si="34"/>
        <v>0</v>
      </c>
    </row>
    <row r="922" spans="1:20" ht="15" x14ac:dyDescent="0.25">
      <c r="A922" s="66" t="s">
        <v>210</v>
      </c>
      <c r="B922" s="22"/>
      <c r="C922" s="22">
        <v>343.27</v>
      </c>
      <c r="D922" s="26"/>
      <c r="H922" s="11" t="str">
        <f t="shared" si="33"/>
        <v>2nd Pay Period ending 22/11/2022</v>
      </c>
      <c r="M922" s="22">
        <v>19031</v>
      </c>
      <c r="N922" s="38"/>
      <c r="T922" s="35">
        <f t="shared" si="34"/>
        <v>0</v>
      </c>
    </row>
    <row r="923" spans="1:20" ht="15" x14ac:dyDescent="0.25">
      <c r="A923" s="66" t="s">
        <v>210</v>
      </c>
      <c r="B923" s="22"/>
      <c r="C923" s="22">
        <v>266.54000000000002</v>
      </c>
      <c r="D923" s="26"/>
      <c r="H923" s="11" t="str">
        <f t="shared" si="33"/>
        <v>2nd Pay Period ending 22/11/2022</v>
      </c>
      <c r="M923" s="22">
        <v>18442</v>
      </c>
      <c r="N923" s="38"/>
      <c r="T923" s="35">
        <f t="shared" si="34"/>
        <v>0</v>
      </c>
    </row>
    <row r="924" spans="1:20" ht="15" x14ac:dyDescent="0.25">
      <c r="A924" s="66" t="s">
        <v>210</v>
      </c>
      <c r="B924" s="22"/>
      <c r="C924" s="22">
        <v>72.5</v>
      </c>
      <c r="D924" s="26"/>
      <c r="H924" s="11" t="str">
        <f t="shared" si="33"/>
        <v>2nd Pay Period ending 22/11/2022</v>
      </c>
      <c r="M924" s="22">
        <v>18927</v>
      </c>
      <c r="N924" s="38"/>
      <c r="T924" s="35">
        <f t="shared" si="34"/>
        <v>0</v>
      </c>
    </row>
    <row r="925" spans="1:20" ht="15" x14ac:dyDescent="0.25">
      <c r="A925" s="66" t="s">
        <v>210</v>
      </c>
      <c r="B925" s="22"/>
      <c r="C925" s="22">
        <v>187.02</v>
      </c>
      <c r="D925" s="26"/>
      <c r="H925" s="11" t="str">
        <f t="shared" si="33"/>
        <v>2nd Pay Period ending 22/11/2022</v>
      </c>
      <c r="M925" s="22">
        <v>18898</v>
      </c>
      <c r="N925" s="38"/>
      <c r="T925" s="35">
        <f t="shared" si="34"/>
        <v>0</v>
      </c>
    </row>
    <row r="926" spans="1:20" ht="15" x14ac:dyDescent="0.25">
      <c r="A926" s="66" t="s">
        <v>210</v>
      </c>
      <c r="B926" s="22"/>
      <c r="C926" s="22">
        <v>168.71</v>
      </c>
      <c r="D926" s="26"/>
      <c r="H926" s="11" t="str">
        <f t="shared" si="33"/>
        <v>2nd Pay Period ending 22/11/2022</v>
      </c>
      <c r="M926" s="22">
        <v>18996</v>
      </c>
      <c r="N926" s="38"/>
      <c r="T926" s="35">
        <f t="shared" si="34"/>
        <v>0</v>
      </c>
    </row>
    <row r="927" spans="1:20" ht="15" x14ac:dyDescent="0.25">
      <c r="A927" s="66" t="s">
        <v>210</v>
      </c>
      <c r="B927" s="22"/>
      <c r="C927" s="22">
        <v>254.35</v>
      </c>
      <c r="D927" s="26"/>
      <c r="H927" s="11" t="str">
        <f t="shared" si="33"/>
        <v>2nd Pay Period ending 22/11/2022</v>
      </c>
      <c r="M927" s="22">
        <v>18823</v>
      </c>
      <c r="N927" s="38"/>
      <c r="T927" s="35">
        <f t="shared" si="34"/>
        <v>0</v>
      </c>
    </row>
    <row r="928" spans="1:20" ht="15" x14ac:dyDescent="0.25">
      <c r="A928" s="66" t="s">
        <v>210</v>
      </c>
      <c r="B928" s="22"/>
      <c r="C928" s="22">
        <v>172.95</v>
      </c>
      <c r="D928" s="26"/>
      <c r="H928" s="11" t="str">
        <f t="shared" si="33"/>
        <v>2nd Pay Period ending 22/11/2022</v>
      </c>
      <c r="M928" s="22">
        <v>18895</v>
      </c>
      <c r="N928" s="38"/>
      <c r="T928" s="35">
        <f t="shared" si="34"/>
        <v>0</v>
      </c>
    </row>
    <row r="929" spans="1:20" ht="15" x14ac:dyDescent="0.25">
      <c r="A929" s="66" t="s">
        <v>210</v>
      </c>
      <c r="B929" s="22"/>
      <c r="C929" s="22">
        <v>323.08</v>
      </c>
      <c r="D929" s="26"/>
      <c r="H929" s="11" t="str">
        <f t="shared" si="33"/>
        <v>2nd Pay Period ending 22/11/2022</v>
      </c>
      <c r="M929" s="22">
        <v>261</v>
      </c>
      <c r="N929" s="38"/>
      <c r="T929" s="35">
        <f t="shared" si="34"/>
        <v>0</v>
      </c>
    </row>
    <row r="930" spans="1:20" ht="15" x14ac:dyDescent="0.25">
      <c r="A930" s="66" t="s">
        <v>210</v>
      </c>
      <c r="B930" s="22"/>
      <c r="C930" s="22">
        <v>138.07</v>
      </c>
      <c r="D930" s="26"/>
      <c r="H930" s="11" t="str">
        <f t="shared" si="33"/>
        <v>2nd Pay Period ending 22/11/2022</v>
      </c>
      <c r="M930" s="22">
        <v>18634</v>
      </c>
      <c r="N930" s="38"/>
      <c r="T930" s="35">
        <f t="shared" si="34"/>
        <v>0</v>
      </c>
    </row>
    <row r="931" spans="1:20" ht="15" x14ac:dyDescent="0.25">
      <c r="A931" s="66" t="s">
        <v>210</v>
      </c>
      <c r="B931" s="22"/>
      <c r="C931" s="22">
        <v>50.93</v>
      </c>
      <c r="D931" s="26"/>
      <c r="H931" s="11" t="str">
        <f t="shared" si="33"/>
        <v>2nd Pay Period ending 22/11/2022</v>
      </c>
      <c r="M931" s="22">
        <v>18791</v>
      </c>
      <c r="N931" s="38"/>
      <c r="T931" s="35">
        <f t="shared" si="34"/>
        <v>0</v>
      </c>
    </row>
    <row r="932" spans="1:20" ht="15" x14ac:dyDescent="0.25">
      <c r="A932" s="66" t="s">
        <v>210</v>
      </c>
      <c r="B932" s="22"/>
      <c r="C932" s="22">
        <v>268.33999999999997</v>
      </c>
      <c r="D932" s="26"/>
      <c r="H932" s="11" t="str">
        <f t="shared" si="33"/>
        <v>2nd Pay Period ending 22/11/2022</v>
      </c>
      <c r="M932" s="22">
        <v>18561</v>
      </c>
      <c r="N932" s="38"/>
      <c r="T932" s="35">
        <f t="shared" si="34"/>
        <v>0</v>
      </c>
    </row>
    <row r="933" spans="1:20" ht="15" x14ac:dyDescent="0.25">
      <c r="A933" s="66" t="s">
        <v>210</v>
      </c>
      <c r="B933" s="22"/>
      <c r="C933" s="22">
        <v>191.34</v>
      </c>
      <c r="D933" s="26"/>
      <c r="H933" s="11" t="str">
        <f t="shared" si="33"/>
        <v>2nd Pay Period ending 22/11/2022</v>
      </c>
      <c r="M933" s="22">
        <v>18953</v>
      </c>
      <c r="N933" s="38"/>
      <c r="T933" s="35">
        <f t="shared" si="34"/>
        <v>0</v>
      </c>
    </row>
    <row r="934" spans="1:20" ht="15" x14ac:dyDescent="0.25">
      <c r="A934" s="66" t="s">
        <v>210</v>
      </c>
      <c r="B934" s="22"/>
      <c r="C934" s="22">
        <v>206.76</v>
      </c>
      <c r="D934" s="26"/>
      <c r="H934" s="11" t="str">
        <f t="shared" si="33"/>
        <v>2nd Pay Period ending 22/11/2022</v>
      </c>
      <c r="M934" s="22">
        <v>18792</v>
      </c>
      <c r="N934" s="38"/>
      <c r="T934" s="35">
        <f t="shared" si="34"/>
        <v>0</v>
      </c>
    </row>
    <row r="935" spans="1:20" ht="15" x14ac:dyDescent="0.25">
      <c r="A935" s="66" t="s">
        <v>210</v>
      </c>
      <c r="B935" s="22"/>
      <c r="C935" s="22">
        <v>58.5</v>
      </c>
      <c r="D935" s="26"/>
      <c r="H935" s="11" t="str">
        <f t="shared" si="33"/>
        <v>2nd Pay Period ending 22/11/2022</v>
      </c>
      <c r="M935" s="22">
        <v>156</v>
      </c>
      <c r="N935" s="38"/>
      <c r="T935" s="35">
        <f t="shared" si="34"/>
        <v>0</v>
      </c>
    </row>
    <row r="936" spans="1:20" ht="15" x14ac:dyDescent="0.25">
      <c r="A936" s="66" t="s">
        <v>210</v>
      </c>
      <c r="B936" s="22"/>
      <c r="C936" s="22">
        <v>74.430000000000007</v>
      </c>
      <c r="D936" s="26"/>
      <c r="H936" s="11" t="str">
        <f t="shared" si="33"/>
        <v>2nd Pay Period ending 22/11/2022</v>
      </c>
      <c r="M936" s="22">
        <v>18506</v>
      </c>
      <c r="N936" s="38"/>
      <c r="T936" s="35">
        <f t="shared" si="34"/>
        <v>0</v>
      </c>
    </row>
    <row r="937" spans="1:20" ht="15" x14ac:dyDescent="0.25">
      <c r="A937" s="66" t="s">
        <v>210</v>
      </c>
      <c r="B937" s="22"/>
      <c r="C937" s="22">
        <v>38.270000000000003</v>
      </c>
      <c r="D937" s="26"/>
      <c r="H937" s="11" t="str">
        <f t="shared" si="33"/>
        <v>2nd Pay Period ending 22/11/2022</v>
      </c>
      <c r="M937" s="22">
        <v>19043</v>
      </c>
      <c r="N937" s="38"/>
      <c r="T937" s="35">
        <f t="shared" si="34"/>
        <v>0</v>
      </c>
    </row>
    <row r="938" spans="1:20" ht="15" x14ac:dyDescent="0.25">
      <c r="A938" s="66" t="s">
        <v>210</v>
      </c>
      <c r="B938" s="22"/>
      <c r="C938" s="22">
        <v>66.48</v>
      </c>
      <c r="D938" s="26"/>
      <c r="H938" s="11" t="str">
        <f t="shared" si="33"/>
        <v>2nd Pay Period ending 22/11/2022</v>
      </c>
      <c r="M938" s="22">
        <v>19037</v>
      </c>
      <c r="N938" s="38"/>
      <c r="T938" s="35">
        <f t="shared" si="34"/>
        <v>0</v>
      </c>
    </row>
    <row r="939" spans="1:20" ht="15" x14ac:dyDescent="0.25">
      <c r="A939" s="66" t="s">
        <v>210</v>
      </c>
      <c r="B939" s="22"/>
      <c r="C939" s="22">
        <v>302.89</v>
      </c>
      <c r="D939" s="26"/>
      <c r="H939" s="11" t="str">
        <f t="shared" si="33"/>
        <v>2nd Pay Period ending 22/11/2022</v>
      </c>
      <c r="M939" s="22">
        <v>18876</v>
      </c>
      <c r="N939" s="38"/>
      <c r="T939" s="35">
        <f t="shared" si="34"/>
        <v>0</v>
      </c>
    </row>
    <row r="940" spans="1:20" ht="15" x14ac:dyDescent="0.25">
      <c r="A940" s="66"/>
      <c r="B940" s="22"/>
      <c r="C940" s="22"/>
      <c r="D940" s="26"/>
      <c r="H940" s="11"/>
      <c r="N940" s="38"/>
      <c r="T940" s="35">
        <f t="shared" si="34"/>
        <v>0</v>
      </c>
    </row>
    <row r="941" spans="1:20" ht="15" x14ac:dyDescent="0.25">
      <c r="A941" s="66"/>
      <c r="B941" s="22"/>
      <c r="C941" s="22"/>
      <c r="D941" s="26"/>
      <c r="H941" s="11"/>
      <c r="N941" s="38"/>
      <c r="T941" s="35">
        <f t="shared" si="34"/>
        <v>0</v>
      </c>
    </row>
    <row r="942" spans="1:20" ht="15" x14ac:dyDescent="0.25">
      <c r="A942" s="66"/>
      <c r="B942" s="22"/>
      <c r="C942" s="22"/>
      <c r="D942" s="26"/>
      <c r="H942" s="11"/>
      <c r="N942" s="38"/>
      <c r="T942" s="35">
        <f t="shared" si="34"/>
        <v>0</v>
      </c>
    </row>
    <row r="943" spans="1:20" ht="12.75" customHeight="1" outlineLevel="1" x14ac:dyDescent="0.25">
      <c r="A943" s="66"/>
      <c r="B943" s="22"/>
      <c r="C943" s="22"/>
      <c r="D943" s="26"/>
      <c r="H943" s="11"/>
      <c r="N943" s="38"/>
      <c r="T943" s="35">
        <f t="shared" si="34"/>
        <v>0</v>
      </c>
    </row>
    <row r="944" spans="1:20" ht="12.75" customHeight="1" outlineLevel="1" x14ac:dyDescent="0.25">
      <c r="A944" s="66"/>
      <c r="B944" s="22"/>
      <c r="C944" s="22"/>
      <c r="D944" s="26"/>
      <c r="H944" s="11"/>
      <c r="N944" s="38"/>
      <c r="T944" s="35">
        <f t="shared" si="34"/>
        <v>0</v>
      </c>
    </row>
    <row r="945" spans="1:20" ht="12.75" customHeight="1" outlineLevel="1" x14ac:dyDescent="0.25">
      <c r="A945" s="66"/>
      <c r="B945" s="22"/>
      <c r="C945" s="22"/>
      <c r="D945" s="26"/>
      <c r="H945" s="11"/>
      <c r="N945" s="38"/>
      <c r="T945" s="35">
        <f t="shared" si="34"/>
        <v>0</v>
      </c>
    </row>
    <row r="946" spans="1:20" ht="12.75" customHeight="1" outlineLevel="1" x14ac:dyDescent="0.25">
      <c r="A946" s="66"/>
      <c r="B946" s="22"/>
      <c r="C946" s="22"/>
      <c r="D946" s="26"/>
      <c r="H946" s="11"/>
      <c r="N946" s="38"/>
      <c r="T946" s="35">
        <f t="shared" si="34"/>
        <v>0</v>
      </c>
    </row>
    <row r="947" spans="1:20" ht="12.75" customHeight="1" outlineLevel="1" x14ac:dyDescent="0.25">
      <c r="A947" s="66"/>
      <c r="B947" s="22"/>
      <c r="C947" s="22"/>
      <c r="D947" s="26"/>
      <c r="H947" s="11"/>
      <c r="N947" s="38"/>
      <c r="T947" s="35">
        <f t="shared" si="34"/>
        <v>0</v>
      </c>
    </row>
    <row r="948" spans="1:20" ht="12.75" customHeight="1" outlineLevel="1" x14ac:dyDescent="0.25">
      <c r="A948" s="66"/>
      <c r="B948" s="22"/>
      <c r="C948" s="22"/>
      <c r="D948" s="26"/>
      <c r="H948" s="11"/>
      <c r="N948" s="38"/>
      <c r="T948" s="35">
        <f t="shared" si="34"/>
        <v>0</v>
      </c>
    </row>
    <row r="949" spans="1:20" ht="15" outlineLevel="1" x14ac:dyDescent="0.25">
      <c r="A949" s="66"/>
      <c r="B949" s="22"/>
      <c r="C949" s="22"/>
      <c r="D949" s="26"/>
      <c r="H949" s="11"/>
      <c r="N949" s="38"/>
      <c r="T949" s="35">
        <f t="shared" si="34"/>
        <v>0</v>
      </c>
    </row>
    <row r="950" spans="1:20" ht="15" outlineLevel="1" x14ac:dyDescent="0.25">
      <c r="A950" s="66"/>
      <c r="B950" s="22"/>
      <c r="C950" s="22"/>
      <c r="D950" s="26"/>
      <c r="H950" s="11"/>
      <c r="N950" s="38"/>
      <c r="T950" s="35">
        <f t="shared" si="34"/>
        <v>0</v>
      </c>
    </row>
    <row r="951" spans="1:20" ht="12.75" customHeight="1" outlineLevel="1" x14ac:dyDescent="0.25">
      <c r="A951" s="66"/>
      <c r="B951" s="22"/>
      <c r="C951" s="22"/>
      <c r="D951" s="26"/>
      <c r="H951" s="11"/>
      <c r="N951" s="38"/>
      <c r="T951" s="106" t="s">
        <v>461</v>
      </c>
    </row>
    <row r="952" spans="1:20" ht="12.75" customHeight="1" outlineLevel="1" x14ac:dyDescent="0.25">
      <c r="A952" s="66"/>
      <c r="B952" s="22"/>
      <c r="C952" s="22"/>
      <c r="D952" s="26"/>
      <c r="H952" s="11"/>
      <c r="N952" s="38"/>
      <c r="T952" s="35"/>
    </row>
    <row r="953" spans="1:20" ht="15" outlineLevel="1" x14ac:dyDescent="0.25">
      <c r="A953" s="66"/>
      <c r="B953" s="22"/>
      <c r="C953" s="22"/>
      <c r="D953" s="26"/>
      <c r="H953" s="11"/>
      <c r="N953" s="38"/>
      <c r="T953" s="35"/>
    </row>
    <row r="954" spans="1:20" ht="12.75" customHeight="1" outlineLevel="1" x14ac:dyDescent="0.25">
      <c r="A954" s="66"/>
      <c r="B954" s="22"/>
      <c r="C954" s="22"/>
      <c r="D954" s="26"/>
      <c r="H954" s="11"/>
      <c r="N954" s="38"/>
      <c r="T954" s="35"/>
    </row>
    <row r="955" spans="1:20" ht="12.75" customHeight="1" outlineLevel="1" x14ac:dyDescent="0.25">
      <c r="A955" s="66"/>
      <c r="B955" s="22"/>
      <c r="C955" s="22"/>
      <c r="D955" s="26"/>
      <c r="H955" s="11"/>
      <c r="N955" s="38"/>
      <c r="T955" s="35"/>
    </row>
    <row r="956" spans="1:20" ht="12.75" customHeight="1" outlineLevel="1" x14ac:dyDescent="0.25">
      <c r="A956" s="66"/>
      <c r="B956" s="22"/>
      <c r="C956" s="22"/>
      <c r="D956" s="26"/>
      <c r="H956" s="11"/>
      <c r="N956" s="38"/>
      <c r="T956" s="35"/>
    </row>
    <row r="957" spans="1:20" ht="12.75" customHeight="1" outlineLevel="1" x14ac:dyDescent="0.25">
      <c r="A957" s="66"/>
      <c r="B957" s="22"/>
      <c r="C957" s="22"/>
      <c r="D957" s="26"/>
      <c r="H957" s="11"/>
      <c r="N957" s="38"/>
      <c r="T957" s="35"/>
    </row>
    <row r="958" spans="1:20" ht="12.75" customHeight="1" outlineLevel="1" x14ac:dyDescent="0.25">
      <c r="A958" s="66"/>
      <c r="B958" s="22"/>
      <c r="C958" s="22"/>
      <c r="D958" s="26"/>
      <c r="H958" s="11"/>
      <c r="N958" s="38"/>
      <c r="T958" s="35"/>
    </row>
    <row r="959" spans="1:20" ht="12.75" customHeight="1" outlineLevel="1" x14ac:dyDescent="0.25">
      <c r="A959" s="66"/>
      <c r="B959" s="22"/>
      <c r="C959" s="22"/>
      <c r="D959" s="26"/>
      <c r="H959" s="11"/>
      <c r="N959" s="38"/>
      <c r="T959" s="35"/>
    </row>
    <row r="960" spans="1:20" ht="15" outlineLevel="1" x14ac:dyDescent="0.25">
      <c r="A960" s="66"/>
      <c r="B960" s="22"/>
      <c r="C960" s="22"/>
      <c r="D960" s="26"/>
      <c r="H960" s="11"/>
      <c r="N960" s="38"/>
      <c r="T960" s="35"/>
    </row>
    <row r="961" spans="1:20" ht="15" outlineLevel="1" x14ac:dyDescent="0.25">
      <c r="A961" s="66"/>
      <c r="B961" s="22"/>
      <c r="C961" s="22"/>
      <c r="D961" s="26"/>
      <c r="H961" s="11"/>
      <c r="N961" s="38"/>
      <c r="T961" s="35"/>
    </row>
    <row r="962" spans="1:20" ht="12.75" customHeight="1" outlineLevel="1" x14ac:dyDescent="0.25">
      <c r="A962" s="66"/>
      <c r="B962" s="22"/>
      <c r="C962" s="22"/>
      <c r="D962" s="26"/>
      <c r="H962" s="11"/>
      <c r="N962" s="38"/>
      <c r="T962" s="35"/>
    </row>
    <row r="963" spans="1:20" ht="12.75" customHeight="1" outlineLevel="1" x14ac:dyDescent="0.25">
      <c r="A963" s="66"/>
      <c r="B963" s="22"/>
      <c r="C963" s="22"/>
      <c r="D963" s="26"/>
      <c r="H963" s="11"/>
      <c r="N963" s="38"/>
      <c r="T963" s="35"/>
    </row>
    <row r="964" spans="1:20" ht="12.75" customHeight="1" outlineLevel="1" x14ac:dyDescent="0.25">
      <c r="A964" s="66"/>
      <c r="B964" s="22"/>
      <c r="C964" s="22"/>
      <c r="D964" s="26"/>
      <c r="H964" s="11"/>
      <c r="N964" s="38"/>
      <c r="T964" s="35"/>
    </row>
    <row r="965" spans="1:20" ht="12.75" customHeight="1" outlineLevel="1" x14ac:dyDescent="0.25">
      <c r="A965" s="66"/>
      <c r="B965" s="22"/>
      <c r="C965" s="22"/>
      <c r="D965" s="26"/>
      <c r="H965" s="11"/>
      <c r="N965" s="38"/>
      <c r="T965" s="35"/>
    </row>
    <row r="966" spans="1:20" ht="12.75" customHeight="1" outlineLevel="1" x14ac:dyDescent="0.25">
      <c r="A966" s="66"/>
      <c r="B966" s="22"/>
      <c r="C966" s="22"/>
      <c r="D966" s="26"/>
      <c r="H966" s="11"/>
      <c r="N966" s="38"/>
      <c r="T966" s="35"/>
    </row>
    <row r="967" spans="1:20" ht="12.75" customHeight="1" outlineLevel="1" x14ac:dyDescent="0.25">
      <c r="A967" s="66"/>
      <c r="B967" s="22"/>
      <c r="C967" s="22"/>
      <c r="D967" s="26"/>
      <c r="H967" s="11"/>
      <c r="N967" s="38"/>
      <c r="T967" s="35"/>
    </row>
    <row r="968" spans="1:20" ht="12.75" customHeight="1" outlineLevel="1" x14ac:dyDescent="0.25">
      <c r="A968" s="66"/>
      <c r="B968" s="22"/>
      <c r="C968" s="22"/>
      <c r="D968" s="26"/>
      <c r="H968" s="11"/>
      <c r="N968" s="38"/>
      <c r="T968" s="35"/>
    </row>
    <row r="969" spans="1:20" ht="12.75" customHeight="1" outlineLevel="1" x14ac:dyDescent="0.25">
      <c r="A969" s="66"/>
      <c r="B969" s="22"/>
      <c r="C969" s="22"/>
      <c r="D969" s="26"/>
      <c r="H969" s="11"/>
      <c r="N969" s="38"/>
      <c r="T969" s="35"/>
    </row>
    <row r="970" spans="1:20" ht="15" outlineLevel="1" x14ac:dyDescent="0.25">
      <c r="A970" s="66"/>
      <c r="B970" s="22"/>
      <c r="C970" s="22"/>
      <c r="D970" s="26"/>
      <c r="H970" s="11"/>
      <c r="N970" s="38"/>
      <c r="T970" s="35"/>
    </row>
    <row r="971" spans="1:20" ht="15" outlineLevel="1" x14ac:dyDescent="0.25">
      <c r="A971" s="66"/>
      <c r="B971" s="22"/>
      <c r="C971" s="22"/>
      <c r="D971" s="26"/>
      <c r="H971" s="11"/>
      <c r="N971" s="38"/>
      <c r="T971" s="35"/>
    </row>
    <row r="972" spans="1:20" ht="12.75" customHeight="1" x14ac:dyDescent="0.25">
      <c r="A972" s="85"/>
      <c r="B972" s="30"/>
      <c r="C972" s="30"/>
      <c r="D972" s="26"/>
      <c r="H972" s="11"/>
      <c r="M972" s="30"/>
      <c r="T972" s="35"/>
    </row>
    <row r="973" spans="1:20" ht="12.75" customHeight="1" x14ac:dyDescent="0.25">
      <c r="A973" s="85"/>
      <c r="B973" s="30"/>
      <c r="C973" s="30"/>
      <c r="D973" s="26"/>
      <c r="H973" s="11"/>
      <c r="M973" s="30"/>
      <c r="T973" s="35"/>
    </row>
    <row r="974" spans="1:20" ht="15" outlineLevel="1" x14ac:dyDescent="0.25">
      <c r="A974" s="66"/>
      <c r="B974" s="22"/>
      <c r="C974" s="22"/>
      <c r="D974" s="26"/>
      <c r="H974" s="11"/>
      <c r="N974" s="38"/>
      <c r="T974" s="35">
        <f t="shared" ref="T974:T986" si="35">B974/10*$V$1</f>
        <v>0</v>
      </c>
    </row>
    <row r="975" spans="1:20" ht="15" outlineLevel="1" x14ac:dyDescent="0.25">
      <c r="A975" s="66"/>
      <c r="B975" s="22"/>
      <c r="C975" s="22"/>
      <c r="D975" s="26"/>
      <c r="H975" s="11"/>
      <c r="N975" s="38"/>
      <c r="T975" s="35">
        <f t="shared" si="35"/>
        <v>0</v>
      </c>
    </row>
    <row r="976" spans="1:20" ht="12.75" customHeight="1" outlineLevel="1" x14ac:dyDescent="0.25">
      <c r="A976" s="66"/>
      <c r="B976" s="22"/>
      <c r="C976" s="22"/>
      <c r="D976" s="26"/>
      <c r="H976" s="11"/>
      <c r="N976" s="38"/>
      <c r="T976" s="35">
        <f t="shared" si="35"/>
        <v>0</v>
      </c>
    </row>
    <row r="977" spans="1:20" ht="12.75" customHeight="1" outlineLevel="1" x14ac:dyDescent="0.25">
      <c r="A977" s="66"/>
      <c r="B977" s="22"/>
      <c r="C977" s="22"/>
      <c r="D977" s="26"/>
      <c r="H977" s="11"/>
      <c r="N977" s="38"/>
      <c r="T977" s="35">
        <f t="shared" si="35"/>
        <v>0</v>
      </c>
    </row>
    <row r="978" spans="1:20" ht="12.75" customHeight="1" outlineLevel="1" x14ac:dyDescent="0.25">
      <c r="A978" s="66"/>
      <c r="B978" s="22"/>
      <c r="C978" s="22"/>
      <c r="D978" s="26"/>
      <c r="H978" s="11"/>
      <c r="N978" s="38"/>
      <c r="T978" s="35">
        <f t="shared" si="35"/>
        <v>0</v>
      </c>
    </row>
    <row r="979" spans="1:20" ht="12.75" customHeight="1" outlineLevel="1" x14ac:dyDescent="0.25">
      <c r="A979" s="66"/>
      <c r="B979" s="22"/>
      <c r="C979" s="22"/>
      <c r="D979" s="26"/>
      <c r="H979" s="11"/>
      <c r="N979" s="38"/>
      <c r="T979" s="35">
        <f t="shared" si="35"/>
        <v>0</v>
      </c>
    </row>
    <row r="980" spans="1:20" ht="12.75" customHeight="1" outlineLevel="1" x14ac:dyDescent="0.25">
      <c r="A980" s="66"/>
      <c r="B980" s="22"/>
      <c r="C980" s="22"/>
      <c r="D980" s="26"/>
      <c r="H980" s="11"/>
      <c r="N980" s="38"/>
      <c r="T980" s="35">
        <f t="shared" si="35"/>
        <v>0</v>
      </c>
    </row>
    <row r="981" spans="1:20" ht="15" outlineLevel="1" x14ac:dyDescent="0.25">
      <c r="A981" s="66"/>
      <c r="B981" s="22"/>
      <c r="C981" s="22"/>
      <c r="D981" s="26"/>
      <c r="H981" s="11"/>
      <c r="N981" s="38"/>
      <c r="T981" s="35">
        <f t="shared" si="35"/>
        <v>0</v>
      </c>
    </row>
    <row r="982" spans="1:20" ht="15" outlineLevel="1" x14ac:dyDescent="0.25">
      <c r="A982" s="66"/>
      <c r="B982" s="22"/>
      <c r="C982" s="22"/>
      <c r="D982" s="26"/>
      <c r="H982" s="11"/>
      <c r="N982" s="38"/>
      <c r="T982" s="35">
        <f t="shared" si="35"/>
        <v>0</v>
      </c>
    </row>
    <row r="983" spans="1:20" ht="12.75" customHeight="1" outlineLevel="1" x14ac:dyDescent="0.25">
      <c r="A983" s="66"/>
      <c r="B983" s="22"/>
      <c r="C983" s="22"/>
      <c r="D983" s="26"/>
      <c r="H983" s="11"/>
      <c r="N983" s="38"/>
      <c r="T983" s="35">
        <f t="shared" si="35"/>
        <v>0</v>
      </c>
    </row>
    <row r="984" spans="1:20" ht="15" outlineLevel="1" x14ac:dyDescent="0.25">
      <c r="A984" s="66"/>
      <c r="B984" s="22"/>
      <c r="C984" s="22"/>
      <c r="D984" s="26"/>
      <c r="H984" s="11"/>
      <c r="N984" s="38"/>
      <c r="T984" s="35">
        <f t="shared" si="35"/>
        <v>0</v>
      </c>
    </row>
    <row r="985" spans="1:20" ht="15" outlineLevel="1" x14ac:dyDescent="0.25">
      <c r="A985" s="66"/>
      <c r="B985" s="22"/>
      <c r="C985" s="22"/>
      <c r="D985" s="26"/>
      <c r="H985" s="11"/>
      <c r="N985" s="38"/>
      <c r="T985" s="35">
        <f t="shared" si="35"/>
        <v>0</v>
      </c>
    </row>
    <row r="986" spans="1:20" ht="15" outlineLevel="1" x14ac:dyDescent="0.25">
      <c r="A986" s="66"/>
      <c r="B986" s="22"/>
      <c r="C986" s="22"/>
      <c r="D986" s="26"/>
      <c r="H986" s="11"/>
      <c r="N986" s="38"/>
      <c r="T986" s="35">
        <f t="shared" si="35"/>
        <v>0</v>
      </c>
    </row>
    <row r="987" spans="1:20" ht="15" outlineLevel="1" x14ac:dyDescent="0.25">
      <c r="A987" s="67"/>
      <c r="B987" s="22"/>
      <c r="C987" s="22"/>
      <c r="D987" s="26"/>
      <c r="H987" s="11"/>
      <c r="N987" s="38"/>
      <c r="T987" s="35"/>
    </row>
    <row r="988" spans="1:20" ht="12.75" customHeight="1" outlineLevel="1" x14ac:dyDescent="0.25">
      <c r="A988" s="67"/>
      <c r="B988" s="22"/>
      <c r="C988" s="22"/>
      <c r="D988" s="26"/>
      <c r="H988" s="11"/>
      <c r="N988" s="38"/>
      <c r="T988" s="35"/>
    </row>
    <row r="989" spans="1:20" ht="12.75" customHeight="1" outlineLevel="1" x14ac:dyDescent="0.25">
      <c r="A989" s="67"/>
      <c r="B989" s="22"/>
      <c r="C989" s="22"/>
      <c r="D989" s="26"/>
      <c r="H989" s="11"/>
      <c r="N989" s="38"/>
      <c r="T989" s="35"/>
    </row>
    <row r="990" spans="1:20" ht="12.75" customHeight="1" outlineLevel="1" x14ac:dyDescent="0.25">
      <c r="A990" s="67"/>
      <c r="B990" s="22"/>
      <c r="C990" s="22"/>
      <c r="D990" s="26"/>
      <c r="H990" s="11"/>
      <c r="N990" s="38"/>
      <c r="T990" s="35"/>
    </row>
    <row r="991" spans="1:20" ht="12.75" customHeight="1" outlineLevel="1" x14ac:dyDescent="0.25">
      <c r="A991" s="67"/>
      <c r="B991" s="22"/>
      <c r="C991" s="22"/>
      <c r="D991" s="26"/>
      <c r="H991" s="11"/>
      <c r="N991" s="38"/>
      <c r="T991" s="35"/>
    </row>
    <row r="992" spans="1:20" ht="12.75" customHeight="1" outlineLevel="1" x14ac:dyDescent="0.25">
      <c r="A992" s="67"/>
      <c r="B992" s="22"/>
      <c r="C992" s="22"/>
      <c r="D992" s="26"/>
      <c r="H992" s="11"/>
      <c r="N992" s="38"/>
      <c r="T992" s="35"/>
    </row>
    <row r="993" spans="1:20" ht="12.75" customHeight="1" outlineLevel="1" x14ac:dyDescent="0.25">
      <c r="A993" s="67"/>
      <c r="B993" s="22"/>
      <c r="C993" s="22"/>
      <c r="D993" s="26"/>
      <c r="H993" s="11"/>
      <c r="N993" s="38"/>
      <c r="T993" s="35"/>
    </row>
    <row r="994" spans="1:20" ht="12.75" customHeight="1" outlineLevel="1" x14ac:dyDescent="0.25">
      <c r="A994" s="67"/>
      <c r="B994" s="22"/>
      <c r="C994" s="22"/>
      <c r="D994" s="26"/>
      <c r="H994" s="11"/>
      <c r="N994" s="38"/>
      <c r="T994" s="35"/>
    </row>
    <row r="995" spans="1:20" ht="12.75" customHeight="1" outlineLevel="1" x14ac:dyDescent="0.25">
      <c r="A995" s="67"/>
      <c r="B995" s="22"/>
      <c r="C995" s="22"/>
      <c r="D995" s="26"/>
      <c r="H995" s="11"/>
      <c r="N995" s="38"/>
      <c r="T995" s="35"/>
    </row>
    <row r="996" spans="1:20" ht="12.75" customHeight="1" outlineLevel="1" x14ac:dyDescent="0.25">
      <c r="A996" s="67"/>
      <c r="B996" s="22"/>
      <c r="C996" s="22"/>
      <c r="D996" s="26"/>
      <c r="H996" s="11"/>
      <c r="N996" s="38"/>
      <c r="T996" s="35"/>
    </row>
    <row r="997" spans="1:20" ht="12.75" customHeight="1" outlineLevel="1" x14ac:dyDescent="0.25">
      <c r="A997" s="67"/>
      <c r="B997" s="22"/>
      <c r="C997" s="22"/>
      <c r="D997" s="26"/>
      <c r="H997" s="11"/>
      <c r="N997" s="38"/>
      <c r="T997" s="35"/>
    </row>
    <row r="998" spans="1:20" ht="12.75" customHeight="1" outlineLevel="1" x14ac:dyDescent="0.25">
      <c r="A998" s="67"/>
      <c r="B998" s="22"/>
      <c r="C998" s="22"/>
      <c r="D998" s="26"/>
      <c r="H998" s="11"/>
      <c r="N998" s="38"/>
      <c r="T998" s="35"/>
    </row>
    <row r="999" spans="1:20" ht="12.75" customHeight="1" outlineLevel="1" x14ac:dyDescent="0.25">
      <c r="A999" s="67"/>
      <c r="B999" s="22"/>
      <c r="C999" s="22"/>
      <c r="D999" s="26"/>
      <c r="H999" s="11"/>
      <c r="N999" s="38"/>
      <c r="T999" s="35"/>
    </row>
    <row r="1000" spans="1:20" ht="12.75" customHeight="1" outlineLevel="1" x14ac:dyDescent="0.25">
      <c r="A1000" s="67"/>
      <c r="B1000" s="22"/>
      <c r="C1000" s="22"/>
      <c r="D1000" s="26"/>
      <c r="H1000" s="11"/>
      <c r="N1000" s="38"/>
      <c r="T1000" s="35"/>
    </row>
    <row r="1001" spans="1:20" ht="12.75" customHeight="1" outlineLevel="1" x14ac:dyDescent="0.25">
      <c r="A1001" s="67"/>
      <c r="B1001" s="22"/>
      <c r="C1001" s="22"/>
      <c r="D1001" s="26"/>
      <c r="H1001" s="11"/>
      <c r="N1001" s="38"/>
      <c r="T1001" s="35"/>
    </row>
    <row r="1002" spans="1:20" ht="12.75" customHeight="1" outlineLevel="1" x14ac:dyDescent="0.25">
      <c r="A1002" s="67"/>
      <c r="B1002" s="22"/>
      <c r="C1002" s="22"/>
      <c r="D1002" s="26"/>
      <c r="H1002" s="11"/>
      <c r="N1002" s="38"/>
      <c r="T1002" s="35"/>
    </row>
    <row r="1003" spans="1:20" ht="12.75" customHeight="1" outlineLevel="1" x14ac:dyDescent="0.25">
      <c r="A1003" s="67"/>
      <c r="B1003" s="22"/>
      <c r="C1003" s="22"/>
      <c r="D1003" s="26"/>
      <c r="H1003" s="11"/>
      <c r="N1003" s="38"/>
      <c r="T1003" s="35"/>
    </row>
    <row r="1004" spans="1:20" ht="12.75" customHeight="1" outlineLevel="1" x14ac:dyDescent="0.25">
      <c r="A1004" s="67"/>
      <c r="B1004" s="22"/>
      <c r="C1004" s="22"/>
      <c r="D1004" s="26"/>
      <c r="H1004" s="11"/>
      <c r="N1004" s="38"/>
      <c r="T1004" s="35"/>
    </row>
    <row r="1005" spans="1:20" ht="12.75" customHeight="1" outlineLevel="1" x14ac:dyDescent="0.25">
      <c r="A1005" s="67"/>
      <c r="B1005" s="22"/>
      <c r="C1005" s="22"/>
      <c r="D1005" s="26"/>
      <c r="H1005" s="11"/>
      <c r="N1005" s="38"/>
      <c r="T1005" s="35"/>
    </row>
    <row r="1006" spans="1:20" ht="15" outlineLevel="1" x14ac:dyDescent="0.25">
      <c r="A1006" s="67"/>
      <c r="B1006" s="22"/>
      <c r="C1006" s="22"/>
      <c r="D1006" s="26"/>
      <c r="H1006" s="11"/>
      <c r="N1006" s="38"/>
      <c r="T1006" s="35"/>
    </row>
    <row r="1007" spans="1:20" ht="15" outlineLevel="1" x14ac:dyDescent="0.25">
      <c r="A1007" s="67"/>
      <c r="B1007" s="22"/>
      <c r="C1007" s="22"/>
      <c r="D1007" s="26"/>
      <c r="H1007" s="11"/>
      <c r="N1007" s="38"/>
      <c r="T1007" s="35"/>
    </row>
    <row r="1008" spans="1:20" ht="15" outlineLevel="1" x14ac:dyDescent="0.25">
      <c r="A1008" s="67"/>
      <c r="B1008" s="22"/>
      <c r="C1008" s="22"/>
      <c r="D1008" s="26"/>
      <c r="H1008" s="11"/>
      <c r="N1008" s="38"/>
      <c r="T1008" s="35"/>
    </row>
    <row r="1009" spans="1:20" ht="15" outlineLevel="1" x14ac:dyDescent="0.25">
      <c r="A1009" s="67"/>
      <c r="B1009" s="22"/>
      <c r="C1009" s="22"/>
      <c r="D1009" s="26"/>
      <c r="H1009" s="11"/>
      <c r="N1009" s="38"/>
      <c r="T1009" s="35"/>
    </row>
    <row r="1010" spans="1:20" ht="15" outlineLevel="1" x14ac:dyDescent="0.25">
      <c r="A1010" s="67"/>
      <c r="B1010" s="22"/>
      <c r="C1010" s="22"/>
      <c r="D1010" s="26"/>
      <c r="H1010" s="11"/>
      <c r="N1010" s="38"/>
      <c r="T1010" s="35"/>
    </row>
    <row r="1011" spans="1:20" ht="15" outlineLevel="1" x14ac:dyDescent="0.25">
      <c r="A1011" s="67"/>
      <c r="B1011" s="22"/>
      <c r="C1011" s="22"/>
      <c r="D1011" s="26"/>
      <c r="H1011" s="11"/>
      <c r="N1011" s="38"/>
      <c r="T1011" s="35"/>
    </row>
    <row r="1012" spans="1:20" ht="15" outlineLevel="1" x14ac:dyDescent="0.25">
      <c r="A1012" s="67"/>
      <c r="B1012" s="22"/>
      <c r="C1012" s="22"/>
      <c r="D1012" s="26"/>
      <c r="H1012" s="11"/>
      <c r="N1012" s="38"/>
      <c r="T1012" s="35"/>
    </row>
    <row r="1013" spans="1:20" ht="15" outlineLevel="1" x14ac:dyDescent="0.25">
      <c r="A1013" s="67"/>
      <c r="B1013" s="22"/>
      <c r="C1013" s="22"/>
      <c r="D1013" s="26"/>
      <c r="H1013" s="11"/>
      <c r="N1013" s="38"/>
      <c r="T1013" s="35"/>
    </row>
    <row r="1014" spans="1:20" ht="15" outlineLevel="1" x14ac:dyDescent="0.25">
      <c r="A1014" s="67"/>
      <c r="B1014" s="22"/>
      <c r="C1014" s="22"/>
      <c r="D1014" s="26"/>
      <c r="H1014" s="11"/>
      <c r="N1014" s="38"/>
      <c r="T1014" s="35"/>
    </row>
    <row r="1015" spans="1:20" ht="15" outlineLevel="1" x14ac:dyDescent="0.25">
      <c r="A1015" s="67"/>
      <c r="B1015" s="22"/>
      <c r="C1015" s="22"/>
      <c r="D1015" s="26"/>
      <c r="H1015" s="11"/>
      <c r="N1015" s="38"/>
      <c r="T1015" s="35"/>
    </row>
    <row r="1016" spans="1:20" ht="15" outlineLevel="1" x14ac:dyDescent="0.25">
      <c r="A1016" s="67"/>
      <c r="B1016" s="22"/>
      <c r="C1016" s="22"/>
      <c r="D1016" s="26"/>
      <c r="H1016" s="11"/>
      <c r="N1016" s="38"/>
      <c r="T1016" s="35"/>
    </row>
    <row r="1017" spans="1:20" ht="15" outlineLevel="1" x14ac:dyDescent="0.25">
      <c r="A1017" s="67"/>
      <c r="B1017" s="22"/>
      <c r="C1017" s="22"/>
      <c r="D1017" s="26"/>
      <c r="H1017" s="11"/>
      <c r="N1017" s="38"/>
      <c r="T1017" s="35"/>
    </row>
    <row r="1018" spans="1:20" ht="15" outlineLevel="1" x14ac:dyDescent="0.25">
      <c r="A1018" s="67"/>
      <c r="B1018" s="22"/>
      <c r="C1018" s="22"/>
      <c r="D1018" s="26"/>
      <c r="H1018" s="11"/>
      <c r="N1018" s="38"/>
      <c r="T1018" s="35"/>
    </row>
    <row r="1019" spans="1:20" ht="15" outlineLevel="1" x14ac:dyDescent="0.25">
      <c r="A1019" s="67"/>
      <c r="B1019" s="22"/>
      <c r="C1019" s="22"/>
      <c r="D1019" s="26"/>
      <c r="H1019" s="11"/>
      <c r="N1019" s="38"/>
      <c r="T1019" s="35"/>
    </row>
    <row r="1020" spans="1:20" ht="15" outlineLevel="1" x14ac:dyDescent="0.25">
      <c r="A1020" s="67"/>
      <c r="B1020" s="22"/>
      <c r="C1020" s="22"/>
      <c r="D1020" s="26"/>
      <c r="H1020" s="11"/>
      <c r="N1020" s="38"/>
      <c r="T1020" s="35"/>
    </row>
    <row r="1021" spans="1:20" ht="15" outlineLevel="1" x14ac:dyDescent="0.25">
      <c r="A1021" s="67"/>
      <c r="B1021" s="22"/>
      <c r="C1021" s="22"/>
      <c r="D1021" s="26"/>
      <c r="H1021" s="11"/>
      <c r="N1021" s="38"/>
      <c r="T1021" s="35"/>
    </row>
    <row r="1022" spans="1:20" ht="15" outlineLevel="1" x14ac:dyDescent="0.25">
      <c r="A1022" s="67"/>
      <c r="B1022" s="22"/>
      <c r="C1022" s="22"/>
      <c r="D1022" s="26"/>
      <c r="H1022" s="11"/>
      <c r="N1022" s="38"/>
      <c r="T1022" s="35"/>
    </row>
    <row r="1023" spans="1:20" ht="15" outlineLevel="1" x14ac:dyDescent="0.25">
      <c r="A1023" s="67"/>
      <c r="B1023" s="22"/>
      <c r="C1023" s="22"/>
      <c r="D1023" s="26"/>
      <c r="H1023" s="11"/>
      <c r="N1023" s="38"/>
      <c r="T1023" s="35"/>
    </row>
    <row r="1024" spans="1:20" ht="15" outlineLevel="1" x14ac:dyDescent="0.25">
      <c r="A1024" s="67"/>
      <c r="B1024" s="22"/>
      <c r="C1024" s="22"/>
      <c r="D1024" s="26"/>
      <c r="H1024" s="11"/>
      <c r="N1024" s="38"/>
      <c r="T1024" s="35"/>
    </row>
    <row r="1025" spans="1:20" ht="15" outlineLevel="1" x14ac:dyDescent="0.25">
      <c r="A1025" s="67"/>
      <c r="B1025" s="22"/>
      <c r="C1025" s="22"/>
      <c r="D1025" s="26"/>
      <c r="H1025" s="11"/>
      <c r="N1025" s="38"/>
      <c r="T1025" s="35"/>
    </row>
    <row r="1026" spans="1:20" ht="15" outlineLevel="1" x14ac:dyDescent="0.25">
      <c r="A1026" s="67"/>
      <c r="B1026" s="22"/>
      <c r="C1026" s="22"/>
      <c r="D1026" s="26"/>
      <c r="H1026" s="11"/>
      <c r="N1026" s="38"/>
      <c r="T1026" s="35"/>
    </row>
    <row r="1027" spans="1:20" ht="15" outlineLevel="1" x14ac:dyDescent="0.25">
      <c r="A1027" s="67"/>
      <c r="B1027" s="22"/>
      <c r="C1027" s="22"/>
      <c r="D1027" s="26"/>
      <c r="H1027" s="11"/>
      <c r="N1027" s="38"/>
      <c r="T1027" s="35"/>
    </row>
    <row r="1028" spans="1:20" ht="15" outlineLevel="1" x14ac:dyDescent="0.25">
      <c r="A1028" s="67"/>
      <c r="B1028" s="22"/>
      <c r="C1028" s="22"/>
      <c r="D1028" s="26"/>
      <c r="H1028" s="11"/>
      <c r="N1028" s="38"/>
      <c r="T1028" s="35"/>
    </row>
    <row r="1029" spans="1:20" ht="15" outlineLevel="1" x14ac:dyDescent="0.25">
      <c r="A1029" s="67"/>
      <c r="B1029" s="22"/>
      <c r="C1029" s="22"/>
      <c r="D1029" s="26"/>
      <c r="H1029" s="11"/>
      <c r="N1029" s="38"/>
      <c r="T1029" s="35"/>
    </row>
    <row r="1030" spans="1:20" ht="15" outlineLevel="1" x14ac:dyDescent="0.25">
      <c r="A1030" s="67"/>
      <c r="B1030" s="22"/>
      <c r="C1030" s="22"/>
      <c r="D1030" s="26"/>
      <c r="H1030" s="11"/>
      <c r="N1030" s="38"/>
      <c r="T1030" s="35"/>
    </row>
    <row r="1031" spans="1:20" ht="15" outlineLevel="1" x14ac:dyDescent="0.25">
      <c r="A1031" s="67"/>
      <c r="B1031" s="22"/>
      <c r="C1031" s="22"/>
      <c r="D1031" s="26"/>
      <c r="H1031" s="11"/>
      <c r="N1031" s="38"/>
      <c r="T1031" s="35"/>
    </row>
    <row r="1032" spans="1:20" ht="15" outlineLevel="1" x14ac:dyDescent="0.25">
      <c r="A1032" s="67"/>
      <c r="B1032" s="22"/>
      <c r="C1032" s="22"/>
      <c r="D1032" s="26"/>
      <c r="H1032" s="11"/>
      <c r="N1032" s="38"/>
      <c r="T1032" s="35"/>
    </row>
    <row r="1033" spans="1:20" ht="15" outlineLevel="1" x14ac:dyDescent="0.25">
      <c r="A1033" s="67"/>
      <c r="B1033" s="22"/>
      <c r="C1033" s="22"/>
      <c r="D1033" s="26"/>
      <c r="H1033" s="11"/>
      <c r="N1033" s="38"/>
      <c r="T1033" s="35"/>
    </row>
    <row r="1034" spans="1:20" ht="15" outlineLevel="1" x14ac:dyDescent="0.25">
      <c r="A1034" s="67"/>
      <c r="B1034" s="22"/>
      <c r="C1034" s="22"/>
      <c r="D1034" s="26"/>
      <c r="H1034" s="11"/>
      <c r="N1034" s="38"/>
      <c r="T1034" s="35"/>
    </row>
    <row r="1035" spans="1:20" ht="15" outlineLevel="1" x14ac:dyDescent="0.25">
      <c r="A1035" s="67"/>
      <c r="B1035" s="22"/>
      <c r="C1035" s="22"/>
      <c r="D1035" s="26"/>
      <c r="H1035" s="11"/>
      <c r="N1035" s="38"/>
      <c r="T1035" s="35"/>
    </row>
    <row r="1036" spans="1:20" ht="15" outlineLevel="1" x14ac:dyDescent="0.25">
      <c r="A1036" s="67"/>
      <c r="B1036" s="22"/>
      <c r="C1036" s="22"/>
      <c r="D1036" s="26"/>
      <c r="H1036" s="11"/>
      <c r="N1036" s="38"/>
      <c r="T1036" s="35"/>
    </row>
    <row r="1037" spans="1:20" ht="15" outlineLevel="1" x14ac:dyDescent="0.25">
      <c r="A1037" s="67"/>
      <c r="B1037" s="22"/>
      <c r="C1037" s="22"/>
      <c r="D1037" s="26"/>
      <c r="H1037" s="11"/>
      <c r="N1037" s="38"/>
      <c r="T1037" s="35"/>
    </row>
    <row r="1038" spans="1:20" ht="15" outlineLevel="1" x14ac:dyDescent="0.25">
      <c r="A1038" s="67"/>
      <c r="B1038" s="22"/>
      <c r="C1038" s="22"/>
      <c r="D1038" s="26"/>
      <c r="H1038" s="11"/>
      <c r="N1038" s="38"/>
      <c r="T1038" s="35"/>
    </row>
    <row r="1039" spans="1:20" ht="15" outlineLevel="1" x14ac:dyDescent="0.25">
      <c r="A1039" s="67"/>
      <c r="B1039" s="22"/>
      <c r="C1039" s="22"/>
      <c r="D1039" s="26"/>
      <c r="H1039" s="11"/>
      <c r="N1039" s="38"/>
      <c r="T1039" s="35"/>
    </row>
    <row r="1040" spans="1:20" ht="15" outlineLevel="1" x14ac:dyDescent="0.25">
      <c r="A1040" s="67"/>
      <c r="B1040" s="22"/>
      <c r="D1040" s="26"/>
      <c r="H1040" s="11"/>
      <c r="N1040" s="38"/>
      <c r="T1040" s="35"/>
    </row>
    <row r="1041" spans="1:20" ht="15" outlineLevel="1" x14ac:dyDescent="0.25">
      <c r="A1041" s="67"/>
      <c r="B1041" s="22"/>
      <c r="D1041" s="26"/>
      <c r="H1041" s="11"/>
      <c r="N1041" s="38"/>
      <c r="T1041" s="35"/>
    </row>
    <row r="1042" spans="1:20" ht="15" outlineLevel="1" x14ac:dyDescent="0.25">
      <c r="A1042" s="66"/>
      <c r="B1042" s="22"/>
      <c r="D1042" s="26"/>
      <c r="H1042" s="11"/>
      <c r="N1042" s="38"/>
      <c r="T1042" s="35"/>
    </row>
    <row r="1043" spans="1:20" ht="15" outlineLevel="1" x14ac:dyDescent="0.25">
      <c r="A1043" s="67"/>
      <c r="B1043" s="22"/>
      <c r="D1043" s="26"/>
      <c r="H1043" s="11"/>
      <c r="N1043" s="38"/>
      <c r="T1043" s="35"/>
    </row>
    <row r="1044" spans="1:20" ht="15" outlineLevel="1" x14ac:dyDescent="0.25">
      <c r="A1044" s="67"/>
      <c r="B1044" s="22"/>
      <c r="D1044" s="26"/>
      <c r="H1044" s="11"/>
      <c r="N1044" s="38"/>
      <c r="T1044" s="35"/>
    </row>
    <row r="1045" spans="1:20" ht="15" outlineLevel="1" x14ac:dyDescent="0.25">
      <c r="A1045" s="67"/>
      <c r="B1045" s="22"/>
      <c r="D1045" s="26"/>
      <c r="H1045" s="11"/>
      <c r="N1045" s="38"/>
      <c r="T1045" s="35"/>
    </row>
    <row r="1046" spans="1:20" ht="15" outlineLevel="1" x14ac:dyDescent="0.25">
      <c r="A1046" s="67"/>
      <c r="B1046" s="22"/>
      <c r="D1046" s="26"/>
      <c r="H1046" s="11"/>
      <c r="N1046" s="38"/>
      <c r="T1046" s="35"/>
    </row>
    <row r="1047" spans="1:20" ht="15" outlineLevel="1" x14ac:dyDescent="0.25">
      <c r="A1047" s="67"/>
      <c r="B1047" s="22"/>
      <c r="D1047" s="26"/>
      <c r="H1047" s="11"/>
      <c r="N1047" s="38"/>
      <c r="T1047" s="35"/>
    </row>
    <row r="1048" spans="1:20" ht="15" outlineLevel="1" x14ac:dyDescent="0.25">
      <c r="A1048" s="67"/>
      <c r="B1048" s="22"/>
      <c r="D1048" s="26"/>
      <c r="H1048" s="11"/>
      <c r="N1048" s="38"/>
      <c r="T1048" s="35"/>
    </row>
    <row r="1049" spans="1:20" ht="15" outlineLevel="1" x14ac:dyDescent="0.25">
      <c r="A1049" s="67"/>
      <c r="B1049" s="22"/>
      <c r="D1049" s="26"/>
      <c r="H1049" s="11"/>
      <c r="N1049" s="38"/>
      <c r="T1049" s="35"/>
    </row>
    <row r="1050" spans="1:20" ht="15" outlineLevel="1" x14ac:dyDescent="0.25">
      <c r="A1050" s="67"/>
      <c r="B1050" s="22"/>
      <c r="D1050" s="26"/>
      <c r="H1050" s="11"/>
      <c r="N1050" s="38"/>
      <c r="T1050" s="35"/>
    </row>
    <row r="1051" spans="1:20" ht="15" outlineLevel="1" x14ac:dyDescent="0.25">
      <c r="A1051" s="67"/>
      <c r="B1051" s="22"/>
      <c r="D1051" s="26"/>
      <c r="H1051" s="11"/>
      <c r="N1051" s="38"/>
      <c r="T1051" s="35"/>
    </row>
    <row r="1052" spans="1:20" ht="15" outlineLevel="1" x14ac:dyDescent="0.25">
      <c r="A1052" s="67"/>
      <c r="B1052" s="22"/>
      <c r="D1052" s="26"/>
      <c r="H1052" s="11"/>
      <c r="N1052" s="38"/>
      <c r="T1052" s="35"/>
    </row>
    <row r="1053" spans="1:20" ht="15" outlineLevel="1" x14ac:dyDescent="0.25">
      <c r="A1053" s="67"/>
      <c r="B1053" s="22"/>
      <c r="D1053" s="26"/>
      <c r="H1053" s="11"/>
      <c r="N1053" s="38"/>
      <c r="T1053" s="35"/>
    </row>
    <row r="1054" spans="1:20" ht="15" outlineLevel="1" x14ac:dyDescent="0.25">
      <c r="A1054" s="67"/>
      <c r="B1054" s="22"/>
      <c r="D1054" s="26"/>
      <c r="H1054" s="11"/>
      <c r="N1054" s="38"/>
      <c r="T1054" s="35"/>
    </row>
    <row r="1055" spans="1:20" ht="15" outlineLevel="1" x14ac:dyDescent="0.25">
      <c r="A1055" s="67"/>
      <c r="B1055" s="22"/>
      <c r="D1055" s="26"/>
      <c r="H1055" s="11"/>
      <c r="N1055" s="38"/>
      <c r="T1055" s="35"/>
    </row>
    <row r="1056" spans="1:20" ht="15" outlineLevel="1" x14ac:dyDescent="0.25">
      <c r="A1056" s="67"/>
      <c r="B1056" s="22"/>
      <c r="D1056" s="26"/>
      <c r="H1056" s="11"/>
      <c r="N1056" s="38"/>
      <c r="T1056" s="35"/>
    </row>
    <row r="1057" spans="1:20" ht="15" outlineLevel="1" x14ac:dyDescent="0.25">
      <c r="A1057" s="67"/>
      <c r="B1057" s="22"/>
      <c r="D1057" s="26"/>
      <c r="H1057" s="11"/>
      <c r="N1057" s="38"/>
      <c r="T1057" s="35"/>
    </row>
    <row r="1058" spans="1:20" ht="15" outlineLevel="1" x14ac:dyDescent="0.25">
      <c r="A1058" s="67"/>
      <c r="B1058" s="22"/>
      <c r="D1058" s="26"/>
      <c r="H1058" s="11"/>
      <c r="N1058" s="38"/>
      <c r="T1058" s="35"/>
    </row>
    <row r="1059" spans="1:20" ht="15" outlineLevel="1" x14ac:dyDescent="0.25">
      <c r="A1059" s="67"/>
      <c r="B1059" s="22"/>
      <c r="D1059" s="26"/>
      <c r="H1059" s="11"/>
      <c r="N1059" s="38"/>
      <c r="T1059" s="35"/>
    </row>
    <row r="1060" spans="1:20" ht="12.75" customHeight="1" outlineLevel="1" x14ac:dyDescent="0.25">
      <c r="A1060" s="67"/>
      <c r="B1060" s="22"/>
      <c r="D1060" s="26"/>
      <c r="H1060" s="11"/>
      <c r="N1060" s="38"/>
      <c r="T1060" s="35"/>
    </row>
    <row r="1061" spans="1:20" ht="12.75" customHeight="1" outlineLevel="1" x14ac:dyDescent="0.25">
      <c r="A1061" s="67"/>
      <c r="B1061" s="22"/>
      <c r="D1061" s="26"/>
      <c r="H1061" s="11"/>
      <c r="N1061" s="38"/>
      <c r="T1061" s="35"/>
    </row>
    <row r="1062" spans="1:20" ht="15" outlineLevel="1" x14ac:dyDescent="0.25">
      <c r="A1062" s="67"/>
      <c r="B1062" s="22"/>
      <c r="D1062" s="26"/>
      <c r="H1062" s="11"/>
      <c r="N1062" s="38"/>
      <c r="T1062" s="35"/>
    </row>
    <row r="1063" spans="1:20" ht="15" outlineLevel="1" x14ac:dyDescent="0.25">
      <c r="A1063" s="67"/>
      <c r="B1063" s="22"/>
      <c r="D1063" s="26"/>
      <c r="H1063" s="11"/>
      <c r="N1063" s="38"/>
      <c r="T1063" s="35"/>
    </row>
    <row r="1064" spans="1:20" ht="15" outlineLevel="1" x14ac:dyDescent="0.25">
      <c r="A1064" s="67"/>
      <c r="B1064" s="22"/>
      <c r="D1064" s="26"/>
      <c r="H1064" s="11"/>
      <c r="N1064" s="38"/>
      <c r="T1064" s="35"/>
    </row>
    <row r="1065" spans="1:20" ht="15" outlineLevel="1" x14ac:dyDescent="0.25">
      <c r="A1065" s="67"/>
      <c r="B1065" s="22"/>
      <c r="D1065" s="26"/>
      <c r="H1065" s="11"/>
      <c r="N1065" s="38"/>
      <c r="T1065" s="35"/>
    </row>
    <row r="1066" spans="1:20" ht="12.75" customHeight="1" outlineLevel="1" x14ac:dyDescent="0.25">
      <c r="A1066" s="67"/>
      <c r="B1066" s="22"/>
      <c r="D1066" s="26"/>
      <c r="H1066" s="11"/>
      <c r="N1066" s="38"/>
      <c r="T1066" s="35"/>
    </row>
    <row r="1067" spans="1:20" ht="12.75" customHeight="1" outlineLevel="1" x14ac:dyDescent="0.25">
      <c r="A1067" s="67"/>
      <c r="B1067" s="22"/>
      <c r="D1067" s="26"/>
      <c r="H1067" s="11"/>
      <c r="N1067" s="38"/>
      <c r="T1067" s="35"/>
    </row>
    <row r="1068" spans="1:20" ht="12.75" customHeight="1" outlineLevel="1" x14ac:dyDescent="0.25">
      <c r="A1068" s="67"/>
      <c r="B1068" s="22"/>
      <c r="D1068" s="26"/>
      <c r="H1068" s="11"/>
      <c r="N1068" s="38"/>
      <c r="T1068" s="35"/>
    </row>
    <row r="1069" spans="1:20" ht="15" outlineLevel="1" x14ac:dyDescent="0.25">
      <c r="A1069" s="67"/>
      <c r="B1069" s="22"/>
      <c r="D1069" s="26"/>
      <c r="H1069" s="11"/>
      <c r="N1069" s="38"/>
      <c r="T1069" s="35"/>
    </row>
    <row r="1070" spans="1:20" ht="15" outlineLevel="1" x14ac:dyDescent="0.25">
      <c r="A1070" s="67"/>
      <c r="B1070" s="22"/>
      <c r="D1070" s="26"/>
      <c r="H1070" s="11"/>
      <c r="N1070" s="38"/>
      <c r="T1070" s="35"/>
    </row>
    <row r="1071" spans="1:20" ht="15" outlineLevel="1" x14ac:dyDescent="0.25">
      <c r="A1071" s="67"/>
      <c r="B1071" s="22"/>
      <c r="D1071" s="26"/>
      <c r="H1071" s="11"/>
      <c r="N1071" s="38"/>
      <c r="T1071" s="35"/>
    </row>
    <row r="1072" spans="1:20" ht="15" outlineLevel="1" x14ac:dyDescent="0.25">
      <c r="A1072" s="67"/>
      <c r="B1072" s="22"/>
      <c r="D1072" s="26"/>
      <c r="H1072" s="11"/>
      <c r="N1072" s="38"/>
      <c r="T1072" s="35"/>
    </row>
    <row r="1073" spans="1:20" ht="15" outlineLevel="1" x14ac:dyDescent="0.25">
      <c r="A1073" s="67"/>
      <c r="B1073" s="22"/>
      <c r="D1073" s="26"/>
      <c r="H1073" s="11"/>
      <c r="N1073" s="38"/>
      <c r="T1073" s="35"/>
    </row>
    <row r="1074" spans="1:20" ht="15" outlineLevel="1" x14ac:dyDescent="0.25">
      <c r="A1074" s="67"/>
      <c r="B1074" s="22"/>
      <c r="D1074" s="26"/>
      <c r="H1074" s="11"/>
      <c r="N1074" s="38"/>
      <c r="T1074" s="35"/>
    </row>
    <row r="1075" spans="1:20" ht="15" outlineLevel="1" x14ac:dyDescent="0.25">
      <c r="A1075" s="67"/>
      <c r="B1075" s="22"/>
      <c r="D1075" s="26"/>
      <c r="H1075" s="11"/>
      <c r="N1075" s="38"/>
      <c r="T1075" s="35"/>
    </row>
    <row r="1076" spans="1:20" ht="15" outlineLevel="1" x14ac:dyDescent="0.25">
      <c r="A1076" s="67"/>
      <c r="B1076" s="22"/>
      <c r="D1076" s="26"/>
      <c r="H1076" s="11"/>
      <c r="N1076" s="38"/>
      <c r="T1076" s="35"/>
    </row>
    <row r="1077" spans="1:20" ht="12.75" customHeight="1" outlineLevel="1" x14ac:dyDescent="0.25">
      <c r="A1077" s="67"/>
      <c r="B1077" s="22"/>
      <c r="D1077" s="26"/>
      <c r="H1077" s="11"/>
      <c r="N1077" s="38"/>
      <c r="T1077" s="35"/>
    </row>
    <row r="1078" spans="1:20" ht="12.75" customHeight="1" outlineLevel="1" x14ac:dyDescent="0.25">
      <c r="A1078" s="67"/>
      <c r="B1078" s="22"/>
      <c r="D1078" s="26"/>
      <c r="H1078" s="11"/>
      <c r="N1078" s="38"/>
      <c r="T1078" s="35"/>
    </row>
    <row r="1079" spans="1:20" ht="15" outlineLevel="1" x14ac:dyDescent="0.25">
      <c r="A1079" s="67"/>
      <c r="B1079" s="22"/>
      <c r="D1079" s="26"/>
      <c r="H1079" s="11"/>
      <c r="N1079" s="38"/>
      <c r="T1079" s="35"/>
    </row>
    <row r="1080" spans="1:20" ht="15" outlineLevel="1" x14ac:dyDescent="0.25">
      <c r="A1080" s="67"/>
      <c r="B1080" s="22"/>
      <c r="D1080" s="26"/>
      <c r="H1080" s="11"/>
      <c r="N1080" s="38"/>
      <c r="T1080" s="35"/>
    </row>
    <row r="1081" spans="1:20" ht="15" outlineLevel="1" x14ac:dyDescent="0.25">
      <c r="A1081" s="67"/>
      <c r="B1081" s="22"/>
      <c r="D1081" s="26"/>
      <c r="H1081" s="11"/>
      <c r="N1081" s="38"/>
      <c r="T1081" s="35"/>
    </row>
    <row r="1082" spans="1:20" ht="15" outlineLevel="1" x14ac:dyDescent="0.25">
      <c r="A1082" s="67"/>
      <c r="B1082" s="22"/>
      <c r="D1082" s="26"/>
      <c r="H1082" s="11"/>
      <c r="N1082" s="38"/>
      <c r="T1082" s="35"/>
    </row>
    <row r="1083" spans="1:20" ht="15" outlineLevel="1" x14ac:dyDescent="0.25">
      <c r="A1083" s="67"/>
      <c r="B1083" s="22"/>
      <c r="D1083" s="26"/>
      <c r="H1083" s="11"/>
      <c r="N1083" s="38"/>
      <c r="T1083" s="35"/>
    </row>
    <row r="1084" spans="1:20" ht="15" outlineLevel="1" x14ac:dyDescent="0.25">
      <c r="A1084" s="67"/>
      <c r="B1084" s="22"/>
      <c r="D1084" s="26"/>
      <c r="H1084" s="11"/>
      <c r="N1084" s="38"/>
      <c r="T1084" s="35"/>
    </row>
    <row r="1085" spans="1:20" ht="15" outlineLevel="1" x14ac:dyDescent="0.25">
      <c r="A1085" s="67"/>
      <c r="B1085" s="22"/>
      <c r="D1085" s="26"/>
      <c r="H1085" s="11"/>
      <c r="N1085" s="38"/>
      <c r="T1085" s="35"/>
    </row>
    <row r="1086" spans="1:20" ht="15" outlineLevel="1" x14ac:dyDescent="0.25">
      <c r="A1086" s="67"/>
      <c r="B1086" s="22"/>
      <c r="D1086" s="26"/>
      <c r="H1086" s="11"/>
      <c r="N1086" s="38"/>
      <c r="T1086" s="35"/>
    </row>
    <row r="1087" spans="1:20" ht="12.75" customHeight="1" outlineLevel="1" x14ac:dyDescent="0.25">
      <c r="A1087" s="67"/>
      <c r="B1087" s="22"/>
      <c r="D1087" s="26"/>
      <c r="H1087" s="11"/>
      <c r="N1087" s="38"/>
      <c r="T1087" s="35"/>
    </row>
    <row r="1088" spans="1:20" ht="15" outlineLevel="1" x14ac:dyDescent="0.25">
      <c r="A1088" s="67"/>
      <c r="B1088" s="22"/>
      <c r="D1088" s="26"/>
      <c r="H1088" s="11"/>
      <c r="N1088" s="38"/>
      <c r="T1088" s="35"/>
    </row>
    <row r="1089" spans="1:20" ht="15" outlineLevel="1" x14ac:dyDescent="0.25">
      <c r="A1089" s="67"/>
      <c r="B1089" s="22"/>
      <c r="D1089" s="26"/>
      <c r="H1089" s="11"/>
      <c r="N1089" s="38"/>
      <c r="T1089" s="35"/>
    </row>
    <row r="1090" spans="1:20" ht="15" outlineLevel="1" x14ac:dyDescent="0.25">
      <c r="A1090" s="67"/>
      <c r="B1090" s="22"/>
      <c r="D1090" s="26"/>
      <c r="H1090" s="11"/>
      <c r="N1090" s="38"/>
      <c r="T1090" s="35"/>
    </row>
    <row r="1091" spans="1:20" ht="15" outlineLevel="1" x14ac:dyDescent="0.25">
      <c r="A1091" s="67"/>
      <c r="B1091" s="22"/>
      <c r="D1091" s="26"/>
      <c r="H1091" s="11"/>
      <c r="N1091" s="38"/>
      <c r="T1091" s="35"/>
    </row>
    <row r="1092" spans="1:20" ht="15" outlineLevel="1" x14ac:dyDescent="0.25">
      <c r="A1092" s="67"/>
      <c r="B1092" s="22"/>
      <c r="D1092" s="26"/>
      <c r="H1092" s="11"/>
      <c r="N1092" s="38"/>
      <c r="T1092" s="35"/>
    </row>
    <row r="1093" spans="1:20" ht="15" outlineLevel="1" x14ac:dyDescent="0.25">
      <c r="A1093" s="67"/>
      <c r="B1093" s="22"/>
      <c r="D1093" s="26"/>
      <c r="H1093" s="11"/>
      <c r="N1093" s="38"/>
      <c r="T1093" s="35"/>
    </row>
    <row r="1094" spans="1:20" ht="15" outlineLevel="1" x14ac:dyDescent="0.25">
      <c r="A1094" s="67"/>
      <c r="B1094" s="22"/>
      <c r="D1094" s="26"/>
      <c r="H1094" s="11"/>
      <c r="N1094" s="38"/>
      <c r="T1094" s="35"/>
    </row>
    <row r="1095" spans="1:20" ht="15" outlineLevel="1" x14ac:dyDescent="0.25">
      <c r="A1095" s="67"/>
      <c r="B1095" s="22"/>
      <c r="D1095" s="26"/>
      <c r="H1095" s="11"/>
      <c r="N1095" s="38"/>
      <c r="T1095" s="35"/>
    </row>
    <row r="1096" spans="1:20" ht="15" outlineLevel="1" x14ac:dyDescent="0.25">
      <c r="A1096" s="67"/>
      <c r="B1096" s="22"/>
      <c r="D1096" s="26"/>
      <c r="H1096" s="11"/>
      <c r="N1096" s="38"/>
      <c r="T1096" s="35"/>
    </row>
    <row r="1097" spans="1:20" ht="15" outlineLevel="1" x14ac:dyDescent="0.25">
      <c r="A1097" s="67"/>
      <c r="B1097" s="22"/>
      <c r="D1097" s="26"/>
      <c r="H1097" s="11"/>
      <c r="N1097" s="38"/>
      <c r="T1097" s="35"/>
    </row>
    <row r="1098" spans="1:20" ht="12.75" customHeight="1" outlineLevel="1" x14ac:dyDescent="0.25">
      <c r="A1098" s="67"/>
      <c r="B1098" s="22"/>
      <c r="D1098" s="26"/>
      <c r="H1098" s="11"/>
      <c r="N1098" s="38"/>
      <c r="T1098" s="35"/>
    </row>
    <row r="1099" spans="1:20" ht="12.75" customHeight="1" outlineLevel="1" x14ac:dyDescent="0.25">
      <c r="A1099" s="67"/>
      <c r="B1099" s="22"/>
      <c r="D1099" s="26"/>
      <c r="H1099" s="11"/>
      <c r="N1099" s="38"/>
      <c r="T1099" s="35"/>
    </row>
    <row r="1100" spans="1:20" ht="12.75" customHeight="1" outlineLevel="1" x14ac:dyDescent="0.25">
      <c r="A1100" s="67"/>
      <c r="B1100" s="22"/>
      <c r="D1100" s="26"/>
      <c r="H1100" s="11"/>
      <c r="N1100" s="38"/>
      <c r="T1100" s="35"/>
    </row>
    <row r="1101" spans="1:20" ht="12.75" customHeight="1" outlineLevel="1" x14ac:dyDescent="0.25">
      <c r="A1101" s="67"/>
      <c r="B1101" s="22"/>
      <c r="D1101" s="26"/>
      <c r="H1101" s="11"/>
      <c r="N1101" s="38"/>
      <c r="T1101" s="35"/>
    </row>
    <row r="1102" spans="1:20" ht="12.75" customHeight="1" outlineLevel="1" x14ac:dyDescent="0.25">
      <c r="A1102" s="67"/>
      <c r="B1102" s="22"/>
      <c r="D1102" s="26"/>
      <c r="H1102" s="11"/>
      <c r="N1102" s="38"/>
      <c r="T1102" s="35"/>
    </row>
    <row r="1103" spans="1:20" ht="12.75" customHeight="1" outlineLevel="1" x14ac:dyDescent="0.25">
      <c r="A1103" s="67"/>
      <c r="B1103" s="22"/>
      <c r="D1103" s="26"/>
      <c r="H1103" s="11"/>
      <c r="N1103" s="38"/>
      <c r="T1103" s="35"/>
    </row>
    <row r="1104" spans="1:20" ht="12.75" customHeight="1" outlineLevel="1" x14ac:dyDescent="0.25">
      <c r="A1104" s="67"/>
      <c r="B1104" s="22"/>
      <c r="D1104" s="26"/>
      <c r="H1104" s="11"/>
      <c r="N1104" s="38"/>
      <c r="T1104" s="35"/>
    </row>
    <row r="1105" spans="1:20" ht="12.75" customHeight="1" outlineLevel="1" x14ac:dyDescent="0.25">
      <c r="A1105" s="67"/>
      <c r="B1105" s="22"/>
      <c r="D1105" s="26"/>
      <c r="H1105" s="11"/>
      <c r="N1105" s="38"/>
      <c r="T1105" s="35"/>
    </row>
    <row r="1106" spans="1:20" ht="15" outlineLevel="1" x14ac:dyDescent="0.25">
      <c r="A1106" s="67"/>
      <c r="B1106" s="22"/>
      <c r="D1106" s="26"/>
      <c r="H1106" s="11"/>
      <c r="N1106" s="38"/>
      <c r="T1106" s="35"/>
    </row>
    <row r="1107" spans="1:20" ht="12.75" customHeight="1" x14ac:dyDescent="0.2">
      <c r="A1107" s="67"/>
      <c r="B1107" s="22"/>
      <c r="D1107" s="26"/>
      <c r="I1107" s="38"/>
      <c r="N1107" s="38"/>
    </row>
    <row r="1108" spans="1:20" x14ac:dyDescent="0.2">
      <c r="A1108" s="67"/>
      <c r="B1108" s="22"/>
      <c r="D1108" s="26"/>
      <c r="I1108" s="38"/>
      <c r="N1108" s="38"/>
    </row>
    <row r="1109" spans="1:20" x14ac:dyDescent="0.2">
      <c r="A1109" s="67"/>
      <c r="B1109" s="22"/>
      <c r="D1109" s="26"/>
      <c r="I1109" s="38"/>
      <c r="N1109" s="38"/>
    </row>
    <row r="1110" spans="1:20" x14ac:dyDescent="0.2">
      <c r="A1110" s="67"/>
      <c r="B1110" s="22"/>
      <c r="D1110" s="26"/>
      <c r="I1110" s="38"/>
      <c r="N1110" s="38"/>
    </row>
    <row r="1111" spans="1:20" x14ac:dyDescent="0.2">
      <c r="A1111" s="67"/>
      <c r="B1111" s="22"/>
      <c r="D1111" s="26"/>
      <c r="I1111" s="38"/>
      <c r="N1111" s="38"/>
    </row>
    <row r="1112" spans="1:20" x14ac:dyDescent="0.2">
      <c r="A1112" s="67"/>
      <c r="B1112" s="22"/>
      <c r="D1112" s="26"/>
      <c r="I1112" s="38"/>
      <c r="N1112" s="38"/>
    </row>
    <row r="1113" spans="1:20" ht="12.75" customHeight="1" x14ac:dyDescent="0.2">
      <c r="A1113" s="67"/>
      <c r="B1113" s="22"/>
      <c r="D1113" s="26"/>
      <c r="I1113" s="38"/>
      <c r="N1113" s="38"/>
    </row>
    <row r="1114" spans="1:20" x14ac:dyDescent="0.2">
      <c r="A1114" s="67"/>
      <c r="B1114" s="22"/>
      <c r="D1114" s="26"/>
      <c r="I1114" s="38"/>
      <c r="N1114" s="38"/>
    </row>
    <row r="1115" spans="1:20" x14ac:dyDescent="0.2">
      <c r="A1115" s="67"/>
      <c r="B1115" s="22"/>
      <c r="D1115" s="26"/>
      <c r="I1115" s="38"/>
      <c r="N1115" s="38"/>
    </row>
    <row r="1116" spans="1:20" x14ac:dyDescent="0.2">
      <c r="A1116" s="67"/>
      <c r="B1116" s="22"/>
      <c r="D1116" s="26"/>
      <c r="I1116" s="38"/>
      <c r="N1116" s="38"/>
    </row>
    <row r="1117" spans="1:20" x14ac:dyDescent="0.2">
      <c r="A1117" s="67"/>
      <c r="B1117" s="22"/>
      <c r="D1117" s="26"/>
      <c r="I1117" s="38"/>
      <c r="N1117" s="38"/>
    </row>
    <row r="1118" spans="1:20" x14ac:dyDescent="0.2">
      <c r="A1118" s="67"/>
      <c r="B1118" s="22"/>
      <c r="D1118" s="26"/>
      <c r="I1118" s="38"/>
      <c r="N1118" s="38"/>
    </row>
    <row r="1119" spans="1:20" x14ac:dyDescent="0.2">
      <c r="A1119" s="67"/>
      <c r="B1119" s="22"/>
      <c r="D1119" s="26"/>
      <c r="I1119" s="38"/>
      <c r="N1119" s="38"/>
    </row>
    <row r="1120" spans="1:20" x14ac:dyDescent="0.2">
      <c r="A1120" s="67"/>
      <c r="B1120" s="22"/>
      <c r="D1120" s="26"/>
      <c r="I1120" s="38"/>
      <c r="N1120" s="38"/>
    </row>
    <row r="1121" spans="1:14" x14ac:dyDescent="0.2">
      <c r="A1121" s="67"/>
      <c r="B1121" s="22"/>
      <c r="D1121" s="26"/>
      <c r="I1121" s="38"/>
      <c r="N1121" s="38"/>
    </row>
    <row r="1122" spans="1:14" x14ac:dyDescent="0.2">
      <c r="A1122" s="67"/>
      <c r="B1122" s="22"/>
      <c r="D1122" s="26"/>
      <c r="I1122" s="38"/>
      <c r="N1122" s="38"/>
    </row>
    <row r="1123" spans="1:14" x14ac:dyDescent="0.2">
      <c r="A1123" s="67"/>
      <c r="B1123" s="22"/>
      <c r="D1123" s="26"/>
      <c r="I1123" s="38"/>
      <c r="N1123" s="38"/>
    </row>
    <row r="1124" spans="1:14" x14ac:dyDescent="0.2">
      <c r="A1124" s="67"/>
      <c r="B1124" s="22"/>
      <c r="D1124" s="26"/>
      <c r="I1124" s="38"/>
      <c r="N1124" s="38"/>
    </row>
    <row r="1125" spans="1:14" x14ac:dyDescent="0.2">
      <c r="A1125" s="67"/>
      <c r="B1125" s="22"/>
      <c r="D1125" s="26"/>
      <c r="I1125" s="38"/>
      <c r="N1125" s="38"/>
    </row>
    <row r="1126" spans="1:14" ht="12.75" customHeight="1" x14ac:dyDescent="0.2">
      <c r="A1126" s="67"/>
      <c r="B1126" s="22"/>
      <c r="D1126" s="26"/>
      <c r="I1126" s="38"/>
      <c r="N1126" s="38"/>
    </row>
    <row r="1127" spans="1:14" x14ac:dyDescent="0.2">
      <c r="A1127" s="67"/>
      <c r="B1127" s="22"/>
      <c r="D1127" s="26"/>
      <c r="I1127" s="38"/>
      <c r="N1127" s="38"/>
    </row>
    <row r="1128" spans="1:14" x14ac:dyDescent="0.2">
      <c r="A1128" s="67"/>
      <c r="B1128" s="22"/>
      <c r="D1128" s="26"/>
      <c r="I1128" s="38"/>
      <c r="N1128" s="38"/>
    </row>
    <row r="1129" spans="1:14" x14ac:dyDescent="0.2">
      <c r="A1129" s="67"/>
      <c r="B1129" s="22"/>
      <c r="D1129" s="26"/>
      <c r="I1129" s="38"/>
      <c r="N1129" s="38"/>
    </row>
    <row r="1130" spans="1:14" x14ac:dyDescent="0.2">
      <c r="A1130" s="67"/>
      <c r="B1130" s="22"/>
      <c r="D1130" s="26"/>
      <c r="I1130" s="38"/>
      <c r="N1130" s="38"/>
    </row>
    <row r="1131" spans="1:14" ht="12.75" customHeight="1" x14ac:dyDescent="0.2">
      <c r="A1131" s="67"/>
      <c r="B1131" s="22"/>
      <c r="D1131" s="26"/>
      <c r="I1131" s="38"/>
      <c r="N1131" s="38"/>
    </row>
    <row r="1132" spans="1:14" x14ac:dyDescent="0.2">
      <c r="A1132" s="67"/>
      <c r="B1132" s="22"/>
      <c r="D1132" s="26"/>
      <c r="I1132" s="38"/>
      <c r="N1132" s="38"/>
    </row>
    <row r="1133" spans="1:14" x14ac:dyDescent="0.2">
      <c r="A1133" s="67"/>
      <c r="B1133" s="22"/>
      <c r="D1133" s="26"/>
      <c r="I1133" s="38"/>
      <c r="N1133" s="38"/>
    </row>
    <row r="1134" spans="1:14" x14ac:dyDescent="0.2">
      <c r="A1134" s="67"/>
      <c r="B1134" s="22"/>
      <c r="D1134" s="26"/>
      <c r="I1134" s="38"/>
      <c r="N1134" s="38"/>
    </row>
    <row r="1135" spans="1:14" ht="12.75" customHeight="1" x14ac:dyDescent="0.2">
      <c r="A1135" s="67"/>
      <c r="B1135" s="22"/>
      <c r="D1135" s="26"/>
      <c r="I1135" s="38"/>
      <c r="N1135" s="38"/>
    </row>
    <row r="1136" spans="1:14" ht="12.75" customHeight="1" x14ac:dyDescent="0.2">
      <c r="A1136" s="67"/>
      <c r="B1136" s="22"/>
      <c r="D1136" s="26"/>
      <c r="I1136" s="38"/>
      <c r="N1136" s="38"/>
    </row>
    <row r="1137" spans="1:14" ht="12.75" customHeight="1" x14ac:dyDescent="0.2">
      <c r="A1137" s="67"/>
      <c r="B1137" s="22"/>
      <c r="D1137" s="26"/>
      <c r="I1137" s="38"/>
      <c r="N1137" s="38"/>
    </row>
    <row r="1138" spans="1:14" ht="12.75" customHeight="1" x14ac:dyDescent="0.2">
      <c r="A1138" s="67"/>
      <c r="B1138" s="22"/>
      <c r="D1138" s="26"/>
      <c r="I1138" s="38"/>
      <c r="N1138" s="38"/>
    </row>
    <row r="1139" spans="1:14" ht="12.75" customHeight="1" x14ac:dyDescent="0.2">
      <c r="A1139" s="67"/>
      <c r="B1139" s="22"/>
      <c r="D1139" s="26"/>
      <c r="I1139" s="38"/>
      <c r="N1139" s="38"/>
    </row>
    <row r="1140" spans="1:14" ht="12.75" customHeight="1" x14ac:dyDescent="0.2">
      <c r="A1140" s="67"/>
      <c r="B1140" s="22"/>
      <c r="D1140" s="26"/>
      <c r="I1140" s="38"/>
      <c r="N1140" s="38"/>
    </row>
    <row r="1141" spans="1:14" ht="12.75" customHeight="1" x14ac:dyDescent="0.2">
      <c r="A1141" s="67"/>
      <c r="B1141" s="22"/>
      <c r="D1141" s="26"/>
      <c r="I1141" s="38"/>
      <c r="N1141" s="38"/>
    </row>
    <row r="1142" spans="1:14" ht="12.75" customHeight="1" x14ac:dyDescent="0.2">
      <c r="A1142" s="67"/>
      <c r="B1142" s="22"/>
      <c r="D1142" s="26"/>
      <c r="I1142" s="38"/>
      <c r="N1142" s="38"/>
    </row>
    <row r="1143" spans="1:14" ht="12.75" customHeight="1" x14ac:dyDescent="0.2">
      <c r="A1143" s="67"/>
      <c r="B1143" s="22"/>
      <c r="D1143" s="26"/>
      <c r="I1143" s="38"/>
      <c r="N1143" s="38"/>
    </row>
    <row r="1144" spans="1:14" ht="12.75" customHeight="1" x14ac:dyDescent="0.2">
      <c r="A1144" s="67"/>
      <c r="B1144" s="22"/>
      <c r="D1144" s="26"/>
      <c r="I1144" s="38"/>
      <c r="N1144" s="38"/>
    </row>
    <row r="1145" spans="1:14" ht="12.75" customHeight="1" x14ac:dyDescent="0.2">
      <c r="A1145" s="67"/>
      <c r="B1145" s="22"/>
      <c r="D1145" s="26"/>
      <c r="I1145" s="38"/>
      <c r="N1145" s="38"/>
    </row>
    <row r="1146" spans="1:14" ht="12.75" customHeight="1" x14ac:dyDescent="0.2">
      <c r="A1146" s="67"/>
      <c r="B1146" s="22"/>
      <c r="D1146" s="26"/>
      <c r="I1146" s="38"/>
      <c r="N1146" s="38"/>
    </row>
    <row r="1147" spans="1:14" x14ac:dyDescent="0.2">
      <c r="A1147" s="67"/>
      <c r="B1147" s="22"/>
      <c r="D1147" s="26"/>
      <c r="I1147" s="38"/>
      <c r="N1147" s="38"/>
    </row>
    <row r="1148" spans="1:14" x14ac:dyDescent="0.2">
      <c r="A1148" s="67"/>
      <c r="B1148" s="22"/>
      <c r="D1148" s="26"/>
      <c r="I1148" s="38"/>
      <c r="N1148" s="38"/>
    </row>
    <row r="1149" spans="1:14" x14ac:dyDescent="0.2">
      <c r="A1149" s="67"/>
      <c r="B1149" s="22"/>
      <c r="D1149" s="26"/>
      <c r="I1149" s="38"/>
      <c r="N1149" s="38"/>
    </row>
    <row r="1150" spans="1:14" ht="12.75" customHeight="1" x14ac:dyDescent="0.2">
      <c r="A1150" s="67"/>
      <c r="B1150" s="22"/>
      <c r="D1150" s="26"/>
      <c r="I1150" s="38"/>
      <c r="N1150" s="38"/>
    </row>
    <row r="1151" spans="1:14" x14ac:dyDescent="0.2">
      <c r="A1151" s="67"/>
      <c r="B1151" s="22"/>
      <c r="D1151" s="26"/>
      <c r="I1151" s="38"/>
      <c r="N1151" s="38"/>
    </row>
    <row r="1152" spans="1:14" ht="12.75" customHeight="1" x14ac:dyDescent="0.2">
      <c r="A1152" s="67"/>
      <c r="B1152" s="22"/>
      <c r="D1152" s="26"/>
      <c r="I1152" s="38"/>
      <c r="N1152" s="38"/>
    </row>
    <row r="1153" spans="1:14" ht="12.75" customHeight="1" x14ac:dyDescent="0.2">
      <c r="A1153" s="67"/>
      <c r="B1153" s="22"/>
      <c r="D1153" s="26"/>
      <c r="I1153" s="38"/>
      <c r="N1153" s="38"/>
    </row>
    <row r="1154" spans="1:14" x14ac:dyDescent="0.2">
      <c r="A1154" s="67"/>
      <c r="B1154" s="22"/>
      <c r="D1154" s="26"/>
      <c r="I1154" s="38"/>
      <c r="N1154" s="38"/>
    </row>
    <row r="1155" spans="1:14" x14ac:dyDescent="0.2">
      <c r="A1155" s="67"/>
      <c r="B1155" s="22"/>
      <c r="D1155" s="26"/>
      <c r="I1155" s="38"/>
      <c r="N1155" s="38"/>
    </row>
    <row r="1156" spans="1:14" ht="12.75" customHeight="1" x14ac:dyDescent="0.2">
      <c r="A1156" s="67"/>
      <c r="B1156" s="22"/>
      <c r="D1156" s="26"/>
      <c r="I1156" s="38"/>
      <c r="N1156" s="38"/>
    </row>
    <row r="1157" spans="1:14" x14ac:dyDescent="0.2">
      <c r="A1157" s="67"/>
      <c r="B1157" s="22"/>
      <c r="D1157" s="26"/>
      <c r="I1157" s="38"/>
      <c r="N1157" s="38"/>
    </row>
    <row r="1158" spans="1:14" x14ac:dyDescent="0.2">
      <c r="A1158" s="67"/>
      <c r="B1158" s="22"/>
      <c r="D1158" s="26"/>
      <c r="I1158" s="38"/>
      <c r="N1158" s="38"/>
    </row>
    <row r="1159" spans="1:14" ht="12.75" customHeight="1" x14ac:dyDescent="0.2">
      <c r="A1159" s="67"/>
      <c r="B1159" s="22"/>
      <c r="D1159" s="26"/>
      <c r="I1159" s="38"/>
      <c r="N1159" s="38"/>
    </row>
    <row r="1160" spans="1:14" x14ac:dyDescent="0.2">
      <c r="A1160" s="67"/>
      <c r="B1160" s="22"/>
      <c r="D1160" s="26"/>
      <c r="I1160" s="38"/>
      <c r="N1160" s="38"/>
    </row>
    <row r="1161" spans="1:14" x14ac:dyDescent="0.2">
      <c r="A1161" s="67"/>
      <c r="B1161" s="22"/>
      <c r="D1161" s="26"/>
      <c r="I1161" s="38"/>
      <c r="N1161" s="38"/>
    </row>
    <row r="1162" spans="1:14" ht="12.75" customHeight="1" x14ac:dyDescent="0.2">
      <c r="A1162" s="67"/>
      <c r="B1162" s="22"/>
      <c r="D1162" s="26"/>
      <c r="I1162" s="38"/>
      <c r="N1162" s="38"/>
    </row>
    <row r="1163" spans="1:14" ht="12.75" customHeight="1" x14ac:dyDescent="0.2">
      <c r="A1163" s="67"/>
      <c r="B1163" s="22"/>
      <c r="D1163" s="26"/>
      <c r="I1163" s="38"/>
      <c r="N1163" s="38"/>
    </row>
    <row r="1164" spans="1:14" ht="12.75" customHeight="1" x14ac:dyDescent="0.2">
      <c r="A1164" s="67"/>
      <c r="B1164" s="22"/>
      <c r="D1164" s="26"/>
      <c r="I1164" s="38"/>
      <c r="N1164" s="38"/>
    </row>
    <row r="1165" spans="1:14" ht="12.75" customHeight="1" x14ac:dyDescent="0.2">
      <c r="A1165" s="67"/>
      <c r="B1165" s="22"/>
      <c r="D1165" s="26"/>
      <c r="I1165" s="38"/>
      <c r="N1165" s="38"/>
    </row>
    <row r="1166" spans="1:14" ht="12.75" customHeight="1" x14ac:dyDescent="0.2">
      <c r="A1166" s="67"/>
      <c r="B1166" s="22"/>
      <c r="D1166" s="26"/>
      <c r="I1166" s="38"/>
      <c r="N1166" s="38"/>
    </row>
    <row r="1167" spans="1:14" ht="12.75" customHeight="1" x14ac:dyDescent="0.2">
      <c r="A1167" s="67"/>
      <c r="B1167" s="22"/>
      <c r="D1167" s="26"/>
      <c r="I1167" s="38"/>
      <c r="N1167" s="38"/>
    </row>
    <row r="1168" spans="1:14" ht="12.75" customHeight="1" x14ac:dyDescent="0.2">
      <c r="A1168" s="67"/>
      <c r="B1168" s="22"/>
      <c r="D1168" s="26"/>
      <c r="I1168" s="38"/>
      <c r="N1168" s="38"/>
    </row>
    <row r="1169" spans="1:14" ht="12.75" customHeight="1" x14ac:dyDescent="0.2">
      <c r="A1169" s="67"/>
      <c r="B1169" s="22"/>
      <c r="D1169" s="26"/>
      <c r="I1169" s="38"/>
      <c r="N1169" s="38"/>
    </row>
    <row r="1170" spans="1:14" x14ac:dyDescent="0.2">
      <c r="A1170" s="67"/>
      <c r="B1170" s="22"/>
      <c r="D1170" s="26"/>
      <c r="I1170" s="38"/>
      <c r="N1170" s="38"/>
    </row>
    <row r="1171" spans="1:14" x14ac:dyDescent="0.2">
      <c r="A1171" s="67"/>
      <c r="B1171" s="22"/>
      <c r="D1171" s="26"/>
      <c r="I1171" s="38"/>
      <c r="N1171" s="38"/>
    </row>
    <row r="1172" spans="1:14" x14ac:dyDescent="0.2">
      <c r="A1172" s="66"/>
      <c r="B1172" s="22"/>
      <c r="D1172" s="26"/>
      <c r="I1172" s="38"/>
      <c r="N1172" s="38"/>
    </row>
    <row r="1173" spans="1:14" x14ac:dyDescent="0.2">
      <c r="A1173" s="67"/>
      <c r="B1173" s="22"/>
      <c r="D1173" s="26"/>
      <c r="I1173" s="38"/>
      <c r="N1173" s="38"/>
    </row>
    <row r="1174" spans="1:14" ht="12.75" customHeight="1" x14ac:dyDescent="0.2">
      <c r="A1174" s="67"/>
      <c r="B1174" s="22"/>
      <c r="D1174" s="26"/>
      <c r="I1174" s="38"/>
      <c r="N1174" s="38"/>
    </row>
    <row r="1175" spans="1:14" x14ac:dyDescent="0.2">
      <c r="A1175" s="67"/>
      <c r="B1175" s="22"/>
      <c r="D1175" s="26"/>
      <c r="I1175" s="38"/>
      <c r="N1175" s="38"/>
    </row>
    <row r="1176" spans="1:14" x14ac:dyDescent="0.2">
      <c r="A1176" s="67"/>
      <c r="B1176" s="22"/>
      <c r="D1176" s="26"/>
      <c r="I1176" s="38"/>
      <c r="N1176" s="38"/>
    </row>
    <row r="1177" spans="1:14" ht="12.75" customHeight="1" x14ac:dyDescent="0.2">
      <c r="A1177" s="67"/>
      <c r="B1177" s="22"/>
      <c r="D1177" s="26"/>
      <c r="I1177" s="38"/>
      <c r="N1177" s="38"/>
    </row>
    <row r="1178" spans="1:14" x14ac:dyDescent="0.2">
      <c r="A1178" s="67"/>
      <c r="B1178" s="22"/>
      <c r="D1178" s="26"/>
      <c r="I1178" s="38"/>
      <c r="N1178" s="38"/>
    </row>
    <row r="1179" spans="1:14" x14ac:dyDescent="0.2">
      <c r="A1179" s="67"/>
      <c r="B1179" s="22"/>
      <c r="D1179" s="26"/>
      <c r="I1179" s="38"/>
      <c r="N1179" s="38"/>
    </row>
    <row r="1180" spans="1:14" x14ac:dyDescent="0.2">
      <c r="A1180" s="67"/>
      <c r="B1180" s="22"/>
      <c r="D1180" s="26"/>
      <c r="I1180" s="38"/>
      <c r="N1180" s="38"/>
    </row>
    <row r="1181" spans="1:14" x14ac:dyDescent="0.2">
      <c r="A1181" s="67"/>
      <c r="B1181" s="22"/>
      <c r="D1181" s="26"/>
      <c r="I1181" s="38"/>
      <c r="N1181" s="38"/>
    </row>
    <row r="1182" spans="1:14" x14ac:dyDescent="0.2">
      <c r="A1182" s="67"/>
      <c r="B1182" s="22"/>
      <c r="D1182" s="26"/>
      <c r="I1182" s="38"/>
      <c r="N1182" s="38"/>
    </row>
    <row r="1183" spans="1:14" x14ac:dyDescent="0.2">
      <c r="A1183" s="67"/>
      <c r="B1183" s="22"/>
      <c r="D1183" s="26"/>
      <c r="I1183" s="38"/>
      <c r="N1183" s="38"/>
    </row>
    <row r="1184" spans="1:14" ht="12.75" customHeight="1" x14ac:dyDescent="0.2">
      <c r="A1184" s="67"/>
      <c r="B1184" s="22"/>
      <c r="D1184" s="26"/>
      <c r="I1184" s="38"/>
      <c r="N1184" s="38"/>
    </row>
    <row r="1185" spans="1:14" x14ac:dyDescent="0.2">
      <c r="A1185" s="67"/>
      <c r="B1185" s="22"/>
      <c r="D1185" s="26"/>
      <c r="I1185" s="38"/>
      <c r="N1185" s="38"/>
    </row>
    <row r="1186" spans="1:14" x14ac:dyDescent="0.2">
      <c r="A1186" s="67"/>
      <c r="B1186" s="22"/>
      <c r="D1186" s="26"/>
      <c r="I1186" s="38"/>
      <c r="N1186" s="38"/>
    </row>
    <row r="1187" spans="1:14" ht="12.75" customHeight="1" x14ac:dyDescent="0.2">
      <c r="A1187" s="67"/>
      <c r="B1187" s="22"/>
      <c r="D1187" s="26"/>
      <c r="I1187" s="38"/>
      <c r="N1187" s="38"/>
    </row>
    <row r="1188" spans="1:14" ht="12.75" customHeight="1" x14ac:dyDescent="0.2">
      <c r="A1188" s="67"/>
      <c r="B1188" s="22"/>
      <c r="D1188" s="26"/>
      <c r="I1188" s="38"/>
      <c r="N1188" s="38"/>
    </row>
    <row r="1189" spans="1:14" ht="12.75" customHeight="1" x14ac:dyDescent="0.2">
      <c r="A1189" s="67"/>
      <c r="B1189" s="22"/>
      <c r="D1189" s="26"/>
      <c r="I1189" s="38"/>
      <c r="N1189" s="38"/>
    </row>
    <row r="1190" spans="1:14" ht="12.75" customHeight="1" x14ac:dyDescent="0.2">
      <c r="A1190" s="67"/>
      <c r="B1190" s="22"/>
      <c r="D1190" s="26"/>
      <c r="I1190" s="38"/>
      <c r="N1190" s="38"/>
    </row>
    <row r="1191" spans="1:14" x14ac:dyDescent="0.2">
      <c r="A1191" s="67"/>
      <c r="B1191" s="22"/>
      <c r="D1191" s="26"/>
      <c r="I1191" s="38"/>
      <c r="N1191" s="38"/>
    </row>
    <row r="1192" spans="1:14" x14ac:dyDescent="0.2">
      <c r="A1192" s="67"/>
      <c r="B1192" s="22"/>
      <c r="D1192" s="26"/>
      <c r="I1192" s="38"/>
      <c r="N1192" s="38"/>
    </row>
    <row r="1193" spans="1:14" x14ac:dyDescent="0.2">
      <c r="A1193" s="67"/>
      <c r="B1193" s="22"/>
      <c r="D1193" s="26"/>
      <c r="I1193" s="38"/>
      <c r="N1193" s="38"/>
    </row>
    <row r="1194" spans="1:14" x14ac:dyDescent="0.2">
      <c r="A1194" s="67"/>
      <c r="B1194" s="22"/>
      <c r="D1194" s="26"/>
      <c r="I1194" s="38"/>
      <c r="N1194" s="38"/>
    </row>
    <row r="1195" spans="1:14" x14ac:dyDescent="0.2">
      <c r="A1195" s="67"/>
      <c r="B1195" s="22"/>
      <c r="D1195" s="26"/>
      <c r="I1195" s="38"/>
      <c r="N1195" s="38"/>
    </row>
    <row r="1196" spans="1:14" x14ac:dyDescent="0.2">
      <c r="A1196" s="67"/>
      <c r="B1196" s="22"/>
      <c r="D1196" s="26"/>
      <c r="I1196" s="38"/>
      <c r="N1196" s="38"/>
    </row>
    <row r="1197" spans="1:14" ht="12.75" customHeight="1" x14ac:dyDescent="0.2">
      <c r="A1197" s="67"/>
      <c r="B1197" s="22"/>
      <c r="D1197" s="26"/>
      <c r="I1197" s="38"/>
      <c r="N1197" s="38"/>
    </row>
    <row r="1198" spans="1:14" x14ac:dyDescent="0.2">
      <c r="A1198" s="67"/>
      <c r="B1198" s="22"/>
      <c r="D1198" s="26"/>
      <c r="I1198" s="38"/>
      <c r="N1198" s="38"/>
    </row>
    <row r="1199" spans="1:14" x14ac:dyDescent="0.2">
      <c r="A1199" s="67"/>
      <c r="B1199" s="22"/>
      <c r="D1199" s="26"/>
      <c r="I1199" s="38"/>
      <c r="N1199" s="38"/>
    </row>
    <row r="1200" spans="1:14" ht="12.75" customHeight="1" x14ac:dyDescent="0.2">
      <c r="A1200" s="67"/>
      <c r="B1200" s="22"/>
      <c r="D1200" s="26"/>
      <c r="I1200" s="38"/>
      <c r="N1200" s="38"/>
    </row>
    <row r="1201" spans="1:14" ht="12.75" customHeight="1" x14ac:dyDescent="0.2">
      <c r="A1201" s="67"/>
      <c r="B1201" s="22"/>
      <c r="D1201" s="26"/>
      <c r="I1201" s="38"/>
      <c r="N1201" s="38"/>
    </row>
    <row r="1202" spans="1:14" x14ac:dyDescent="0.2">
      <c r="A1202" s="67"/>
      <c r="B1202" s="22"/>
      <c r="D1202" s="26"/>
      <c r="I1202" s="38"/>
      <c r="N1202" s="38"/>
    </row>
    <row r="1203" spans="1:14" x14ac:dyDescent="0.2">
      <c r="A1203" s="67"/>
      <c r="B1203" s="22"/>
      <c r="D1203" s="26"/>
      <c r="I1203" s="38"/>
      <c r="N1203" s="38"/>
    </row>
    <row r="1204" spans="1:14" ht="12.75" customHeight="1" x14ac:dyDescent="0.2">
      <c r="A1204" s="67"/>
      <c r="B1204" s="22"/>
      <c r="D1204" s="26"/>
      <c r="I1204" s="38"/>
      <c r="N1204" s="38"/>
    </row>
    <row r="1205" spans="1:14" ht="12.75" customHeight="1" x14ac:dyDescent="0.2">
      <c r="A1205" s="67"/>
      <c r="B1205" s="22"/>
      <c r="D1205" s="26"/>
      <c r="I1205" s="38"/>
      <c r="N1205" s="38"/>
    </row>
    <row r="1206" spans="1:14" x14ac:dyDescent="0.2">
      <c r="A1206" s="67"/>
      <c r="B1206" s="22"/>
      <c r="D1206" s="26"/>
      <c r="I1206" s="38"/>
      <c r="N1206" s="38"/>
    </row>
    <row r="1207" spans="1:14" x14ac:dyDescent="0.2">
      <c r="A1207" s="67"/>
      <c r="B1207" s="22"/>
      <c r="D1207" s="26"/>
      <c r="I1207" s="38"/>
      <c r="N1207" s="38"/>
    </row>
    <row r="1208" spans="1:14" x14ac:dyDescent="0.2">
      <c r="A1208" s="67"/>
      <c r="B1208" s="22"/>
      <c r="D1208" s="26"/>
      <c r="I1208" s="38"/>
      <c r="N1208" s="38"/>
    </row>
    <row r="1209" spans="1:14" x14ac:dyDescent="0.2">
      <c r="A1209" s="67"/>
      <c r="B1209" s="22"/>
      <c r="D1209" s="26"/>
      <c r="I1209" s="38"/>
      <c r="N1209" s="38"/>
    </row>
    <row r="1210" spans="1:14" x14ac:dyDescent="0.2">
      <c r="A1210" s="67"/>
      <c r="B1210" s="22"/>
      <c r="D1210" s="26"/>
      <c r="I1210" s="38"/>
      <c r="N1210" s="38"/>
    </row>
    <row r="1211" spans="1:14" x14ac:dyDescent="0.2">
      <c r="A1211" s="67"/>
      <c r="B1211" s="22"/>
      <c r="D1211" s="26"/>
      <c r="I1211" s="38"/>
      <c r="N1211" s="38"/>
    </row>
    <row r="1212" spans="1:14" x14ac:dyDescent="0.2">
      <c r="A1212" s="67"/>
      <c r="B1212" s="22"/>
      <c r="D1212" s="26"/>
      <c r="I1212" s="38"/>
      <c r="N1212" s="38"/>
    </row>
    <row r="1213" spans="1:14" x14ac:dyDescent="0.2">
      <c r="A1213" s="67"/>
      <c r="B1213" s="22"/>
      <c r="D1213" s="26"/>
      <c r="I1213" s="38"/>
      <c r="N1213" s="38"/>
    </row>
    <row r="1214" spans="1:14" ht="12.75" customHeight="1" x14ac:dyDescent="0.2">
      <c r="A1214" s="67"/>
      <c r="B1214" s="22"/>
      <c r="D1214" s="26"/>
      <c r="I1214" s="38"/>
      <c r="N1214" s="38"/>
    </row>
    <row r="1215" spans="1:14" ht="12.75" customHeight="1" x14ac:dyDescent="0.2">
      <c r="A1215" s="67"/>
      <c r="B1215" s="22"/>
      <c r="D1215" s="26"/>
      <c r="I1215" s="38"/>
      <c r="N1215" s="38"/>
    </row>
    <row r="1216" spans="1:14" x14ac:dyDescent="0.2">
      <c r="A1216" s="67"/>
      <c r="B1216" s="22"/>
      <c r="D1216" s="26"/>
      <c r="I1216" s="38"/>
      <c r="N1216" s="38"/>
    </row>
    <row r="1217" spans="1:14" x14ac:dyDescent="0.2">
      <c r="A1217" s="67"/>
      <c r="B1217" s="22"/>
      <c r="D1217" s="26"/>
      <c r="I1217" s="38"/>
      <c r="N1217" s="38"/>
    </row>
    <row r="1218" spans="1:14" x14ac:dyDescent="0.2">
      <c r="A1218" s="67"/>
      <c r="B1218" s="22"/>
      <c r="D1218" s="26"/>
      <c r="I1218" s="38"/>
      <c r="N1218" s="38"/>
    </row>
    <row r="1219" spans="1:14" x14ac:dyDescent="0.2">
      <c r="A1219" s="67"/>
      <c r="B1219" s="22"/>
      <c r="D1219" s="26"/>
      <c r="I1219" s="38"/>
      <c r="N1219" s="38"/>
    </row>
    <row r="1220" spans="1:14" x14ac:dyDescent="0.2">
      <c r="A1220" s="67"/>
      <c r="B1220" s="22"/>
      <c r="D1220" s="26"/>
      <c r="I1220" s="38"/>
      <c r="N1220" s="38"/>
    </row>
    <row r="1221" spans="1:14" x14ac:dyDescent="0.2">
      <c r="A1221" s="67"/>
      <c r="B1221" s="22"/>
      <c r="D1221" s="26"/>
      <c r="I1221" s="38"/>
      <c r="N1221" s="38"/>
    </row>
    <row r="1222" spans="1:14" x14ac:dyDescent="0.2">
      <c r="A1222" s="67"/>
      <c r="B1222" s="22"/>
      <c r="D1222" s="26"/>
      <c r="I1222" s="38"/>
      <c r="N1222" s="38"/>
    </row>
    <row r="1223" spans="1:14" x14ac:dyDescent="0.2">
      <c r="A1223" s="67"/>
      <c r="B1223" s="22"/>
      <c r="D1223" s="26"/>
      <c r="I1223" s="38"/>
      <c r="N1223" s="38"/>
    </row>
    <row r="1224" spans="1:14" x14ac:dyDescent="0.2">
      <c r="A1224" s="67"/>
      <c r="B1224" s="22"/>
      <c r="D1224" s="26"/>
      <c r="I1224" s="38"/>
      <c r="N1224" s="38"/>
    </row>
    <row r="1225" spans="1:14" x14ac:dyDescent="0.2">
      <c r="A1225" s="67"/>
      <c r="B1225" s="22"/>
      <c r="D1225" s="26"/>
      <c r="I1225" s="38"/>
      <c r="N1225" s="38"/>
    </row>
    <row r="1226" spans="1:14" x14ac:dyDescent="0.2">
      <c r="A1226" s="67"/>
      <c r="B1226" s="22"/>
      <c r="D1226" s="26"/>
      <c r="I1226" s="38"/>
      <c r="N1226" s="38"/>
    </row>
    <row r="1227" spans="1:14" x14ac:dyDescent="0.2">
      <c r="A1227" s="67"/>
      <c r="B1227" s="22"/>
      <c r="D1227" s="26"/>
      <c r="I1227" s="38"/>
      <c r="N1227" s="38"/>
    </row>
    <row r="1228" spans="1:14" x14ac:dyDescent="0.2">
      <c r="A1228" s="67"/>
      <c r="B1228" s="22"/>
      <c r="D1228" s="26"/>
      <c r="I1228" s="38"/>
      <c r="N1228" s="38"/>
    </row>
    <row r="1229" spans="1:14" x14ac:dyDescent="0.2">
      <c r="A1229" s="67"/>
      <c r="B1229" s="22"/>
      <c r="D1229" s="26"/>
      <c r="I1229" s="38"/>
      <c r="N1229" s="38"/>
    </row>
    <row r="1230" spans="1:14" ht="12.75" customHeight="1" x14ac:dyDescent="0.2">
      <c r="A1230" s="67"/>
      <c r="B1230" s="22"/>
      <c r="D1230" s="26"/>
      <c r="I1230" s="38"/>
      <c r="N1230" s="38"/>
    </row>
    <row r="1231" spans="1:14" ht="12.75" customHeight="1" x14ac:dyDescent="0.2">
      <c r="A1231" s="67"/>
      <c r="B1231" s="22"/>
      <c r="D1231" s="26"/>
      <c r="I1231" s="38"/>
      <c r="N1231" s="38"/>
    </row>
    <row r="1232" spans="1:14" x14ac:dyDescent="0.2">
      <c r="A1232" s="67"/>
      <c r="B1232" s="22"/>
      <c r="D1232" s="26"/>
      <c r="I1232" s="38"/>
      <c r="N1232" s="38"/>
    </row>
    <row r="1233" spans="1:14" x14ac:dyDescent="0.2">
      <c r="A1233" s="67"/>
      <c r="B1233" s="22"/>
      <c r="D1233" s="26"/>
      <c r="I1233" s="38"/>
      <c r="N1233" s="38"/>
    </row>
    <row r="1234" spans="1:14" ht="12.75" customHeight="1" x14ac:dyDescent="0.2">
      <c r="A1234" s="67"/>
      <c r="B1234" s="22"/>
      <c r="D1234" s="26"/>
      <c r="I1234" s="38"/>
      <c r="N1234" s="38"/>
    </row>
    <row r="1235" spans="1:14" ht="12.75" customHeight="1" x14ac:dyDescent="0.2">
      <c r="A1235" s="67"/>
      <c r="B1235" s="22"/>
      <c r="D1235" s="26"/>
      <c r="I1235" s="38"/>
      <c r="N1235" s="38"/>
    </row>
    <row r="1236" spans="1:14" x14ac:dyDescent="0.2">
      <c r="A1236" s="67"/>
      <c r="B1236" s="22"/>
      <c r="D1236" s="26"/>
      <c r="I1236" s="38"/>
      <c r="N1236" s="38"/>
    </row>
    <row r="1237" spans="1:14" x14ac:dyDescent="0.2">
      <c r="A1237" s="67"/>
      <c r="B1237" s="22"/>
      <c r="D1237" s="26"/>
      <c r="I1237" s="38"/>
      <c r="N1237" s="38"/>
    </row>
    <row r="1238" spans="1:14" x14ac:dyDescent="0.2">
      <c r="A1238" s="67"/>
      <c r="B1238" s="22"/>
      <c r="D1238" s="26"/>
      <c r="I1238" s="38"/>
      <c r="N1238" s="38"/>
    </row>
    <row r="1239" spans="1:14" x14ac:dyDescent="0.2">
      <c r="A1239" s="67"/>
      <c r="B1239" s="22"/>
      <c r="D1239" s="26"/>
      <c r="I1239" s="38"/>
      <c r="N1239" s="38"/>
    </row>
    <row r="1240" spans="1:14" ht="12.75" customHeight="1" x14ac:dyDescent="0.2">
      <c r="A1240" s="67"/>
      <c r="B1240" s="22"/>
      <c r="D1240" s="26"/>
      <c r="I1240" s="38"/>
      <c r="N1240" s="38"/>
    </row>
    <row r="1241" spans="1:14" x14ac:dyDescent="0.2">
      <c r="A1241" s="67"/>
      <c r="B1241" s="22"/>
      <c r="D1241" s="26"/>
      <c r="I1241" s="38"/>
      <c r="N1241" s="38"/>
    </row>
    <row r="1242" spans="1:14" x14ac:dyDescent="0.2">
      <c r="A1242" s="67"/>
      <c r="B1242" s="22"/>
      <c r="D1242" s="26"/>
      <c r="I1242" s="38"/>
      <c r="N1242" s="38"/>
    </row>
    <row r="1243" spans="1:14" x14ac:dyDescent="0.2">
      <c r="A1243" s="67"/>
      <c r="B1243" s="22"/>
      <c r="D1243" s="26"/>
      <c r="I1243" s="38"/>
      <c r="N1243" s="38"/>
    </row>
    <row r="1244" spans="1:14" x14ac:dyDescent="0.2">
      <c r="A1244" s="67"/>
      <c r="B1244" s="22"/>
      <c r="D1244" s="26"/>
      <c r="I1244" s="38"/>
      <c r="N1244" s="38"/>
    </row>
    <row r="1245" spans="1:14" ht="12.75" customHeight="1" x14ac:dyDescent="0.2">
      <c r="A1245" s="67"/>
      <c r="B1245" s="22"/>
      <c r="D1245" s="26"/>
      <c r="I1245" s="38"/>
      <c r="N1245" s="38"/>
    </row>
    <row r="1246" spans="1:14" x14ac:dyDescent="0.2">
      <c r="A1246" s="67"/>
      <c r="B1246" s="22"/>
      <c r="D1246" s="26"/>
      <c r="I1246" s="38"/>
      <c r="N1246" s="38"/>
    </row>
    <row r="1247" spans="1:14" x14ac:dyDescent="0.2">
      <c r="A1247" s="67"/>
      <c r="B1247" s="22"/>
      <c r="D1247" s="26"/>
      <c r="I1247" s="38"/>
      <c r="N1247" s="38"/>
    </row>
    <row r="1248" spans="1:14" ht="12.75" customHeight="1" x14ac:dyDescent="0.2">
      <c r="A1248" s="67"/>
      <c r="B1248" s="22"/>
      <c r="D1248" s="26"/>
      <c r="I1248" s="38"/>
      <c r="N1248" s="38"/>
    </row>
    <row r="1249" spans="1:14" x14ac:dyDescent="0.2">
      <c r="A1249" s="67"/>
      <c r="B1249" s="22"/>
      <c r="D1249" s="26"/>
      <c r="I1249" s="38"/>
      <c r="N1249" s="38"/>
    </row>
    <row r="1250" spans="1:14" x14ac:dyDescent="0.2">
      <c r="A1250" s="67"/>
      <c r="B1250" s="22"/>
      <c r="D1250" s="26"/>
      <c r="I1250" s="38"/>
      <c r="N1250" s="38"/>
    </row>
    <row r="1251" spans="1:14" x14ac:dyDescent="0.2">
      <c r="A1251" s="67"/>
      <c r="B1251" s="22"/>
      <c r="D1251" s="26"/>
      <c r="I1251" s="38"/>
      <c r="N1251" s="38"/>
    </row>
    <row r="1252" spans="1:14" x14ac:dyDescent="0.2">
      <c r="A1252" s="67"/>
      <c r="B1252" s="22"/>
      <c r="D1252" s="26"/>
      <c r="I1252" s="38"/>
      <c r="N1252" s="38"/>
    </row>
    <row r="1253" spans="1:14" ht="12.75" customHeight="1" x14ac:dyDescent="0.2">
      <c r="A1253" s="67"/>
      <c r="B1253" s="22"/>
      <c r="D1253" s="26"/>
      <c r="I1253" s="38"/>
      <c r="N1253" s="38"/>
    </row>
    <row r="1254" spans="1:14" x14ac:dyDescent="0.2">
      <c r="A1254" s="67"/>
      <c r="B1254" s="22"/>
      <c r="D1254" s="26"/>
      <c r="I1254" s="38"/>
      <c r="N1254" s="38"/>
    </row>
    <row r="1255" spans="1:14" x14ac:dyDescent="0.2">
      <c r="A1255" s="67"/>
      <c r="B1255" s="22"/>
      <c r="D1255" s="26"/>
      <c r="I1255" s="38"/>
      <c r="N1255" s="38"/>
    </row>
    <row r="1256" spans="1:14" x14ac:dyDescent="0.2">
      <c r="A1256" s="67"/>
      <c r="B1256" s="22"/>
      <c r="D1256" s="26"/>
      <c r="I1256" s="38"/>
      <c r="N1256" s="38"/>
    </row>
    <row r="1257" spans="1:14" x14ac:dyDescent="0.2">
      <c r="A1257" s="67"/>
      <c r="B1257" s="22"/>
      <c r="D1257" s="26"/>
      <c r="I1257" s="38"/>
      <c r="N1257" s="38"/>
    </row>
    <row r="1258" spans="1:14" x14ac:dyDescent="0.2">
      <c r="A1258" s="67"/>
      <c r="B1258" s="22"/>
      <c r="D1258" s="26"/>
      <c r="I1258" s="38"/>
      <c r="N1258" s="38"/>
    </row>
    <row r="1259" spans="1:14" x14ac:dyDescent="0.2">
      <c r="A1259" s="67"/>
      <c r="B1259" s="22"/>
      <c r="D1259" s="26"/>
      <c r="I1259" s="38"/>
      <c r="N1259" s="38"/>
    </row>
    <row r="1260" spans="1:14" ht="12.75" customHeight="1" x14ac:dyDescent="0.2">
      <c r="A1260" s="67"/>
      <c r="B1260" s="22"/>
      <c r="D1260" s="26"/>
      <c r="I1260" s="38"/>
      <c r="N1260" s="38"/>
    </row>
    <row r="1261" spans="1:14" ht="12.75" customHeight="1" x14ac:dyDescent="0.2">
      <c r="A1261" s="67"/>
      <c r="B1261" s="22"/>
      <c r="D1261" s="26"/>
      <c r="I1261" s="38"/>
      <c r="N1261" s="38"/>
    </row>
    <row r="1262" spans="1:14" x14ac:dyDescent="0.2">
      <c r="A1262" s="67"/>
      <c r="B1262" s="22"/>
      <c r="D1262" s="26"/>
      <c r="I1262" s="38"/>
      <c r="N1262" s="38"/>
    </row>
    <row r="1263" spans="1:14" x14ac:dyDescent="0.2">
      <c r="A1263" s="67"/>
      <c r="B1263" s="22"/>
      <c r="D1263" s="26"/>
      <c r="I1263" s="38"/>
      <c r="N1263" s="38"/>
    </row>
    <row r="1264" spans="1:14" ht="12.75" customHeight="1" x14ac:dyDescent="0.2">
      <c r="A1264" s="67"/>
      <c r="B1264" s="22"/>
      <c r="D1264" s="26"/>
      <c r="I1264" s="38"/>
      <c r="N1264" s="38"/>
    </row>
    <row r="1265" spans="1:14" x14ac:dyDescent="0.2">
      <c r="A1265" s="67"/>
      <c r="B1265" s="22"/>
      <c r="D1265" s="26"/>
      <c r="I1265" s="38"/>
      <c r="N1265" s="38"/>
    </row>
    <row r="1266" spans="1:14" x14ac:dyDescent="0.2">
      <c r="A1266" s="67"/>
      <c r="B1266" s="22"/>
      <c r="D1266" s="26"/>
      <c r="I1266" s="38"/>
      <c r="N1266" s="38"/>
    </row>
    <row r="1267" spans="1:14" ht="12.75" customHeight="1" x14ac:dyDescent="0.2">
      <c r="A1267" s="67"/>
      <c r="B1267" s="22"/>
      <c r="D1267" s="26"/>
      <c r="I1267" s="38"/>
      <c r="N1267" s="38"/>
    </row>
    <row r="1268" spans="1:14" x14ac:dyDescent="0.2">
      <c r="A1268" s="67"/>
      <c r="B1268" s="22"/>
      <c r="D1268" s="26"/>
      <c r="I1268" s="38"/>
      <c r="N1268" s="38"/>
    </row>
    <row r="1269" spans="1:14" x14ac:dyDescent="0.2">
      <c r="A1269" s="67"/>
      <c r="B1269" s="22"/>
      <c r="D1269" s="26"/>
      <c r="I1269" s="38"/>
      <c r="N1269" s="38"/>
    </row>
    <row r="1270" spans="1:14" x14ac:dyDescent="0.2">
      <c r="A1270" s="67"/>
      <c r="B1270" s="22"/>
      <c r="D1270" s="26"/>
      <c r="I1270" s="38"/>
      <c r="N1270" s="38"/>
    </row>
    <row r="1271" spans="1:14" x14ac:dyDescent="0.2">
      <c r="A1271" s="67"/>
      <c r="B1271" s="22"/>
      <c r="D1271" s="26"/>
      <c r="I1271" s="38"/>
      <c r="N1271" s="38"/>
    </row>
    <row r="1272" spans="1:14" x14ac:dyDescent="0.2">
      <c r="A1272" s="67"/>
      <c r="B1272" s="22"/>
      <c r="D1272" s="26"/>
      <c r="I1272" s="38"/>
      <c r="N1272" s="38"/>
    </row>
    <row r="1273" spans="1:14" x14ac:dyDescent="0.2">
      <c r="A1273" s="67"/>
      <c r="B1273" s="22"/>
      <c r="D1273" s="26"/>
      <c r="I1273" s="38"/>
      <c r="N1273" s="38"/>
    </row>
    <row r="1274" spans="1:14" ht="12.75" customHeight="1" x14ac:dyDescent="0.2">
      <c r="A1274" s="67"/>
      <c r="B1274" s="22"/>
      <c r="D1274" s="26"/>
      <c r="I1274" s="38"/>
      <c r="N1274" s="38"/>
    </row>
    <row r="1275" spans="1:14" ht="12.75" customHeight="1" x14ac:dyDescent="0.2">
      <c r="A1275" s="67"/>
      <c r="B1275" s="22"/>
      <c r="D1275" s="26"/>
      <c r="I1275" s="38"/>
      <c r="N1275" s="38"/>
    </row>
    <row r="1276" spans="1:14" ht="12.75" customHeight="1" x14ac:dyDescent="0.2">
      <c r="A1276" s="67"/>
      <c r="B1276" s="22"/>
      <c r="D1276" s="26"/>
      <c r="I1276" s="38"/>
      <c r="N1276" s="38"/>
    </row>
    <row r="1277" spans="1:14" ht="12.75" customHeight="1" x14ac:dyDescent="0.2">
      <c r="A1277" s="67"/>
      <c r="B1277" s="22"/>
      <c r="D1277" s="26"/>
      <c r="I1277" s="38"/>
      <c r="N1277" s="38"/>
    </row>
    <row r="1278" spans="1:14" ht="12.75" customHeight="1" x14ac:dyDescent="0.2">
      <c r="A1278" s="67"/>
      <c r="B1278" s="22"/>
      <c r="D1278" s="26"/>
      <c r="I1278" s="38"/>
      <c r="N1278" s="38"/>
    </row>
    <row r="1279" spans="1:14" ht="12.75" customHeight="1" x14ac:dyDescent="0.2">
      <c r="A1279" s="67"/>
      <c r="B1279" s="22"/>
      <c r="D1279" s="26"/>
      <c r="I1279" s="38"/>
      <c r="N1279" s="38"/>
    </row>
    <row r="1280" spans="1:14" x14ac:dyDescent="0.2">
      <c r="A1280" s="67"/>
      <c r="B1280" s="22"/>
      <c r="D1280" s="26"/>
      <c r="I1280" s="38"/>
      <c r="N1280" s="38"/>
    </row>
    <row r="1281" spans="1:14" x14ac:dyDescent="0.2">
      <c r="A1281" s="67"/>
      <c r="B1281" s="22"/>
      <c r="D1281" s="26"/>
      <c r="I1281" s="38"/>
      <c r="N1281" s="38"/>
    </row>
    <row r="1282" spans="1:14" ht="12.75" customHeight="1" x14ac:dyDescent="0.2">
      <c r="A1282" s="67"/>
      <c r="B1282" s="22"/>
      <c r="D1282" s="26"/>
      <c r="I1282" s="38"/>
      <c r="N1282" s="38"/>
    </row>
    <row r="1283" spans="1:14" ht="12.75" customHeight="1" x14ac:dyDescent="0.2">
      <c r="A1283" s="67"/>
      <c r="B1283" s="22"/>
      <c r="D1283" s="26"/>
      <c r="I1283" s="38"/>
      <c r="N1283" s="38"/>
    </row>
    <row r="1284" spans="1:14" ht="12.75" customHeight="1" x14ac:dyDescent="0.2">
      <c r="A1284" s="67"/>
      <c r="B1284" s="22"/>
      <c r="D1284" s="26"/>
      <c r="I1284" s="38"/>
      <c r="N1284" s="38"/>
    </row>
    <row r="1285" spans="1:14" ht="12.75" customHeight="1" x14ac:dyDescent="0.2">
      <c r="A1285" s="67"/>
      <c r="B1285" s="22"/>
      <c r="D1285" s="26"/>
      <c r="I1285" s="38"/>
      <c r="N1285" s="38"/>
    </row>
    <row r="1286" spans="1:14" x14ac:dyDescent="0.2">
      <c r="A1286" s="67"/>
      <c r="B1286" s="22"/>
      <c r="D1286" s="26"/>
      <c r="I1286" s="38"/>
      <c r="N1286" s="38"/>
    </row>
    <row r="1287" spans="1:14" x14ac:dyDescent="0.2">
      <c r="A1287" s="67"/>
      <c r="B1287" s="22"/>
      <c r="D1287" s="26"/>
      <c r="I1287" s="38"/>
      <c r="N1287" s="38"/>
    </row>
    <row r="1288" spans="1:14" ht="12.75" customHeight="1" x14ac:dyDescent="0.2">
      <c r="A1288" s="67"/>
      <c r="B1288" s="22"/>
      <c r="D1288" s="26"/>
      <c r="I1288" s="38"/>
      <c r="N1288" s="38"/>
    </row>
    <row r="1289" spans="1:14" x14ac:dyDescent="0.2">
      <c r="A1289" s="67"/>
      <c r="B1289" s="22"/>
      <c r="D1289" s="26"/>
      <c r="I1289" s="38"/>
      <c r="N1289" s="38"/>
    </row>
    <row r="1290" spans="1:14" x14ac:dyDescent="0.2">
      <c r="A1290" s="67"/>
      <c r="B1290" s="22"/>
      <c r="D1290" s="26"/>
      <c r="I1290" s="38"/>
      <c r="N1290" s="38"/>
    </row>
    <row r="1291" spans="1:14" x14ac:dyDescent="0.2">
      <c r="A1291" s="67"/>
      <c r="B1291" s="22"/>
      <c r="D1291" s="26"/>
      <c r="I1291" s="38"/>
      <c r="N1291" s="38"/>
    </row>
    <row r="1292" spans="1:14" x14ac:dyDescent="0.2">
      <c r="A1292" s="67"/>
      <c r="B1292" s="22"/>
      <c r="D1292" s="26"/>
      <c r="I1292" s="38"/>
      <c r="N1292" s="38"/>
    </row>
    <row r="1293" spans="1:14" ht="12.75" customHeight="1" x14ac:dyDescent="0.2">
      <c r="B1293" s="23"/>
      <c r="D1293" s="26"/>
      <c r="I1293" s="38"/>
      <c r="N1293" s="38"/>
    </row>
    <row r="1294" spans="1:14" ht="12.75" customHeight="1" x14ac:dyDescent="0.2">
      <c r="B1294" s="23"/>
      <c r="D1294" s="26"/>
      <c r="I1294" s="38"/>
      <c r="N1294" s="38"/>
    </row>
    <row r="1295" spans="1:14" ht="12.75" customHeight="1" x14ac:dyDescent="0.2">
      <c r="B1295" s="23"/>
      <c r="D1295" s="26"/>
      <c r="I1295" s="38"/>
      <c r="N1295" s="38"/>
    </row>
    <row r="1296" spans="1:14" ht="12.75" customHeight="1" x14ac:dyDescent="0.2">
      <c r="B1296" s="23"/>
      <c r="D1296" s="26"/>
      <c r="I1296" s="38"/>
      <c r="N1296" s="38"/>
    </row>
    <row r="1297" spans="2:14" ht="12.75" customHeight="1" x14ac:dyDescent="0.2">
      <c r="B1297" s="23"/>
      <c r="D1297" s="26"/>
      <c r="I1297" s="38"/>
      <c r="N1297" s="38"/>
    </row>
    <row r="1298" spans="2:14" ht="12.75" customHeight="1" x14ac:dyDescent="0.2">
      <c r="B1298" s="23"/>
      <c r="D1298" s="26"/>
      <c r="I1298" s="38"/>
      <c r="N1298" s="38"/>
    </row>
    <row r="1299" spans="2:14" ht="12.75" customHeight="1" x14ac:dyDescent="0.2">
      <c r="B1299" s="23"/>
      <c r="D1299" s="26"/>
      <c r="I1299" s="38"/>
      <c r="N1299" s="38"/>
    </row>
    <row r="1300" spans="2:14" ht="12.75" customHeight="1" x14ac:dyDescent="0.2">
      <c r="B1300" s="23"/>
      <c r="D1300" s="26"/>
      <c r="I1300" s="38"/>
      <c r="N1300" s="38"/>
    </row>
    <row r="1301" spans="2:14" ht="12.75" customHeight="1" x14ac:dyDescent="0.2">
      <c r="B1301" s="23"/>
      <c r="D1301" s="26"/>
      <c r="I1301" s="38"/>
      <c r="N1301" s="38"/>
    </row>
    <row r="1302" spans="2:14" ht="12.75" customHeight="1" x14ac:dyDescent="0.2">
      <c r="B1302" s="23"/>
      <c r="D1302" s="26"/>
      <c r="I1302" s="38"/>
      <c r="N1302" s="38"/>
    </row>
    <row r="1303" spans="2:14" ht="12.75" customHeight="1" x14ac:dyDescent="0.2">
      <c r="B1303" s="23"/>
      <c r="D1303" s="26"/>
      <c r="I1303" s="38"/>
      <c r="N1303" s="38"/>
    </row>
    <row r="1304" spans="2:14" ht="12.75" customHeight="1" x14ac:dyDescent="0.2">
      <c r="B1304" s="23"/>
      <c r="D1304" s="26"/>
      <c r="I1304" s="38"/>
      <c r="N1304" s="38"/>
    </row>
    <row r="1305" spans="2:14" x14ac:dyDescent="0.2">
      <c r="B1305" s="23"/>
      <c r="D1305" s="26"/>
      <c r="I1305" s="38"/>
      <c r="N1305" s="38"/>
    </row>
    <row r="1306" spans="2:14" x14ac:dyDescent="0.2">
      <c r="B1306" s="23"/>
      <c r="D1306" s="26"/>
      <c r="I1306" s="38"/>
      <c r="N1306" s="38"/>
    </row>
    <row r="1307" spans="2:14" ht="12.75" customHeight="1" x14ac:dyDescent="0.2">
      <c r="B1307" s="23"/>
      <c r="D1307" s="26"/>
      <c r="I1307" s="38"/>
      <c r="N1307" s="38"/>
    </row>
    <row r="1308" spans="2:14" ht="12.75" customHeight="1" x14ac:dyDescent="0.2">
      <c r="B1308" s="23"/>
      <c r="D1308" s="26"/>
      <c r="I1308" s="38"/>
      <c r="N1308" s="38"/>
    </row>
    <row r="1309" spans="2:14" ht="12.75" customHeight="1" x14ac:dyDescent="0.2">
      <c r="B1309" s="23"/>
      <c r="D1309" s="26"/>
      <c r="I1309" s="38"/>
      <c r="N1309" s="38"/>
    </row>
    <row r="1310" spans="2:14" ht="12.75" customHeight="1" x14ac:dyDescent="0.2">
      <c r="B1310" s="23"/>
      <c r="D1310" s="26"/>
      <c r="I1310" s="38"/>
      <c r="N1310" s="38"/>
    </row>
    <row r="1311" spans="2:14" x14ac:dyDescent="0.2">
      <c r="B1311" s="23"/>
      <c r="D1311" s="26"/>
      <c r="I1311" s="38"/>
      <c r="N1311" s="38"/>
    </row>
    <row r="1312" spans="2:14" x14ac:dyDescent="0.2">
      <c r="B1312" s="23"/>
      <c r="D1312" s="26"/>
      <c r="I1312" s="38"/>
      <c r="N1312" s="38"/>
    </row>
    <row r="1313" spans="2:14" x14ac:dyDescent="0.2">
      <c r="B1313" s="23"/>
      <c r="D1313" s="26"/>
      <c r="I1313" s="38"/>
      <c r="N1313" s="38"/>
    </row>
    <row r="1314" spans="2:14" x14ac:dyDescent="0.2">
      <c r="B1314" s="23"/>
      <c r="D1314" s="26"/>
      <c r="I1314" s="38"/>
      <c r="N1314" s="38"/>
    </row>
    <row r="1315" spans="2:14" ht="12.75" customHeight="1" x14ac:dyDescent="0.2">
      <c r="B1315" s="23"/>
      <c r="D1315" s="26"/>
      <c r="I1315" s="38"/>
      <c r="N1315" s="38"/>
    </row>
    <row r="1316" spans="2:14" ht="12.75" customHeight="1" x14ac:dyDescent="0.2">
      <c r="B1316" s="23"/>
      <c r="D1316" s="26"/>
      <c r="I1316" s="38"/>
      <c r="N1316" s="38"/>
    </row>
    <row r="1317" spans="2:14" ht="12.75" customHeight="1" x14ac:dyDescent="0.2">
      <c r="B1317" s="23"/>
      <c r="D1317" s="26"/>
      <c r="I1317" s="38"/>
      <c r="N1317" s="38"/>
    </row>
    <row r="1318" spans="2:14" ht="12.75" customHeight="1" x14ac:dyDescent="0.2">
      <c r="B1318" s="23"/>
      <c r="D1318" s="26"/>
      <c r="I1318" s="38"/>
      <c r="N1318" s="38"/>
    </row>
    <row r="1319" spans="2:14" x14ac:dyDescent="0.2">
      <c r="B1319" s="23"/>
      <c r="D1319" s="26"/>
      <c r="I1319" s="38"/>
      <c r="N1319" s="38"/>
    </row>
    <row r="1320" spans="2:14" x14ac:dyDescent="0.2">
      <c r="B1320" s="23"/>
      <c r="D1320" s="26"/>
      <c r="I1320" s="38"/>
      <c r="N1320" s="38"/>
    </row>
    <row r="1321" spans="2:14" x14ac:dyDescent="0.2">
      <c r="B1321" s="23"/>
      <c r="D1321" s="26"/>
      <c r="I1321" s="38"/>
      <c r="N1321" s="38"/>
    </row>
    <row r="1322" spans="2:14" x14ac:dyDescent="0.2">
      <c r="B1322" s="23"/>
      <c r="D1322" s="26"/>
      <c r="I1322" s="38"/>
      <c r="N1322" s="38"/>
    </row>
    <row r="1323" spans="2:14" x14ac:dyDescent="0.2">
      <c r="B1323" s="23"/>
      <c r="D1323" s="26"/>
      <c r="I1323" s="38"/>
      <c r="N1323" s="38"/>
    </row>
    <row r="1324" spans="2:14" ht="12.75" customHeight="1" x14ac:dyDescent="0.2">
      <c r="B1324" s="23"/>
      <c r="D1324" s="26"/>
      <c r="I1324" s="38"/>
      <c r="N1324" s="38"/>
    </row>
    <row r="1325" spans="2:14" x14ac:dyDescent="0.2">
      <c r="B1325" s="23"/>
      <c r="D1325" s="26"/>
      <c r="I1325" s="38"/>
      <c r="N1325" s="38"/>
    </row>
    <row r="1326" spans="2:14" x14ac:dyDescent="0.2">
      <c r="B1326" s="23"/>
      <c r="D1326" s="26"/>
      <c r="I1326" s="38"/>
      <c r="N1326" s="38"/>
    </row>
    <row r="1327" spans="2:14" ht="12.75" customHeight="1" x14ac:dyDescent="0.2">
      <c r="B1327" s="23"/>
      <c r="D1327" s="26"/>
      <c r="I1327" s="38"/>
      <c r="N1327" s="38"/>
    </row>
    <row r="1328" spans="2:14" ht="12.75" customHeight="1" x14ac:dyDescent="0.2">
      <c r="B1328" s="23"/>
      <c r="D1328" s="26"/>
      <c r="I1328" s="38"/>
      <c r="N1328" s="38"/>
    </row>
    <row r="1329" spans="2:14" ht="12.75" customHeight="1" x14ac:dyDescent="0.2">
      <c r="B1329" s="23"/>
      <c r="D1329" s="26"/>
      <c r="I1329" s="38"/>
      <c r="N1329" s="38"/>
    </row>
    <row r="1330" spans="2:14" ht="12.75" customHeight="1" x14ac:dyDescent="0.2">
      <c r="B1330" s="23"/>
      <c r="D1330" s="26"/>
      <c r="I1330" s="38"/>
      <c r="N1330" s="38"/>
    </row>
    <row r="1331" spans="2:14" ht="12.75" customHeight="1" x14ac:dyDescent="0.2">
      <c r="B1331" s="23"/>
      <c r="D1331" s="26"/>
      <c r="I1331" s="38"/>
      <c r="N1331" s="38"/>
    </row>
    <row r="1332" spans="2:14" ht="12.75" customHeight="1" x14ac:dyDescent="0.2">
      <c r="B1332" s="23"/>
      <c r="D1332" s="26"/>
      <c r="I1332" s="38"/>
      <c r="N1332" s="38"/>
    </row>
    <row r="1333" spans="2:14" x14ac:dyDescent="0.2">
      <c r="B1333" s="23"/>
      <c r="D1333" s="26"/>
      <c r="I1333" s="38"/>
      <c r="N1333" s="38"/>
    </row>
    <row r="1334" spans="2:14" x14ac:dyDescent="0.2">
      <c r="B1334" s="23"/>
      <c r="D1334" s="26"/>
      <c r="I1334" s="38"/>
      <c r="N1334" s="38"/>
    </row>
    <row r="1335" spans="2:14" ht="12.75" customHeight="1" x14ac:dyDescent="0.2">
      <c r="B1335" s="23"/>
      <c r="D1335" s="26"/>
      <c r="I1335" s="38"/>
      <c r="N1335" s="38"/>
    </row>
    <row r="1336" spans="2:14" ht="12.75" customHeight="1" x14ac:dyDescent="0.2">
      <c r="B1336" s="23"/>
      <c r="D1336" s="26"/>
      <c r="I1336" s="38"/>
      <c r="N1336" s="38"/>
    </row>
    <row r="1337" spans="2:14" ht="12.75" customHeight="1" x14ac:dyDescent="0.2">
      <c r="B1337" s="23"/>
      <c r="D1337" s="26"/>
      <c r="I1337" s="38"/>
      <c r="N1337" s="38"/>
    </row>
    <row r="1338" spans="2:14" ht="12.75" customHeight="1" x14ac:dyDescent="0.2">
      <c r="B1338" s="23"/>
      <c r="D1338" s="26"/>
      <c r="I1338" s="38"/>
      <c r="N1338" s="38"/>
    </row>
    <row r="1339" spans="2:14" ht="12.75" customHeight="1" x14ac:dyDescent="0.2">
      <c r="B1339" s="23"/>
      <c r="D1339" s="26"/>
      <c r="I1339" s="38"/>
      <c r="N1339" s="38"/>
    </row>
    <row r="1340" spans="2:14" ht="12.75" customHeight="1" x14ac:dyDescent="0.2">
      <c r="B1340" s="23"/>
      <c r="D1340" s="26"/>
      <c r="I1340" s="38"/>
      <c r="N1340" s="38"/>
    </row>
    <row r="1341" spans="2:14" ht="12.75" customHeight="1" x14ac:dyDescent="0.2">
      <c r="B1341" s="23"/>
      <c r="D1341" s="26"/>
      <c r="I1341" s="38"/>
      <c r="N1341" s="38"/>
    </row>
    <row r="1342" spans="2:14" ht="12.75" customHeight="1" x14ac:dyDescent="0.2">
      <c r="B1342" s="23"/>
      <c r="D1342" s="26"/>
      <c r="I1342" s="38"/>
      <c r="N1342" s="38"/>
    </row>
    <row r="1343" spans="2:14" x14ac:dyDescent="0.2">
      <c r="B1343" s="23"/>
      <c r="D1343" s="26"/>
      <c r="I1343" s="38"/>
      <c r="N1343" s="38"/>
    </row>
    <row r="1344" spans="2:14" x14ac:dyDescent="0.2">
      <c r="B1344" s="23"/>
      <c r="D1344" s="26"/>
      <c r="I1344" s="38"/>
      <c r="N1344" s="38"/>
    </row>
    <row r="1345" spans="2:14" ht="12.75" customHeight="1" x14ac:dyDescent="0.2">
      <c r="B1345" s="23"/>
      <c r="D1345" s="26"/>
      <c r="I1345" s="38"/>
      <c r="N1345" s="38"/>
    </row>
    <row r="1346" spans="2:14" x14ac:dyDescent="0.2">
      <c r="B1346" s="23"/>
      <c r="D1346" s="26"/>
      <c r="I1346" s="38"/>
      <c r="N1346" s="38"/>
    </row>
    <row r="1347" spans="2:14" x14ac:dyDescent="0.2">
      <c r="B1347" s="23"/>
      <c r="D1347" s="26"/>
      <c r="I1347" s="38"/>
      <c r="N1347" s="38"/>
    </row>
    <row r="1348" spans="2:14" ht="12.75" customHeight="1" x14ac:dyDescent="0.2">
      <c r="B1348" s="23"/>
      <c r="D1348" s="26"/>
      <c r="I1348" s="38"/>
      <c r="N1348" s="38"/>
    </row>
    <row r="1349" spans="2:14" ht="12.75" customHeight="1" x14ac:dyDescent="0.2">
      <c r="B1349" s="23"/>
      <c r="D1349" s="26"/>
      <c r="I1349" s="38"/>
      <c r="N1349" s="38"/>
    </row>
    <row r="1350" spans="2:14" ht="12.75" customHeight="1" x14ac:dyDescent="0.2">
      <c r="B1350" s="23"/>
      <c r="D1350" s="26"/>
      <c r="I1350" s="38"/>
      <c r="N1350" s="38"/>
    </row>
    <row r="1351" spans="2:14" x14ac:dyDescent="0.2">
      <c r="B1351" s="23"/>
      <c r="D1351" s="26"/>
      <c r="I1351" s="38"/>
      <c r="N1351" s="38"/>
    </row>
    <row r="1352" spans="2:14" ht="12.75" customHeight="1" x14ac:dyDescent="0.2">
      <c r="B1352" s="23"/>
      <c r="D1352" s="26"/>
      <c r="I1352" s="38"/>
      <c r="N1352" s="38"/>
    </row>
    <row r="1353" spans="2:14" ht="12.75" customHeight="1" x14ac:dyDescent="0.2">
      <c r="B1353" s="23"/>
      <c r="D1353" s="26"/>
      <c r="I1353" s="38"/>
      <c r="N1353" s="38"/>
    </row>
    <row r="1354" spans="2:14" ht="12.75" customHeight="1" x14ac:dyDescent="0.2">
      <c r="B1354" s="23"/>
      <c r="D1354" s="26"/>
      <c r="I1354" s="38"/>
      <c r="N1354" s="38"/>
    </row>
    <row r="1355" spans="2:14" ht="12.75" customHeight="1" x14ac:dyDescent="0.2">
      <c r="B1355" s="23"/>
      <c r="D1355" s="26"/>
      <c r="I1355" s="38"/>
      <c r="N1355" s="38"/>
    </row>
    <row r="1356" spans="2:14" x14ac:dyDescent="0.2">
      <c r="B1356" s="23"/>
      <c r="D1356" s="26"/>
      <c r="I1356" s="38"/>
      <c r="N1356" s="38"/>
    </row>
    <row r="1357" spans="2:14" x14ac:dyDescent="0.2">
      <c r="B1357" s="23"/>
      <c r="D1357" s="26"/>
      <c r="I1357" s="38"/>
      <c r="N1357" s="38"/>
    </row>
    <row r="1358" spans="2:14" ht="12.75" customHeight="1" x14ac:dyDescent="0.2">
      <c r="B1358" s="23"/>
      <c r="D1358" s="26"/>
      <c r="I1358" s="38"/>
      <c r="N1358" s="38"/>
    </row>
    <row r="1359" spans="2:14" x14ac:dyDescent="0.2">
      <c r="B1359" s="23"/>
      <c r="D1359" s="26"/>
      <c r="I1359" s="38"/>
      <c r="N1359" s="38"/>
    </row>
    <row r="1360" spans="2:14" x14ac:dyDescent="0.2">
      <c r="B1360" s="23"/>
      <c r="D1360" s="26"/>
      <c r="I1360" s="38"/>
      <c r="N1360" s="38"/>
    </row>
    <row r="1361" spans="2:14" ht="12.75" customHeight="1" x14ac:dyDescent="0.2">
      <c r="B1361" s="23"/>
      <c r="D1361" s="26"/>
      <c r="I1361" s="38"/>
      <c r="N1361" s="38"/>
    </row>
    <row r="1362" spans="2:14" ht="12.75" customHeight="1" x14ac:dyDescent="0.2">
      <c r="B1362" s="23"/>
      <c r="D1362" s="26"/>
      <c r="I1362" s="38"/>
      <c r="N1362" s="38"/>
    </row>
    <row r="1363" spans="2:14" ht="12.75" customHeight="1" x14ac:dyDescent="0.2">
      <c r="B1363" s="23"/>
      <c r="D1363" s="26"/>
      <c r="I1363" s="38"/>
      <c r="N1363" s="38"/>
    </row>
    <row r="1364" spans="2:14" x14ac:dyDescent="0.2">
      <c r="B1364" s="23"/>
      <c r="D1364" s="26"/>
      <c r="I1364" s="38"/>
      <c r="N1364" s="38"/>
    </row>
    <row r="1365" spans="2:14" x14ac:dyDescent="0.2">
      <c r="B1365" s="23"/>
      <c r="D1365" s="26"/>
      <c r="I1365" s="38"/>
      <c r="N1365" s="38"/>
    </row>
    <row r="1366" spans="2:14" ht="12.75" customHeight="1" x14ac:dyDescent="0.2">
      <c r="B1366" s="23"/>
      <c r="D1366" s="26"/>
      <c r="I1366" s="38"/>
      <c r="N1366" s="38"/>
    </row>
    <row r="1367" spans="2:14" x14ac:dyDescent="0.2">
      <c r="B1367" s="23"/>
      <c r="D1367" s="26"/>
      <c r="I1367" s="38"/>
      <c r="N1367" s="38"/>
    </row>
    <row r="1368" spans="2:14" x14ac:dyDescent="0.2">
      <c r="B1368" s="23"/>
      <c r="D1368" s="26"/>
      <c r="I1368" s="38"/>
      <c r="N1368" s="38"/>
    </row>
    <row r="1369" spans="2:14" x14ac:dyDescent="0.2">
      <c r="B1369" s="23"/>
      <c r="D1369" s="26"/>
      <c r="I1369" s="38"/>
      <c r="N1369" s="38"/>
    </row>
    <row r="1370" spans="2:14" x14ac:dyDescent="0.2">
      <c r="B1370" s="23"/>
      <c r="D1370" s="26"/>
      <c r="I1370" s="38"/>
      <c r="N1370" s="38"/>
    </row>
    <row r="1371" spans="2:14" x14ac:dyDescent="0.2">
      <c r="B1371" s="23"/>
      <c r="D1371" s="26"/>
      <c r="I1371" s="38"/>
      <c r="N1371" s="38"/>
    </row>
    <row r="1372" spans="2:14" x14ac:dyDescent="0.2">
      <c r="B1372" s="23"/>
      <c r="D1372" s="26"/>
      <c r="I1372" s="38"/>
      <c r="N1372" s="38"/>
    </row>
    <row r="1373" spans="2:14" ht="12.75" customHeight="1" x14ac:dyDescent="0.2">
      <c r="B1373" s="23"/>
      <c r="D1373" s="26"/>
      <c r="I1373" s="38"/>
      <c r="N1373" s="38"/>
    </row>
    <row r="1374" spans="2:14" x14ac:dyDescent="0.2">
      <c r="B1374" s="23"/>
      <c r="D1374" s="26"/>
      <c r="I1374" s="38"/>
      <c r="N1374" s="38"/>
    </row>
    <row r="1375" spans="2:14" x14ac:dyDescent="0.2">
      <c r="B1375" s="23"/>
      <c r="D1375" s="26"/>
      <c r="I1375" s="38"/>
      <c r="N1375" s="38"/>
    </row>
    <row r="1376" spans="2:14" x14ac:dyDescent="0.2">
      <c r="B1376" s="23"/>
      <c r="D1376" s="26"/>
      <c r="I1376" s="38"/>
      <c r="N1376" s="38"/>
    </row>
    <row r="1377" spans="2:14" x14ac:dyDescent="0.2">
      <c r="B1377" s="23"/>
      <c r="D1377" s="26"/>
      <c r="I1377" s="38"/>
      <c r="N1377" s="38"/>
    </row>
    <row r="1378" spans="2:14" x14ac:dyDescent="0.2">
      <c r="B1378" s="23"/>
      <c r="D1378" s="26"/>
      <c r="I1378" s="38"/>
      <c r="N1378" s="38"/>
    </row>
    <row r="1379" spans="2:14" x14ac:dyDescent="0.2">
      <c r="B1379" s="23"/>
      <c r="D1379" s="26"/>
      <c r="I1379" s="38"/>
      <c r="N1379" s="38"/>
    </row>
    <row r="1380" spans="2:14" x14ac:dyDescent="0.2">
      <c r="B1380" s="23"/>
      <c r="D1380" s="26"/>
      <c r="I1380" s="38"/>
      <c r="N1380" s="38"/>
    </row>
    <row r="1381" spans="2:14" x14ac:dyDescent="0.2">
      <c r="B1381" s="23"/>
      <c r="I1381" s="38"/>
      <c r="N1381" s="38"/>
    </row>
    <row r="1382" spans="2:14" x14ac:dyDescent="0.2">
      <c r="B1382" s="23"/>
      <c r="I1382" s="38"/>
      <c r="N1382" s="38"/>
    </row>
    <row r="1383" spans="2:14" x14ac:dyDescent="0.2">
      <c r="B1383" s="23"/>
      <c r="I1383" s="38"/>
      <c r="N1383" s="38"/>
    </row>
    <row r="1384" spans="2:14" x14ac:dyDescent="0.2">
      <c r="B1384" s="23"/>
      <c r="I1384" s="38"/>
      <c r="N1384" s="38"/>
    </row>
    <row r="1385" spans="2:14" x14ac:dyDescent="0.2">
      <c r="B1385" s="23"/>
      <c r="I1385" s="38"/>
      <c r="N1385" s="38"/>
    </row>
    <row r="1386" spans="2:14" x14ac:dyDescent="0.2">
      <c r="B1386" s="23"/>
      <c r="I1386" s="38"/>
      <c r="N1386" s="38"/>
    </row>
    <row r="1387" spans="2:14" x14ac:dyDescent="0.2">
      <c r="B1387" s="23"/>
      <c r="I1387" s="38"/>
      <c r="N1387" s="38"/>
    </row>
    <row r="1388" spans="2:14" x14ac:dyDescent="0.2">
      <c r="B1388" s="23"/>
      <c r="I1388" s="38"/>
      <c r="N1388" s="38"/>
    </row>
    <row r="1389" spans="2:14" x14ac:dyDescent="0.2">
      <c r="B1389" s="23"/>
      <c r="I1389" s="38"/>
      <c r="N1389" s="38"/>
    </row>
    <row r="1390" spans="2:14" x14ac:dyDescent="0.2">
      <c r="B1390" s="23"/>
      <c r="I1390" s="38"/>
      <c r="N1390" s="38"/>
    </row>
    <row r="1391" spans="2:14" x14ac:dyDescent="0.2">
      <c r="B1391" s="23"/>
      <c r="I1391" s="38"/>
      <c r="N1391" s="38"/>
    </row>
    <row r="1392" spans="2:14" x14ac:dyDescent="0.2">
      <c r="B1392" s="23"/>
      <c r="I1392" s="38"/>
      <c r="N1392" s="38"/>
    </row>
    <row r="1393" spans="2:14" x14ac:dyDescent="0.2">
      <c r="B1393" s="23"/>
      <c r="I1393" s="38"/>
      <c r="N1393" s="38"/>
    </row>
    <row r="1394" spans="2:14" x14ac:dyDescent="0.2">
      <c r="B1394" s="23"/>
      <c r="I1394" s="38"/>
      <c r="N1394" s="38"/>
    </row>
    <row r="1395" spans="2:14" x14ac:dyDescent="0.2">
      <c r="B1395" s="23"/>
      <c r="I1395" s="38"/>
      <c r="N1395" s="38"/>
    </row>
    <row r="1396" spans="2:14" x14ac:dyDescent="0.2">
      <c r="B1396" s="23"/>
      <c r="I1396" s="38"/>
      <c r="N1396" s="38"/>
    </row>
    <row r="1397" spans="2:14" x14ac:dyDescent="0.2">
      <c r="B1397" s="23"/>
      <c r="I1397" s="38"/>
      <c r="N1397" s="38"/>
    </row>
    <row r="1398" spans="2:14" x14ac:dyDescent="0.2">
      <c r="B1398" s="23"/>
      <c r="I1398" s="38"/>
      <c r="N1398" s="38"/>
    </row>
    <row r="1399" spans="2:14" x14ac:dyDescent="0.2">
      <c r="B1399" s="23"/>
      <c r="I1399" s="38"/>
      <c r="N1399" s="38"/>
    </row>
    <row r="1400" spans="2:14" x14ac:dyDescent="0.2">
      <c r="B1400" s="23"/>
      <c r="I1400" s="38"/>
      <c r="N1400" s="38"/>
    </row>
    <row r="1401" spans="2:14" x14ac:dyDescent="0.2">
      <c r="B1401" s="23"/>
      <c r="I1401" s="38"/>
      <c r="N1401" s="38"/>
    </row>
    <row r="1402" spans="2:14" x14ac:dyDescent="0.2">
      <c r="B1402" s="23"/>
      <c r="I1402" s="38"/>
      <c r="N1402" s="38"/>
    </row>
    <row r="1403" spans="2:14" x14ac:dyDescent="0.2">
      <c r="B1403" s="23"/>
      <c r="I1403" s="38"/>
      <c r="N1403" s="38"/>
    </row>
    <row r="1404" spans="2:14" x14ac:dyDescent="0.2">
      <c r="B1404" s="23"/>
      <c r="I1404" s="38"/>
      <c r="N1404" s="38"/>
    </row>
    <row r="1405" spans="2:14" x14ac:dyDescent="0.2">
      <c r="B1405" s="23"/>
      <c r="I1405" s="38"/>
      <c r="N1405" s="38"/>
    </row>
    <row r="1406" spans="2:14" x14ac:dyDescent="0.2">
      <c r="B1406" s="23"/>
      <c r="I1406" s="38"/>
      <c r="N1406" s="38"/>
    </row>
    <row r="1407" spans="2:14" x14ac:dyDescent="0.2">
      <c r="B1407" s="23"/>
      <c r="I1407" s="38"/>
      <c r="N1407" s="38"/>
    </row>
    <row r="1408" spans="2:14" x14ac:dyDescent="0.2">
      <c r="B1408" s="23"/>
      <c r="I1408" s="38"/>
      <c r="N1408" s="38"/>
    </row>
    <row r="1409" spans="2:14" x14ac:dyDescent="0.2">
      <c r="B1409" s="23"/>
      <c r="I1409" s="38"/>
      <c r="N1409" s="38"/>
    </row>
    <row r="1410" spans="2:14" x14ac:dyDescent="0.2">
      <c r="B1410" s="23"/>
      <c r="I1410" s="38"/>
      <c r="N1410" s="38"/>
    </row>
    <row r="1411" spans="2:14" x14ac:dyDescent="0.2">
      <c r="B1411" s="23"/>
      <c r="I1411" s="38"/>
      <c r="N1411" s="38"/>
    </row>
    <row r="1412" spans="2:14" x14ac:dyDescent="0.2">
      <c r="B1412" s="23"/>
      <c r="I1412" s="38"/>
      <c r="N1412" s="38"/>
    </row>
    <row r="1413" spans="2:14" x14ac:dyDescent="0.2">
      <c r="B1413" s="23"/>
      <c r="I1413" s="38"/>
      <c r="N1413" s="38"/>
    </row>
    <row r="1414" spans="2:14" x14ac:dyDescent="0.2">
      <c r="B1414" s="23"/>
      <c r="I1414" s="38"/>
      <c r="N1414" s="38"/>
    </row>
    <row r="1415" spans="2:14" x14ac:dyDescent="0.2">
      <c r="B1415" s="23"/>
      <c r="I1415" s="38"/>
      <c r="N1415" s="38"/>
    </row>
    <row r="1416" spans="2:14" x14ac:dyDescent="0.2">
      <c r="B1416" s="23"/>
      <c r="I1416" s="38"/>
      <c r="N1416" s="38"/>
    </row>
    <row r="1417" spans="2:14" x14ac:dyDescent="0.2">
      <c r="B1417" s="23"/>
      <c r="I1417" s="38"/>
      <c r="N1417" s="38"/>
    </row>
    <row r="1418" spans="2:14" x14ac:dyDescent="0.2">
      <c r="B1418" s="23"/>
      <c r="I1418" s="38"/>
      <c r="N1418" s="38"/>
    </row>
    <row r="1419" spans="2:14" x14ac:dyDescent="0.2">
      <c r="B1419" s="23"/>
      <c r="I1419" s="38"/>
      <c r="N1419" s="38"/>
    </row>
    <row r="1420" spans="2:14" x14ac:dyDescent="0.2">
      <c r="B1420" s="23"/>
      <c r="I1420" s="38"/>
      <c r="N1420" s="38"/>
    </row>
    <row r="1421" spans="2:14" x14ac:dyDescent="0.2">
      <c r="B1421" s="23"/>
      <c r="I1421" s="38"/>
      <c r="N1421" s="38"/>
    </row>
    <row r="1422" spans="2:14" x14ac:dyDescent="0.2">
      <c r="B1422" s="23"/>
      <c r="I1422" s="38"/>
      <c r="N1422" s="38"/>
    </row>
    <row r="1423" spans="2:14" x14ac:dyDescent="0.2">
      <c r="B1423" s="23"/>
      <c r="I1423" s="38"/>
      <c r="N1423" s="38"/>
    </row>
    <row r="1424" spans="2:14" x14ac:dyDescent="0.2">
      <c r="B1424" s="23"/>
      <c r="I1424" s="38"/>
      <c r="N1424" s="38"/>
    </row>
    <row r="1425" spans="2:14" x14ac:dyDescent="0.2">
      <c r="B1425" s="23"/>
      <c r="I1425" s="38"/>
      <c r="N1425" s="38"/>
    </row>
    <row r="1426" spans="2:14" x14ac:dyDescent="0.2">
      <c r="B1426" s="23"/>
      <c r="I1426" s="38"/>
      <c r="N1426" s="38"/>
    </row>
    <row r="1427" spans="2:14" x14ac:dyDescent="0.2">
      <c r="B1427" s="23"/>
      <c r="I1427" s="38"/>
      <c r="N1427" s="38"/>
    </row>
    <row r="1428" spans="2:14" x14ac:dyDescent="0.2">
      <c r="B1428" s="23"/>
      <c r="I1428" s="38"/>
      <c r="N1428" s="38"/>
    </row>
    <row r="1429" spans="2:14" x14ac:dyDescent="0.2">
      <c r="B1429" s="23"/>
      <c r="I1429" s="38"/>
      <c r="N1429" s="38"/>
    </row>
    <row r="1430" spans="2:14" x14ac:dyDescent="0.2">
      <c r="B1430" s="23"/>
      <c r="I1430" s="38"/>
      <c r="N1430" s="38"/>
    </row>
    <row r="1431" spans="2:14" x14ac:dyDescent="0.2">
      <c r="B1431" s="23"/>
      <c r="I1431" s="38"/>
      <c r="N1431" s="38"/>
    </row>
    <row r="1432" spans="2:14" x14ac:dyDescent="0.2">
      <c r="B1432" s="23"/>
      <c r="I1432" s="38"/>
      <c r="N1432" s="38"/>
    </row>
    <row r="1433" spans="2:14" x14ac:dyDescent="0.2">
      <c r="B1433" s="23"/>
      <c r="I1433" s="38"/>
      <c r="N1433" s="38"/>
    </row>
    <row r="1434" spans="2:14" x14ac:dyDescent="0.2">
      <c r="B1434" s="23"/>
      <c r="I1434" s="38"/>
      <c r="N1434" s="38"/>
    </row>
    <row r="1435" spans="2:14" x14ac:dyDescent="0.2">
      <c r="B1435" s="23"/>
      <c r="I1435" s="38"/>
      <c r="N1435" s="38"/>
    </row>
    <row r="1436" spans="2:14" x14ac:dyDescent="0.2">
      <c r="B1436" s="23"/>
      <c r="I1436" s="38"/>
      <c r="N1436" s="38"/>
    </row>
    <row r="1437" spans="2:14" x14ac:dyDescent="0.2">
      <c r="B1437" s="23"/>
      <c r="I1437" s="38"/>
      <c r="N1437" s="38"/>
    </row>
    <row r="1438" spans="2:14" x14ac:dyDescent="0.2">
      <c r="B1438" s="23"/>
      <c r="I1438" s="38"/>
      <c r="N1438" s="38"/>
    </row>
    <row r="1439" spans="2:14" x14ac:dyDescent="0.2">
      <c r="B1439" s="23"/>
      <c r="I1439" s="38"/>
      <c r="N1439" s="38"/>
    </row>
    <row r="1440" spans="2:14" x14ac:dyDescent="0.2">
      <c r="B1440" s="23"/>
      <c r="I1440" s="38"/>
      <c r="N1440" s="38"/>
    </row>
    <row r="1441" spans="2:14" x14ac:dyDescent="0.2">
      <c r="B1441" s="23"/>
      <c r="I1441" s="38"/>
      <c r="N1441" s="38"/>
    </row>
    <row r="1442" spans="2:14" x14ac:dyDescent="0.2">
      <c r="B1442" s="23"/>
      <c r="I1442" s="38"/>
      <c r="N1442" s="38"/>
    </row>
    <row r="1443" spans="2:14" x14ac:dyDescent="0.2">
      <c r="B1443" s="23"/>
      <c r="I1443" s="38"/>
      <c r="N1443" s="38"/>
    </row>
    <row r="1444" spans="2:14" x14ac:dyDescent="0.2">
      <c r="B1444" s="23"/>
      <c r="I1444" s="38"/>
      <c r="N1444" s="38"/>
    </row>
    <row r="1445" spans="2:14" x14ac:dyDescent="0.2">
      <c r="B1445" s="23"/>
      <c r="I1445" s="38"/>
      <c r="N1445" s="38"/>
    </row>
    <row r="1446" spans="2:14" x14ac:dyDescent="0.2">
      <c r="B1446" s="23"/>
      <c r="I1446" s="38"/>
      <c r="N1446" s="38"/>
    </row>
    <row r="1447" spans="2:14" x14ac:dyDescent="0.2">
      <c r="B1447" s="23"/>
      <c r="I1447" s="38"/>
      <c r="N1447" s="38"/>
    </row>
    <row r="1448" spans="2:14" x14ac:dyDescent="0.2">
      <c r="B1448" s="23"/>
      <c r="I1448" s="38"/>
      <c r="N1448" s="38"/>
    </row>
    <row r="1449" spans="2:14" x14ac:dyDescent="0.2">
      <c r="B1449" s="23"/>
      <c r="I1449" s="38"/>
      <c r="N1449" s="38"/>
    </row>
    <row r="1450" spans="2:14" x14ac:dyDescent="0.2">
      <c r="B1450" s="23"/>
      <c r="I1450" s="38"/>
      <c r="N1450" s="38"/>
    </row>
    <row r="1451" spans="2:14" x14ac:dyDescent="0.2">
      <c r="B1451" s="23"/>
      <c r="I1451" s="38"/>
      <c r="N1451" s="38"/>
    </row>
    <row r="1452" spans="2:14" x14ac:dyDescent="0.2">
      <c r="B1452" s="23"/>
      <c r="I1452" s="38"/>
      <c r="N1452" s="38"/>
    </row>
    <row r="1453" spans="2:14" x14ac:dyDescent="0.2">
      <c r="B1453" s="23"/>
      <c r="I1453" s="38"/>
      <c r="N1453" s="38"/>
    </row>
    <row r="1454" spans="2:14" x14ac:dyDescent="0.2">
      <c r="B1454" s="23"/>
      <c r="I1454" s="38"/>
      <c r="N1454" s="38"/>
    </row>
    <row r="1455" spans="2:14" x14ac:dyDescent="0.2">
      <c r="B1455" s="23"/>
      <c r="I1455" s="38"/>
      <c r="N1455" s="38"/>
    </row>
    <row r="1456" spans="2:14" x14ac:dyDescent="0.2">
      <c r="B1456" s="23"/>
      <c r="I1456" s="38"/>
      <c r="N1456" s="38"/>
    </row>
    <row r="1457" spans="2:14" x14ac:dyDescent="0.2">
      <c r="B1457" s="23"/>
      <c r="I1457" s="38"/>
      <c r="N1457" s="38"/>
    </row>
    <row r="1458" spans="2:14" x14ac:dyDescent="0.2">
      <c r="B1458" s="23"/>
      <c r="I1458" s="38"/>
      <c r="N1458" s="38"/>
    </row>
    <row r="1459" spans="2:14" x14ac:dyDescent="0.2">
      <c r="B1459" s="23"/>
      <c r="I1459" s="38"/>
      <c r="N1459" s="38"/>
    </row>
    <row r="1460" spans="2:14" x14ac:dyDescent="0.2">
      <c r="B1460" s="23"/>
      <c r="I1460" s="38"/>
      <c r="N1460" s="38"/>
    </row>
    <row r="1461" spans="2:14" x14ac:dyDescent="0.2">
      <c r="B1461" s="23"/>
      <c r="I1461" s="38"/>
      <c r="N1461" s="38"/>
    </row>
    <row r="1462" spans="2:14" x14ac:dyDescent="0.2">
      <c r="B1462" s="23"/>
      <c r="I1462" s="38"/>
      <c r="N1462" s="38"/>
    </row>
    <row r="1463" spans="2:14" x14ac:dyDescent="0.2">
      <c r="B1463" s="23"/>
      <c r="I1463" s="38"/>
      <c r="N1463" s="38"/>
    </row>
    <row r="1464" spans="2:14" x14ac:dyDescent="0.2">
      <c r="B1464" s="23"/>
      <c r="I1464" s="38"/>
      <c r="N1464" s="38"/>
    </row>
    <row r="1465" spans="2:14" x14ac:dyDescent="0.2">
      <c r="B1465" s="23"/>
      <c r="I1465" s="38"/>
      <c r="N1465" s="38"/>
    </row>
    <row r="1466" spans="2:14" x14ac:dyDescent="0.2">
      <c r="B1466" s="23"/>
      <c r="I1466" s="38"/>
      <c r="N1466" s="38"/>
    </row>
    <row r="1467" spans="2:14" x14ac:dyDescent="0.2">
      <c r="B1467" s="23"/>
      <c r="I1467" s="38"/>
      <c r="N1467" s="38"/>
    </row>
    <row r="1468" spans="2:14" x14ac:dyDescent="0.2">
      <c r="B1468" s="23"/>
      <c r="I1468" s="38"/>
      <c r="N1468" s="38"/>
    </row>
    <row r="1469" spans="2:14" x14ac:dyDescent="0.2">
      <c r="B1469" s="23"/>
      <c r="I1469" s="38"/>
      <c r="N1469" s="38"/>
    </row>
    <row r="1470" spans="2:14" x14ac:dyDescent="0.2">
      <c r="B1470" s="23"/>
      <c r="I1470" s="38"/>
      <c r="N1470" s="38"/>
    </row>
    <row r="1471" spans="2:14" x14ac:dyDescent="0.2">
      <c r="B1471" s="23"/>
      <c r="I1471" s="38"/>
      <c r="N1471" s="38"/>
    </row>
    <row r="1472" spans="2:14" x14ac:dyDescent="0.2">
      <c r="B1472" s="23"/>
      <c r="I1472" s="38"/>
      <c r="N1472" s="38"/>
    </row>
    <row r="1473" spans="2:14" x14ac:dyDescent="0.2">
      <c r="B1473" s="23"/>
      <c r="I1473" s="38"/>
      <c r="N1473" s="38"/>
    </row>
    <row r="1474" spans="2:14" x14ac:dyDescent="0.2">
      <c r="B1474" s="23"/>
      <c r="I1474" s="38"/>
      <c r="N1474" s="38"/>
    </row>
    <row r="1475" spans="2:14" x14ac:dyDescent="0.2">
      <c r="B1475" s="23"/>
      <c r="I1475" s="38"/>
      <c r="N1475" s="38"/>
    </row>
    <row r="1476" spans="2:14" x14ac:dyDescent="0.2">
      <c r="B1476" s="23"/>
      <c r="I1476" s="38"/>
      <c r="N1476" s="38"/>
    </row>
    <row r="1477" spans="2:14" x14ac:dyDescent="0.2">
      <c r="B1477" s="23"/>
      <c r="I1477" s="38"/>
      <c r="N1477" s="38"/>
    </row>
    <row r="1478" spans="2:14" x14ac:dyDescent="0.2">
      <c r="B1478" s="23"/>
      <c r="I1478" s="38"/>
      <c r="N1478" s="38"/>
    </row>
    <row r="1479" spans="2:14" x14ac:dyDescent="0.2">
      <c r="B1479" s="23"/>
      <c r="I1479" s="38"/>
      <c r="N1479" s="38"/>
    </row>
    <row r="1480" spans="2:14" x14ac:dyDescent="0.2">
      <c r="B1480" s="23"/>
      <c r="I1480" s="38"/>
      <c r="N1480" s="38"/>
    </row>
    <row r="1481" spans="2:14" x14ac:dyDescent="0.2">
      <c r="B1481" s="23"/>
      <c r="I1481" s="38"/>
      <c r="N1481" s="38"/>
    </row>
    <row r="1482" spans="2:14" x14ac:dyDescent="0.2">
      <c r="B1482" s="23"/>
      <c r="I1482" s="38"/>
      <c r="N1482" s="38"/>
    </row>
    <row r="1483" spans="2:14" x14ac:dyDescent="0.2">
      <c r="B1483" s="23"/>
      <c r="I1483" s="38"/>
      <c r="N1483" s="38"/>
    </row>
    <row r="1484" spans="2:14" x14ac:dyDescent="0.2">
      <c r="B1484" s="23"/>
      <c r="I1484" s="38"/>
      <c r="N1484" s="38"/>
    </row>
    <row r="1485" spans="2:14" x14ac:dyDescent="0.2">
      <c r="B1485" s="23"/>
      <c r="I1485" s="38"/>
      <c r="N1485" s="38"/>
    </row>
    <row r="1486" spans="2:14" x14ac:dyDescent="0.2">
      <c r="B1486" s="23"/>
      <c r="I1486" s="38"/>
      <c r="N1486" s="38"/>
    </row>
    <row r="1487" spans="2:14" x14ac:dyDescent="0.2">
      <c r="B1487" s="23"/>
      <c r="I1487" s="38"/>
      <c r="N1487" s="38"/>
    </row>
    <row r="1488" spans="2:14" x14ac:dyDescent="0.2">
      <c r="B1488" s="23"/>
      <c r="I1488" s="38"/>
      <c r="N1488" s="38"/>
    </row>
    <row r="1489" spans="2:14" x14ac:dyDescent="0.2">
      <c r="B1489" s="23"/>
      <c r="I1489" s="38"/>
      <c r="N1489" s="38"/>
    </row>
    <row r="1490" spans="2:14" x14ac:dyDescent="0.2">
      <c r="B1490" s="23"/>
      <c r="I1490" s="38"/>
      <c r="N1490" s="38"/>
    </row>
    <row r="1491" spans="2:14" x14ac:dyDescent="0.2">
      <c r="B1491" s="23"/>
      <c r="I1491" s="38"/>
      <c r="N1491" s="38"/>
    </row>
    <row r="1492" spans="2:14" x14ac:dyDescent="0.2">
      <c r="B1492" s="23"/>
      <c r="I1492" s="38"/>
      <c r="N1492" s="38"/>
    </row>
    <row r="1493" spans="2:14" x14ac:dyDescent="0.2">
      <c r="B1493" s="23"/>
      <c r="I1493" s="38"/>
      <c r="N1493" s="38"/>
    </row>
    <row r="1494" spans="2:14" x14ac:dyDescent="0.2">
      <c r="B1494" s="23"/>
      <c r="I1494" s="38"/>
      <c r="N1494" s="38"/>
    </row>
    <row r="1495" spans="2:14" x14ac:dyDescent="0.2">
      <c r="B1495" s="23"/>
      <c r="I1495" s="38"/>
      <c r="N1495" s="38"/>
    </row>
    <row r="1496" spans="2:14" x14ac:dyDescent="0.2">
      <c r="B1496" s="23"/>
      <c r="I1496" s="38"/>
      <c r="N1496" s="38"/>
    </row>
    <row r="1497" spans="2:14" x14ac:dyDescent="0.2">
      <c r="B1497" s="23"/>
      <c r="I1497" s="38"/>
      <c r="N1497" s="38"/>
    </row>
    <row r="1498" spans="2:14" x14ac:dyDescent="0.2">
      <c r="B1498" s="23"/>
      <c r="I1498" s="38"/>
      <c r="N1498" s="38"/>
    </row>
    <row r="1499" spans="2:14" x14ac:dyDescent="0.2">
      <c r="B1499" s="23"/>
      <c r="I1499" s="38"/>
      <c r="N1499" s="38"/>
    </row>
    <row r="1500" spans="2:14" x14ac:dyDescent="0.2">
      <c r="B1500" s="23"/>
      <c r="I1500" s="38"/>
      <c r="N1500" s="38"/>
    </row>
    <row r="1501" spans="2:14" x14ac:dyDescent="0.2">
      <c r="B1501" s="23"/>
      <c r="I1501" s="38"/>
      <c r="N1501" s="38"/>
    </row>
    <row r="1502" spans="2:14" x14ac:dyDescent="0.2">
      <c r="B1502" s="23"/>
      <c r="I1502" s="38"/>
      <c r="N1502" s="38"/>
    </row>
    <row r="1503" spans="2:14" x14ac:dyDescent="0.2">
      <c r="B1503" s="23"/>
      <c r="I1503" s="38"/>
      <c r="N1503" s="38"/>
    </row>
    <row r="1504" spans="2:14" x14ac:dyDescent="0.2">
      <c r="B1504" s="23"/>
      <c r="I1504" s="38"/>
      <c r="N1504" s="38"/>
    </row>
    <row r="1505" spans="2:14" x14ac:dyDescent="0.2">
      <c r="B1505" s="23"/>
      <c r="I1505" s="38"/>
      <c r="N1505" s="38"/>
    </row>
    <row r="1506" spans="2:14" x14ac:dyDescent="0.2">
      <c r="B1506" s="23"/>
      <c r="I1506" s="38"/>
      <c r="N1506" s="38"/>
    </row>
    <row r="1507" spans="2:14" x14ac:dyDescent="0.2">
      <c r="B1507" s="23"/>
      <c r="I1507" s="38"/>
      <c r="N1507" s="38"/>
    </row>
    <row r="1508" spans="2:14" x14ac:dyDescent="0.2">
      <c r="B1508" s="23"/>
      <c r="I1508" s="38"/>
      <c r="N1508" s="38"/>
    </row>
    <row r="1509" spans="2:14" x14ac:dyDescent="0.2">
      <c r="B1509" s="23"/>
      <c r="I1509" s="38"/>
      <c r="N1509" s="38"/>
    </row>
    <row r="1510" spans="2:14" x14ac:dyDescent="0.2">
      <c r="B1510" s="23"/>
      <c r="I1510" s="38"/>
      <c r="N1510" s="38"/>
    </row>
    <row r="1511" spans="2:14" x14ac:dyDescent="0.2">
      <c r="B1511" s="23"/>
      <c r="I1511" s="38"/>
      <c r="N1511" s="38"/>
    </row>
    <row r="1512" spans="2:14" x14ac:dyDescent="0.2">
      <c r="B1512" s="23"/>
      <c r="I1512" s="38"/>
      <c r="N1512" s="38"/>
    </row>
    <row r="1513" spans="2:14" x14ac:dyDescent="0.2">
      <c r="B1513" s="23"/>
      <c r="I1513" s="38"/>
      <c r="N1513" s="38"/>
    </row>
    <row r="1514" spans="2:14" x14ac:dyDescent="0.2">
      <c r="B1514" s="23"/>
      <c r="I1514" s="38"/>
      <c r="N1514" s="38"/>
    </row>
    <row r="1515" spans="2:14" x14ac:dyDescent="0.2">
      <c r="B1515" s="23"/>
      <c r="I1515" s="38"/>
      <c r="N1515" s="38"/>
    </row>
    <row r="1516" spans="2:14" x14ac:dyDescent="0.2">
      <c r="B1516" s="23"/>
      <c r="I1516" s="38"/>
      <c r="N1516" s="38"/>
    </row>
    <row r="1517" spans="2:14" x14ac:dyDescent="0.2">
      <c r="B1517" s="23"/>
      <c r="I1517" s="38"/>
      <c r="N1517" s="38"/>
    </row>
    <row r="1518" spans="2:14" x14ac:dyDescent="0.2">
      <c r="B1518" s="23"/>
      <c r="I1518" s="38"/>
      <c r="N1518" s="38"/>
    </row>
    <row r="1519" spans="2:14" x14ac:dyDescent="0.2">
      <c r="B1519" s="23"/>
      <c r="I1519" s="38"/>
      <c r="N1519" s="38"/>
    </row>
    <row r="1520" spans="2:14" x14ac:dyDescent="0.2">
      <c r="B1520" s="23"/>
      <c r="I1520" s="38"/>
      <c r="N1520" s="38"/>
    </row>
    <row r="1521" spans="2:14" x14ac:dyDescent="0.2">
      <c r="B1521" s="23"/>
      <c r="I1521" s="38"/>
      <c r="N1521" s="38"/>
    </row>
    <row r="1522" spans="2:14" x14ac:dyDescent="0.2">
      <c r="B1522" s="23"/>
      <c r="I1522" s="38"/>
      <c r="N1522" s="38"/>
    </row>
    <row r="1523" spans="2:14" x14ac:dyDescent="0.2">
      <c r="B1523" s="23"/>
      <c r="I1523" s="38"/>
      <c r="N1523" s="38"/>
    </row>
    <row r="1524" spans="2:14" x14ac:dyDescent="0.2">
      <c r="B1524" s="23"/>
      <c r="I1524" s="38"/>
      <c r="N1524" s="38"/>
    </row>
    <row r="1525" spans="2:14" x14ac:dyDescent="0.2">
      <c r="B1525" s="23"/>
      <c r="I1525" s="38"/>
      <c r="N1525" s="38"/>
    </row>
    <row r="1526" spans="2:14" x14ac:dyDescent="0.2">
      <c r="B1526" s="23"/>
      <c r="I1526" s="38"/>
      <c r="N1526" s="38"/>
    </row>
    <row r="1527" spans="2:14" x14ac:dyDescent="0.2">
      <c r="B1527" s="23"/>
      <c r="I1527" s="38"/>
      <c r="N1527" s="38"/>
    </row>
    <row r="1528" spans="2:14" x14ac:dyDescent="0.2">
      <c r="B1528" s="23"/>
      <c r="I1528" s="38"/>
      <c r="N1528" s="38"/>
    </row>
    <row r="1529" spans="2:14" x14ac:dyDescent="0.2">
      <c r="B1529" s="23"/>
      <c r="I1529" s="38"/>
      <c r="N1529" s="38"/>
    </row>
    <row r="1530" spans="2:14" x14ac:dyDescent="0.2">
      <c r="B1530" s="23"/>
      <c r="I1530" s="38"/>
      <c r="N1530" s="38"/>
    </row>
    <row r="1531" spans="2:14" x14ac:dyDescent="0.2">
      <c r="B1531" s="23"/>
      <c r="I1531" s="38"/>
      <c r="N1531" s="38"/>
    </row>
    <row r="1532" spans="2:14" x14ac:dyDescent="0.2">
      <c r="B1532" s="23"/>
      <c r="I1532" s="38"/>
      <c r="N1532" s="38"/>
    </row>
    <row r="1533" spans="2:14" x14ac:dyDescent="0.2">
      <c r="B1533" s="23"/>
      <c r="I1533" s="38"/>
      <c r="N1533" s="38"/>
    </row>
    <row r="1534" spans="2:14" x14ac:dyDescent="0.2">
      <c r="B1534" s="23"/>
      <c r="I1534" s="38"/>
      <c r="N1534" s="38"/>
    </row>
    <row r="1535" spans="2:14" x14ac:dyDescent="0.2">
      <c r="B1535" s="23"/>
      <c r="I1535" s="38"/>
      <c r="N1535" s="38"/>
    </row>
    <row r="1536" spans="2:14" x14ac:dyDescent="0.2">
      <c r="B1536" s="23"/>
      <c r="I1536" s="38"/>
      <c r="N1536" s="38"/>
    </row>
    <row r="1537" spans="2:14" x14ac:dyDescent="0.2">
      <c r="B1537" s="23"/>
      <c r="I1537" s="38"/>
      <c r="N1537" s="38"/>
    </row>
    <row r="1538" spans="2:14" x14ac:dyDescent="0.2">
      <c r="B1538" s="23"/>
      <c r="I1538" s="38"/>
      <c r="N1538" s="38"/>
    </row>
    <row r="1539" spans="2:14" x14ac:dyDescent="0.2">
      <c r="B1539" s="23"/>
      <c r="I1539" s="38"/>
      <c r="N1539" s="38"/>
    </row>
    <row r="1540" spans="2:14" x14ac:dyDescent="0.2">
      <c r="B1540" s="23"/>
      <c r="I1540" s="38"/>
      <c r="N1540" s="38"/>
    </row>
    <row r="1541" spans="2:14" x14ac:dyDescent="0.2">
      <c r="B1541" s="23"/>
      <c r="I1541" s="38"/>
      <c r="N1541" s="38"/>
    </row>
    <row r="1542" spans="2:14" x14ac:dyDescent="0.2">
      <c r="B1542" s="23"/>
      <c r="I1542" s="38"/>
      <c r="N1542" s="38"/>
    </row>
    <row r="1543" spans="2:14" x14ac:dyDescent="0.2">
      <c r="B1543" s="23"/>
      <c r="I1543" s="38"/>
      <c r="N1543" s="38"/>
    </row>
    <row r="1544" spans="2:14" x14ac:dyDescent="0.2">
      <c r="B1544" s="23"/>
      <c r="I1544" s="38"/>
      <c r="N1544" s="38"/>
    </row>
    <row r="1545" spans="2:14" x14ac:dyDescent="0.2">
      <c r="B1545" s="23"/>
      <c r="I1545" s="38"/>
      <c r="N1545" s="38"/>
    </row>
    <row r="1546" spans="2:14" x14ac:dyDescent="0.2">
      <c r="B1546" s="23"/>
      <c r="I1546" s="38"/>
      <c r="N1546" s="38"/>
    </row>
    <row r="1547" spans="2:14" x14ac:dyDescent="0.2">
      <c r="B1547" s="23"/>
      <c r="I1547" s="38"/>
      <c r="N1547" s="38"/>
    </row>
    <row r="1548" spans="2:14" x14ac:dyDescent="0.2">
      <c r="B1548" s="23"/>
      <c r="I1548" s="38"/>
      <c r="N1548" s="38"/>
    </row>
    <row r="1549" spans="2:14" x14ac:dyDescent="0.2">
      <c r="B1549" s="23"/>
      <c r="I1549" s="38"/>
      <c r="N1549" s="38"/>
    </row>
    <row r="1550" spans="2:14" x14ac:dyDescent="0.2">
      <c r="B1550" s="23"/>
      <c r="I1550" s="38"/>
      <c r="N1550" s="38"/>
    </row>
    <row r="1551" spans="2:14" x14ac:dyDescent="0.2">
      <c r="B1551" s="23"/>
      <c r="I1551" s="38"/>
      <c r="N1551" s="38"/>
    </row>
    <row r="1552" spans="2:14" x14ac:dyDescent="0.2">
      <c r="B1552" s="23"/>
      <c r="I1552" s="38"/>
      <c r="N1552" s="38"/>
    </row>
    <row r="1553" spans="2:14" x14ac:dyDescent="0.2">
      <c r="B1553" s="23"/>
      <c r="I1553" s="38"/>
      <c r="N1553" s="38"/>
    </row>
    <row r="1554" spans="2:14" x14ac:dyDescent="0.2">
      <c r="B1554" s="23"/>
      <c r="I1554" s="38"/>
      <c r="N1554" s="38"/>
    </row>
    <row r="1555" spans="2:14" x14ac:dyDescent="0.2">
      <c r="B1555" s="23"/>
      <c r="I1555" s="38"/>
      <c r="N1555" s="38"/>
    </row>
    <row r="1556" spans="2:14" x14ac:dyDescent="0.2">
      <c r="B1556" s="23"/>
      <c r="I1556" s="38"/>
      <c r="N1556" s="38"/>
    </row>
    <row r="1557" spans="2:14" x14ac:dyDescent="0.2">
      <c r="B1557" s="23"/>
      <c r="I1557" s="38"/>
      <c r="N1557" s="38"/>
    </row>
    <row r="1558" spans="2:14" x14ac:dyDescent="0.2">
      <c r="B1558" s="23"/>
      <c r="I1558" s="38"/>
      <c r="N1558" s="38"/>
    </row>
    <row r="1559" spans="2:14" x14ac:dyDescent="0.2">
      <c r="B1559" s="23"/>
      <c r="I1559" s="38"/>
      <c r="N1559" s="38"/>
    </row>
    <row r="1560" spans="2:14" x14ac:dyDescent="0.2">
      <c r="B1560" s="23"/>
      <c r="I1560" s="38"/>
      <c r="N1560" s="38"/>
    </row>
    <row r="1561" spans="2:14" x14ac:dyDescent="0.2">
      <c r="B1561" s="23"/>
      <c r="I1561" s="38"/>
      <c r="N1561" s="38"/>
    </row>
    <row r="1562" spans="2:14" x14ac:dyDescent="0.2">
      <c r="B1562" s="23"/>
      <c r="I1562" s="38"/>
      <c r="N1562" s="38"/>
    </row>
    <row r="1563" spans="2:14" x14ac:dyDescent="0.2">
      <c r="B1563" s="23"/>
      <c r="I1563" s="38"/>
      <c r="N1563" s="38"/>
    </row>
    <row r="1564" spans="2:14" x14ac:dyDescent="0.2">
      <c r="B1564" s="23"/>
      <c r="I1564" s="38"/>
      <c r="N1564" s="38"/>
    </row>
    <row r="1565" spans="2:14" x14ac:dyDescent="0.2">
      <c r="B1565" s="23"/>
      <c r="I1565" s="38"/>
      <c r="N1565" s="38"/>
    </row>
    <row r="1566" spans="2:14" x14ac:dyDescent="0.2">
      <c r="B1566" s="23"/>
      <c r="I1566" s="38"/>
      <c r="N1566" s="38"/>
    </row>
    <row r="1567" spans="2:14" x14ac:dyDescent="0.2">
      <c r="B1567" s="23"/>
      <c r="I1567" s="38"/>
      <c r="N1567" s="38"/>
    </row>
    <row r="1568" spans="2:14" x14ac:dyDescent="0.2">
      <c r="B1568" s="23"/>
      <c r="I1568" s="38"/>
      <c r="N1568" s="38"/>
    </row>
    <row r="1569" spans="2:14" x14ac:dyDescent="0.2">
      <c r="B1569" s="23"/>
      <c r="I1569" s="38"/>
      <c r="N1569" s="38"/>
    </row>
    <row r="1570" spans="2:14" x14ac:dyDescent="0.2">
      <c r="B1570" s="23"/>
      <c r="I1570" s="38"/>
      <c r="N1570" s="38"/>
    </row>
    <row r="1571" spans="2:14" x14ac:dyDescent="0.2">
      <c r="B1571" s="23"/>
      <c r="I1571" s="38"/>
      <c r="N1571" s="38"/>
    </row>
    <row r="1572" spans="2:14" x14ac:dyDescent="0.2">
      <c r="B1572" s="23"/>
      <c r="I1572" s="38"/>
      <c r="N1572" s="38"/>
    </row>
    <row r="1573" spans="2:14" x14ac:dyDescent="0.2">
      <c r="B1573" s="23"/>
      <c r="I1573" s="38"/>
      <c r="N1573" s="38"/>
    </row>
    <row r="1574" spans="2:14" x14ac:dyDescent="0.2">
      <c r="B1574" s="23"/>
      <c r="I1574" s="38"/>
      <c r="N1574" s="38"/>
    </row>
    <row r="1575" spans="2:14" x14ac:dyDescent="0.2">
      <c r="B1575" s="23"/>
      <c r="I1575" s="38"/>
      <c r="N1575" s="38"/>
    </row>
    <row r="1576" spans="2:14" x14ac:dyDescent="0.2">
      <c r="B1576" s="23"/>
      <c r="I1576" s="38"/>
      <c r="N1576" s="38"/>
    </row>
    <row r="1577" spans="2:14" x14ac:dyDescent="0.2">
      <c r="B1577" s="23"/>
      <c r="I1577" s="38"/>
      <c r="N1577" s="38"/>
    </row>
    <row r="1578" spans="2:14" x14ac:dyDescent="0.2">
      <c r="B1578" s="23"/>
      <c r="I1578" s="38"/>
      <c r="N1578" s="38"/>
    </row>
    <row r="1579" spans="2:14" x14ac:dyDescent="0.2">
      <c r="B1579" s="23"/>
      <c r="I1579" s="38"/>
      <c r="N1579" s="38"/>
    </row>
    <row r="1580" spans="2:14" x14ac:dyDescent="0.2">
      <c r="B1580" s="23"/>
      <c r="I1580" s="38"/>
      <c r="N1580" s="38"/>
    </row>
    <row r="1581" spans="2:14" x14ac:dyDescent="0.2">
      <c r="B1581" s="23"/>
      <c r="I1581" s="38"/>
      <c r="N1581" s="38"/>
    </row>
    <row r="1582" spans="2:14" x14ac:dyDescent="0.2">
      <c r="B1582" s="23"/>
      <c r="I1582" s="38"/>
      <c r="N1582" s="38"/>
    </row>
    <row r="1583" spans="2:14" x14ac:dyDescent="0.2">
      <c r="B1583" s="23"/>
      <c r="I1583" s="38"/>
      <c r="N1583" s="38"/>
    </row>
    <row r="1584" spans="2:14" x14ac:dyDescent="0.2">
      <c r="B1584" s="23"/>
      <c r="I1584" s="38"/>
      <c r="N1584" s="38"/>
    </row>
    <row r="1585" spans="2:14" x14ac:dyDescent="0.2">
      <c r="B1585" s="23"/>
      <c r="I1585" s="38"/>
      <c r="N1585" s="38"/>
    </row>
    <row r="1586" spans="2:14" x14ac:dyDescent="0.2">
      <c r="B1586" s="23"/>
      <c r="I1586" s="38"/>
      <c r="N1586" s="38"/>
    </row>
    <row r="1587" spans="2:14" x14ac:dyDescent="0.2">
      <c r="B1587" s="23"/>
      <c r="I1587" s="38"/>
      <c r="N1587" s="38"/>
    </row>
    <row r="1588" spans="2:14" x14ac:dyDescent="0.2">
      <c r="B1588" s="23"/>
      <c r="I1588" s="38"/>
      <c r="N1588" s="38"/>
    </row>
    <row r="1589" spans="2:14" x14ac:dyDescent="0.2">
      <c r="B1589" s="23"/>
      <c r="I1589" s="38"/>
      <c r="N1589" s="38"/>
    </row>
    <row r="1590" spans="2:14" x14ac:dyDescent="0.2">
      <c r="B1590" s="23"/>
      <c r="I1590" s="38"/>
      <c r="N1590" s="38"/>
    </row>
    <row r="1591" spans="2:14" x14ac:dyDescent="0.2">
      <c r="B1591" s="23"/>
      <c r="I1591" s="38"/>
      <c r="N1591" s="38"/>
    </row>
    <row r="1592" spans="2:14" x14ac:dyDescent="0.2">
      <c r="B1592" s="23"/>
      <c r="I1592" s="38"/>
      <c r="N1592" s="38"/>
    </row>
    <row r="1593" spans="2:14" x14ac:dyDescent="0.2">
      <c r="B1593" s="23"/>
      <c r="I1593" s="38"/>
      <c r="N1593" s="38"/>
    </row>
    <row r="1594" spans="2:14" x14ac:dyDescent="0.2">
      <c r="B1594" s="23"/>
      <c r="I1594" s="38"/>
      <c r="N1594" s="38"/>
    </row>
    <row r="1595" spans="2:14" x14ac:dyDescent="0.2">
      <c r="B1595" s="23"/>
      <c r="I1595" s="38"/>
      <c r="N1595" s="38"/>
    </row>
    <row r="1596" spans="2:14" x14ac:dyDescent="0.2">
      <c r="B1596" s="23"/>
      <c r="I1596" s="38"/>
      <c r="N1596" s="38"/>
    </row>
    <row r="1597" spans="2:14" x14ac:dyDescent="0.2">
      <c r="B1597" s="23"/>
      <c r="I1597" s="38"/>
      <c r="N1597" s="38"/>
    </row>
    <row r="1598" spans="2:14" x14ac:dyDescent="0.2">
      <c r="B1598" s="23"/>
      <c r="I1598" s="38"/>
      <c r="N1598" s="38"/>
    </row>
    <row r="1599" spans="2:14" x14ac:dyDescent="0.2">
      <c r="B1599" s="23"/>
      <c r="I1599" s="38"/>
      <c r="N1599" s="38"/>
    </row>
    <row r="1600" spans="2:14" x14ac:dyDescent="0.2">
      <c r="B1600" s="23"/>
      <c r="I1600" s="38"/>
      <c r="N1600" s="38"/>
    </row>
    <row r="1601" spans="2:14" x14ac:dyDescent="0.2">
      <c r="B1601" s="23"/>
      <c r="I1601" s="38"/>
      <c r="N1601" s="38"/>
    </row>
    <row r="1602" spans="2:14" x14ac:dyDescent="0.2">
      <c r="B1602" s="23"/>
      <c r="I1602" s="38"/>
      <c r="N1602" s="38"/>
    </row>
    <row r="1603" spans="2:14" x14ac:dyDescent="0.2">
      <c r="B1603" s="23"/>
      <c r="I1603" s="38"/>
      <c r="N1603" s="38"/>
    </row>
    <row r="1604" spans="2:14" x14ac:dyDescent="0.2">
      <c r="B1604" s="23"/>
      <c r="I1604" s="38"/>
      <c r="N1604" s="38"/>
    </row>
    <row r="1605" spans="2:14" x14ac:dyDescent="0.2">
      <c r="B1605" s="23"/>
      <c r="I1605" s="38"/>
      <c r="N1605" s="38"/>
    </row>
    <row r="1606" spans="2:14" x14ac:dyDescent="0.2">
      <c r="B1606" s="23"/>
      <c r="I1606" s="38"/>
      <c r="N1606" s="38"/>
    </row>
    <row r="1607" spans="2:14" x14ac:dyDescent="0.2">
      <c r="B1607" s="23"/>
      <c r="I1607" s="38"/>
      <c r="N1607" s="38"/>
    </row>
    <row r="1608" spans="2:14" x14ac:dyDescent="0.2">
      <c r="B1608" s="23"/>
      <c r="I1608" s="38"/>
      <c r="N1608" s="38"/>
    </row>
    <row r="1609" spans="2:14" x14ac:dyDescent="0.2">
      <c r="B1609" s="23"/>
      <c r="I1609" s="38"/>
      <c r="N1609" s="38"/>
    </row>
    <row r="1610" spans="2:14" x14ac:dyDescent="0.2">
      <c r="B1610" s="23"/>
      <c r="I1610" s="38"/>
      <c r="N1610" s="38"/>
    </row>
    <row r="1611" spans="2:14" x14ac:dyDescent="0.2">
      <c r="B1611" s="23"/>
      <c r="I1611" s="38"/>
      <c r="N1611" s="38"/>
    </row>
    <row r="1612" spans="2:14" x14ac:dyDescent="0.2">
      <c r="B1612" s="23"/>
      <c r="I1612" s="38"/>
      <c r="N1612" s="38"/>
    </row>
    <row r="1613" spans="2:14" x14ac:dyDescent="0.2">
      <c r="B1613" s="23"/>
      <c r="I1613" s="38"/>
      <c r="N1613" s="38"/>
    </row>
    <row r="1614" spans="2:14" x14ac:dyDescent="0.2">
      <c r="B1614" s="23"/>
      <c r="I1614" s="38"/>
      <c r="N1614" s="38"/>
    </row>
    <row r="1615" spans="2:14" x14ac:dyDescent="0.2">
      <c r="B1615" s="23"/>
      <c r="I1615" s="38"/>
      <c r="N1615" s="38"/>
    </row>
    <row r="1616" spans="2:14" x14ac:dyDescent="0.2">
      <c r="B1616" s="23"/>
      <c r="I1616" s="38"/>
      <c r="N1616" s="38"/>
    </row>
    <row r="1617" spans="2:14" x14ac:dyDescent="0.2">
      <c r="B1617" s="23"/>
      <c r="I1617" s="38"/>
      <c r="N1617" s="38"/>
    </row>
    <row r="1618" spans="2:14" x14ac:dyDescent="0.2">
      <c r="B1618" s="23"/>
      <c r="I1618" s="38"/>
      <c r="N1618" s="38"/>
    </row>
    <row r="1619" spans="2:14" x14ac:dyDescent="0.2">
      <c r="B1619" s="23"/>
      <c r="I1619" s="38"/>
      <c r="N1619" s="38"/>
    </row>
    <row r="1620" spans="2:14" x14ac:dyDescent="0.2">
      <c r="B1620" s="23"/>
      <c r="I1620" s="38"/>
      <c r="N1620" s="38"/>
    </row>
    <row r="1621" spans="2:14" x14ac:dyDescent="0.2">
      <c r="B1621" s="23"/>
      <c r="I1621" s="38"/>
      <c r="N1621" s="38"/>
    </row>
    <row r="1622" spans="2:14" x14ac:dyDescent="0.2">
      <c r="B1622" s="23"/>
      <c r="I1622" s="38"/>
      <c r="N1622" s="38"/>
    </row>
    <row r="1623" spans="2:14" x14ac:dyDescent="0.2">
      <c r="B1623" s="23"/>
      <c r="I1623" s="38"/>
      <c r="N1623" s="38"/>
    </row>
    <row r="1624" spans="2:14" x14ac:dyDescent="0.2">
      <c r="B1624" s="23"/>
      <c r="I1624" s="38"/>
      <c r="N1624" s="38"/>
    </row>
    <row r="1625" spans="2:14" x14ac:dyDescent="0.2">
      <c r="B1625" s="23"/>
      <c r="I1625" s="38"/>
      <c r="N1625" s="38"/>
    </row>
    <row r="1626" spans="2:14" x14ac:dyDescent="0.2">
      <c r="B1626" s="23"/>
      <c r="I1626" s="38"/>
      <c r="N1626" s="38"/>
    </row>
    <row r="1627" spans="2:14" x14ac:dyDescent="0.2">
      <c r="B1627" s="23"/>
      <c r="I1627" s="38"/>
      <c r="N1627" s="38"/>
    </row>
    <row r="1628" spans="2:14" x14ac:dyDescent="0.2">
      <c r="B1628" s="23"/>
      <c r="I1628" s="38"/>
      <c r="N1628" s="38"/>
    </row>
    <row r="1629" spans="2:14" x14ac:dyDescent="0.2">
      <c r="B1629" s="23"/>
      <c r="I1629" s="38"/>
      <c r="N1629" s="38"/>
    </row>
    <row r="1630" spans="2:14" x14ac:dyDescent="0.2">
      <c r="B1630" s="23"/>
      <c r="I1630" s="38"/>
      <c r="N1630" s="38"/>
    </row>
    <row r="1631" spans="2:14" x14ac:dyDescent="0.2">
      <c r="B1631" s="23"/>
      <c r="I1631" s="38"/>
      <c r="N1631" s="38"/>
    </row>
    <row r="1632" spans="2:14" x14ac:dyDescent="0.2">
      <c r="B1632" s="23"/>
      <c r="I1632" s="38"/>
      <c r="N1632" s="38"/>
    </row>
    <row r="1633" spans="2:14" x14ac:dyDescent="0.2">
      <c r="B1633" s="23"/>
      <c r="I1633" s="38"/>
      <c r="N1633" s="38"/>
    </row>
    <row r="1634" spans="2:14" x14ac:dyDescent="0.2">
      <c r="B1634" s="23"/>
      <c r="I1634" s="38"/>
      <c r="N1634" s="38"/>
    </row>
    <row r="1635" spans="2:14" x14ac:dyDescent="0.2">
      <c r="B1635" s="23"/>
      <c r="I1635" s="38"/>
      <c r="N1635" s="38"/>
    </row>
    <row r="1636" spans="2:14" x14ac:dyDescent="0.2">
      <c r="B1636" s="23"/>
      <c r="I1636" s="38"/>
      <c r="N1636" s="38"/>
    </row>
    <row r="1637" spans="2:14" x14ac:dyDescent="0.2">
      <c r="B1637" s="23"/>
      <c r="I1637" s="38"/>
      <c r="N1637" s="38"/>
    </row>
    <row r="1638" spans="2:14" x14ac:dyDescent="0.2">
      <c r="B1638" s="23"/>
      <c r="I1638" s="38"/>
      <c r="N1638" s="38"/>
    </row>
    <row r="1639" spans="2:14" x14ac:dyDescent="0.2">
      <c r="B1639" s="23"/>
      <c r="I1639" s="38"/>
      <c r="N1639" s="38"/>
    </row>
    <row r="1640" spans="2:14" x14ac:dyDescent="0.2">
      <c r="B1640" s="23"/>
      <c r="I1640" s="38"/>
      <c r="N1640" s="38"/>
    </row>
    <row r="1641" spans="2:14" x14ac:dyDescent="0.2">
      <c r="B1641" s="23"/>
      <c r="I1641" s="38"/>
      <c r="N1641" s="38"/>
    </row>
    <row r="1642" spans="2:14" x14ac:dyDescent="0.2">
      <c r="B1642" s="23"/>
      <c r="I1642" s="38"/>
      <c r="N1642" s="38"/>
    </row>
    <row r="1643" spans="2:14" x14ac:dyDescent="0.2">
      <c r="B1643" s="23"/>
      <c r="I1643" s="38"/>
      <c r="N1643" s="38"/>
    </row>
    <row r="1644" spans="2:14" x14ac:dyDescent="0.2">
      <c r="B1644" s="23"/>
      <c r="I1644" s="38"/>
      <c r="N1644" s="38"/>
    </row>
    <row r="1645" spans="2:14" x14ac:dyDescent="0.2">
      <c r="B1645" s="23"/>
      <c r="I1645" s="38"/>
      <c r="N1645" s="38"/>
    </row>
    <row r="1646" spans="2:14" x14ac:dyDescent="0.2">
      <c r="B1646" s="23"/>
      <c r="I1646" s="38"/>
      <c r="N1646" s="38"/>
    </row>
    <row r="1647" spans="2:14" x14ac:dyDescent="0.2">
      <c r="B1647" s="23"/>
      <c r="I1647" s="38"/>
      <c r="N1647" s="38"/>
    </row>
    <row r="1648" spans="2:14" x14ac:dyDescent="0.2">
      <c r="B1648" s="23"/>
      <c r="I1648" s="38"/>
      <c r="N1648" s="38"/>
    </row>
    <row r="1649" spans="2:14" x14ac:dyDescent="0.2">
      <c r="B1649" s="23"/>
      <c r="I1649" s="38"/>
      <c r="N1649" s="38"/>
    </row>
    <row r="1650" spans="2:14" x14ac:dyDescent="0.2">
      <c r="B1650" s="23"/>
      <c r="I1650" s="38"/>
      <c r="N1650" s="38"/>
    </row>
    <row r="1651" spans="2:14" x14ac:dyDescent="0.2">
      <c r="B1651" s="23"/>
      <c r="I1651" s="38"/>
      <c r="N1651" s="38"/>
    </row>
    <row r="1652" spans="2:14" x14ac:dyDescent="0.2">
      <c r="B1652" s="23"/>
      <c r="I1652" s="38"/>
      <c r="N1652" s="38"/>
    </row>
    <row r="1653" spans="2:14" x14ac:dyDescent="0.2">
      <c r="B1653" s="23"/>
      <c r="I1653" s="38"/>
      <c r="N1653" s="38"/>
    </row>
    <row r="1654" spans="2:14" x14ac:dyDescent="0.2">
      <c r="B1654" s="23"/>
      <c r="I1654" s="38"/>
      <c r="N1654" s="38"/>
    </row>
    <row r="1655" spans="2:14" x14ac:dyDescent="0.2">
      <c r="B1655" s="23"/>
      <c r="I1655" s="38"/>
      <c r="N1655" s="38"/>
    </row>
    <row r="1656" spans="2:14" x14ac:dyDescent="0.2">
      <c r="B1656" s="23"/>
      <c r="I1656" s="38"/>
      <c r="N1656" s="38"/>
    </row>
    <row r="1657" spans="2:14" x14ac:dyDescent="0.2">
      <c r="B1657" s="23"/>
      <c r="I1657" s="38"/>
      <c r="N1657" s="38"/>
    </row>
    <row r="1658" spans="2:14" x14ac:dyDescent="0.2">
      <c r="B1658" s="23"/>
      <c r="I1658" s="38"/>
      <c r="N1658" s="38"/>
    </row>
    <row r="1659" spans="2:14" x14ac:dyDescent="0.2">
      <c r="B1659" s="23"/>
      <c r="I1659" s="38"/>
      <c r="N1659" s="38"/>
    </row>
    <row r="1660" spans="2:14" x14ac:dyDescent="0.2">
      <c r="B1660" s="23"/>
      <c r="I1660" s="38"/>
      <c r="N1660" s="38"/>
    </row>
    <row r="1661" spans="2:14" x14ac:dyDescent="0.2">
      <c r="B1661" s="23"/>
      <c r="I1661" s="38"/>
      <c r="N1661" s="38"/>
    </row>
    <row r="1662" spans="2:14" x14ac:dyDescent="0.2">
      <c r="B1662" s="23"/>
      <c r="I1662" s="38"/>
      <c r="N1662" s="38"/>
    </row>
    <row r="1663" spans="2:14" x14ac:dyDescent="0.2">
      <c r="B1663" s="23"/>
      <c r="I1663" s="38"/>
      <c r="N1663" s="38"/>
    </row>
    <row r="1664" spans="2:14" x14ac:dyDescent="0.2">
      <c r="B1664" s="23"/>
      <c r="I1664" s="38"/>
      <c r="N1664" s="38"/>
    </row>
    <row r="1665" spans="2:14" x14ac:dyDescent="0.2">
      <c r="B1665" s="23"/>
      <c r="I1665" s="38"/>
      <c r="N1665" s="38"/>
    </row>
    <row r="1666" spans="2:14" x14ac:dyDescent="0.2">
      <c r="B1666" s="23"/>
      <c r="I1666" s="38"/>
      <c r="N1666" s="38"/>
    </row>
    <row r="1667" spans="2:14" x14ac:dyDescent="0.2">
      <c r="B1667" s="23"/>
      <c r="I1667" s="38"/>
      <c r="N1667" s="38"/>
    </row>
    <row r="1668" spans="2:14" x14ac:dyDescent="0.2">
      <c r="B1668" s="23"/>
      <c r="I1668" s="38"/>
      <c r="N1668" s="38"/>
    </row>
    <row r="1669" spans="2:14" x14ac:dyDescent="0.2">
      <c r="B1669" s="23"/>
      <c r="I1669" s="38"/>
      <c r="N1669" s="38"/>
    </row>
    <row r="1670" spans="2:14" x14ac:dyDescent="0.2">
      <c r="B1670" s="23"/>
      <c r="I1670" s="38"/>
      <c r="N1670" s="38"/>
    </row>
    <row r="1671" spans="2:14" x14ac:dyDescent="0.2">
      <c r="B1671" s="23"/>
      <c r="I1671" s="38"/>
      <c r="N1671" s="38"/>
    </row>
    <row r="1672" spans="2:14" x14ac:dyDescent="0.2">
      <c r="B1672" s="23"/>
      <c r="I1672" s="38"/>
      <c r="N1672" s="38"/>
    </row>
    <row r="1673" spans="2:14" x14ac:dyDescent="0.2">
      <c r="B1673" s="23"/>
      <c r="I1673" s="38"/>
      <c r="N1673" s="38"/>
    </row>
    <row r="1674" spans="2:14" x14ac:dyDescent="0.2">
      <c r="B1674" s="23"/>
      <c r="I1674" s="38"/>
      <c r="N1674" s="38"/>
    </row>
    <row r="1675" spans="2:14" x14ac:dyDescent="0.2">
      <c r="B1675" s="23"/>
      <c r="I1675" s="38"/>
      <c r="N1675" s="38"/>
    </row>
    <row r="1676" spans="2:14" x14ac:dyDescent="0.2">
      <c r="B1676" s="23"/>
      <c r="I1676" s="38"/>
      <c r="N1676" s="38"/>
    </row>
    <row r="1677" spans="2:14" x14ac:dyDescent="0.2">
      <c r="B1677" s="23"/>
      <c r="I1677" s="38"/>
      <c r="N1677" s="38"/>
    </row>
    <row r="1678" spans="2:14" x14ac:dyDescent="0.2">
      <c r="B1678" s="23"/>
      <c r="I1678" s="38"/>
      <c r="N1678" s="38"/>
    </row>
    <row r="1679" spans="2:14" x14ac:dyDescent="0.2">
      <c r="B1679" s="23"/>
      <c r="I1679" s="38"/>
      <c r="N1679" s="38"/>
    </row>
    <row r="1680" spans="2:14" x14ac:dyDescent="0.2">
      <c r="B1680" s="23"/>
      <c r="I1680" s="38"/>
      <c r="N1680" s="38"/>
    </row>
    <row r="1681" spans="2:14" x14ac:dyDescent="0.2">
      <c r="B1681" s="23"/>
      <c r="I1681" s="38"/>
      <c r="N1681" s="38"/>
    </row>
    <row r="1682" spans="2:14" x14ac:dyDescent="0.2">
      <c r="B1682" s="23"/>
      <c r="I1682" s="38"/>
      <c r="N1682" s="38"/>
    </row>
    <row r="1683" spans="2:14" x14ac:dyDescent="0.2">
      <c r="B1683" s="23"/>
      <c r="I1683" s="38"/>
      <c r="N1683" s="38"/>
    </row>
    <row r="1684" spans="2:14" x14ac:dyDescent="0.2">
      <c r="B1684" s="23"/>
      <c r="I1684" s="38"/>
      <c r="N1684" s="38"/>
    </row>
    <row r="1685" spans="2:14" x14ac:dyDescent="0.2">
      <c r="B1685" s="23"/>
      <c r="I1685" s="38"/>
      <c r="N1685" s="38"/>
    </row>
    <row r="1686" spans="2:14" x14ac:dyDescent="0.2">
      <c r="B1686" s="23"/>
      <c r="I1686" s="38"/>
      <c r="N1686" s="38"/>
    </row>
    <row r="1687" spans="2:14" x14ac:dyDescent="0.2">
      <c r="B1687" s="23"/>
      <c r="I1687" s="38"/>
      <c r="N1687" s="38"/>
    </row>
    <row r="1688" spans="2:14" x14ac:dyDescent="0.2">
      <c r="B1688" s="23"/>
      <c r="I1688" s="38"/>
      <c r="N1688" s="38"/>
    </row>
    <row r="1689" spans="2:14" x14ac:dyDescent="0.2">
      <c r="B1689" s="23"/>
      <c r="I1689" s="38"/>
      <c r="N1689" s="38"/>
    </row>
    <row r="1690" spans="2:14" x14ac:dyDescent="0.2">
      <c r="B1690" s="23"/>
      <c r="I1690" s="38"/>
      <c r="N1690" s="38"/>
    </row>
    <row r="1691" spans="2:14" x14ac:dyDescent="0.2">
      <c r="B1691" s="23"/>
      <c r="I1691" s="38"/>
      <c r="N1691" s="38"/>
    </row>
    <row r="1692" spans="2:14" x14ac:dyDescent="0.2">
      <c r="B1692" s="23"/>
      <c r="I1692" s="38"/>
      <c r="N1692" s="38"/>
    </row>
    <row r="1693" spans="2:14" x14ac:dyDescent="0.2">
      <c r="B1693" s="23"/>
      <c r="I1693" s="38"/>
      <c r="N1693" s="38"/>
    </row>
    <row r="1694" spans="2:14" x14ac:dyDescent="0.2">
      <c r="B1694" s="23"/>
      <c r="I1694" s="38"/>
      <c r="N1694" s="38"/>
    </row>
    <row r="1695" spans="2:14" x14ac:dyDescent="0.2">
      <c r="B1695" s="23"/>
      <c r="I1695" s="38"/>
      <c r="N1695" s="38"/>
    </row>
    <row r="1696" spans="2:14" x14ac:dyDescent="0.2">
      <c r="B1696" s="23"/>
      <c r="I1696" s="38"/>
      <c r="N1696" s="38"/>
    </row>
    <row r="1697" spans="2:14" x14ac:dyDescent="0.2">
      <c r="B1697" s="23"/>
      <c r="I1697" s="38"/>
      <c r="N1697" s="38"/>
    </row>
    <row r="1698" spans="2:14" x14ac:dyDescent="0.2">
      <c r="B1698" s="23"/>
      <c r="I1698" s="38"/>
      <c r="N1698" s="38"/>
    </row>
    <row r="1699" spans="2:14" x14ac:dyDescent="0.2">
      <c r="B1699" s="23"/>
      <c r="I1699" s="38"/>
      <c r="N1699" s="38"/>
    </row>
    <row r="1700" spans="2:14" x14ac:dyDescent="0.2">
      <c r="B1700" s="23"/>
      <c r="I1700" s="38"/>
      <c r="N1700" s="38"/>
    </row>
    <row r="1701" spans="2:14" x14ac:dyDescent="0.2">
      <c r="B1701" s="23"/>
      <c r="I1701" s="38"/>
      <c r="N1701" s="38"/>
    </row>
    <row r="1702" spans="2:14" x14ac:dyDescent="0.2">
      <c r="B1702" s="23"/>
      <c r="I1702" s="38"/>
      <c r="N1702" s="38"/>
    </row>
    <row r="1703" spans="2:14" x14ac:dyDescent="0.2">
      <c r="B1703" s="23"/>
      <c r="I1703" s="38"/>
      <c r="N1703" s="38"/>
    </row>
    <row r="1704" spans="2:14" x14ac:dyDescent="0.2">
      <c r="B1704" s="23"/>
      <c r="I1704" s="38"/>
      <c r="N1704" s="38"/>
    </row>
    <row r="1705" spans="2:14" x14ac:dyDescent="0.2">
      <c r="B1705" s="23"/>
      <c r="I1705" s="38"/>
      <c r="N1705" s="38"/>
    </row>
    <row r="1706" spans="2:14" x14ac:dyDescent="0.2">
      <c r="B1706" s="23"/>
      <c r="I1706" s="38"/>
      <c r="N1706" s="38"/>
    </row>
    <row r="1707" spans="2:14" x14ac:dyDescent="0.2">
      <c r="B1707" s="23"/>
      <c r="I1707" s="38"/>
      <c r="N1707" s="38"/>
    </row>
    <row r="1708" spans="2:14" x14ac:dyDescent="0.2">
      <c r="B1708" s="23"/>
      <c r="I1708" s="38"/>
      <c r="N1708" s="38"/>
    </row>
    <row r="1709" spans="2:14" x14ac:dyDescent="0.2">
      <c r="B1709" s="23"/>
      <c r="I1709" s="38"/>
      <c r="N1709" s="38"/>
    </row>
    <row r="1710" spans="2:14" x14ac:dyDescent="0.2">
      <c r="B1710" s="23"/>
      <c r="I1710" s="38"/>
      <c r="N1710" s="38"/>
    </row>
    <row r="1711" spans="2:14" x14ac:dyDescent="0.2">
      <c r="B1711" s="23"/>
      <c r="I1711" s="38"/>
      <c r="N1711" s="38"/>
    </row>
    <row r="1712" spans="2:14" x14ac:dyDescent="0.2">
      <c r="B1712" s="23"/>
      <c r="I1712" s="38"/>
      <c r="N1712" s="38"/>
    </row>
    <row r="1713" spans="2:14" x14ac:dyDescent="0.2">
      <c r="B1713" s="23"/>
      <c r="I1713" s="38"/>
      <c r="N1713" s="38"/>
    </row>
    <row r="1714" spans="2:14" x14ac:dyDescent="0.2">
      <c r="B1714" s="23"/>
      <c r="I1714" s="38"/>
      <c r="N1714" s="38"/>
    </row>
    <row r="1715" spans="2:14" x14ac:dyDescent="0.2">
      <c r="B1715" s="23"/>
      <c r="I1715" s="38"/>
      <c r="N1715" s="38"/>
    </row>
    <row r="1716" spans="2:14" x14ac:dyDescent="0.2">
      <c r="B1716" s="23"/>
      <c r="I1716" s="38"/>
      <c r="N1716" s="38"/>
    </row>
    <row r="1717" spans="2:14" x14ac:dyDescent="0.2">
      <c r="B1717" s="23"/>
      <c r="I1717" s="38"/>
      <c r="N1717" s="38"/>
    </row>
    <row r="1718" spans="2:14" x14ac:dyDescent="0.2">
      <c r="B1718" s="23"/>
      <c r="I1718" s="38"/>
      <c r="N1718" s="38"/>
    </row>
    <row r="1719" spans="2:14" x14ac:dyDescent="0.2">
      <c r="B1719" s="23"/>
      <c r="I1719" s="38"/>
      <c r="N1719" s="38"/>
    </row>
    <row r="1720" spans="2:14" x14ac:dyDescent="0.2">
      <c r="B1720" s="23"/>
      <c r="I1720" s="38"/>
      <c r="N1720" s="38"/>
    </row>
    <row r="1721" spans="2:14" x14ac:dyDescent="0.2">
      <c r="B1721" s="23"/>
      <c r="I1721" s="38"/>
      <c r="N1721" s="38"/>
    </row>
    <row r="1722" spans="2:14" x14ac:dyDescent="0.2">
      <c r="B1722" s="23"/>
      <c r="I1722" s="38"/>
      <c r="N1722" s="38"/>
    </row>
    <row r="1723" spans="2:14" x14ac:dyDescent="0.2">
      <c r="B1723" s="23"/>
      <c r="I1723" s="38"/>
      <c r="N1723" s="38"/>
    </row>
    <row r="1724" spans="2:14" x14ac:dyDescent="0.2">
      <c r="B1724" s="23"/>
      <c r="I1724" s="38"/>
      <c r="N1724" s="38"/>
    </row>
    <row r="1725" spans="2:14" x14ac:dyDescent="0.2">
      <c r="B1725" s="23"/>
      <c r="I1725" s="38"/>
      <c r="N1725" s="38"/>
    </row>
    <row r="1726" spans="2:14" x14ac:dyDescent="0.2">
      <c r="B1726" s="23"/>
      <c r="I1726" s="38"/>
      <c r="N1726" s="38"/>
    </row>
    <row r="1727" spans="2:14" x14ac:dyDescent="0.2">
      <c r="B1727" s="23"/>
      <c r="I1727" s="38"/>
      <c r="N1727" s="38"/>
    </row>
    <row r="1728" spans="2:14" x14ac:dyDescent="0.2">
      <c r="B1728" s="23"/>
      <c r="I1728" s="38"/>
      <c r="N1728" s="38"/>
    </row>
    <row r="1729" spans="2:14" x14ac:dyDescent="0.2">
      <c r="B1729" s="23"/>
      <c r="I1729" s="38"/>
      <c r="N1729" s="38"/>
    </row>
    <row r="1730" spans="2:14" x14ac:dyDescent="0.2">
      <c r="B1730" s="23"/>
      <c r="I1730" s="38"/>
      <c r="N1730" s="38"/>
    </row>
    <row r="1731" spans="2:14" x14ac:dyDescent="0.2">
      <c r="B1731" s="23"/>
      <c r="I1731" s="38"/>
      <c r="N1731" s="38"/>
    </row>
    <row r="1732" spans="2:14" x14ac:dyDescent="0.2">
      <c r="B1732" s="23"/>
      <c r="I1732" s="38"/>
      <c r="N1732" s="38"/>
    </row>
    <row r="1733" spans="2:14" x14ac:dyDescent="0.2">
      <c r="B1733" s="23"/>
      <c r="I1733" s="38"/>
      <c r="N1733" s="38"/>
    </row>
    <row r="1734" spans="2:14" x14ac:dyDescent="0.2">
      <c r="B1734" s="23"/>
      <c r="I1734" s="38"/>
      <c r="N1734" s="38"/>
    </row>
    <row r="1735" spans="2:14" x14ac:dyDescent="0.2">
      <c r="B1735" s="23"/>
      <c r="I1735" s="38"/>
      <c r="N1735" s="38"/>
    </row>
    <row r="1736" spans="2:14" x14ac:dyDescent="0.2">
      <c r="B1736" s="23"/>
      <c r="I1736" s="38"/>
      <c r="N1736" s="38"/>
    </row>
    <row r="1737" spans="2:14" x14ac:dyDescent="0.2">
      <c r="B1737" s="23"/>
      <c r="I1737" s="38"/>
      <c r="N1737" s="38"/>
    </row>
    <row r="1738" spans="2:14" x14ac:dyDescent="0.2">
      <c r="B1738" s="23"/>
      <c r="I1738" s="38"/>
      <c r="N1738" s="38"/>
    </row>
    <row r="1739" spans="2:14" x14ac:dyDescent="0.2">
      <c r="B1739" s="23"/>
      <c r="I1739" s="38"/>
      <c r="N1739" s="38"/>
    </row>
    <row r="1740" spans="2:14" x14ac:dyDescent="0.2">
      <c r="B1740" s="23"/>
      <c r="I1740" s="38"/>
      <c r="N1740" s="38"/>
    </row>
    <row r="1741" spans="2:14" x14ac:dyDescent="0.2">
      <c r="B1741" s="23"/>
      <c r="I1741" s="38"/>
      <c r="N1741" s="38"/>
    </row>
    <row r="1742" spans="2:14" x14ac:dyDescent="0.2">
      <c r="B1742" s="23"/>
      <c r="I1742" s="38"/>
      <c r="N1742" s="38"/>
    </row>
    <row r="1743" spans="2:14" x14ac:dyDescent="0.2">
      <c r="B1743" s="23"/>
      <c r="I1743" s="38"/>
      <c r="N1743" s="38"/>
    </row>
    <row r="1744" spans="2:14" x14ac:dyDescent="0.2">
      <c r="B1744" s="23"/>
      <c r="I1744" s="38"/>
      <c r="N1744" s="38"/>
    </row>
    <row r="1745" spans="2:14" x14ac:dyDescent="0.2">
      <c r="B1745" s="23"/>
      <c r="I1745" s="38"/>
      <c r="N1745" s="38"/>
    </row>
    <row r="1746" spans="2:14" x14ac:dyDescent="0.2">
      <c r="B1746" s="23"/>
      <c r="I1746" s="38"/>
      <c r="N1746" s="38"/>
    </row>
    <row r="1747" spans="2:14" x14ac:dyDescent="0.2">
      <c r="B1747" s="23"/>
      <c r="I1747" s="38"/>
      <c r="N1747" s="38"/>
    </row>
    <row r="1748" spans="2:14" x14ac:dyDescent="0.2">
      <c r="B1748" s="23"/>
      <c r="I1748" s="38"/>
      <c r="N1748" s="38"/>
    </row>
    <row r="1749" spans="2:14" x14ac:dyDescent="0.2">
      <c r="B1749" s="23"/>
      <c r="I1749" s="38"/>
      <c r="N1749" s="38"/>
    </row>
    <row r="1750" spans="2:14" x14ac:dyDescent="0.2">
      <c r="B1750" s="23"/>
      <c r="I1750" s="38"/>
      <c r="N1750" s="38"/>
    </row>
    <row r="1751" spans="2:14" x14ac:dyDescent="0.2">
      <c r="B1751" s="23"/>
      <c r="I1751" s="38"/>
      <c r="N1751" s="38"/>
    </row>
    <row r="1752" spans="2:14" x14ac:dyDescent="0.2">
      <c r="B1752" s="23"/>
      <c r="I1752" s="38"/>
      <c r="N1752" s="38"/>
    </row>
    <row r="1753" spans="2:14" x14ac:dyDescent="0.2">
      <c r="B1753" s="23"/>
      <c r="I1753" s="38"/>
      <c r="N1753" s="38"/>
    </row>
    <row r="1754" spans="2:14" x14ac:dyDescent="0.2">
      <c r="B1754" s="23"/>
      <c r="I1754" s="38"/>
      <c r="N1754" s="38"/>
    </row>
    <row r="1755" spans="2:14" x14ac:dyDescent="0.2">
      <c r="B1755" s="23"/>
      <c r="I1755" s="38"/>
      <c r="N1755" s="38"/>
    </row>
    <row r="1756" spans="2:14" x14ac:dyDescent="0.2">
      <c r="B1756" s="23"/>
      <c r="I1756" s="38"/>
      <c r="N1756" s="38"/>
    </row>
    <row r="1757" spans="2:14" x14ac:dyDescent="0.2">
      <c r="B1757" s="23"/>
      <c r="I1757" s="38"/>
      <c r="N1757" s="38"/>
    </row>
    <row r="1758" spans="2:14" x14ac:dyDescent="0.2">
      <c r="B1758" s="23"/>
      <c r="I1758" s="38"/>
      <c r="N1758" s="38"/>
    </row>
    <row r="1759" spans="2:14" x14ac:dyDescent="0.2">
      <c r="B1759" s="23"/>
      <c r="I1759" s="38"/>
      <c r="N1759" s="38"/>
    </row>
    <row r="1760" spans="2:14" x14ac:dyDescent="0.2">
      <c r="B1760" s="23"/>
      <c r="I1760" s="38"/>
      <c r="N1760" s="38"/>
    </row>
    <row r="1761" spans="2:14" x14ac:dyDescent="0.2">
      <c r="B1761" s="23"/>
      <c r="I1761" s="38"/>
      <c r="N1761" s="38"/>
    </row>
    <row r="1762" spans="2:14" x14ac:dyDescent="0.2">
      <c r="B1762" s="23"/>
      <c r="I1762" s="38"/>
      <c r="N1762" s="38"/>
    </row>
    <row r="1763" spans="2:14" x14ac:dyDescent="0.2">
      <c r="B1763" s="23"/>
      <c r="I1763" s="38"/>
      <c r="N1763" s="38"/>
    </row>
    <row r="1764" spans="2:14" x14ac:dyDescent="0.2">
      <c r="B1764" s="23"/>
      <c r="I1764" s="38"/>
      <c r="N1764" s="38"/>
    </row>
    <row r="1765" spans="2:14" x14ac:dyDescent="0.2">
      <c r="B1765" s="23"/>
      <c r="I1765" s="38"/>
      <c r="N1765" s="38"/>
    </row>
    <row r="1766" spans="2:14" x14ac:dyDescent="0.2">
      <c r="B1766" s="23"/>
      <c r="I1766" s="38"/>
      <c r="N1766" s="38"/>
    </row>
    <row r="1767" spans="2:14" x14ac:dyDescent="0.2">
      <c r="B1767" s="23"/>
      <c r="I1767" s="38"/>
      <c r="N1767" s="38"/>
    </row>
    <row r="1768" spans="2:14" x14ac:dyDescent="0.2">
      <c r="B1768" s="23"/>
      <c r="I1768" s="38"/>
      <c r="N1768" s="38"/>
    </row>
    <row r="1769" spans="2:14" x14ac:dyDescent="0.2">
      <c r="B1769" s="23"/>
      <c r="I1769" s="38"/>
      <c r="N1769" s="38"/>
    </row>
    <row r="1770" spans="2:14" x14ac:dyDescent="0.2">
      <c r="B1770" s="23"/>
      <c r="I1770" s="38"/>
      <c r="N1770" s="38"/>
    </row>
    <row r="1771" spans="2:14" x14ac:dyDescent="0.2">
      <c r="B1771" s="23"/>
      <c r="I1771" s="38"/>
      <c r="N1771" s="38"/>
    </row>
    <row r="1772" spans="2:14" x14ac:dyDescent="0.2">
      <c r="B1772" s="23"/>
      <c r="I1772" s="38"/>
      <c r="N1772" s="38"/>
    </row>
    <row r="1773" spans="2:14" x14ac:dyDescent="0.2">
      <c r="B1773" s="23"/>
      <c r="I1773" s="38"/>
      <c r="N1773" s="38"/>
    </row>
    <row r="1774" spans="2:14" x14ac:dyDescent="0.2">
      <c r="B1774" s="23"/>
      <c r="I1774" s="38"/>
      <c r="N1774" s="38"/>
    </row>
    <row r="1775" spans="2:14" x14ac:dyDescent="0.2">
      <c r="B1775" s="23"/>
      <c r="I1775" s="38"/>
      <c r="N1775" s="38"/>
    </row>
    <row r="1776" spans="2:14" x14ac:dyDescent="0.2">
      <c r="B1776" s="23"/>
      <c r="I1776" s="38"/>
      <c r="N1776" s="38"/>
    </row>
    <row r="1777" spans="2:14" x14ac:dyDescent="0.2">
      <c r="B1777" s="23"/>
      <c r="I1777" s="38"/>
      <c r="N1777" s="38"/>
    </row>
    <row r="1778" spans="2:14" x14ac:dyDescent="0.2">
      <c r="B1778" s="23"/>
      <c r="I1778" s="38"/>
      <c r="N1778" s="38"/>
    </row>
    <row r="1779" spans="2:14" x14ac:dyDescent="0.2">
      <c r="B1779" s="23"/>
      <c r="I1779" s="38"/>
      <c r="N1779" s="38"/>
    </row>
    <row r="1780" spans="2:14" x14ac:dyDescent="0.2">
      <c r="B1780" s="23"/>
      <c r="I1780" s="38"/>
      <c r="N1780" s="38"/>
    </row>
    <row r="1781" spans="2:14" x14ac:dyDescent="0.2">
      <c r="B1781" s="23"/>
      <c r="I1781" s="38"/>
      <c r="N1781" s="38"/>
    </row>
    <row r="1782" spans="2:14" x14ac:dyDescent="0.2">
      <c r="B1782" s="23"/>
      <c r="I1782" s="38"/>
      <c r="N1782" s="38"/>
    </row>
    <row r="1783" spans="2:14" x14ac:dyDescent="0.2">
      <c r="B1783" s="23"/>
      <c r="I1783" s="38"/>
      <c r="N1783" s="38"/>
    </row>
    <row r="1784" spans="2:14" x14ac:dyDescent="0.2">
      <c r="B1784" s="23"/>
      <c r="I1784" s="38"/>
      <c r="N1784" s="38"/>
    </row>
    <row r="1785" spans="2:14" x14ac:dyDescent="0.2">
      <c r="B1785" s="23"/>
      <c r="I1785" s="38"/>
      <c r="N1785" s="38"/>
    </row>
    <row r="1786" spans="2:14" x14ac:dyDescent="0.2">
      <c r="B1786" s="23"/>
      <c r="I1786" s="38"/>
      <c r="N1786" s="38"/>
    </row>
    <row r="1787" spans="2:14" x14ac:dyDescent="0.2">
      <c r="B1787" s="23"/>
      <c r="I1787" s="38"/>
      <c r="N1787" s="38"/>
    </row>
    <row r="1788" spans="2:14" x14ac:dyDescent="0.2">
      <c r="B1788" s="23"/>
      <c r="I1788" s="38"/>
      <c r="N1788" s="38"/>
    </row>
    <row r="1789" spans="2:14" x14ac:dyDescent="0.2">
      <c r="B1789" s="23"/>
      <c r="I1789" s="38"/>
      <c r="N1789" s="38"/>
    </row>
    <row r="1790" spans="2:14" x14ac:dyDescent="0.2">
      <c r="B1790" s="23"/>
      <c r="I1790" s="38"/>
      <c r="N1790" s="38"/>
    </row>
    <row r="1791" spans="2:14" x14ac:dyDescent="0.2">
      <c r="B1791" s="23"/>
      <c r="I1791" s="38"/>
      <c r="N1791" s="38"/>
    </row>
    <row r="1792" spans="2:14" x14ac:dyDescent="0.2">
      <c r="B1792" s="23"/>
      <c r="I1792" s="38"/>
      <c r="N1792" s="38"/>
    </row>
    <row r="1793" spans="2:14" x14ac:dyDescent="0.2">
      <c r="B1793" s="23"/>
      <c r="I1793" s="38"/>
      <c r="N1793" s="38"/>
    </row>
    <row r="1794" spans="2:14" x14ac:dyDescent="0.2">
      <c r="B1794" s="23"/>
      <c r="I1794" s="38"/>
      <c r="N1794" s="38"/>
    </row>
    <row r="1795" spans="2:14" x14ac:dyDescent="0.2">
      <c r="B1795" s="23"/>
      <c r="I1795" s="38"/>
      <c r="N1795" s="38"/>
    </row>
    <row r="1796" spans="2:14" x14ac:dyDescent="0.2">
      <c r="B1796" s="23"/>
      <c r="I1796" s="38"/>
      <c r="N1796" s="38"/>
    </row>
    <row r="1797" spans="2:14" x14ac:dyDescent="0.2">
      <c r="B1797" s="23"/>
      <c r="I1797" s="38"/>
      <c r="N1797" s="38"/>
    </row>
    <row r="1798" spans="2:14" x14ac:dyDescent="0.2">
      <c r="B1798" s="23"/>
      <c r="I1798" s="38"/>
      <c r="N1798" s="38"/>
    </row>
    <row r="1799" spans="2:14" x14ac:dyDescent="0.2">
      <c r="B1799" s="23"/>
      <c r="I1799" s="38"/>
      <c r="N1799" s="38"/>
    </row>
    <row r="1800" spans="2:14" x14ac:dyDescent="0.2">
      <c r="B1800" s="23"/>
      <c r="I1800" s="38"/>
      <c r="N1800" s="38"/>
    </row>
    <row r="1801" spans="2:14" x14ac:dyDescent="0.2">
      <c r="B1801" s="23"/>
      <c r="I1801" s="38"/>
      <c r="N1801" s="38"/>
    </row>
    <row r="1802" spans="2:14" x14ac:dyDescent="0.2">
      <c r="B1802" s="23"/>
      <c r="I1802" s="38"/>
      <c r="N1802" s="38"/>
    </row>
    <row r="1803" spans="2:14" x14ac:dyDescent="0.2">
      <c r="B1803" s="23"/>
      <c r="I1803" s="38"/>
      <c r="N1803" s="38"/>
    </row>
    <row r="1804" spans="2:14" x14ac:dyDescent="0.2">
      <c r="B1804" s="23"/>
      <c r="I1804" s="38"/>
      <c r="N1804" s="38"/>
    </row>
    <row r="1805" spans="2:14" x14ac:dyDescent="0.2">
      <c r="B1805" s="23"/>
      <c r="I1805" s="38"/>
      <c r="N1805" s="38"/>
    </row>
    <row r="1806" spans="2:14" x14ac:dyDescent="0.2">
      <c r="B1806" s="23"/>
      <c r="I1806" s="38"/>
      <c r="N1806" s="38"/>
    </row>
    <row r="1807" spans="2:14" x14ac:dyDescent="0.2">
      <c r="B1807" s="23"/>
      <c r="I1807" s="38"/>
      <c r="N1807" s="38"/>
    </row>
    <row r="1808" spans="2:14" x14ac:dyDescent="0.2">
      <c r="B1808" s="23"/>
      <c r="I1808" s="38"/>
      <c r="N1808" s="38"/>
    </row>
    <row r="1809" spans="2:14" x14ac:dyDescent="0.2">
      <c r="B1809" s="23"/>
      <c r="I1809" s="38"/>
      <c r="N1809" s="38"/>
    </row>
    <row r="1810" spans="2:14" x14ac:dyDescent="0.2">
      <c r="B1810" s="23"/>
      <c r="I1810" s="38"/>
      <c r="N1810" s="38"/>
    </row>
    <row r="1811" spans="2:14" x14ac:dyDescent="0.2">
      <c r="B1811" s="23"/>
      <c r="I1811" s="38"/>
      <c r="N1811" s="38"/>
    </row>
    <row r="1812" spans="2:14" x14ac:dyDescent="0.2">
      <c r="B1812" s="23"/>
      <c r="I1812" s="38"/>
      <c r="N1812" s="38"/>
    </row>
    <row r="1813" spans="2:14" x14ac:dyDescent="0.2">
      <c r="B1813" s="23"/>
      <c r="I1813" s="38"/>
      <c r="N1813" s="38"/>
    </row>
    <row r="1814" spans="2:14" x14ac:dyDescent="0.2">
      <c r="B1814" s="23"/>
      <c r="I1814" s="38"/>
      <c r="N1814" s="38"/>
    </row>
    <row r="1815" spans="2:14" x14ac:dyDescent="0.2">
      <c r="B1815" s="23"/>
      <c r="I1815" s="38"/>
      <c r="N1815" s="38"/>
    </row>
    <row r="1816" spans="2:14" x14ac:dyDescent="0.2">
      <c r="B1816" s="23"/>
      <c r="I1816" s="38"/>
      <c r="N1816" s="38"/>
    </row>
    <row r="1817" spans="2:14" x14ac:dyDescent="0.2">
      <c r="B1817" s="23"/>
      <c r="I1817" s="38"/>
      <c r="N1817" s="38"/>
    </row>
    <row r="1818" spans="2:14" x14ac:dyDescent="0.2">
      <c r="B1818" s="23"/>
      <c r="I1818" s="38"/>
      <c r="N1818" s="38"/>
    </row>
    <row r="1819" spans="2:14" x14ac:dyDescent="0.2">
      <c r="B1819" s="23"/>
      <c r="I1819" s="38"/>
      <c r="N1819" s="38"/>
    </row>
    <row r="1820" spans="2:14" x14ac:dyDescent="0.2">
      <c r="B1820" s="23"/>
      <c r="I1820" s="38"/>
      <c r="N1820" s="38"/>
    </row>
    <row r="1821" spans="2:14" x14ac:dyDescent="0.2">
      <c r="B1821" s="23"/>
      <c r="I1821" s="38"/>
      <c r="N1821" s="38"/>
    </row>
    <row r="1822" spans="2:14" x14ac:dyDescent="0.2">
      <c r="B1822" s="23"/>
      <c r="I1822" s="38"/>
      <c r="N1822" s="38"/>
    </row>
    <row r="1823" spans="2:14" x14ac:dyDescent="0.2">
      <c r="B1823" s="23"/>
      <c r="I1823" s="38"/>
      <c r="N1823" s="38"/>
    </row>
    <row r="1824" spans="2:14" x14ac:dyDescent="0.2">
      <c r="B1824" s="23"/>
      <c r="I1824" s="38"/>
      <c r="N1824" s="38"/>
    </row>
    <row r="1825" spans="2:14" x14ac:dyDescent="0.2">
      <c r="B1825" s="23"/>
      <c r="I1825" s="38"/>
      <c r="N1825" s="38"/>
    </row>
    <row r="1826" spans="2:14" x14ac:dyDescent="0.2">
      <c r="B1826" s="23"/>
      <c r="I1826" s="38"/>
      <c r="N1826" s="38"/>
    </row>
    <row r="1827" spans="2:14" x14ac:dyDescent="0.2">
      <c r="B1827" s="23"/>
      <c r="I1827" s="38"/>
      <c r="N1827" s="38"/>
    </row>
    <row r="1828" spans="2:14" x14ac:dyDescent="0.2">
      <c r="B1828" s="23"/>
      <c r="I1828" s="38"/>
      <c r="N1828" s="38"/>
    </row>
    <row r="1829" spans="2:14" x14ac:dyDescent="0.2">
      <c r="B1829" s="23"/>
      <c r="I1829" s="38"/>
      <c r="N1829" s="38"/>
    </row>
    <row r="1830" spans="2:14" x14ac:dyDescent="0.2">
      <c r="B1830" s="23"/>
      <c r="I1830" s="38"/>
      <c r="N1830" s="38"/>
    </row>
    <row r="1831" spans="2:14" x14ac:dyDescent="0.2">
      <c r="B1831" s="23"/>
      <c r="I1831" s="38"/>
      <c r="N1831" s="38"/>
    </row>
    <row r="1832" spans="2:14" x14ac:dyDescent="0.2">
      <c r="B1832" s="23"/>
      <c r="I1832" s="38"/>
      <c r="N1832" s="38"/>
    </row>
    <row r="1833" spans="2:14" x14ac:dyDescent="0.2">
      <c r="B1833" s="23"/>
      <c r="I1833" s="38"/>
      <c r="N1833" s="38"/>
    </row>
    <row r="1834" spans="2:14" x14ac:dyDescent="0.2">
      <c r="B1834" s="23"/>
      <c r="I1834" s="38"/>
      <c r="N1834" s="38"/>
    </row>
    <row r="1835" spans="2:14" x14ac:dyDescent="0.2">
      <c r="B1835" s="23"/>
      <c r="I1835" s="38"/>
      <c r="N1835" s="38"/>
    </row>
    <row r="1836" spans="2:14" x14ac:dyDescent="0.2">
      <c r="B1836" s="23"/>
      <c r="I1836" s="38"/>
      <c r="N1836" s="38"/>
    </row>
    <row r="1837" spans="2:14" x14ac:dyDescent="0.2">
      <c r="B1837" s="23"/>
      <c r="I1837" s="38"/>
      <c r="N1837" s="38"/>
    </row>
    <row r="1838" spans="2:14" x14ac:dyDescent="0.2">
      <c r="B1838" s="23"/>
      <c r="I1838" s="38"/>
      <c r="N1838" s="38"/>
    </row>
    <row r="1839" spans="2:14" x14ac:dyDescent="0.2">
      <c r="B1839" s="23"/>
      <c r="I1839" s="38"/>
      <c r="N1839" s="38"/>
    </row>
    <row r="1840" spans="2:14" x14ac:dyDescent="0.2">
      <c r="B1840" s="23"/>
      <c r="I1840" s="38"/>
      <c r="N1840" s="38"/>
    </row>
    <row r="1841" spans="2:14" x14ac:dyDescent="0.2">
      <c r="B1841" s="23"/>
      <c r="I1841" s="38"/>
      <c r="N1841" s="38"/>
    </row>
    <row r="1842" spans="2:14" x14ac:dyDescent="0.2">
      <c r="B1842" s="23"/>
      <c r="I1842" s="38"/>
      <c r="N1842" s="38"/>
    </row>
    <row r="1843" spans="2:14" x14ac:dyDescent="0.2">
      <c r="B1843" s="23"/>
      <c r="I1843" s="38"/>
      <c r="N1843" s="38"/>
    </row>
    <row r="1844" spans="2:14" x14ac:dyDescent="0.2">
      <c r="B1844" s="23"/>
      <c r="I1844" s="38"/>
      <c r="N1844" s="38"/>
    </row>
    <row r="1845" spans="2:14" x14ac:dyDescent="0.2">
      <c r="B1845" s="23"/>
      <c r="I1845" s="38"/>
      <c r="N1845" s="38"/>
    </row>
    <row r="1846" spans="2:14" x14ac:dyDescent="0.2">
      <c r="B1846" s="23"/>
      <c r="I1846" s="38"/>
      <c r="N1846" s="38"/>
    </row>
    <row r="1847" spans="2:14" x14ac:dyDescent="0.2">
      <c r="B1847" s="23"/>
      <c r="I1847" s="38"/>
      <c r="N1847" s="38"/>
    </row>
    <row r="1848" spans="2:14" x14ac:dyDescent="0.2">
      <c r="B1848" s="23"/>
      <c r="I1848" s="38"/>
      <c r="N1848" s="38"/>
    </row>
    <row r="1849" spans="2:14" x14ac:dyDescent="0.2">
      <c r="B1849" s="23"/>
      <c r="I1849" s="38"/>
      <c r="N1849" s="38"/>
    </row>
    <row r="1850" spans="2:14" x14ac:dyDescent="0.2">
      <c r="B1850" s="23"/>
      <c r="I1850" s="38"/>
      <c r="N1850" s="38"/>
    </row>
    <row r="1851" spans="2:14" x14ac:dyDescent="0.2">
      <c r="B1851" s="23"/>
      <c r="I1851" s="38"/>
      <c r="N1851" s="38"/>
    </row>
    <row r="1852" spans="2:14" x14ac:dyDescent="0.2">
      <c r="B1852" s="23"/>
      <c r="I1852" s="38"/>
      <c r="N1852" s="38"/>
    </row>
    <row r="1853" spans="2:14" x14ac:dyDescent="0.2">
      <c r="B1853" s="23"/>
      <c r="I1853" s="38"/>
      <c r="N1853" s="38"/>
    </row>
    <row r="1854" spans="2:14" x14ac:dyDescent="0.2">
      <c r="B1854" s="23"/>
      <c r="I1854" s="38"/>
      <c r="N1854" s="38"/>
    </row>
    <row r="1855" spans="2:14" x14ac:dyDescent="0.2">
      <c r="B1855" s="23"/>
      <c r="I1855" s="38"/>
      <c r="N1855" s="38"/>
    </row>
    <row r="1856" spans="2:14" x14ac:dyDescent="0.2">
      <c r="B1856" s="23"/>
      <c r="I1856" s="38"/>
      <c r="N1856" s="38"/>
    </row>
    <row r="1857" spans="2:14" x14ac:dyDescent="0.2">
      <c r="B1857" s="23"/>
      <c r="I1857" s="38"/>
      <c r="N1857" s="38"/>
    </row>
    <row r="1858" spans="2:14" x14ac:dyDescent="0.2">
      <c r="B1858" s="23"/>
      <c r="I1858" s="38"/>
      <c r="N1858" s="38"/>
    </row>
    <row r="1859" spans="2:14" x14ac:dyDescent="0.2">
      <c r="B1859" s="23"/>
      <c r="I1859" s="38"/>
      <c r="N1859" s="38"/>
    </row>
    <row r="1860" spans="2:14" x14ac:dyDescent="0.2">
      <c r="B1860" s="23"/>
      <c r="I1860" s="38"/>
      <c r="N1860" s="38"/>
    </row>
    <row r="1861" spans="2:14" x14ac:dyDescent="0.2">
      <c r="B1861" s="23"/>
      <c r="I1861" s="38"/>
      <c r="N1861" s="38"/>
    </row>
    <row r="1862" spans="2:14" x14ac:dyDescent="0.2">
      <c r="B1862" s="23"/>
      <c r="I1862" s="38"/>
      <c r="N1862" s="38"/>
    </row>
    <row r="1863" spans="2:14" x14ac:dyDescent="0.2">
      <c r="B1863" s="23"/>
      <c r="I1863" s="38"/>
      <c r="N1863" s="38"/>
    </row>
    <row r="1864" spans="2:14" x14ac:dyDescent="0.2">
      <c r="B1864" s="23"/>
      <c r="I1864" s="38"/>
      <c r="N1864" s="38"/>
    </row>
    <row r="1865" spans="2:14" x14ac:dyDescent="0.2">
      <c r="B1865" s="23"/>
      <c r="I1865" s="38"/>
      <c r="N1865" s="38"/>
    </row>
    <row r="1866" spans="2:14" x14ac:dyDescent="0.2">
      <c r="B1866" s="23"/>
      <c r="I1866" s="38"/>
      <c r="N1866" s="38"/>
    </row>
    <row r="1867" spans="2:14" x14ac:dyDescent="0.2">
      <c r="B1867" s="23"/>
      <c r="I1867" s="38"/>
      <c r="N1867" s="38"/>
    </row>
    <row r="1868" spans="2:14" x14ac:dyDescent="0.2">
      <c r="B1868" s="23"/>
      <c r="I1868" s="38"/>
      <c r="N1868" s="38"/>
    </row>
    <row r="1869" spans="2:14" x14ac:dyDescent="0.2">
      <c r="B1869" s="23"/>
      <c r="I1869" s="38"/>
      <c r="N1869" s="38"/>
    </row>
    <row r="1870" spans="2:14" x14ac:dyDescent="0.2">
      <c r="B1870" s="23"/>
      <c r="I1870" s="38"/>
      <c r="N1870" s="38"/>
    </row>
    <row r="1871" spans="2:14" x14ac:dyDescent="0.2">
      <c r="B1871" s="23"/>
      <c r="I1871" s="38"/>
      <c r="N1871" s="38"/>
    </row>
    <row r="1872" spans="2:14" x14ac:dyDescent="0.2">
      <c r="B1872" s="23"/>
      <c r="I1872" s="38"/>
      <c r="N1872" s="38"/>
    </row>
    <row r="1873" spans="2:14" x14ac:dyDescent="0.2">
      <c r="B1873" s="23"/>
      <c r="I1873" s="38"/>
      <c r="N1873" s="38"/>
    </row>
    <row r="1874" spans="2:14" x14ac:dyDescent="0.2">
      <c r="B1874" s="23"/>
      <c r="I1874" s="38"/>
      <c r="N1874" s="38"/>
    </row>
    <row r="1875" spans="2:14" x14ac:dyDescent="0.2">
      <c r="B1875" s="23"/>
      <c r="I1875" s="38"/>
      <c r="N1875" s="38"/>
    </row>
    <row r="1876" spans="2:14" x14ac:dyDescent="0.2">
      <c r="B1876" s="23"/>
      <c r="I1876" s="38"/>
      <c r="N1876" s="38"/>
    </row>
    <row r="1877" spans="2:14" x14ac:dyDescent="0.2">
      <c r="B1877" s="23"/>
      <c r="I1877" s="38"/>
      <c r="N1877" s="38"/>
    </row>
    <row r="1878" spans="2:14" x14ac:dyDescent="0.2">
      <c r="B1878" s="23"/>
      <c r="I1878" s="38"/>
      <c r="N1878" s="38"/>
    </row>
    <row r="1879" spans="2:14" x14ac:dyDescent="0.2">
      <c r="B1879" s="23"/>
      <c r="I1879" s="38"/>
      <c r="N1879" s="38"/>
    </row>
    <row r="1880" spans="2:14" x14ac:dyDescent="0.2">
      <c r="B1880" s="23"/>
      <c r="I1880" s="38"/>
      <c r="N1880" s="38"/>
    </row>
    <row r="1881" spans="2:14" x14ac:dyDescent="0.2">
      <c r="B1881" s="23"/>
      <c r="I1881" s="38"/>
      <c r="N1881" s="38"/>
    </row>
    <row r="1882" spans="2:14" x14ac:dyDescent="0.2">
      <c r="B1882" s="23"/>
      <c r="I1882" s="38"/>
      <c r="N1882" s="38"/>
    </row>
    <row r="1883" spans="2:14" x14ac:dyDescent="0.2">
      <c r="B1883" s="23"/>
      <c r="I1883" s="38"/>
      <c r="N1883" s="38"/>
    </row>
    <row r="1884" spans="2:14" x14ac:dyDescent="0.2">
      <c r="B1884" s="23"/>
      <c r="I1884" s="38"/>
      <c r="N1884" s="38"/>
    </row>
    <row r="1885" spans="2:14" x14ac:dyDescent="0.2">
      <c r="B1885" s="23"/>
      <c r="I1885" s="38"/>
      <c r="N1885" s="38"/>
    </row>
    <row r="1886" spans="2:14" x14ac:dyDescent="0.2">
      <c r="B1886" s="23"/>
      <c r="I1886" s="38"/>
      <c r="N1886" s="38"/>
    </row>
    <row r="1887" spans="2:14" x14ac:dyDescent="0.2">
      <c r="B1887" s="23"/>
      <c r="I1887" s="38"/>
      <c r="N1887" s="38"/>
    </row>
  </sheetData>
  <autoFilter ref="A2:V939"/>
  <mergeCells count="1">
    <mergeCell ref="T1:U1"/>
  </mergeCells>
  <pageMargins left="0.75" right="0.75" top="1" bottom="1" header="0.5" footer="0.5"/>
  <pageSetup paperSize="9" orientation="portrait" horizontalDpi="1200" verticalDpi="12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U494"/>
  <sheetViews>
    <sheetView topLeftCell="A445" workbookViewId="0">
      <selection activeCell="J469" sqref="J469"/>
    </sheetView>
  </sheetViews>
  <sheetFormatPr defaultColWidth="8.85546875" defaultRowHeight="12.75" outlineLevelRow="1" x14ac:dyDescent="0.2"/>
  <cols>
    <col min="1" max="1" width="18" style="59" customWidth="1"/>
    <col min="2" max="2" width="9.5703125" style="57" customWidth="1"/>
    <col min="3" max="3" width="11.42578125" style="59" customWidth="1"/>
    <col min="4" max="7" width="4.85546875" style="59" customWidth="1"/>
    <col min="8" max="8" width="29.5703125" style="59" customWidth="1"/>
    <col min="9" max="9" width="11.42578125" style="59" customWidth="1"/>
    <col min="10" max="10" width="12.42578125" style="59" customWidth="1"/>
    <col min="11" max="12" width="4" style="59" customWidth="1"/>
    <col min="13" max="14" width="8.85546875" style="59"/>
    <col min="15" max="15" width="12.42578125" style="59" customWidth="1"/>
    <col min="16" max="16384" width="8.85546875" style="59"/>
  </cols>
  <sheetData>
    <row r="1" spans="1:21" x14ac:dyDescent="0.2">
      <c r="A1" s="77" t="s">
        <v>376</v>
      </c>
      <c r="D1" s="59">
        <v>4040</v>
      </c>
      <c r="E1" s="59">
        <v>4010</v>
      </c>
      <c r="F1" s="59">
        <v>4080</v>
      </c>
      <c r="I1" s="54" t="s">
        <v>377</v>
      </c>
      <c r="J1" s="71"/>
      <c r="M1" s="108" t="s">
        <v>451</v>
      </c>
      <c r="N1" s="55"/>
      <c r="O1" s="107">
        <v>5.5E-2</v>
      </c>
    </row>
    <row r="2" spans="1:21" s="77" customFormat="1" x14ac:dyDescent="0.2">
      <c r="A2" s="90" t="s">
        <v>214</v>
      </c>
      <c r="B2" s="91" t="s">
        <v>215</v>
      </c>
      <c r="C2" s="90" t="s">
        <v>216</v>
      </c>
      <c r="D2" s="90" t="s">
        <v>217</v>
      </c>
      <c r="E2" s="90"/>
      <c r="F2" s="90"/>
      <c r="G2" s="90" t="s">
        <v>218</v>
      </c>
      <c r="H2" s="90" t="s">
        <v>462</v>
      </c>
      <c r="I2" s="90"/>
      <c r="J2" s="92"/>
      <c r="K2" s="93"/>
      <c r="L2" s="90"/>
      <c r="M2" s="90" t="s">
        <v>0</v>
      </c>
      <c r="O2" s="88"/>
      <c r="P2" s="77" t="s">
        <v>216</v>
      </c>
    </row>
    <row r="3" spans="1:21" ht="15" outlineLevel="1" x14ac:dyDescent="0.25">
      <c r="A3" s="85" t="s">
        <v>370</v>
      </c>
      <c r="B3" s="35">
        <v>140.892</v>
      </c>
      <c r="C3" s="30"/>
      <c r="D3" s="30"/>
      <c r="E3" s="26"/>
      <c r="F3" s="22"/>
      <c r="G3" s="22"/>
      <c r="H3" s="22" t="s">
        <v>516</v>
      </c>
      <c r="I3" s="11"/>
      <c r="J3" s="22"/>
      <c r="K3" s="22"/>
      <c r="L3" s="22"/>
      <c r="M3" s="30">
        <v>19022</v>
      </c>
      <c r="N3" s="30"/>
      <c r="O3" s="35">
        <f t="shared" ref="O3:O66" si="0">B3*$O$1</f>
        <v>7.7490600000000001</v>
      </c>
      <c r="P3" s="22"/>
      <c r="Q3" s="22"/>
      <c r="R3" s="22"/>
      <c r="S3" s="22"/>
      <c r="T3" s="22"/>
      <c r="U3" s="35"/>
    </row>
    <row r="4" spans="1:21" ht="15" outlineLevel="1" x14ac:dyDescent="0.25">
      <c r="A4" s="85" t="s">
        <v>223</v>
      </c>
      <c r="B4" s="35">
        <v>136.96799999999999</v>
      </c>
      <c r="C4" s="101"/>
      <c r="D4" s="30"/>
      <c r="E4" s="26"/>
      <c r="F4" s="22"/>
      <c r="G4" s="22"/>
      <c r="H4" s="22" t="s">
        <v>516</v>
      </c>
      <c r="I4" s="11"/>
      <c r="J4" s="22"/>
      <c r="K4" s="22"/>
      <c r="L4" s="22"/>
      <c r="M4" s="30">
        <v>18891</v>
      </c>
      <c r="N4" s="30"/>
      <c r="O4" s="35">
        <f t="shared" si="0"/>
        <v>7.5332399999999993</v>
      </c>
      <c r="P4" s="22"/>
      <c r="Q4" s="22"/>
      <c r="R4" s="22"/>
      <c r="S4" s="22"/>
      <c r="T4" s="22"/>
      <c r="U4" s="35"/>
    </row>
    <row r="5" spans="1:21" ht="15" outlineLevel="1" x14ac:dyDescent="0.25">
      <c r="A5" s="85" t="s">
        <v>223</v>
      </c>
      <c r="B5" s="35">
        <v>266.84400000000005</v>
      </c>
      <c r="C5" s="30"/>
      <c r="D5" s="30"/>
      <c r="E5" s="26"/>
      <c r="F5" s="22"/>
      <c r="G5" s="22"/>
      <c r="H5" s="22" t="s">
        <v>516</v>
      </c>
      <c r="I5" s="11"/>
      <c r="J5" s="22"/>
      <c r="K5" s="22"/>
      <c r="L5" s="22"/>
      <c r="M5" s="30">
        <v>18589</v>
      </c>
      <c r="N5" s="30"/>
      <c r="O5" s="35">
        <f t="shared" si="0"/>
        <v>14.676420000000002</v>
      </c>
      <c r="P5" s="22"/>
      <c r="Q5" s="22"/>
      <c r="R5" s="22"/>
      <c r="S5" s="22"/>
      <c r="T5" s="22"/>
      <c r="U5" s="35"/>
    </row>
    <row r="6" spans="1:21" ht="15" outlineLevel="1" x14ac:dyDescent="0.25">
      <c r="A6" s="85" t="s">
        <v>223</v>
      </c>
      <c r="B6" s="35">
        <v>117.63</v>
      </c>
      <c r="C6" s="64"/>
      <c r="D6" s="30"/>
      <c r="E6" s="26"/>
      <c r="F6" s="22"/>
      <c r="G6" s="22"/>
      <c r="H6" s="22" t="s">
        <v>516</v>
      </c>
      <c r="I6" s="11"/>
      <c r="J6" s="22"/>
      <c r="K6" s="22"/>
      <c r="L6" s="22"/>
      <c r="M6" s="30">
        <v>18831</v>
      </c>
      <c r="N6" s="30"/>
      <c r="O6" s="35">
        <f t="shared" si="0"/>
        <v>6.4696499999999997</v>
      </c>
      <c r="P6" s="22"/>
      <c r="Q6" s="22"/>
      <c r="R6" s="22"/>
      <c r="S6" s="22"/>
      <c r="T6" s="22"/>
      <c r="U6" s="35"/>
    </row>
    <row r="7" spans="1:21" ht="15" outlineLevel="1" x14ac:dyDescent="0.25">
      <c r="A7" s="85" t="s">
        <v>223</v>
      </c>
      <c r="B7" s="35">
        <v>363.52800000000002</v>
      </c>
      <c r="C7" s="30"/>
      <c r="D7" s="30"/>
      <c r="E7" s="26"/>
      <c r="F7" s="22"/>
      <c r="G7" s="22"/>
      <c r="H7" s="22" t="s">
        <v>516</v>
      </c>
      <c r="I7" s="11"/>
      <c r="J7" s="22"/>
      <c r="K7" s="22"/>
      <c r="L7" s="22"/>
      <c r="M7" s="30">
        <v>18903</v>
      </c>
      <c r="N7" s="30"/>
      <c r="O7" s="35">
        <f t="shared" si="0"/>
        <v>19.994040000000002</v>
      </c>
      <c r="P7" s="22"/>
      <c r="Q7" s="22"/>
      <c r="R7" s="22"/>
      <c r="S7" s="22"/>
      <c r="T7" s="22"/>
      <c r="U7" s="35"/>
    </row>
    <row r="8" spans="1:21" ht="15" outlineLevel="1" x14ac:dyDescent="0.25">
      <c r="A8" s="85" t="s">
        <v>224</v>
      </c>
      <c r="B8" s="35">
        <v>121.17600000000002</v>
      </c>
      <c r="C8" s="30"/>
      <c r="D8" s="30"/>
      <c r="E8" s="26"/>
      <c r="F8" s="22"/>
      <c r="G8" s="22"/>
      <c r="H8" s="22" t="s">
        <v>516</v>
      </c>
      <c r="I8" s="11"/>
      <c r="J8" s="22"/>
      <c r="K8" s="22"/>
      <c r="L8" s="22"/>
      <c r="M8" s="30">
        <v>18631</v>
      </c>
      <c r="N8" s="30"/>
      <c r="O8" s="35">
        <f t="shared" si="0"/>
        <v>6.6646800000000006</v>
      </c>
      <c r="P8" s="22"/>
      <c r="Q8" s="22"/>
      <c r="R8" s="22"/>
      <c r="S8" s="22"/>
      <c r="T8" s="22"/>
      <c r="U8" s="35"/>
    </row>
    <row r="9" spans="1:21" ht="15" outlineLevel="1" x14ac:dyDescent="0.25">
      <c r="A9" s="85" t="s">
        <v>226</v>
      </c>
      <c r="B9" s="35">
        <v>136.09800000000001</v>
      </c>
      <c r="C9" s="30"/>
      <c r="D9" s="30"/>
      <c r="E9" s="26"/>
      <c r="F9" s="22"/>
      <c r="G9" s="22"/>
      <c r="H9" s="22" t="s">
        <v>516</v>
      </c>
      <c r="I9" s="11"/>
      <c r="J9" s="22"/>
      <c r="K9" s="22"/>
      <c r="L9" s="22"/>
      <c r="M9" s="30">
        <v>18687</v>
      </c>
      <c r="N9" s="30"/>
      <c r="O9" s="35">
        <f t="shared" si="0"/>
        <v>7.4853900000000007</v>
      </c>
      <c r="P9" s="22"/>
      <c r="Q9" s="22"/>
      <c r="R9" s="22"/>
      <c r="S9" s="22"/>
      <c r="T9" s="22"/>
      <c r="U9" s="35"/>
    </row>
    <row r="10" spans="1:21" ht="15" outlineLevel="1" x14ac:dyDescent="0.25">
      <c r="A10" s="85" t="s">
        <v>226</v>
      </c>
      <c r="B10" s="35">
        <v>307.93200000000002</v>
      </c>
      <c r="C10" s="30"/>
      <c r="D10" s="30"/>
      <c r="E10" s="26"/>
      <c r="F10" s="22"/>
      <c r="G10" s="22"/>
      <c r="H10" s="22" t="s">
        <v>516</v>
      </c>
      <c r="I10" s="11"/>
      <c r="J10" s="22"/>
      <c r="K10" s="22"/>
      <c r="L10" s="22"/>
      <c r="M10" s="30">
        <v>18781</v>
      </c>
      <c r="N10" s="30"/>
      <c r="O10" s="35">
        <f t="shared" si="0"/>
        <v>16.936260000000001</v>
      </c>
      <c r="P10" s="22"/>
      <c r="Q10" s="22"/>
      <c r="R10" s="22"/>
      <c r="S10" s="22"/>
      <c r="T10" s="22"/>
      <c r="U10" s="35"/>
    </row>
    <row r="11" spans="1:21" ht="15" outlineLevel="1" x14ac:dyDescent="0.25">
      <c r="A11" s="85" t="s">
        <v>226</v>
      </c>
      <c r="B11" s="35">
        <v>121.17600000000002</v>
      </c>
      <c r="C11" s="30"/>
      <c r="D11" s="30"/>
      <c r="E11" s="26"/>
      <c r="F11" s="22"/>
      <c r="G11" s="22"/>
      <c r="H11" s="22" t="s">
        <v>516</v>
      </c>
      <c r="I11" s="11"/>
      <c r="J11" s="22"/>
      <c r="K11" s="22"/>
      <c r="L11" s="22"/>
      <c r="M11" s="30">
        <v>18894</v>
      </c>
      <c r="N11" s="30"/>
      <c r="O11" s="35">
        <f t="shared" si="0"/>
        <v>6.6646800000000006</v>
      </c>
      <c r="P11" s="22"/>
      <c r="Q11" s="22"/>
      <c r="R11" s="22"/>
      <c r="S11" s="22"/>
      <c r="T11" s="22"/>
      <c r="U11" s="35"/>
    </row>
    <row r="12" spans="1:21" ht="15" outlineLevel="1" x14ac:dyDescent="0.25">
      <c r="A12" s="85" t="s">
        <v>226</v>
      </c>
      <c r="B12" s="35">
        <v>153.96600000000001</v>
      </c>
      <c r="C12" s="30"/>
      <c r="D12" s="30"/>
      <c r="E12" s="26"/>
      <c r="F12" s="22"/>
      <c r="G12" s="22"/>
      <c r="H12" s="22" t="s">
        <v>516</v>
      </c>
      <c r="I12" s="11"/>
      <c r="J12" s="22"/>
      <c r="K12" s="22"/>
      <c r="L12" s="22"/>
      <c r="M12" s="30">
        <v>18967</v>
      </c>
      <c r="N12" s="30"/>
      <c r="O12" s="35">
        <f t="shared" si="0"/>
        <v>8.4681300000000004</v>
      </c>
      <c r="P12" s="22"/>
      <c r="Q12" s="22"/>
      <c r="R12" s="22"/>
      <c r="S12" s="22"/>
      <c r="T12" s="22"/>
      <c r="U12" s="35"/>
    </row>
    <row r="13" spans="1:21" ht="15" outlineLevel="1" x14ac:dyDescent="0.25">
      <c r="A13" s="85" t="s">
        <v>227</v>
      </c>
      <c r="B13" s="35">
        <v>124.446</v>
      </c>
      <c r="C13" s="30"/>
      <c r="D13" s="30"/>
      <c r="E13" s="26"/>
      <c r="F13" s="22"/>
      <c r="G13" s="22"/>
      <c r="H13" s="22" t="s">
        <v>516</v>
      </c>
      <c r="I13" s="11"/>
      <c r="J13" s="22"/>
      <c r="K13" s="22"/>
      <c r="L13" s="22"/>
      <c r="M13" s="30">
        <v>145</v>
      </c>
      <c r="N13" s="30"/>
      <c r="O13" s="35">
        <f t="shared" si="0"/>
        <v>6.8445299999999998</v>
      </c>
      <c r="P13" s="22"/>
      <c r="Q13" s="22"/>
      <c r="R13" s="22"/>
      <c r="S13" s="22"/>
      <c r="T13" s="22"/>
      <c r="U13" s="35"/>
    </row>
    <row r="14" spans="1:21" ht="15" outlineLevel="1" x14ac:dyDescent="0.25">
      <c r="A14" s="85" t="s">
        <v>227</v>
      </c>
      <c r="B14" s="35">
        <v>108.32399999999998</v>
      </c>
      <c r="C14" s="30"/>
      <c r="D14" s="30"/>
      <c r="E14" s="26"/>
      <c r="F14" s="22"/>
      <c r="G14" s="22"/>
      <c r="H14" s="22" t="s">
        <v>516</v>
      </c>
      <c r="I14" s="11"/>
      <c r="J14" s="22"/>
      <c r="K14" s="22"/>
      <c r="L14" s="22"/>
      <c r="M14" s="30">
        <v>141</v>
      </c>
      <c r="N14" s="30"/>
      <c r="O14" s="35">
        <f t="shared" si="0"/>
        <v>5.957819999999999</v>
      </c>
      <c r="P14" s="22"/>
      <c r="Q14" s="22"/>
      <c r="R14" s="22"/>
      <c r="S14" s="22"/>
      <c r="T14" s="22"/>
      <c r="U14" s="35"/>
    </row>
    <row r="15" spans="1:21" ht="15" outlineLevel="1" x14ac:dyDescent="0.25">
      <c r="A15" s="85" t="s">
        <v>371</v>
      </c>
      <c r="B15" s="35">
        <v>46.433999999999997</v>
      </c>
      <c r="C15" s="30"/>
      <c r="D15" s="30"/>
      <c r="E15" s="26"/>
      <c r="F15" s="22"/>
      <c r="G15" s="22"/>
      <c r="H15" s="22" t="s">
        <v>516</v>
      </c>
      <c r="I15" s="11"/>
      <c r="J15" s="22"/>
      <c r="K15" s="22"/>
      <c r="L15" s="22"/>
      <c r="M15" s="30">
        <v>19007</v>
      </c>
      <c r="N15" s="30"/>
      <c r="O15" s="35">
        <f t="shared" si="0"/>
        <v>2.5538699999999999</v>
      </c>
      <c r="P15" s="22"/>
      <c r="Q15" s="22"/>
      <c r="R15" s="22"/>
      <c r="S15" s="22"/>
      <c r="T15" s="22"/>
      <c r="U15" s="35"/>
    </row>
    <row r="16" spans="1:21" ht="15" outlineLevel="1" x14ac:dyDescent="0.25">
      <c r="A16" s="85" t="s">
        <v>445</v>
      </c>
      <c r="B16" s="35">
        <v>189.75599999999997</v>
      </c>
      <c r="C16" s="30"/>
      <c r="D16" s="30"/>
      <c r="E16" s="26"/>
      <c r="F16" s="22"/>
      <c r="G16" s="22"/>
      <c r="H16" s="22" t="s">
        <v>516</v>
      </c>
      <c r="I16" s="11"/>
      <c r="J16" s="22"/>
      <c r="K16" s="22"/>
      <c r="L16" s="22"/>
      <c r="M16" s="30">
        <v>18581</v>
      </c>
      <c r="N16" s="30"/>
      <c r="O16" s="35">
        <f t="shared" si="0"/>
        <v>10.436579999999999</v>
      </c>
      <c r="P16" s="22"/>
      <c r="Q16" s="22"/>
      <c r="R16" s="22"/>
      <c r="S16" s="22"/>
      <c r="T16" s="22"/>
      <c r="U16" s="35"/>
    </row>
    <row r="17" spans="1:21" ht="15" outlineLevel="1" x14ac:dyDescent="0.25">
      <c r="A17" s="85" t="s">
        <v>229</v>
      </c>
      <c r="B17" s="35">
        <v>104.86800000000001</v>
      </c>
      <c r="C17" s="30"/>
      <c r="D17" s="30"/>
      <c r="E17" s="26"/>
      <c r="F17" s="22"/>
      <c r="G17" s="22"/>
      <c r="H17" s="22" t="s">
        <v>516</v>
      </c>
      <c r="I17" s="11"/>
      <c r="J17" s="22"/>
      <c r="K17" s="22"/>
      <c r="L17" s="22"/>
      <c r="M17" s="30">
        <v>18979</v>
      </c>
      <c r="N17" s="30"/>
      <c r="O17" s="35">
        <f t="shared" si="0"/>
        <v>5.7677400000000008</v>
      </c>
      <c r="P17" s="22"/>
      <c r="Q17" s="22"/>
      <c r="R17" s="22"/>
      <c r="S17" s="22"/>
      <c r="T17" s="22"/>
      <c r="U17" s="35"/>
    </row>
    <row r="18" spans="1:21" ht="15" outlineLevel="1" x14ac:dyDescent="0.25">
      <c r="A18" s="85" t="s">
        <v>229</v>
      </c>
      <c r="B18" s="35">
        <v>117.63</v>
      </c>
      <c r="C18" s="30"/>
      <c r="D18" s="30"/>
      <c r="E18" s="26"/>
      <c r="F18" s="22"/>
      <c r="G18" s="22"/>
      <c r="H18" s="22" t="s">
        <v>516</v>
      </c>
      <c r="I18" s="11"/>
      <c r="J18" s="22"/>
      <c r="K18" s="22"/>
      <c r="L18" s="22"/>
      <c r="M18" s="30">
        <v>18822</v>
      </c>
      <c r="N18" s="30"/>
      <c r="O18" s="35">
        <f t="shared" si="0"/>
        <v>6.4696499999999997</v>
      </c>
      <c r="P18" s="22"/>
      <c r="Q18" s="22"/>
      <c r="R18" s="22"/>
      <c r="S18" s="22"/>
      <c r="T18" s="22"/>
      <c r="U18" s="35"/>
    </row>
    <row r="19" spans="1:21" ht="15" outlineLevel="1" x14ac:dyDescent="0.25">
      <c r="A19" s="85" t="s">
        <v>231</v>
      </c>
      <c r="B19" s="35">
        <v>314.60400000000004</v>
      </c>
      <c r="C19" s="30"/>
      <c r="D19" s="30"/>
      <c r="E19" s="26"/>
      <c r="F19" s="22"/>
      <c r="G19" s="22"/>
      <c r="H19" s="22" t="s">
        <v>516</v>
      </c>
      <c r="I19" s="11"/>
      <c r="J19" s="22"/>
      <c r="K19" s="22"/>
      <c r="L19" s="22"/>
      <c r="M19" s="30">
        <v>18923</v>
      </c>
      <c r="N19" s="30"/>
      <c r="O19" s="35">
        <f t="shared" si="0"/>
        <v>17.303220000000003</v>
      </c>
      <c r="P19" s="22"/>
      <c r="Q19" s="22"/>
      <c r="R19" s="22"/>
      <c r="S19" s="22"/>
      <c r="T19" s="22"/>
      <c r="U19" s="35"/>
    </row>
    <row r="20" spans="1:21" ht="15" outlineLevel="1" x14ac:dyDescent="0.25">
      <c r="A20" s="85" t="s">
        <v>231</v>
      </c>
      <c r="B20" s="35">
        <v>108.32399999999998</v>
      </c>
      <c r="C20" s="30"/>
      <c r="D20" s="30"/>
      <c r="E20" s="26"/>
      <c r="F20" s="22"/>
      <c r="G20" s="22"/>
      <c r="H20" s="22" t="s">
        <v>516</v>
      </c>
      <c r="I20" s="11"/>
      <c r="J20" s="22"/>
      <c r="K20" s="22"/>
      <c r="L20" s="22"/>
      <c r="M20" s="30">
        <v>19019</v>
      </c>
      <c r="N20" s="30"/>
      <c r="O20" s="35">
        <f t="shared" si="0"/>
        <v>5.957819999999999</v>
      </c>
      <c r="P20" s="22"/>
      <c r="Q20" s="22"/>
      <c r="R20" s="22"/>
      <c r="S20" s="22"/>
      <c r="T20" s="22"/>
      <c r="U20" s="35"/>
    </row>
    <row r="21" spans="1:21" ht="15" outlineLevel="1" x14ac:dyDescent="0.25">
      <c r="A21" s="85" t="s">
        <v>231</v>
      </c>
      <c r="B21" s="35">
        <v>533.6880000000001</v>
      </c>
      <c r="C21" s="30"/>
      <c r="D21" s="30"/>
      <c r="E21" s="26"/>
      <c r="F21" s="22"/>
      <c r="G21" s="22"/>
      <c r="H21" s="22" t="s">
        <v>516</v>
      </c>
      <c r="I21" s="11"/>
      <c r="J21" s="22"/>
      <c r="K21" s="22"/>
      <c r="L21" s="22"/>
      <c r="M21" s="30">
        <v>18607</v>
      </c>
      <c r="N21" s="30"/>
      <c r="O21" s="35">
        <f t="shared" si="0"/>
        <v>29.352840000000004</v>
      </c>
      <c r="P21" s="22"/>
      <c r="Q21" s="22"/>
      <c r="R21" s="22"/>
      <c r="S21" s="22"/>
      <c r="T21" s="22"/>
      <c r="U21" s="35"/>
    </row>
    <row r="22" spans="1:21" ht="15" outlineLevel="1" x14ac:dyDescent="0.25">
      <c r="A22" s="85" t="s">
        <v>456</v>
      </c>
      <c r="B22" s="35">
        <v>418.51800000000003</v>
      </c>
      <c r="C22" s="30"/>
      <c r="D22" s="30"/>
      <c r="E22" s="26"/>
      <c r="F22" s="22"/>
      <c r="G22" s="22"/>
      <c r="H22" s="22" t="s">
        <v>516</v>
      </c>
      <c r="I22" s="11"/>
      <c r="J22" s="22"/>
      <c r="K22" s="22"/>
      <c r="L22" s="22"/>
      <c r="M22" s="30">
        <v>18650</v>
      </c>
      <c r="N22" s="30"/>
      <c r="O22" s="35">
        <f t="shared" si="0"/>
        <v>23.018490000000003</v>
      </c>
      <c r="P22" s="22"/>
      <c r="Q22" s="22"/>
      <c r="R22" s="22"/>
      <c r="S22" s="22"/>
      <c r="T22" s="22"/>
      <c r="U22" s="35"/>
    </row>
    <row r="23" spans="1:21" ht="15" outlineLevel="1" x14ac:dyDescent="0.25">
      <c r="A23" s="85" t="s">
        <v>232</v>
      </c>
      <c r="B23" s="35">
        <v>288.31200000000001</v>
      </c>
      <c r="C23" s="30"/>
      <c r="D23" s="30"/>
      <c r="E23" s="26"/>
      <c r="F23" s="22"/>
      <c r="G23" s="22"/>
      <c r="H23" s="22" t="s">
        <v>516</v>
      </c>
      <c r="I23" s="11"/>
      <c r="J23" s="22"/>
      <c r="K23" s="22"/>
      <c r="L23" s="22"/>
      <c r="M23" s="30">
        <v>18703</v>
      </c>
      <c r="N23" s="30"/>
      <c r="O23" s="35">
        <f t="shared" si="0"/>
        <v>15.85716</v>
      </c>
      <c r="P23" s="22"/>
      <c r="Q23" s="22"/>
      <c r="R23" s="22"/>
      <c r="S23" s="22"/>
      <c r="T23" s="22"/>
      <c r="U23" s="35"/>
    </row>
    <row r="24" spans="1:21" ht="15" outlineLevel="1" x14ac:dyDescent="0.25">
      <c r="A24" s="85" t="s">
        <v>232</v>
      </c>
      <c r="B24" s="35">
        <v>216.64799999999997</v>
      </c>
      <c r="C24" s="30"/>
      <c r="D24" s="30"/>
      <c r="E24" s="26"/>
      <c r="F24" s="22"/>
      <c r="G24" s="22"/>
      <c r="H24" s="22" t="s">
        <v>516</v>
      </c>
      <c r="I24" s="11"/>
      <c r="J24" s="22"/>
      <c r="K24" s="22"/>
      <c r="L24" s="22"/>
      <c r="M24" s="30">
        <v>18924</v>
      </c>
      <c r="N24" s="30"/>
      <c r="O24" s="35">
        <f t="shared" si="0"/>
        <v>11.915639999999998</v>
      </c>
      <c r="P24" s="22"/>
      <c r="Q24" s="22"/>
      <c r="R24" s="22"/>
      <c r="S24" s="22"/>
      <c r="T24" s="22"/>
      <c r="U24" s="35"/>
    </row>
    <row r="25" spans="1:21" ht="15" outlineLevel="1" x14ac:dyDescent="0.25">
      <c r="A25" s="85" t="s">
        <v>233</v>
      </c>
      <c r="B25" s="35">
        <v>61.908000000000008</v>
      </c>
      <c r="C25" s="30"/>
      <c r="D25" s="30"/>
      <c r="E25" s="26"/>
      <c r="F25" s="22"/>
      <c r="G25" s="22"/>
      <c r="H25" s="22" t="s">
        <v>516</v>
      </c>
      <c r="I25" s="11"/>
      <c r="J25" s="22"/>
      <c r="K25" s="22"/>
      <c r="L25" s="22"/>
      <c r="M25" s="30">
        <v>18927</v>
      </c>
      <c r="N25" s="30"/>
      <c r="O25" s="35">
        <f t="shared" si="0"/>
        <v>3.4049400000000003</v>
      </c>
      <c r="P25" s="22"/>
      <c r="Q25" s="22"/>
      <c r="R25" s="22"/>
      <c r="S25" s="22"/>
      <c r="T25" s="22"/>
      <c r="U25" s="35"/>
    </row>
    <row r="26" spans="1:21" ht="15" outlineLevel="1" x14ac:dyDescent="0.25">
      <c r="A26" s="85" t="s">
        <v>468</v>
      </c>
      <c r="B26" s="35">
        <v>144.15600000000001</v>
      </c>
      <c r="C26" s="30"/>
      <c r="D26" s="30"/>
      <c r="E26" s="26"/>
      <c r="F26" s="22"/>
      <c r="G26" s="22"/>
      <c r="H26" s="22" t="s">
        <v>516</v>
      </c>
      <c r="I26" s="11"/>
      <c r="J26" s="22"/>
      <c r="K26" s="22"/>
      <c r="L26" s="22"/>
      <c r="M26" s="30">
        <v>18791</v>
      </c>
      <c r="N26" s="30"/>
      <c r="O26" s="35">
        <f t="shared" si="0"/>
        <v>7.9285800000000002</v>
      </c>
      <c r="P26" s="22"/>
      <c r="Q26" s="22"/>
      <c r="R26" s="22"/>
      <c r="S26" s="22"/>
      <c r="T26" s="22"/>
      <c r="U26" s="35"/>
    </row>
    <row r="27" spans="1:21" ht="15" outlineLevel="1" x14ac:dyDescent="0.25">
      <c r="A27" s="85" t="s">
        <v>469</v>
      </c>
      <c r="B27" s="35">
        <v>324.97199999999998</v>
      </c>
      <c r="C27" s="30"/>
      <c r="D27" s="30"/>
      <c r="E27" s="26"/>
      <c r="F27" s="22"/>
      <c r="G27" s="22"/>
      <c r="H27" s="22" t="s">
        <v>516</v>
      </c>
      <c r="I27" s="11"/>
      <c r="J27" s="22"/>
      <c r="K27" s="22"/>
      <c r="L27" s="22"/>
      <c r="M27" s="30">
        <v>18953</v>
      </c>
      <c r="N27" s="30"/>
      <c r="O27" s="35">
        <f t="shared" si="0"/>
        <v>17.873459999999998</v>
      </c>
      <c r="P27" s="22"/>
      <c r="Q27" s="22"/>
      <c r="R27" s="22"/>
      <c r="S27" s="22"/>
      <c r="T27" s="22"/>
      <c r="U27" s="35"/>
    </row>
    <row r="28" spans="1:21" ht="15" outlineLevel="1" x14ac:dyDescent="0.25">
      <c r="A28" s="85" t="s">
        <v>482</v>
      </c>
      <c r="B28" s="35">
        <v>117.63</v>
      </c>
      <c r="C28" s="30"/>
      <c r="D28" s="30"/>
      <c r="E28" s="26"/>
      <c r="F28" s="22"/>
      <c r="G28" s="22"/>
      <c r="H28" s="22" t="s">
        <v>516</v>
      </c>
      <c r="I28" s="11"/>
      <c r="J28" s="22"/>
      <c r="K28" s="22"/>
      <c r="L28" s="22"/>
      <c r="M28" s="30">
        <v>18792</v>
      </c>
      <c r="N28" s="30"/>
      <c r="O28" s="35">
        <f t="shared" si="0"/>
        <v>6.4696499999999997</v>
      </c>
      <c r="P28" s="22"/>
      <c r="Q28" s="22"/>
      <c r="R28" s="22"/>
      <c r="S28" s="22"/>
      <c r="T28" s="22"/>
      <c r="U28" s="35"/>
    </row>
    <row r="29" spans="1:21" ht="15" outlineLevel="1" x14ac:dyDescent="0.25">
      <c r="A29" s="85" t="s">
        <v>483</v>
      </c>
      <c r="B29" s="35">
        <v>978.32400000000007</v>
      </c>
      <c r="C29" s="30"/>
      <c r="D29" s="30"/>
      <c r="E29" s="26"/>
      <c r="F29" s="22"/>
      <c r="G29" s="22"/>
      <c r="H29" s="22" t="s">
        <v>516</v>
      </c>
      <c r="I29" s="11"/>
      <c r="J29" s="22"/>
      <c r="K29" s="22"/>
      <c r="L29" s="22"/>
      <c r="M29" s="30">
        <v>19041</v>
      </c>
      <c r="N29" s="30"/>
      <c r="O29" s="35">
        <f t="shared" si="0"/>
        <v>53.807820000000007</v>
      </c>
      <c r="P29" s="22"/>
      <c r="Q29" s="22"/>
      <c r="R29" s="22"/>
      <c r="S29" s="22"/>
      <c r="T29" s="22"/>
      <c r="U29" s="35"/>
    </row>
    <row r="30" spans="1:21" ht="15" outlineLevel="1" x14ac:dyDescent="0.25">
      <c r="A30" s="85" t="s">
        <v>237</v>
      </c>
      <c r="B30" s="35">
        <v>1017.672</v>
      </c>
      <c r="C30" s="30"/>
      <c r="D30" s="30"/>
      <c r="E30" s="26"/>
      <c r="F30" s="22"/>
      <c r="G30" s="22"/>
      <c r="H30" s="22" t="s">
        <v>516</v>
      </c>
      <c r="I30" s="11"/>
      <c r="J30" s="22"/>
      <c r="K30" s="22"/>
      <c r="L30" s="22"/>
      <c r="M30" s="30">
        <v>19030</v>
      </c>
      <c r="N30" s="30"/>
      <c r="O30" s="35">
        <f t="shared" si="0"/>
        <v>55.971960000000003</v>
      </c>
      <c r="P30" s="22"/>
      <c r="Q30" s="22"/>
      <c r="R30" s="22"/>
      <c r="S30" s="22"/>
      <c r="T30" s="22"/>
      <c r="U30" s="35"/>
    </row>
    <row r="31" spans="1:21" ht="15" outlineLevel="1" x14ac:dyDescent="0.25">
      <c r="A31" s="85" t="s">
        <v>238</v>
      </c>
      <c r="B31" s="35">
        <v>228.04799999999997</v>
      </c>
      <c r="C31" s="30"/>
      <c r="D31" s="30"/>
      <c r="E31" s="26"/>
      <c r="F31" s="22"/>
      <c r="G31" s="22"/>
      <c r="H31" s="22" t="s">
        <v>516</v>
      </c>
      <c r="I31" s="11"/>
      <c r="J31" s="22"/>
      <c r="K31" s="22"/>
      <c r="L31" s="22"/>
      <c r="M31" s="30">
        <v>18917</v>
      </c>
      <c r="N31" s="30"/>
      <c r="O31" s="35">
        <f t="shared" si="0"/>
        <v>12.542639999999999</v>
      </c>
      <c r="P31" s="22"/>
      <c r="Q31" s="22"/>
      <c r="R31" s="22"/>
      <c r="S31" s="22"/>
      <c r="T31" s="22"/>
      <c r="U31" s="35"/>
    </row>
    <row r="32" spans="1:21" ht="15" outlineLevel="1" x14ac:dyDescent="0.25">
      <c r="A32" s="85" t="s">
        <v>238</v>
      </c>
      <c r="B32" s="35">
        <v>454.13399999999996</v>
      </c>
      <c r="C32" s="30"/>
      <c r="D32" s="30"/>
      <c r="E32" s="26"/>
      <c r="F32" s="22"/>
      <c r="G32" s="22"/>
      <c r="H32" s="22" t="s">
        <v>516</v>
      </c>
      <c r="I32" s="11"/>
      <c r="J32" s="22"/>
      <c r="K32" s="22"/>
      <c r="L32" s="22"/>
      <c r="M32" s="30">
        <v>19023</v>
      </c>
      <c r="N32" s="30"/>
      <c r="O32" s="35">
        <f t="shared" si="0"/>
        <v>24.977369999999997</v>
      </c>
      <c r="P32" s="22"/>
      <c r="Q32" s="22"/>
      <c r="R32" s="22"/>
      <c r="S32" s="22"/>
      <c r="T32" s="22"/>
      <c r="U32" s="35"/>
    </row>
    <row r="33" spans="1:21" ht="15" outlineLevel="1" x14ac:dyDescent="0.25">
      <c r="A33" s="85" t="s">
        <v>239</v>
      </c>
      <c r="B33" s="35">
        <v>148.68</v>
      </c>
      <c r="C33" s="30"/>
      <c r="D33" s="30"/>
      <c r="E33" s="26"/>
      <c r="F33" s="22"/>
      <c r="G33" s="22"/>
      <c r="H33" s="22" t="s">
        <v>516</v>
      </c>
      <c r="I33" s="11"/>
      <c r="J33" s="22"/>
      <c r="K33" s="22"/>
      <c r="L33" s="22"/>
      <c r="M33" s="30">
        <v>18736</v>
      </c>
      <c r="N33" s="30"/>
      <c r="O33" s="35">
        <f t="shared" si="0"/>
        <v>8.1774000000000004</v>
      </c>
      <c r="P33" s="22"/>
      <c r="Q33" s="22"/>
      <c r="R33" s="22"/>
      <c r="S33" s="22"/>
      <c r="T33" s="22"/>
      <c r="U33" s="35"/>
    </row>
    <row r="34" spans="1:21" ht="15" outlineLevel="1" x14ac:dyDescent="0.25">
      <c r="A34" s="85" t="s">
        <v>240</v>
      </c>
      <c r="B34" s="35">
        <v>221.05199999999999</v>
      </c>
      <c r="C34" s="30"/>
      <c r="D34" s="30"/>
      <c r="E34" s="26"/>
      <c r="F34" s="22"/>
      <c r="G34" s="22"/>
      <c r="H34" s="22" t="s">
        <v>516</v>
      </c>
      <c r="I34" s="11"/>
      <c r="J34" s="22"/>
      <c r="K34" s="22"/>
      <c r="L34" s="22"/>
      <c r="M34" s="30">
        <v>18866</v>
      </c>
      <c r="N34" s="30"/>
      <c r="O34" s="35">
        <f t="shared" si="0"/>
        <v>12.157859999999999</v>
      </c>
      <c r="P34" s="22"/>
      <c r="Q34" s="22"/>
      <c r="R34" s="22"/>
      <c r="S34" s="22"/>
      <c r="T34" s="22"/>
      <c r="U34" s="35"/>
    </row>
    <row r="35" spans="1:21" ht="15" outlineLevel="1" x14ac:dyDescent="0.25">
      <c r="A35" s="85" t="s">
        <v>240</v>
      </c>
      <c r="B35" s="35">
        <v>201.89400000000001</v>
      </c>
      <c r="C35" s="30"/>
      <c r="D35" s="30"/>
      <c r="E35" s="26"/>
      <c r="F35" s="22"/>
      <c r="G35" s="22"/>
      <c r="H35" s="22" t="s">
        <v>516</v>
      </c>
      <c r="I35" s="11"/>
      <c r="J35" s="22"/>
      <c r="K35" s="22"/>
      <c r="L35" s="22"/>
      <c r="M35" s="30">
        <v>18589</v>
      </c>
      <c r="N35" s="30"/>
      <c r="O35" s="35">
        <f t="shared" si="0"/>
        <v>11.10417</v>
      </c>
      <c r="P35" s="22"/>
      <c r="Q35" s="22"/>
      <c r="R35" s="22"/>
      <c r="S35" s="22"/>
      <c r="T35" s="22"/>
      <c r="U35" s="35"/>
    </row>
    <row r="36" spans="1:21" ht="15" outlineLevel="1" x14ac:dyDescent="0.25">
      <c r="A36" s="85" t="s">
        <v>240</v>
      </c>
      <c r="B36" s="35">
        <v>60.774000000000008</v>
      </c>
      <c r="C36" s="30"/>
      <c r="D36" s="30"/>
      <c r="E36" s="26"/>
      <c r="F36" s="22"/>
      <c r="G36" s="22"/>
      <c r="H36" s="22" t="s">
        <v>516</v>
      </c>
      <c r="I36" s="11"/>
      <c r="J36" s="22"/>
      <c r="K36" s="22"/>
      <c r="L36" s="22"/>
      <c r="M36" s="30">
        <v>18957</v>
      </c>
      <c r="N36" s="30"/>
      <c r="O36" s="35">
        <f t="shared" si="0"/>
        <v>3.3425700000000003</v>
      </c>
      <c r="P36" s="22"/>
      <c r="Q36" s="22"/>
      <c r="R36" s="22"/>
      <c r="S36" s="22"/>
      <c r="T36" s="22"/>
      <c r="U36" s="35"/>
    </row>
    <row r="37" spans="1:21" ht="15" outlineLevel="1" x14ac:dyDescent="0.25">
      <c r="A37" s="85" t="s">
        <v>240</v>
      </c>
      <c r="B37" s="35">
        <v>23.915999999999997</v>
      </c>
      <c r="C37" s="30"/>
      <c r="D37" s="30"/>
      <c r="E37" s="26"/>
      <c r="F37" s="22"/>
      <c r="G37" s="22"/>
      <c r="H37" s="22" t="s">
        <v>516</v>
      </c>
      <c r="I37" s="11"/>
      <c r="J37" s="22"/>
      <c r="K37" s="22"/>
      <c r="L37" s="22"/>
      <c r="M37" s="30">
        <v>18903</v>
      </c>
      <c r="N37" s="30"/>
      <c r="O37" s="35">
        <f t="shared" si="0"/>
        <v>1.3153799999999998</v>
      </c>
      <c r="P37" s="22"/>
      <c r="Q37" s="22"/>
      <c r="R37" s="22"/>
      <c r="S37" s="22"/>
      <c r="T37" s="22"/>
      <c r="U37" s="35"/>
    </row>
    <row r="38" spans="1:21" ht="15" outlineLevel="1" x14ac:dyDescent="0.25">
      <c r="A38" s="85" t="s">
        <v>241</v>
      </c>
      <c r="B38" s="35">
        <v>23.915999999999997</v>
      </c>
      <c r="C38" s="30"/>
      <c r="D38" s="30"/>
      <c r="E38" s="26"/>
      <c r="F38" s="22"/>
      <c r="G38" s="22"/>
      <c r="H38" s="22" t="s">
        <v>516</v>
      </c>
      <c r="I38" s="11"/>
      <c r="J38" s="22"/>
      <c r="K38" s="22"/>
      <c r="L38" s="22"/>
      <c r="M38" s="30">
        <v>18631</v>
      </c>
      <c r="N38" s="30"/>
      <c r="O38" s="35">
        <f t="shared" si="0"/>
        <v>1.3153799999999998</v>
      </c>
      <c r="P38" s="22"/>
      <c r="Q38" s="22"/>
      <c r="R38" s="22"/>
      <c r="S38" s="22"/>
      <c r="T38" s="22"/>
      <c r="U38" s="35"/>
    </row>
    <row r="39" spans="1:21" ht="15" outlineLevel="1" x14ac:dyDescent="0.25">
      <c r="A39" s="85" t="s">
        <v>241</v>
      </c>
      <c r="B39" s="35">
        <v>14.658000000000001</v>
      </c>
      <c r="C39" s="30"/>
      <c r="D39" s="30"/>
      <c r="E39" s="26"/>
      <c r="F39" s="22"/>
      <c r="G39" s="22"/>
      <c r="H39" s="22" t="s">
        <v>516</v>
      </c>
      <c r="I39" s="11"/>
      <c r="J39" s="22"/>
      <c r="K39" s="22"/>
      <c r="L39" s="22"/>
      <c r="M39" s="30">
        <v>18</v>
      </c>
      <c r="N39" s="30"/>
      <c r="O39" s="35">
        <f t="shared" si="0"/>
        <v>0.80619000000000007</v>
      </c>
      <c r="P39" s="22"/>
      <c r="Q39" s="22"/>
      <c r="R39" s="22"/>
      <c r="S39" s="22"/>
      <c r="T39" s="22"/>
      <c r="U39" s="35"/>
    </row>
    <row r="40" spans="1:21" ht="15" outlineLevel="1" x14ac:dyDescent="0.25">
      <c r="A40" s="85" t="s">
        <v>241</v>
      </c>
      <c r="B40" s="35">
        <v>175.71600000000001</v>
      </c>
      <c r="C40" s="30"/>
      <c r="D40" s="30"/>
      <c r="E40" s="26"/>
      <c r="F40" s="22"/>
      <c r="G40" s="22"/>
      <c r="H40" s="22" t="s">
        <v>516</v>
      </c>
      <c r="I40" s="11"/>
      <c r="J40" s="22"/>
      <c r="K40" s="22"/>
      <c r="L40" s="22"/>
      <c r="M40" s="30">
        <v>18879</v>
      </c>
      <c r="N40" s="30"/>
      <c r="O40" s="35">
        <f t="shared" si="0"/>
        <v>9.6643800000000013</v>
      </c>
      <c r="P40" s="22"/>
      <c r="Q40" s="22"/>
      <c r="R40" s="22"/>
      <c r="S40" s="22"/>
      <c r="T40" s="22"/>
      <c r="U40" s="35"/>
    </row>
    <row r="41" spans="1:21" ht="15" outlineLevel="1" x14ac:dyDescent="0.25">
      <c r="A41" s="85" t="s">
        <v>242</v>
      </c>
      <c r="B41" s="35">
        <v>105.33600000000001</v>
      </c>
      <c r="C41" s="30"/>
      <c r="D41" s="30"/>
      <c r="E41" s="26"/>
      <c r="F41" s="22"/>
      <c r="G41" s="22"/>
      <c r="H41" s="22" t="s">
        <v>516</v>
      </c>
      <c r="I41" s="11"/>
      <c r="J41" s="22"/>
      <c r="K41" s="22"/>
      <c r="L41" s="22"/>
      <c r="M41" s="30">
        <v>18630</v>
      </c>
      <c r="N41" s="30"/>
      <c r="O41" s="35">
        <f t="shared" si="0"/>
        <v>5.7934800000000006</v>
      </c>
      <c r="P41" s="22"/>
      <c r="Q41" s="22"/>
      <c r="R41" s="22"/>
      <c r="S41" s="22"/>
      <c r="T41" s="22"/>
      <c r="U41" s="35"/>
    </row>
    <row r="42" spans="1:21" ht="15" outlineLevel="1" x14ac:dyDescent="0.25">
      <c r="A42" s="85" t="s">
        <v>242</v>
      </c>
      <c r="B42" s="35">
        <v>387.26400000000007</v>
      </c>
      <c r="C42" s="30"/>
      <c r="D42" s="30"/>
      <c r="E42" s="26"/>
      <c r="F42" s="22"/>
      <c r="G42" s="22"/>
      <c r="H42" s="22" t="s">
        <v>516</v>
      </c>
      <c r="I42" s="11"/>
      <c r="J42" s="22"/>
      <c r="K42" s="22"/>
      <c r="L42" s="22"/>
      <c r="M42" s="30">
        <v>19013</v>
      </c>
      <c r="N42" s="30"/>
      <c r="O42" s="35">
        <f t="shared" si="0"/>
        <v>21.299520000000005</v>
      </c>
      <c r="P42" s="22"/>
      <c r="Q42" s="22"/>
      <c r="R42" s="22"/>
      <c r="S42" s="22"/>
      <c r="T42" s="22"/>
      <c r="U42" s="35"/>
    </row>
    <row r="43" spans="1:21" ht="15" outlineLevel="1" x14ac:dyDescent="0.25">
      <c r="A43" s="85" t="s">
        <v>243</v>
      </c>
      <c r="B43" s="35">
        <v>81.599999999999994</v>
      </c>
      <c r="C43" s="30"/>
      <c r="D43" s="30"/>
      <c r="E43" s="26"/>
      <c r="F43" s="22"/>
      <c r="G43" s="22"/>
      <c r="H43" s="22" t="s">
        <v>516</v>
      </c>
      <c r="I43" s="11"/>
      <c r="J43" s="22"/>
      <c r="K43" s="22"/>
      <c r="L43" s="22"/>
      <c r="M43" s="30">
        <v>19033</v>
      </c>
      <c r="N43" s="30"/>
      <c r="O43" s="35">
        <f t="shared" si="0"/>
        <v>4.4879999999999995</v>
      </c>
      <c r="P43" s="22"/>
      <c r="Q43" s="22"/>
      <c r="R43" s="22"/>
      <c r="S43" s="22"/>
      <c r="T43" s="22"/>
      <c r="U43" s="35"/>
    </row>
    <row r="44" spans="1:21" ht="15" outlineLevel="1" x14ac:dyDescent="0.25">
      <c r="A44" s="85" t="s">
        <v>243</v>
      </c>
      <c r="B44" s="35">
        <v>144.60000000000002</v>
      </c>
      <c r="C44" s="30"/>
      <c r="D44" s="30"/>
      <c r="E44" s="26"/>
      <c r="F44" s="22"/>
      <c r="G44" s="22"/>
      <c r="H44" s="22" t="s">
        <v>516</v>
      </c>
      <c r="I44" s="11"/>
      <c r="J44" s="22"/>
      <c r="K44" s="22"/>
      <c r="L44" s="22"/>
      <c r="M44" s="30">
        <v>18687</v>
      </c>
      <c r="N44" s="30"/>
      <c r="O44" s="35">
        <f t="shared" si="0"/>
        <v>7.9530000000000012</v>
      </c>
      <c r="P44" s="22"/>
      <c r="Q44" s="22"/>
      <c r="R44" s="22"/>
      <c r="S44" s="22"/>
      <c r="T44" s="22"/>
      <c r="U44" s="35"/>
    </row>
    <row r="45" spans="1:21" ht="15" outlineLevel="1" x14ac:dyDescent="0.25">
      <c r="A45" s="85" t="s">
        <v>243</v>
      </c>
      <c r="B45" s="35">
        <v>8.7720000000000002</v>
      </c>
      <c r="C45" s="30"/>
      <c r="D45" s="30"/>
      <c r="E45" s="26"/>
      <c r="F45" s="22"/>
      <c r="G45" s="22"/>
      <c r="H45" s="22" t="s">
        <v>516</v>
      </c>
      <c r="I45" s="11"/>
      <c r="J45" s="22"/>
      <c r="K45" s="22"/>
      <c r="L45" s="22"/>
      <c r="M45" s="30">
        <v>18894</v>
      </c>
      <c r="N45" s="30"/>
      <c r="O45" s="35">
        <f t="shared" si="0"/>
        <v>0.48246</v>
      </c>
      <c r="P45" s="22"/>
      <c r="Q45" s="22"/>
      <c r="R45" s="22"/>
      <c r="S45" s="22"/>
      <c r="T45" s="22"/>
      <c r="U45" s="35"/>
    </row>
    <row r="46" spans="1:21" ht="15" outlineLevel="1" x14ac:dyDescent="0.25">
      <c r="A46" s="85" t="s">
        <v>243</v>
      </c>
      <c r="B46" s="35">
        <v>183.846</v>
      </c>
      <c r="C46" s="30"/>
      <c r="D46" s="30"/>
      <c r="E46" s="26"/>
      <c r="F46" s="22"/>
      <c r="G46" s="22"/>
      <c r="H46" s="22" t="s">
        <v>516</v>
      </c>
      <c r="I46" s="11"/>
      <c r="J46" s="22"/>
      <c r="K46" s="22"/>
      <c r="L46" s="22"/>
      <c r="M46" s="30">
        <v>18967</v>
      </c>
      <c r="N46" s="30"/>
      <c r="O46" s="35">
        <f t="shared" si="0"/>
        <v>10.11153</v>
      </c>
      <c r="P46" s="22"/>
      <c r="Q46" s="22"/>
      <c r="R46" s="22"/>
      <c r="S46" s="22"/>
      <c r="T46" s="22"/>
      <c r="U46" s="35"/>
    </row>
    <row r="47" spans="1:21" ht="15" outlineLevel="1" x14ac:dyDescent="0.25">
      <c r="A47" s="85" t="s">
        <v>243</v>
      </c>
      <c r="B47" s="35">
        <v>80.759999999999991</v>
      </c>
      <c r="C47" s="30"/>
      <c r="D47" s="30"/>
      <c r="E47" s="26"/>
      <c r="F47" s="22"/>
      <c r="G47" s="22"/>
      <c r="H47" s="22" t="s">
        <v>516</v>
      </c>
      <c r="I47" s="11"/>
      <c r="J47" s="22"/>
      <c r="K47" s="22"/>
      <c r="L47" s="22"/>
      <c r="M47" s="30">
        <v>18733</v>
      </c>
      <c r="N47" s="30"/>
      <c r="O47" s="35">
        <f t="shared" si="0"/>
        <v>4.4417999999999997</v>
      </c>
      <c r="P47" s="22"/>
      <c r="Q47" s="22"/>
      <c r="R47" s="22"/>
      <c r="S47" s="22"/>
      <c r="T47" s="22"/>
      <c r="U47" s="35"/>
    </row>
    <row r="48" spans="1:21" ht="15" outlineLevel="1" x14ac:dyDescent="0.25">
      <c r="A48" s="85" t="s">
        <v>243</v>
      </c>
      <c r="B48" s="35">
        <v>19.584000000000003</v>
      </c>
      <c r="C48" s="30"/>
      <c r="D48" s="30"/>
      <c r="E48" s="26"/>
      <c r="F48" s="22"/>
      <c r="G48" s="22"/>
      <c r="H48" s="22" t="s">
        <v>516</v>
      </c>
      <c r="I48" s="11"/>
      <c r="J48" s="22"/>
      <c r="K48" s="22"/>
      <c r="L48" s="22"/>
      <c r="M48" s="30">
        <v>18659</v>
      </c>
      <c r="N48" s="30"/>
      <c r="O48" s="35">
        <f t="shared" si="0"/>
        <v>1.0771200000000001</v>
      </c>
      <c r="P48" s="22"/>
      <c r="Q48" s="22"/>
      <c r="R48" s="22"/>
      <c r="S48" s="22"/>
      <c r="T48" s="22"/>
      <c r="U48" s="35"/>
    </row>
    <row r="49" spans="1:21" ht="15" outlineLevel="1" x14ac:dyDescent="0.25">
      <c r="A49" s="85" t="s">
        <v>243</v>
      </c>
      <c r="B49" s="35">
        <v>173.77199999999999</v>
      </c>
      <c r="C49" s="30"/>
      <c r="D49" s="30"/>
      <c r="E49" s="26"/>
      <c r="F49" s="22"/>
      <c r="G49" s="22"/>
      <c r="H49" s="22" t="s">
        <v>516</v>
      </c>
      <c r="I49" s="11"/>
      <c r="J49" s="22"/>
      <c r="K49" s="22"/>
      <c r="L49" s="22"/>
      <c r="M49" s="30">
        <v>18911</v>
      </c>
      <c r="N49" s="30"/>
      <c r="O49" s="35">
        <f t="shared" si="0"/>
        <v>9.557459999999999</v>
      </c>
      <c r="P49" s="22"/>
      <c r="Q49" s="22"/>
      <c r="R49" s="22"/>
      <c r="S49" s="22"/>
      <c r="T49" s="22"/>
      <c r="U49" s="35"/>
    </row>
    <row r="50" spans="1:21" ht="15" outlineLevel="1" x14ac:dyDescent="0.25">
      <c r="A50" s="85" t="s">
        <v>243</v>
      </c>
      <c r="B50" s="35">
        <v>47.748000000000005</v>
      </c>
      <c r="C50" s="30"/>
      <c r="D50" s="30"/>
      <c r="E50" s="26"/>
      <c r="F50" s="22"/>
      <c r="G50" s="22"/>
      <c r="H50" s="22" t="s">
        <v>516</v>
      </c>
      <c r="I50" s="11"/>
      <c r="J50" s="22"/>
      <c r="K50" s="22"/>
      <c r="L50" s="22"/>
      <c r="M50" s="30">
        <v>18960</v>
      </c>
      <c r="N50" s="30"/>
      <c r="O50" s="35">
        <f t="shared" si="0"/>
        <v>2.6261400000000004</v>
      </c>
      <c r="P50" s="22"/>
      <c r="Q50" s="22"/>
      <c r="R50" s="22"/>
      <c r="S50" s="22"/>
      <c r="T50" s="22"/>
      <c r="U50" s="35"/>
    </row>
    <row r="51" spans="1:21" ht="15" outlineLevel="1" x14ac:dyDescent="0.25">
      <c r="A51" s="85" t="s">
        <v>243</v>
      </c>
      <c r="B51" s="35">
        <v>110.40600000000001</v>
      </c>
      <c r="C51" s="30"/>
      <c r="D51" s="30"/>
      <c r="E51" s="26"/>
      <c r="F51" s="22"/>
      <c r="G51" s="22"/>
      <c r="H51" s="22" t="s">
        <v>516</v>
      </c>
      <c r="I51" s="11"/>
      <c r="J51" s="22"/>
      <c r="K51" s="22"/>
      <c r="L51" s="22"/>
      <c r="M51" s="30">
        <v>18781</v>
      </c>
      <c r="N51" s="30"/>
      <c r="O51" s="35">
        <f t="shared" si="0"/>
        <v>6.07233</v>
      </c>
      <c r="P51" s="22"/>
      <c r="Q51" s="22"/>
      <c r="R51" s="22"/>
      <c r="S51" s="22"/>
      <c r="T51" s="22"/>
      <c r="U51" s="35"/>
    </row>
    <row r="52" spans="1:21" ht="15" outlineLevel="1" x14ac:dyDescent="0.25">
      <c r="A52" s="85" t="s">
        <v>244</v>
      </c>
      <c r="B52" s="35">
        <v>34.823999999999998</v>
      </c>
      <c r="C52" s="30"/>
      <c r="D52" s="30"/>
      <c r="E52" s="26"/>
      <c r="F52" s="22"/>
      <c r="G52" s="22"/>
      <c r="H52" s="22" t="s">
        <v>516</v>
      </c>
      <c r="I52" s="11"/>
      <c r="J52" s="22"/>
      <c r="K52" s="22"/>
      <c r="L52" s="22"/>
      <c r="M52" s="30">
        <v>18961</v>
      </c>
      <c r="N52" s="30"/>
      <c r="O52" s="35">
        <f t="shared" si="0"/>
        <v>1.9153199999999999</v>
      </c>
      <c r="P52" s="22"/>
      <c r="Q52" s="22"/>
      <c r="R52" s="22"/>
      <c r="S52" s="22"/>
      <c r="T52" s="22"/>
      <c r="U52" s="35"/>
    </row>
    <row r="53" spans="1:21" ht="15" outlineLevel="1" x14ac:dyDescent="0.25">
      <c r="A53" s="85" t="s">
        <v>244</v>
      </c>
      <c r="B53" s="35">
        <v>53.447999999999993</v>
      </c>
      <c r="C53" s="30"/>
      <c r="D53" s="30"/>
      <c r="E53" s="26"/>
      <c r="F53" s="22"/>
      <c r="G53" s="22"/>
      <c r="H53" s="22" t="s">
        <v>516</v>
      </c>
      <c r="I53" s="11"/>
      <c r="J53" s="22"/>
      <c r="K53" s="22"/>
      <c r="L53" s="22"/>
      <c r="M53" s="30">
        <v>141</v>
      </c>
      <c r="N53" s="30"/>
      <c r="O53" s="35">
        <f t="shared" si="0"/>
        <v>2.9396399999999998</v>
      </c>
      <c r="P53" s="22"/>
      <c r="Q53" s="22"/>
      <c r="R53" s="22"/>
      <c r="S53" s="22"/>
      <c r="T53" s="22"/>
      <c r="U53" s="35"/>
    </row>
    <row r="54" spans="1:21" ht="15" outlineLevel="1" x14ac:dyDescent="0.25">
      <c r="A54" s="85" t="s">
        <v>245</v>
      </c>
      <c r="B54" s="35">
        <v>34.823999999999998</v>
      </c>
      <c r="C54" s="30"/>
      <c r="D54" s="30"/>
      <c r="E54" s="26"/>
      <c r="F54" s="22"/>
      <c r="G54" s="22"/>
      <c r="H54" s="22" t="s">
        <v>516</v>
      </c>
      <c r="I54" s="11"/>
      <c r="J54" s="22"/>
      <c r="K54" s="22"/>
      <c r="L54" s="22"/>
      <c r="M54" s="30">
        <v>19007</v>
      </c>
      <c r="N54" s="30"/>
      <c r="O54" s="35">
        <f t="shared" si="0"/>
        <v>1.9153199999999999</v>
      </c>
      <c r="P54" s="22"/>
      <c r="Q54" s="22"/>
      <c r="R54" s="22"/>
      <c r="S54" s="22"/>
      <c r="T54" s="22"/>
      <c r="U54" s="35"/>
    </row>
    <row r="55" spans="1:21" ht="15" outlineLevel="1" x14ac:dyDescent="0.25">
      <c r="A55" s="85" t="s">
        <v>245</v>
      </c>
      <c r="B55" s="35">
        <v>122.892</v>
      </c>
      <c r="C55" s="30"/>
      <c r="D55" s="30"/>
      <c r="E55" s="26"/>
      <c r="F55" s="22"/>
      <c r="G55" s="22"/>
      <c r="H55" s="22" t="s">
        <v>516</v>
      </c>
      <c r="I55" s="11"/>
      <c r="J55" s="22"/>
      <c r="K55" s="22"/>
      <c r="L55" s="22"/>
      <c r="M55" s="30">
        <v>18974</v>
      </c>
      <c r="N55" s="30"/>
      <c r="O55" s="35">
        <f t="shared" si="0"/>
        <v>6.7590599999999998</v>
      </c>
      <c r="P55" s="22"/>
      <c r="Q55" s="22"/>
      <c r="R55" s="22"/>
      <c r="S55" s="22"/>
      <c r="T55" s="22"/>
      <c r="U55" s="35"/>
    </row>
    <row r="56" spans="1:21" ht="15" outlineLevel="1" x14ac:dyDescent="0.25">
      <c r="A56" s="85" t="s">
        <v>245</v>
      </c>
      <c r="B56" s="35">
        <v>95.663999999999987</v>
      </c>
      <c r="C56" s="30"/>
      <c r="D56" s="30"/>
      <c r="E56" s="26"/>
      <c r="F56" s="22"/>
      <c r="G56" s="22"/>
      <c r="H56" s="22" t="s">
        <v>516</v>
      </c>
      <c r="I56" s="11"/>
      <c r="J56" s="22"/>
      <c r="K56" s="22"/>
      <c r="L56" s="22"/>
      <c r="M56" s="30">
        <v>18999</v>
      </c>
      <c r="N56" s="30"/>
      <c r="O56" s="35">
        <f t="shared" si="0"/>
        <v>5.2615199999999991</v>
      </c>
      <c r="P56" s="22"/>
      <c r="Q56" s="22"/>
      <c r="R56" s="22"/>
      <c r="S56" s="22"/>
      <c r="T56" s="22"/>
      <c r="U56" s="35"/>
    </row>
    <row r="57" spans="1:21" ht="15" outlineLevel="1" x14ac:dyDescent="0.25">
      <c r="A57" s="85" t="s">
        <v>245</v>
      </c>
      <c r="B57" s="35">
        <v>34.823999999999998</v>
      </c>
      <c r="C57" s="30"/>
      <c r="D57" s="30"/>
      <c r="E57" s="26"/>
      <c r="F57" s="22"/>
      <c r="G57" s="22"/>
      <c r="H57" s="22" t="s">
        <v>516</v>
      </c>
      <c r="I57" s="11"/>
      <c r="J57" s="22"/>
      <c r="K57" s="22"/>
      <c r="L57" s="22"/>
      <c r="M57" s="30">
        <v>19026</v>
      </c>
      <c r="N57" s="30"/>
      <c r="O57" s="35">
        <f t="shared" si="0"/>
        <v>1.9153199999999999</v>
      </c>
      <c r="P57" s="22"/>
      <c r="Q57" s="22"/>
      <c r="R57" s="22"/>
      <c r="S57" s="22"/>
      <c r="T57" s="22"/>
      <c r="U57" s="35"/>
    </row>
    <row r="58" spans="1:21" ht="15" outlineLevel="1" x14ac:dyDescent="0.25">
      <c r="A58" s="85" t="s">
        <v>245</v>
      </c>
      <c r="B58" s="35">
        <v>104.47199999999999</v>
      </c>
      <c r="C58" s="30"/>
      <c r="D58" s="30"/>
      <c r="E58" s="26"/>
      <c r="F58" s="22"/>
      <c r="G58" s="22"/>
      <c r="H58" s="22" t="s">
        <v>516</v>
      </c>
      <c r="I58" s="11"/>
      <c r="J58" s="22"/>
      <c r="K58" s="22"/>
      <c r="L58" s="22"/>
      <c r="M58" s="30">
        <v>19006</v>
      </c>
      <c r="N58" s="30"/>
      <c r="O58" s="35">
        <f t="shared" si="0"/>
        <v>5.7459599999999993</v>
      </c>
      <c r="P58" s="22"/>
      <c r="Q58" s="22"/>
      <c r="R58" s="22"/>
      <c r="S58" s="22"/>
      <c r="T58" s="22"/>
      <c r="U58" s="35"/>
    </row>
    <row r="59" spans="1:21" ht="15" outlineLevel="1" x14ac:dyDescent="0.25">
      <c r="A59" s="85" t="s">
        <v>246</v>
      </c>
      <c r="B59" s="35">
        <v>15.089999999999998</v>
      </c>
      <c r="C59" s="30"/>
      <c r="D59" s="30"/>
      <c r="E59" s="26"/>
      <c r="F59" s="22"/>
      <c r="G59" s="22"/>
      <c r="H59" s="22" t="s">
        <v>516</v>
      </c>
      <c r="I59" s="11"/>
      <c r="J59" s="22"/>
      <c r="K59" s="22"/>
      <c r="L59" s="22"/>
      <c r="M59" s="30">
        <v>19027</v>
      </c>
      <c r="N59" s="30"/>
      <c r="O59" s="35">
        <f t="shared" si="0"/>
        <v>0.82994999999999985</v>
      </c>
      <c r="P59" s="22"/>
      <c r="Q59" s="22"/>
      <c r="R59" s="22"/>
      <c r="S59" s="22"/>
      <c r="T59" s="22"/>
      <c r="U59" s="35"/>
    </row>
    <row r="60" spans="1:21" ht="15" outlineLevel="1" x14ac:dyDescent="0.25">
      <c r="A60" s="85" t="s">
        <v>246</v>
      </c>
      <c r="B60" s="35">
        <v>81.641999999999996</v>
      </c>
      <c r="C60" s="30"/>
      <c r="D60" s="30"/>
      <c r="E60" s="26"/>
      <c r="F60" s="22"/>
      <c r="G60" s="22"/>
      <c r="H60" s="22" t="s">
        <v>516</v>
      </c>
      <c r="I60" s="11"/>
      <c r="J60" s="22"/>
      <c r="K60" s="22"/>
      <c r="L60" s="22"/>
      <c r="M60" s="30">
        <v>18980</v>
      </c>
      <c r="N60" s="30"/>
      <c r="O60" s="35">
        <f t="shared" si="0"/>
        <v>4.49031</v>
      </c>
      <c r="P60" s="22"/>
      <c r="Q60" s="22"/>
      <c r="R60" s="22"/>
      <c r="S60" s="22"/>
      <c r="T60" s="22"/>
      <c r="U60" s="35"/>
    </row>
    <row r="61" spans="1:21" ht="15" outlineLevel="1" x14ac:dyDescent="0.25">
      <c r="A61" s="85" t="s">
        <v>246</v>
      </c>
      <c r="B61" s="35">
        <v>49.524000000000008</v>
      </c>
      <c r="C61" s="30"/>
      <c r="D61" s="30"/>
      <c r="E61" s="26"/>
      <c r="F61" s="22"/>
      <c r="G61" s="22"/>
      <c r="H61" s="22" t="s">
        <v>516</v>
      </c>
      <c r="I61" s="11"/>
      <c r="J61" s="22"/>
      <c r="K61" s="22"/>
      <c r="L61" s="22"/>
      <c r="M61" s="30">
        <v>19021</v>
      </c>
      <c r="N61" s="30"/>
      <c r="O61" s="35">
        <f t="shared" si="0"/>
        <v>2.7238200000000004</v>
      </c>
      <c r="P61" s="22"/>
      <c r="Q61" s="22"/>
      <c r="R61" s="22"/>
      <c r="S61" s="22"/>
      <c r="T61" s="22"/>
      <c r="U61" s="35"/>
    </row>
    <row r="62" spans="1:21" ht="15" outlineLevel="1" x14ac:dyDescent="0.25">
      <c r="A62" s="85" t="s">
        <v>247</v>
      </c>
      <c r="B62" s="35">
        <v>334.00199999999995</v>
      </c>
      <c r="C62" s="30"/>
      <c r="D62" s="30"/>
      <c r="E62" s="26"/>
      <c r="F62" s="22"/>
      <c r="G62" s="22"/>
      <c r="H62" s="22" t="s">
        <v>516</v>
      </c>
      <c r="I62" s="11"/>
      <c r="J62" s="22"/>
      <c r="K62" s="22"/>
      <c r="L62" s="22"/>
      <c r="M62" s="30">
        <v>18887</v>
      </c>
      <c r="N62" s="30"/>
      <c r="O62" s="35">
        <f t="shared" si="0"/>
        <v>18.370109999999997</v>
      </c>
      <c r="P62" s="22"/>
      <c r="Q62" s="22"/>
      <c r="R62" s="22"/>
      <c r="S62" s="22"/>
      <c r="T62" s="22"/>
      <c r="U62" s="35"/>
    </row>
    <row r="63" spans="1:21" ht="15" outlineLevel="1" x14ac:dyDescent="0.25">
      <c r="A63" s="85" t="s">
        <v>247</v>
      </c>
      <c r="B63" s="35">
        <v>157.48200000000003</v>
      </c>
      <c r="C63" s="30"/>
      <c r="D63" s="30"/>
      <c r="E63" s="26"/>
      <c r="F63" s="22"/>
      <c r="G63" s="22"/>
      <c r="H63" s="22" t="s">
        <v>516</v>
      </c>
      <c r="I63" s="11"/>
      <c r="J63" s="22"/>
      <c r="K63" s="22"/>
      <c r="L63" s="22"/>
      <c r="M63" s="30">
        <v>18827</v>
      </c>
      <c r="N63" s="30"/>
      <c r="O63" s="35">
        <f t="shared" si="0"/>
        <v>8.6615100000000016</v>
      </c>
      <c r="P63" s="22"/>
      <c r="Q63" s="22"/>
      <c r="R63" s="22"/>
      <c r="S63" s="22"/>
      <c r="T63" s="22"/>
      <c r="U63" s="35"/>
    </row>
    <row r="64" spans="1:21" ht="15" outlineLevel="1" x14ac:dyDescent="0.25">
      <c r="A64" s="85" t="s">
        <v>247</v>
      </c>
      <c r="B64" s="35">
        <v>849.06</v>
      </c>
      <c r="C64" s="30"/>
      <c r="D64" s="30"/>
      <c r="E64" s="26"/>
      <c r="F64" s="22"/>
      <c r="G64" s="22"/>
      <c r="H64" s="22" t="s">
        <v>516</v>
      </c>
      <c r="I64" s="11"/>
      <c r="J64" s="22"/>
      <c r="K64" s="22"/>
      <c r="L64" s="22"/>
      <c r="M64" s="30">
        <v>18918</v>
      </c>
      <c r="N64" s="30"/>
      <c r="O64" s="35">
        <f t="shared" si="0"/>
        <v>46.698299999999996</v>
      </c>
      <c r="P64" s="22"/>
      <c r="Q64" s="22"/>
      <c r="R64" s="22"/>
      <c r="S64" s="22"/>
      <c r="T64" s="22"/>
      <c r="U64" s="35"/>
    </row>
    <row r="65" spans="1:21" ht="15" outlineLevel="1" x14ac:dyDescent="0.25">
      <c r="A65" s="85" t="s">
        <v>247</v>
      </c>
      <c r="B65" s="35">
        <v>400.75200000000001</v>
      </c>
      <c r="C65" s="30"/>
      <c r="D65" s="30"/>
      <c r="E65" s="26"/>
      <c r="F65" s="22"/>
      <c r="G65" s="22"/>
      <c r="H65" s="22" t="s">
        <v>516</v>
      </c>
      <c r="I65" s="11"/>
      <c r="J65" s="22"/>
      <c r="K65" s="22"/>
      <c r="L65" s="22"/>
      <c r="M65" s="30">
        <v>18949</v>
      </c>
      <c r="N65" s="30"/>
      <c r="O65" s="35">
        <f t="shared" si="0"/>
        <v>22.041360000000001</v>
      </c>
      <c r="P65" s="22"/>
      <c r="Q65" s="22"/>
      <c r="R65" s="22"/>
      <c r="S65" s="22"/>
      <c r="T65" s="22"/>
      <c r="U65" s="35"/>
    </row>
    <row r="66" spans="1:21" ht="15" outlineLevel="1" x14ac:dyDescent="0.25">
      <c r="A66" s="85" t="s">
        <v>247</v>
      </c>
      <c r="B66" s="35">
        <v>65.561999999999998</v>
      </c>
      <c r="C66" s="30"/>
      <c r="D66" s="30"/>
      <c r="E66" s="26"/>
      <c r="F66" s="22"/>
      <c r="G66" s="22"/>
      <c r="H66" s="22" t="s">
        <v>516</v>
      </c>
      <c r="I66" s="11"/>
      <c r="J66" s="22"/>
      <c r="K66" s="22"/>
      <c r="L66" s="22"/>
      <c r="M66" s="30">
        <v>134</v>
      </c>
      <c r="N66" s="30"/>
      <c r="O66" s="35">
        <f t="shared" si="0"/>
        <v>3.6059099999999997</v>
      </c>
      <c r="P66" s="22"/>
      <c r="Q66" s="22"/>
      <c r="R66" s="22"/>
      <c r="S66" s="22"/>
      <c r="T66" s="22"/>
      <c r="U66" s="35"/>
    </row>
    <row r="67" spans="1:21" ht="15" outlineLevel="1" x14ac:dyDescent="0.25">
      <c r="A67" s="85" t="s">
        <v>247</v>
      </c>
      <c r="B67" s="35">
        <v>53.393999999999991</v>
      </c>
      <c r="C67" s="30"/>
      <c r="D67" s="30"/>
      <c r="E67" s="26"/>
      <c r="F67" s="22"/>
      <c r="G67" s="22"/>
      <c r="H67" s="22" t="s">
        <v>516</v>
      </c>
      <c r="I67" s="11"/>
      <c r="J67" s="22"/>
      <c r="K67" s="22"/>
      <c r="L67" s="22"/>
      <c r="M67" s="30">
        <v>18822</v>
      </c>
      <c r="N67" s="30"/>
      <c r="O67" s="35">
        <f t="shared" ref="O67:O130" si="1">B67*$O$1</f>
        <v>2.9366699999999994</v>
      </c>
      <c r="P67" s="22"/>
      <c r="Q67" s="22"/>
      <c r="R67" s="22"/>
      <c r="S67" s="22"/>
      <c r="T67" s="22"/>
      <c r="U67" s="35"/>
    </row>
    <row r="68" spans="1:21" ht="15" outlineLevel="1" x14ac:dyDescent="0.25">
      <c r="A68" s="85" t="s">
        <v>247</v>
      </c>
      <c r="B68" s="35">
        <v>155.93399999999997</v>
      </c>
      <c r="C68" s="30"/>
      <c r="D68" s="30"/>
      <c r="E68" s="26"/>
      <c r="F68" s="22"/>
      <c r="G68" s="22"/>
      <c r="H68" s="22" t="s">
        <v>516</v>
      </c>
      <c r="I68" s="11"/>
      <c r="J68" s="22"/>
      <c r="K68" s="22"/>
      <c r="L68" s="22"/>
      <c r="M68" s="30">
        <v>18797</v>
      </c>
      <c r="N68" s="30"/>
      <c r="O68" s="35">
        <f t="shared" si="1"/>
        <v>8.5763699999999989</v>
      </c>
      <c r="P68" s="22"/>
      <c r="Q68" s="22"/>
      <c r="R68" s="22"/>
      <c r="S68" s="22"/>
      <c r="T68" s="22"/>
      <c r="U68" s="35"/>
    </row>
    <row r="69" spans="1:21" ht="15" outlineLevel="1" x14ac:dyDescent="0.25">
      <c r="A69" s="85" t="s">
        <v>247</v>
      </c>
      <c r="B69" s="35">
        <v>231.642</v>
      </c>
      <c r="C69" s="30"/>
      <c r="D69" s="30"/>
      <c r="E69" s="26"/>
      <c r="F69" s="22"/>
      <c r="G69" s="22"/>
      <c r="H69" s="22" t="s">
        <v>516</v>
      </c>
      <c r="I69" s="11"/>
      <c r="J69" s="22"/>
      <c r="K69" s="22"/>
      <c r="L69" s="22"/>
      <c r="M69" s="30">
        <v>18929</v>
      </c>
      <c r="N69" s="30"/>
      <c r="O69" s="35">
        <f t="shared" si="1"/>
        <v>12.740309999999999</v>
      </c>
      <c r="P69" s="22"/>
      <c r="Q69" s="22"/>
      <c r="R69" s="22"/>
      <c r="S69" s="22"/>
      <c r="T69" s="22"/>
      <c r="U69" s="35"/>
    </row>
    <row r="70" spans="1:21" ht="15" outlineLevel="1" x14ac:dyDescent="0.25">
      <c r="A70" s="85" t="s">
        <v>247</v>
      </c>
      <c r="B70" s="35">
        <v>282.52800000000002</v>
      </c>
      <c r="C70" s="30"/>
      <c r="D70" s="30"/>
      <c r="E70" s="26"/>
      <c r="F70" s="22"/>
      <c r="G70" s="22"/>
      <c r="H70" s="22" t="s">
        <v>516</v>
      </c>
      <c r="I70" s="11"/>
      <c r="J70" s="22"/>
      <c r="K70" s="22"/>
      <c r="L70" s="22"/>
      <c r="M70" s="30">
        <v>18979</v>
      </c>
      <c r="N70" s="30"/>
      <c r="O70" s="35">
        <f t="shared" si="1"/>
        <v>15.539040000000002</v>
      </c>
      <c r="P70" s="22"/>
      <c r="Q70" s="22"/>
      <c r="R70" s="22"/>
      <c r="S70" s="22"/>
      <c r="T70" s="22"/>
      <c r="U70" s="35"/>
    </row>
    <row r="71" spans="1:21" ht="15" outlineLevel="1" x14ac:dyDescent="0.25">
      <c r="A71" s="85" t="s">
        <v>249</v>
      </c>
      <c r="B71" s="35">
        <v>89.789999999999992</v>
      </c>
      <c r="C71" s="30"/>
      <c r="D71" s="30"/>
      <c r="E71" s="26"/>
      <c r="F71" s="22"/>
      <c r="G71" s="22"/>
      <c r="H71" s="22" t="s">
        <v>516</v>
      </c>
      <c r="I71" s="11"/>
      <c r="J71" s="22"/>
      <c r="K71" s="22"/>
      <c r="L71" s="22"/>
      <c r="M71" s="30">
        <v>18989</v>
      </c>
      <c r="N71" s="30"/>
      <c r="O71" s="35">
        <f t="shared" si="1"/>
        <v>4.9384499999999996</v>
      </c>
      <c r="P71" s="22"/>
      <c r="Q71" s="22"/>
      <c r="R71" s="22"/>
      <c r="S71" s="22"/>
      <c r="T71" s="22"/>
      <c r="U71" s="35"/>
    </row>
    <row r="72" spans="1:21" ht="15" outlineLevel="1" x14ac:dyDescent="0.25">
      <c r="A72" s="85" t="s">
        <v>250</v>
      </c>
      <c r="B72" s="35">
        <v>446.02799999999996</v>
      </c>
      <c r="C72" s="30"/>
      <c r="D72" s="30"/>
      <c r="E72" s="26"/>
      <c r="F72" s="22"/>
      <c r="G72" s="22"/>
      <c r="H72" s="22" t="s">
        <v>516</v>
      </c>
      <c r="I72" s="11"/>
      <c r="J72" s="22"/>
      <c r="K72" s="22"/>
      <c r="L72" s="22"/>
      <c r="M72" s="30">
        <v>18736</v>
      </c>
      <c r="N72" s="30"/>
      <c r="O72" s="35">
        <f t="shared" si="1"/>
        <v>24.53154</v>
      </c>
      <c r="P72" s="22"/>
      <c r="Q72" s="22"/>
      <c r="R72" s="22"/>
      <c r="S72" s="22"/>
      <c r="T72" s="22"/>
      <c r="U72" s="35"/>
    </row>
    <row r="73" spans="1:21" ht="15" outlineLevel="1" x14ac:dyDescent="0.25">
      <c r="A73" s="85" t="s">
        <v>251</v>
      </c>
      <c r="B73" s="35">
        <v>363.87599999999998</v>
      </c>
      <c r="C73" s="30"/>
      <c r="D73" s="30"/>
      <c r="E73" s="26"/>
      <c r="F73" s="22"/>
      <c r="G73" s="22"/>
      <c r="H73" s="22" t="s">
        <v>516</v>
      </c>
      <c r="I73" s="11"/>
      <c r="J73" s="22"/>
      <c r="K73" s="22"/>
      <c r="L73" s="22"/>
      <c r="M73" s="30">
        <v>19028</v>
      </c>
      <c r="N73" s="30"/>
      <c r="O73" s="35">
        <f t="shared" si="1"/>
        <v>20.013179999999998</v>
      </c>
      <c r="P73" s="22"/>
      <c r="Q73" s="22"/>
      <c r="R73" s="22"/>
      <c r="S73" s="22"/>
      <c r="T73" s="22"/>
      <c r="U73" s="35"/>
    </row>
    <row r="74" spans="1:21" ht="15" outlineLevel="1" x14ac:dyDescent="0.25">
      <c r="A74" s="85" t="s">
        <v>251</v>
      </c>
      <c r="B74" s="35">
        <v>335.14800000000002</v>
      </c>
      <c r="C74" s="30"/>
      <c r="D74" s="30"/>
      <c r="E74" s="26"/>
      <c r="F74" s="22"/>
      <c r="G74" s="22"/>
      <c r="H74" s="22" t="s">
        <v>516</v>
      </c>
      <c r="I74" s="11"/>
      <c r="J74" s="22"/>
      <c r="K74" s="22"/>
      <c r="L74" s="22"/>
      <c r="M74" s="30">
        <v>19017</v>
      </c>
      <c r="N74" s="30"/>
      <c r="O74" s="35">
        <f t="shared" si="1"/>
        <v>18.433140000000002</v>
      </c>
      <c r="P74" s="22"/>
      <c r="Q74" s="22"/>
      <c r="R74" s="22"/>
      <c r="S74" s="22"/>
      <c r="T74" s="22"/>
      <c r="U74" s="35"/>
    </row>
    <row r="75" spans="1:21" ht="15" outlineLevel="1" x14ac:dyDescent="0.25">
      <c r="A75" s="85" t="s">
        <v>251</v>
      </c>
      <c r="B75" s="35">
        <v>239.81400000000002</v>
      </c>
      <c r="C75" s="30"/>
      <c r="D75" s="30"/>
      <c r="E75" s="26"/>
      <c r="F75" s="22"/>
      <c r="G75" s="22"/>
      <c r="H75" s="22" t="s">
        <v>516</v>
      </c>
      <c r="I75" s="11"/>
      <c r="J75" s="22"/>
      <c r="K75" s="22"/>
      <c r="L75" s="22"/>
      <c r="M75" s="30">
        <v>19019</v>
      </c>
      <c r="N75" s="30"/>
      <c r="O75" s="35">
        <f t="shared" si="1"/>
        <v>13.189770000000001</v>
      </c>
      <c r="P75" s="22"/>
      <c r="Q75" s="22"/>
      <c r="R75" s="22"/>
      <c r="S75" s="22"/>
      <c r="T75" s="22"/>
      <c r="U75" s="35"/>
    </row>
    <row r="76" spans="1:21" ht="15" outlineLevel="1" x14ac:dyDescent="0.25">
      <c r="A76" s="85" t="s">
        <v>251</v>
      </c>
      <c r="B76" s="35">
        <v>152.86799999999999</v>
      </c>
      <c r="C76" s="30"/>
      <c r="D76" s="30"/>
      <c r="E76" s="26"/>
      <c r="F76" s="22"/>
      <c r="G76" s="22"/>
      <c r="H76" s="22" t="s">
        <v>516</v>
      </c>
      <c r="I76" s="11"/>
      <c r="J76" s="22"/>
      <c r="K76" s="22"/>
      <c r="L76" s="22"/>
      <c r="M76" s="30">
        <v>19011</v>
      </c>
      <c r="N76" s="30"/>
      <c r="O76" s="35">
        <f t="shared" si="1"/>
        <v>8.4077400000000004</v>
      </c>
      <c r="P76" s="22"/>
      <c r="Q76" s="22"/>
      <c r="R76" s="22"/>
      <c r="S76" s="22"/>
      <c r="T76" s="22"/>
      <c r="U76" s="35"/>
    </row>
    <row r="77" spans="1:21" ht="15" outlineLevel="1" x14ac:dyDescent="0.25">
      <c r="A77" s="85" t="s">
        <v>251</v>
      </c>
      <c r="B77" s="35">
        <v>321.05399999999997</v>
      </c>
      <c r="C77" s="30"/>
      <c r="D77" s="30"/>
      <c r="E77" s="26"/>
      <c r="F77" s="22"/>
      <c r="G77" s="22"/>
      <c r="H77" s="22" t="s">
        <v>516</v>
      </c>
      <c r="I77" s="11"/>
      <c r="J77" s="22"/>
      <c r="K77" s="22"/>
      <c r="L77" s="22"/>
      <c r="M77" s="30">
        <v>19015</v>
      </c>
      <c r="N77" s="30"/>
      <c r="O77" s="35">
        <f t="shared" si="1"/>
        <v>17.657969999999999</v>
      </c>
      <c r="P77" s="22"/>
      <c r="Q77" s="22"/>
      <c r="R77" s="22"/>
      <c r="S77" s="22"/>
      <c r="T77" s="22"/>
      <c r="U77" s="35"/>
    </row>
    <row r="78" spans="1:21" ht="15" outlineLevel="1" x14ac:dyDescent="0.25">
      <c r="A78" s="85" t="s">
        <v>251</v>
      </c>
      <c r="B78" s="35">
        <v>441.53399999999999</v>
      </c>
      <c r="C78" s="30"/>
      <c r="D78" s="30"/>
      <c r="E78" s="26"/>
      <c r="F78" s="22"/>
      <c r="G78" s="22"/>
      <c r="H78" s="22" t="s">
        <v>516</v>
      </c>
      <c r="I78" s="11"/>
      <c r="J78" s="22"/>
      <c r="K78" s="22"/>
      <c r="L78" s="22"/>
      <c r="M78" s="30">
        <v>18932</v>
      </c>
      <c r="N78" s="30"/>
      <c r="O78" s="35">
        <f t="shared" si="1"/>
        <v>24.284369999999999</v>
      </c>
      <c r="P78" s="22"/>
      <c r="Q78" s="22"/>
      <c r="R78" s="22"/>
      <c r="S78" s="22"/>
      <c r="T78" s="22"/>
      <c r="U78" s="35"/>
    </row>
    <row r="79" spans="1:21" ht="15" outlineLevel="1" x14ac:dyDescent="0.25">
      <c r="A79" s="85" t="s">
        <v>251</v>
      </c>
      <c r="B79" s="35">
        <v>17.556000000000001</v>
      </c>
      <c r="C79" s="30"/>
      <c r="D79" s="30"/>
      <c r="E79" s="26"/>
      <c r="F79" s="22"/>
      <c r="G79" s="22"/>
      <c r="H79" s="22" t="s">
        <v>516</v>
      </c>
      <c r="I79" s="11"/>
      <c r="J79" s="22"/>
      <c r="K79" s="22"/>
      <c r="L79" s="22"/>
      <c r="M79" s="30">
        <v>18607</v>
      </c>
      <c r="N79" s="30"/>
      <c r="O79" s="35">
        <f t="shared" si="1"/>
        <v>0.9655800000000001</v>
      </c>
      <c r="P79" s="22"/>
      <c r="Q79" s="22"/>
      <c r="R79" s="22"/>
      <c r="S79" s="22"/>
      <c r="T79" s="22"/>
      <c r="U79" s="35"/>
    </row>
    <row r="80" spans="1:21" ht="15" outlineLevel="1" x14ac:dyDescent="0.25">
      <c r="A80" s="85" t="s">
        <v>251</v>
      </c>
      <c r="B80" s="35">
        <v>512.87999999999988</v>
      </c>
      <c r="C80" s="30"/>
      <c r="D80" s="30"/>
      <c r="E80" s="26"/>
      <c r="F80" s="22"/>
      <c r="G80" s="22"/>
      <c r="H80" s="22" t="s">
        <v>516</v>
      </c>
      <c r="I80" s="11"/>
      <c r="J80" s="22"/>
      <c r="K80" s="22"/>
      <c r="L80" s="22"/>
      <c r="M80" s="30">
        <v>18983</v>
      </c>
      <c r="N80" s="30"/>
      <c r="O80" s="35">
        <f t="shared" si="1"/>
        <v>28.208399999999994</v>
      </c>
      <c r="P80" s="22"/>
      <c r="Q80" s="22"/>
      <c r="R80" s="22"/>
      <c r="S80" s="22"/>
      <c r="T80" s="22"/>
      <c r="U80" s="35"/>
    </row>
    <row r="81" spans="1:21" ht="15" outlineLevel="1" x14ac:dyDescent="0.25">
      <c r="A81" s="85" t="s">
        <v>251</v>
      </c>
      <c r="B81" s="35">
        <v>57.372000000000007</v>
      </c>
      <c r="C81" s="30"/>
      <c r="D81" s="30"/>
      <c r="E81" s="26"/>
      <c r="F81" s="22"/>
      <c r="G81" s="22"/>
      <c r="H81" s="22" t="s">
        <v>516</v>
      </c>
      <c r="I81" s="11"/>
      <c r="J81" s="22"/>
      <c r="K81" s="22"/>
      <c r="L81" s="22"/>
      <c r="M81" s="30">
        <v>19009</v>
      </c>
      <c r="N81" s="30"/>
      <c r="O81" s="35">
        <f t="shared" si="1"/>
        <v>3.1554600000000006</v>
      </c>
      <c r="P81" s="22"/>
      <c r="Q81" s="22"/>
      <c r="R81" s="22"/>
      <c r="S81" s="22"/>
      <c r="T81" s="22"/>
      <c r="U81" s="35"/>
    </row>
    <row r="82" spans="1:21" ht="15" outlineLevel="1" x14ac:dyDescent="0.25">
      <c r="A82" s="85" t="s">
        <v>251</v>
      </c>
      <c r="B82" s="35">
        <v>5.1719999999999988</v>
      </c>
      <c r="C82" s="30"/>
      <c r="D82" s="30"/>
      <c r="E82" s="26"/>
      <c r="F82" s="22"/>
      <c r="G82" s="22"/>
      <c r="H82" s="22" t="s">
        <v>516</v>
      </c>
      <c r="I82" s="11"/>
      <c r="J82" s="22"/>
      <c r="K82" s="22"/>
      <c r="L82" s="22"/>
      <c r="M82" s="30">
        <v>18679</v>
      </c>
      <c r="N82" s="30"/>
      <c r="O82" s="35">
        <f t="shared" si="1"/>
        <v>0.28445999999999994</v>
      </c>
      <c r="P82" s="22"/>
      <c r="Q82" s="22"/>
      <c r="R82" s="22"/>
      <c r="S82" s="22"/>
      <c r="T82" s="22"/>
      <c r="U82" s="35"/>
    </row>
    <row r="83" spans="1:21" ht="15" outlineLevel="1" x14ac:dyDescent="0.25">
      <c r="A83" s="85" t="s">
        <v>251</v>
      </c>
      <c r="B83" s="35">
        <v>368.97</v>
      </c>
      <c r="C83" s="30"/>
      <c r="D83" s="30"/>
      <c r="E83" s="26"/>
      <c r="F83" s="22"/>
      <c r="G83" s="22"/>
      <c r="H83" s="22" t="s">
        <v>516</v>
      </c>
      <c r="I83" s="11"/>
      <c r="J83" s="22"/>
      <c r="K83" s="22"/>
      <c r="L83" s="22"/>
      <c r="M83" s="30">
        <v>18829</v>
      </c>
      <c r="N83" s="30"/>
      <c r="O83" s="35">
        <f t="shared" si="1"/>
        <v>20.29335</v>
      </c>
      <c r="P83" s="22"/>
      <c r="Q83" s="22"/>
      <c r="R83" s="22"/>
      <c r="S83" s="22"/>
      <c r="T83" s="22"/>
      <c r="U83" s="35"/>
    </row>
    <row r="84" spans="1:21" ht="15" outlineLevel="1" x14ac:dyDescent="0.25">
      <c r="A84" s="85" t="s">
        <v>251</v>
      </c>
      <c r="B84" s="35">
        <v>305.75399999999996</v>
      </c>
      <c r="C84" s="30"/>
      <c r="D84" s="30"/>
      <c r="E84" s="26"/>
      <c r="F84" s="22"/>
      <c r="G84" s="22"/>
      <c r="H84" s="22" t="s">
        <v>516</v>
      </c>
      <c r="I84" s="11"/>
      <c r="J84" s="22"/>
      <c r="K84" s="22"/>
      <c r="L84" s="22"/>
      <c r="M84" s="30">
        <v>19012</v>
      </c>
      <c r="N84" s="30"/>
      <c r="O84" s="35">
        <f t="shared" si="1"/>
        <v>16.816469999999999</v>
      </c>
      <c r="P84" s="22"/>
      <c r="Q84" s="22"/>
      <c r="R84" s="22"/>
      <c r="S84" s="22"/>
      <c r="T84" s="22"/>
      <c r="U84" s="35"/>
    </row>
    <row r="85" spans="1:21" ht="15" outlineLevel="1" x14ac:dyDescent="0.25">
      <c r="A85" s="85" t="s">
        <v>251</v>
      </c>
      <c r="B85" s="35">
        <v>42.09</v>
      </c>
      <c r="C85" s="30"/>
      <c r="D85" s="30"/>
      <c r="E85" s="26"/>
      <c r="F85" s="22"/>
      <c r="G85" s="22"/>
      <c r="H85" s="22" t="s">
        <v>516</v>
      </c>
      <c r="I85" s="11"/>
      <c r="J85" s="22"/>
      <c r="K85" s="22"/>
      <c r="L85" s="22"/>
      <c r="M85" s="30">
        <v>19008</v>
      </c>
      <c r="N85" s="30"/>
      <c r="O85" s="35">
        <f t="shared" si="1"/>
        <v>2.3149500000000001</v>
      </c>
      <c r="P85" s="22"/>
      <c r="Q85" s="22"/>
      <c r="R85" s="22"/>
      <c r="S85" s="22"/>
      <c r="T85" s="22"/>
      <c r="U85" s="35"/>
    </row>
    <row r="86" spans="1:21" ht="15" outlineLevel="1" x14ac:dyDescent="0.25">
      <c r="A86" s="85" t="s">
        <v>251</v>
      </c>
      <c r="B86" s="35">
        <v>274.12800000000004</v>
      </c>
      <c r="C86" s="30"/>
      <c r="D86" s="30"/>
      <c r="E86" s="26"/>
      <c r="F86" s="22"/>
      <c r="G86" s="22"/>
      <c r="H86" s="22" t="s">
        <v>516</v>
      </c>
      <c r="I86" s="11"/>
      <c r="J86" s="22"/>
      <c r="K86" s="22"/>
      <c r="L86" s="22"/>
      <c r="M86" s="30">
        <v>19029</v>
      </c>
      <c r="N86" s="30"/>
      <c r="O86" s="35">
        <f t="shared" si="1"/>
        <v>15.077040000000002</v>
      </c>
      <c r="P86" s="22"/>
      <c r="Q86" s="22"/>
      <c r="R86" s="22"/>
      <c r="S86" s="22"/>
      <c r="T86" s="22"/>
      <c r="U86" s="35"/>
    </row>
    <row r="87" spans="1:21" ht="15" outlineLevel="1" x14ac:dyDescent="0.25">
      <c r="A87" s="85" t="s">
        <v>251</v>
      </c>
      <c r="B87" s="35">
        <v>34.494</v>
      </c>
      <c r="C87" s="30"/>
      <c r="D87" s="30"/>
      <c r="E87" s="26"/>
      <c r="F87" s="22"/>
      <c r="G87" s="22"/>
      <c r="H87" s="22" t="s">
        <v>516</v>
      </c>
      <c r="I87" s="11"/>
      <c r="J87" s="22"/>
      <c r="K87" s="22"/>
      <c r="L87" s="22"/>
      <c r="M87" s="30">
        <v>18923</v>
      </c>
      <c r="N87" s="30"/>
      <c r="O87" s="35">
        <f t="shared" si="1"/>
        <v>1.89717</v>
      </c>
      <c r="P87" s="22"/>
      <c r="Q87" s="22"/>
      <c r="R87" s="22"/>
      <c r="S87" s="22"/>
      <c r="T87" s="22"/>
      <c r="U87" s="35"/>
    </row>
    <row r="88" spans="1:21" ht="15" outlineLevel="1" x14ac:dyDescent="0.25">
      <c r="A88" s="85" t="s">
        <v>252</v>
      </c>
      <c r="B88" s="35">
        <v>28.632000000000001</v>
      </c>
      <c r="C88" s="30"/>
      <c r="D88" s="30"/>
      <c r="E88" s="26"/>
      <c r="F88" s="22"/>
      <c r="G88" s="22"/>
      <c r="H88" s="22" t="s">
        <v>516</v>
      </c>
      <c r="I88" s="11"/>
      <c r="J88" s="22"/>
      <c r="K88" s="22"/>
      <c r="L88" s="22"/>
      <c r="M88" s="30">
        <v>18904</v>
      </c>
      <c r="N88" s="30"/>
      <c r="O88" s="35">
        <f t="shared" si="1"/>
        <v>1.5747600000000002</v>
      </c>
      <c r="P88" s="22"/>
      <c r="Q88" s="22"/>
      <c r="R88" s="22"/>
      <c r="S88" s="22"/>
      <c r="T88" s="22"/>
      <c r="U88" s="35"/>
    </row>
    <row r="89" spans="1:21" ht="15" outlineLevel="1" x14ac:dyDescent="0.25">
      <c r="A89" s="85" t="s">
        <v>253</v>
      </c>
      <c r="B89" s="35">
        <v>149.65800000000002</v>
      </c>
      <c r="C89" s="30"/>
      <c r="D89" s="30"/>
      <c r="E89" s="26"/>
      <c r="F89" s="22"/>
      <c r="G89" s="22"/>
      <c r="H89" s="22" t="s">
        <v>516</v>
      </c>
      <c r="I89" s="11"/>
      <c r="J89" s="22"/>
      <c r="K89" s="22"/>
      <c r="L89" s="22"/>
      <c r="M89" s="30">
        <v>18924</v>
      </c>
      <c r="N89" s="30"/>
      <c r="O89" s="35">
        <f t="shared" si="1"/>
        <v>8.2311900000000016</v>
      </c>
      <c r="P89" s="22"/>
      <c r="Q89" s="22"/>
      <c r="R89" s="22"/>
      <c r="S89" s="22"/>
      <c r="T89" s="22"/>
      <c r="U89" s="35"/>
    </row>
    <row r="90" spans="1:21" ht="15" outlineLevel="1" x14ac:dyDescent="0.25">
      <c r="A90" s="85" t="s">
        <v>253</v>
      </c>
      <c r="B90" s="35">
        <v>76.397999999999996</v>
      </c>
      <c r="C90" s="30"/>
      <c r="D90" s="30"/>
      <c r="E90" s="26"/>
      <c r="F90" s="22"/>
      <c r="G90" s="22"/>
      <c r="H90" s="22" t="s">
        <v>516</v>
      </c>
      <c r="I90" s="11"/>
      <c r="J90" s="22"/>
      <c r="K90" s="22"/>
      <c r="L90" s="22"/>
      <c r="M90" s="30">
        <v>18850</v>
      </c>
      <c r="N90" s="30"/>
      <c r="O90" s="35">
        <f t="shared" si="1"/>
        <v>4.2018899999999997</v>
      </c>
      <c r="P90" s="22"/>
      <c r="Q90" s="22"/>
      <c r="R90" s="22"/>
      <c r="S90" s="22"/>
      <c r="T90" s="22"/>
      <c r="U90" s="35"/>
    </row>
    <row r="91" spans="1:21" ht="15" outlineLevel="1" x14ac:dyDescent="0.25">
      <c r="A91" s="85" t="s">
        <v>253</v>
      </c>
      <c r="B91" s="35">
        <v>10.446000000000002</v>
      </c>
      <c r="C91" s="30"/>
      <c r="D91" s="30"/>
      <c r="E91" s="26"/>
      <c r="F91" s="22"/>
      <c r="G91" s="22"/>
      <c r="H91" s="22" t="s">
        <v>516</v>
      </c>
      <c r="I91" s="11"/>
      <c r="J91" s="22"/>
      <c r="K91" s="22"/>
      <c r="L91" s="22"/>
      <c r="M91" s="30">
        <v>18942</v>
      </c>
      <c r="N91" s="30"/>
      <c r="O91" s="35">
        <f t="shared" si="1"/>
        <v>0.5745300000000001</v>
      </c>
      <c r="P91" s="22"/>
      <c r="Q91" s="22"/>
      <c r="R91" s="22"/>
      <c r="S91" s="22"/>
      <c r="T91" s="22"/>
      <c r="U91" s="35"/>
    </row>
    <row r="92" spans="1:21" ht="15" outlineLevel="1" x14ac:dyDescent="0.25">
      <c r="A92" s="85" t="s">
        <v>253</v>
      </c>
      <c r="B92" s="35">
        <v>111.28799999999998</v>
      </c>
      <c r="C92" s="30"/>
      <c r="D92" s="30"/>
      <c r="E92" s="26"/>
      <c r="F92" s="22"/>
      <c r="G92" s="22"/>
      <c r="H92" s="22" t="s">
        <v>516</v>
      </c>
      <c r="I92" s="11"/>
      <c r="J92" s="22"/>
      <c r="K92" s="22"/>
      <c r="L92" s="22"/>
      <c r="M92" s="30">
        <v>18646</v>
      </c>
      <c r="N92" s="30"/>
      <c r="O92" s="35">
        <f t="shared" si="1"/>
        <v>6.1208399999999994</v>
      </c>
      <c r="P92" s="22"/>
      <c r="Q92" s="22"/>
      <c r="R92" s="22"/>
      <c r="S92" s="22"/>
      <c r="T92" s="22"/>
      <c r="U92" s="35"/>
    </row>
    <row r="93" spans="1:21" ht="15" outlineLevel="1" x14ac:dyDescent="0.25">
      <c r="A93" s="85" t="s">
        <v>253</v>
      </c>
      <c r="B93" s="35">
        <v>19.241999999999997</v>
      </c>
      <c r="C93" s="30"/>
      <c r="D93" s="30"/>
      <c r="E93" s="26"/>
      <c r="F93" s="22"/>
      <c r="G93" s="22"/>
      <c r="H93" s="22" t="s">
        <v>516</v>
      </c>
      <c r="I93" s="11"/>
      <c r="J93" s="22"/>
      <c r="K93" s="22"/>
      <c r="L93" s="22"/>
      <c r="M93" s="30">
        <v>18986</v>
      </c>
      <c r="N93" s="30"/>
      <c r="O93" s="35">
        <f t="shared" si="1"/>
        <v>1.0583099999999999</v>
      </c>
      <c r="P93" s="22"/>
      <c r="Q93" s="22"/>
      <c r="R93" s="22"/>
      <c r="S93" s="22"/>
      <c r="T93" s="22"/>
      <c r="U93" s="35"/>
    </row>
    <row r="94" spans="1:21" ht="15" outlineLevel="1" x14ac:dyDescent="0.25">
      <c r="A94" s="85" t="s">
        <v>253</v>
      </c>
      <c r="B94" s="35">
        <v>27.791999999999998</v>
      </c>
      <c r="C94" s="30"/>
      <c r="D94" s="30"/>
      <c r="E94" s="26"/>
      <c r="F94" s="22"/>
      <c r="G94" s="22"/>
      <c r="H94" s="22" t="s">
        <v>516</v>
      </c>
      <c r="I94" s="11"/>
      <c r="J94" s="22"/>
      <c r="K94" s="22"/>
      <c r="L94" s="22"/>
      <c r="M94" s="30">
        <v>18990</v>
      </c>
      <c r="N94" s="30"/>
      <c r="O94" s="35">
        <f t="shared" si="1"/>
        <v>1.5285599999999999</v>
      </c>
      <c r="P94" s="22"/>
      <c r="Q94" s="22"/>
      <c r="R94" s="22"/>
      <c r="S94" s="22"/>
      <c r="T94" s="22"/>
      <c r="U94" s="35"/>
    </row>
    <row r="95" spans="1:21" ht="15" outlineLevel="1" x14ac:dyDescent="0.25">
      <c r="A95" s="85" t="s">
        <v>253</v>
      </c>
      <c r="B95" s="35">
        <v>0.94799999999999995</v>
      </c>
      <c r="C95" s="30"/>
      <c r="D95" s="30"/>
      <c r="E95" s="26"/>
      <c r="F95" s="22"/>
      <c r="G95" s="22"/>
      <c r="H95" s="22" t="s">
        <v>516</v>
      </c>
      <c r="I95" s="11"/>
      <c r="J95" s="22"/>
      <c r="K95" s="22"/>
      <c r="L95" s="22"/>
      <c r="M95" s="30">
        <v>18703</v>
      </c>
      <c r="N95" s="30"/>
      <c r="O95" s="35">
        <f t="shared" si="1"/>
        <v>5.2139999999999999E-2</v>
      </c>
      <c r="P95" s="22"/>
      <c r="Q95" s="22"/>
      <c r="R95" s="22"/>
      <c r="S95" s="22"/>
      <c r="T95" s="22"/>
      <c r="U95" s="35"/>
    </row>
    <row r="96" spans="1:21" ht="15" outlineLevel="1" x14ac:dyDescent="0.25">
      <c r="A96" s="85" t="s">
        <v>253</v>
      </c>
      <c r="B96" s="35">
        <v>22.805999999999997</v>
      </c>
      <c r="C96" s="30"/>
      <c r="D96" s="30"/>
      <c r="E96" s="26"/>
      <c r="F96" s="22"/>
      <c r="G96" s="22"/>
      <c r="H96" s="22" t="s">
        <v>516</v>
      </c>
      <c r="I96" s="11"/>
      <c r="J96" s="22"/>
      <c r="K96" s="22"/>
      <c r="L96" s="22"/>
      <c r="M96" s="30">
        <v>19039</v>
      </c>
      <c r="N96" s="30"/>
      <c r="O96" s="35">
        <f t="shared" si="1"/>
        <v>1.2543299999999999</v>
      </c>
      <c r="P96" s="22"/>
      <c r="Q96" s="22"/>
      <c r="R96" s="22"/>
      <c r="S96" s="22"/>
      <c r="T96" s="22"/>
      <c r="U96" s="35"/>
    </row>
    <row r="97" spans="1:21" ht="15" outlineLevel="1" x14ac:dyDescent="0.25">
      <c r="A97" s="85" t="s">
        <v>254</v>
      </c>
      <c r="B97" s="35">
        <v>23.603999999999999</v>
      </c>
      <c r="C97" s="30"/>
      <c r="D97" s="30"/>
      <c r="E97" s="26"/>
      <c r="F97" s="22"/>
      <c r="G97" s="22"/>
      <c r="H97" s="22" t="s">
        <v>516</v>
      </c>
      <c r="I97" s="11"/>
      <c r="J97" s="22"/>
      <c r="K97" s="22"/>
      <c r="L97" s="22"/>
      <c r="M97" s="30">
        <v>18927</v>
      </c>
      <c r="N97" s="30"/>
      <c r="O97" s="35">
        <f t="shared" si="1"/>
        <v>1.2982199999999999</v>
      </c>
      <c r="P97" s="22"/>
      <c r="Q97" s="22"/>
      <c r="R97" s="22"/>
      <c r="S97" s="22"/>
      <c r="T97" s="22"/>
      <c r="U97" s="35"/>
    </row>
    <row r="98" spans="1:21" ht="15" outlineLevel="1" x14ac:dyDescent="0.25">
      <c r="A98" s="85" t="s">
        <v>254</v>
      </c>
      <c r="B98" s="35">
        <v>116.25</v>
      </c>
      <c r="C98" s="30"/>
      <c r="D98" s="30"/>
      <c r="E98" s="26"/>
      <c r="F98" s="22"/>
      <c r="G98" s="22"/>
      <c r="H98" s="22" t="s">
        <v>516</v>
      </c>
      <c r="I98" s="11"/>
      <c r="J98" s="22"/>
      <c r="K98" s="22"/>
      <c r="L98" s="22"/>
      <c r="M98" s="30">
        <v>18823</v>
      </c>
      <c r="N98" s="30"/>
      <c r="O98" s="35">
        <f t="shared" si="1"/>
        <v>6.3937499999999998</v>
      </c>
      <c r="P98" s="22"/>
      <c r="Q98" s="22"/>
      <c r="R98" s="22"/>
      <c r="S98" s="22"/>
      <c r="T98" s="22"/>
      <c r="U98" s="35"/>
    </row>
    <row r="99" spans="1:21" ht="15" outlineLevel="1" x14ac:dyDescent="0.25">
      <c r="A99" s="85" t="s">
        <v>254</v>
      </c>
      <c r="B99" s="35">
        <v>29.382000000000001</v>
      </c>
      <c r="C99" s="30"/>
      <c r="D99" s="30"/>
      <c r="E99" s="26"/>
      <c r="F99" s="22"/>
      <c r="G99" s="22"/>
      <c r="H99" s="22" t="s">
        <v>516</v>
      </c>
      <c r="I99" s="11"/>
      <c r="J99" s="22"/>
      <c r="K99" s="22"/>
      <c r="L99" s="22"/>
      <c r="M99" s="30">
        <v>18634</v>
      </c>
      <c r="N99" s="30"/>
      <c r="O99" s="35">
        <f t="shared" si="1"/>
        <v>1.6160100000000002</v>
      </c>
      <c r="P99" s="22"/>
      <c r="Q99" s="22"/>
      <c r="R99" s="22"/>
      <c r="S99" s="22"/>
      <c r="T99" s="22"/>
      <c r="U99" s="35"/>
    </row>
    <row r="100" spans="1:21" ht="15" outlineLevel="1" x14ac:dyDescent="0.25">
      <c r="A100" s="85" t="s">
        <v>254</v>
      </c>
      <c r="B100" s="35">
        <v>140.06400000000002</v>
      </c>
      <c r="C100" s="30"/>
      <c r="D100" s="30"/>
      <c r="E100" s="26"/>
      <c r="F100" s="22"/>
      <c r="G100" s="22"/>
      <c r="H100" s="22" t="s">
        <v>516</v>
      </c>
      <c r="I100" s="11"/>
      <c r="J100" s="22"/>
      <c r="K100" s="22"/>
      <c r="L100" s="22"/>
      <c r="M100" s="30">
        <v>18996</v>
      </c>
      <c r="N100" s="30"/>
      <c r="O100" s="35">
        <f t="shared" si="1"/>
        <v>7.703520000000001</v>
      </c>
      <c r="P100" s="22"/>
      <c r="Q100" s="22"/>
      <c r="R100" s="22"/>
      <c r="S100" s="22"/>
      <c r="T100" s="22"/>
      <c r="U100" s="35"/>
    </row>
    <row r="101" spans="1:21" ht="15" outlineLevel="1" x14ac:dyDescent="0.25">
      <c r="A101" s="85" t="s">
        <v>254</v>
      </c>
      <c r="B101" s="35">
        <v>90.348000000000013</v>
      </c>
      <c r="C101" s="30"/>
      <c r="D101" s="30"/>
      <c r="E101" s="26"/>
      <c r="F101" s="22"/>
      <c r="G101" s="22"/>
      <c r="H101" s="22" t="s">
        <v>516</v>
      </c>
      <c r="I101" s="11"/>
      <c r="J101" s="22"/>
      <c r="K101" s="22"/>
      <c r="L101" s="22"/>
      <c r="M101" s="30">
        <v>18895</v>
      </c>
      <c r="N101" s="30"/>
      <c r="O101" s="35">
        <f t="shared" si="1"/>
        <v>4.9691400000000003</v>
      </c>
      <c r="P101" s="22"/>
      <c r="Q101" s="22"/>
      <c r="R101" s="22"/>
      <c r="S101" s="22"/>
      <c r="T101" s="22"/>
      <c r="U101" s="35"/>
    </row>
    <row r="102" spans="1:21" ht="15" outlineLevel="1" x14ac:dyDescent="0.25">
      <c r="A102" s="85" t="s">
        <v>254</v>
      </c>
      <c r="B102" s="35">
        <v>292.14</v>
      </c>
      <c r="C102" s="30"/>
      <c r="D102" s="30"/>
      <c r="E102" s="26"/>
      <c r="F102" s="22"/>
      <c r="G102" s="22"/>
      <c r="H102" s="22" t="s">
        <v>516</v>
      </c>
      <c r="I102" s="11"/>
      <c r="J102" s="22"/>
      <c r="K102" s="22"/>
      <c r="L102" s="22"/>
      <c r="M102" s="30">
        <v>18898</v>
      </c>
      <c r="N102" s="30"/>
      <c r="O102" s="35">
        <f t="shared" si="1"/>
        <v>16.067699999999999</v>
      </c>
      <c r="P102" s="22"/>
      <c r="Q102" s="22"/>
      <c r="R102" s="22"/>
      <c r="S102" s="22"/>
      <c r="T102" s="22"/>
      <c r="U102" s="35"/>
    </row>
    <row r="103" spans="1:21" ht="15" outlineLevel="1" x14ac:dyDescent="0.25">
      <c r="A103" s="85" t="s">
        <v>256</v>
      </c>
      <c r="B103" s="35">
        <v>168.80399999999997</v>
      </c>
      <c r="C103" s="30"/>
      <c r="D103" s="30"/>
      <c r="E103" s="26"/>
      <c r="F103" s="22"/>
      <c r="G103" s="22"/>
      <c r="H103" s="22" t="s">
        <v>516</v>
      </c>
      <c r="I103" s="11"/>
      <c r="J103" s="22"/>
      <c r="K103" s="22"/>
      <c r="L103" s="22"/>
      <c r="M103" s="30">
        <v>18561</v>
      </c>
      <c r="N103" s="30"/>
      <c r="O103" s="35">
        <f t="shared" si="1"/>
        <v>9.2842199999999995</v>
      </c>
      <c r="P103" s="22"/>
      <c r="Q103" s="22"/>
      <c r="R103" s="22"/>
      <c r="S103" s="22"/>
      <c r="T103" s="22"/>
      <c r="U103" s="35"/>
    </row>
    <row r="104" spans="1:21" ht="15" outlineLevel="1" x14ac:dyDescent="0.25">
      <c r="A104" s="85" t="s">
        <v>256</v>
      </c>
      <c r="B104" s="35">
        <v>34.566000000000003</v>
      </c>
      <c r="C104" s="30"/>
      <c r="D104" s="30"/>
      <c r="E104" s="26"/>
      <c r="F104" s="22"/>
      <c r="G104" s="22"/>
      <c r="H104" s="22" t="s">
        <v>516</v>
      </c>
      <c r="I104" s="11"/>
      <c r="J104" s="22"/>
      <c r="K104" s="22"/>
      <c r="L104" s="22"/>
      <c r="M104" s="30">
        <v>18953</v>
      </c>
      <c r="N104" s="30"/>
      <c r="O104" s="35">
        <f t="shared" si="1"/>
        <v>1.9011300000000002</v>
      </c>
      <c r="P104" s="22"/>
      <c r="Q104" s="22"/>
      <c r="R104" s="22"/>
      <c r="S104" s="22"/>
      <c r="T104" s="22"/>
      <c r="U104" s="35"/>
    </row>
    <row r="105" spans="1:21" ht="15" outlineLevel="1" x14ac:dyDescent="0.25">
      <c r="A105" s="85" t="s">
        <v>257</v>
      </c>
      <c r="B105" s="35">
        <v>4.83</v>
      </c>
      <c r="C105" s="30"/>
      <c r="D105" s="30"/>
      <c r="E105" s="26"/>
      <c r="F105" s="22"/>
      <c r="G105" s="22"/>
      <c r="H105" s="22" t="s">
        <v>516</v>
      </c>
      <c r="I105" s="11"/>
      <c r="J105" s="22"/>
      <c r="K105" s="22"/>
      <c r="L105" s="22"/>
      <c r="M105" s="30">
        <v>156</v>
      </c>
      <c r="N105" s="30"/>
      <c r="O105" s="35">
        <f t="shared" si="1"/>
        <v>0.26565</v>
      </c>
      <c r="P105" s="22"/>
      <c r="Q105" s="22"/>
      <c r="R105" s="22"/>
      <c r="S105" s="22"/>
      <c r="T105" s="22"/>
      <c r="U105" s="35"/>
    </row>
    <row r="106" spans="1:21" ht="15" outlineLevel="1" x14ac:dyDescent="0.25">
      <c r="A106" s="85" t="s">
        <v>257</v>
      </c>
      <c r="B106" s="35">
        <v>34.049999999999997</v>
      </c>
      <c r="C106" s="30"/>
      <c r="D106" s="30"/>
      <c r="E106" s="26"/>
      <c r="F106" s="22"/>
      <c r="G106" s="22"/>
      <c r="H106" s="22" t="s">
        <v>516</v>
      </c>
      <c r="I106" s="11"/>
      <c r="J106" s="22"/>
      <c r="K106" s="22"/>
      <c r="L106" s="22"/>
      <c r="M106" s="30">
        <v>18792</v>
      </c>
      <c r="N106" s="30"/>
      <c r="O106" s="35">
        <f t="shared" si="1"/>
        <v>1.8727499999999999</v>
      </c>
      <c r="P106" s="22"/>
      <c r="Q106" s="22"/>
      <c r="R106" s="22"/>
      <c r="S106" s="22"/>
      <c r="T106" s="22"/>
      <c r="U106" s="35"/>
    </row>
    <row r="107" spans="1:21" ht="15" outlineLevel="1" x14ac:dyDescent="0.25">
      <c r="A107" s="85" t="s">
        <v>257</v>
      </c>
      <c r="B107" s="35">
        <v>26.334000000000003</v>
      </c>
      <c r="C107" s="30"/>
      <c r="D107" s="30"/>
      <c r="E107" s="26"/>
      <c r="F107" s="22"/>
      <c r="G107" s="22"/>
      <c r="H107" s="22" t="s">
        <v>516</v>
      </c>
      <c r="I107" s="11"/>
      <c r="J107" s="22"/>
      <c r="K107" s="22"/>
      <c r="L107" s="22"/>
      <c r="M107" s="30">
        <v>18506</v>
      </c>
      <c r="N107" s="30"/>
      <c r="O107" s="35">
        <f t="shared" si="1"/>
        <v>1.4483700000000002</v>
      </c>
      <c r="P107" s="22"/>
      <c r="Q107" s="22"/>
      <c r="R107" s="22"/>
      <c r="S107" s="22"/>
      <c r="T107" s="22"/>
      <c r="U107" s="35"/>
    </row>
    <row r="108" spans="1:21" ht="15" outlineLevel="1" x14ac:dyDescent="0.25">
      <c r="A108" s="85" t="s">
        <v>446</v>
      </c>
      <c r="B108" s="35">
        <v>199.18799999999999</v>
      </c>
      <c r="C108" s="30"/>
      <c r="D108" s="30"/>
      <c r="E108" s="26"/>
      <c r="F108" s="22"/>
      <c r="G108" s="22"/>
      <c r="H108" s="22" t="s">
        <v>516</v>
      </c>
      <c r="I108" s="11"/>
      <c r="J108" s="22"/>
      <c r="K108" s="22"/>
      <c r="L108" s="22"/>
      <c r="M108" s="30">
        <v>19037</v>
      </c>
      <c r="N108" s="30"/>
      <c r="O108" s="35">
        <f t="shared" si="1"/>
        <v>10.95534</v>
      </c>
      <c r="P108" s="22"/>
      <c r="Q108" s="22"/>
      <c r="R108" s="22"/>
      <c r="S108" s="22"/>
      <c r="T108" s="22"/>
      <c r="U108" s="35"/>
    </row>
    <row r="109" spans="1:21" ht="15" outlineLevel="1" x14ac:dyDescent="0.25">
      <c r="A109" s="85" t="s">
        <v>258</v>
      </c>
      <c r="B109" s="35">
        <v>138.46200000000002</v>
      </c>
      <c r="C109" s="30"/>
      <c r="D109" s="30"/>
      <c r="E109" s="26"/>
      <c r="F109" s="22"/>
      <c r="G109" s="22"/>
      <c r="H109" s="22" t="s">
        <v>516</v>
      </c>
      <c r="I109" s="11"/>
      <c r="J109" s="22"/>
      <c r="K109" s="22"/>
      <c r="L109" s="22"/>
      <c r="M109" s="30">
        <v>18517</v>
      </c>
      <c r="N109" s="30"/>
      <c r="O109" s="35">
        <f t="shared" si="1"/>
        <v>7.6154100000000007</v>
      </c>
      <c r="P109" s="22"/>
      <c r="Q109" s="22"/>
      <c r="R109" s="22"/>
      <c r="S109" s="22"/>
      <c r="T109" s="22"/>
      <c r="U109" s="35"/>
    </row>
    <row r="110" spans="1:21" ht="15" outlineLevel="1" x14ac:dyDescent="0.25">
      <c r="A110" s="85" t="s">
        <v>472</v>
      </c>
      <c r="B110" s="35">
        <v>14.49</v>
      </c>
      <c r="C110" s="30"/>
      <c r="D110" s="30"/>
      <c r="E110" s="26"/>
      <c r="F110" s="22"/>
      <c r="G110" s="22"/>
      <c r="H110" s="22" t="s">
        <v>516</v>
      </c>
      <c r="I110" s="11"/>
      <c r="J110" s="22"/>
      <c r="K110" s="22"/>
      <c r="L110" s="22"/>
      <c r="M110" s="30">
        <v>18736</v>
      </c>
      <c r="N110" s="30"/>
      <c r="O110" s="35">
        <f t="shared" si="1"/>
        <v>0.79695000000000005</v>
      </c>
      <c r="P110" s="22"/>
      <c r="Q110" s="22"/>
      <c r="R110" s="22"/>
      <c r="S110" s="22"/>
      <c r="T110" s="22"/>
      <c r="U110" s="35"/>
    </row>
    <row r="111" spans="1:21" ht="15" outlineLevel="1" x14ac:dyDescent="0.25">
      <c r="A111" s="85" t="s">
        <v>259</v>
      </c>
      <c r="B111" s="35">
        <v>415.38599999999997</v>
      </c>
      <c r="C111" s="30"/>
      <c r="D111" s="30"/>
      <c r="E111" s="26"/>
      <c r="F111" s="22"/>
      <c r="G111" s="22"/>
      <c r="H111" s="22" t="s">
        <v>516</v>
      </c>
      <c r="I111" s="11"/>
      <c r="J111" s="22"/>
      <c r="K111" s="22"/>
      <c r="L111" s="22"/>
      <c r="M111" s="30">
        <v>18920</v>
      </c>
      <c r="N111" s="30"/>
      <c r="O111" s="35">
        <f t="shared" si="1"/>
        <v>22.846229999999998</v>
      </c>
      <c r="P111" s="22"/>
      <c r="Q111" s="22"/>
      <c r="R111" s="22"/>
      <c r="S111" s="22"/>
      <c r="T111" s="22"/>
      <c r="U111" s="35"/>
    </row>
    <row r="112" spans="1:21" ht="15" outlineLevel="1" x14ac:dyDescent="0.25">
      <c r="A112" s="85" t="s">
        <v>260</v>
      </c>
      <c r="B112" s="35">
        <v>415.38599999999997</v>
      </c>
      <c r="C112" s="30"/>
      <c r="D112" s="30"/>
      <c r="E112" s="26"/>
      <c r="F112" s="22"/>
      <c r="G112" s="22"/>
      <c r="H112" s="22" t="s">
        <v>516</v>
      </c>
      <c r="I112" s="11"/>
      <c r="J112" s="22"/>
      <c r="K112" s="22"/>
      <c r="L112" s="22"/>
      <c r="M112" s="30">
        <v>18948</v>
      </c>
      <c r="N112" s="30"/>
      <c r="O112" s="35">
        <f t="shared" si="1"/>
        <v>22.846229999999998</v>
      </c>
      <c r="P112" s="22"/>
      <c r="Q112" s="22"/>
      <c r="R112" s="22"/>
      <c r="S112" s="22"/>
      <c r="T112" s="22"/>
      <c r="U112" s="35"/>
    </row>
    <row r="113" spans="1:21" ht="15" outlineLevel="1" x14ac:dyDescent="0.25">
      <c r="A113" s="85" t="s">
        <v>260</v>
      </c>
      <c r="B113" s="35">
        <v>415.38599999999997</v>
      </c>
      <c r="C113" s="30"/>
      <c r="D113" s="30"/>
      <c r="E113" s="26"/>
      <c r="F113" s="22"/>
      <c r="G113" s="22"/>
      <c r="H113" s="22" t="s">
        <v>516</v>
      </c>
      <c r="I113" s="11"/>
      <c r="J113" s="22"/>
      <c r="K113" s="22"/>
      <c r="L113" s="22"/>
      <c r="M113" s="30">
        <v>18716</v>
      </c>
      <c r="N113" s="30"/>
      <c r="O113" s="35">
        <f t="shared" si="1"/>
        <v>22.846229999999998</v>
      </c>
      <c r="P113" s="22"/>
      <c r="Q113" s="22"/>
      <c r="R113" s="22"/>
      <c r="S113" s="22"/>
      <c r="T113" s="22"/>
      <c r="U113" s="35"/>
    </row>
    <row r="114" spans="1:21" ht="15" outlineLevel="1" x14ac:dyDescent="0.25">
      <c r="A114" s="85" t="s">
        <v>261</v>
      </c>
      <c r="B114" s="35">
        <v>160.33800000000002</v>
      </c>
      <c r="C114" s="30"/>
      <c r="D114" s="30"/>
      <c r="E114" s="26"/>
      <c r="F114" s="22"/>
      <c r="G114" s="22"/>
      <c r="H114" s="22" t="s">
        <v>516</v>
      </c>
      <c r="I114" s="11"/>
      <c r="J114" s="22"/>
      <c r="K114" s="22"/>
      <c r="L114" s="22"/>
      <c r="M114" s="30">
        <v>18969</v>
      </c>
      <c r="N114" s="30"/>
      <c r="O114" s="35">
        <f t="shared" si="1"/>
        <v>8.8185900000000021</v>
      </c>
      <c r="P114" s="22"/>
      <c r="Q114" s="22"/>
      <c r="R114" s="22"/>
      <c r="S114" s="22"/>
      <c r="T114" s="22"/>
      <c r="U114" s="35"/>
    </row>
    <row r="115" spans="1:21" ht="15" outlineLevel="1" x14ac:dyDescent="0.25">
      <c r="A115" s="85" t="s">
        <v>261</v>
      </c>
      <c r="B115" s="35">
        <v>21.875999999999998</v>
      </c>
      <c r="C115" s="30"/>
      <c r="D115" s="30"/>
      <c r="E115" s="26"/>
      <c r="F115" s="22"/>
      <c r="G115" s="22"/>
      <c r="H115" s="22" t="s">
        <v>516</v>
      </c>
      <c r="I115" s="11"/>
      <c r="J115" s="22"/>
      <c r="K115" s="22"/>
      <c r="L115" s="22"/>
      <c r="M115" s="30">
        <v>18862</v>
      </c>
      <c r="N115" s="30"/>
      <c r="O115" s="35">
        <f t="shared" si="1"/>
        <v>1.2031799999999999</v>
      </c>
      <c r="P115" s="22"/>
      <c r="Q115" s="22"/>
      <c r="R115" s="22"/>
      <c r="S115" s="22"/>
      <c r="T115" s="22"/>
      <c r="U115" s="35"/>
    </row>
    <row r="116" spans="1:21" ht="15" outlineLevel="1" x14ac:dyDescent="0.25">
      <c r="A116" s="85" t="s">
        <v>262</v>
      </c>
      <c r="B116" s="35">
        <v>415.38599999999997</v>
      </c>
      <c r="C116" s="30"/>
      <c r="D116" s="30"/>
      <c r="E116" s="26"/>
      <c r="F116" s="22"/>
      <c r="G116" s="22"/>
      <c r="H116" s="22" t="s">
        <v>516</v>
      </c>
      <c r="I116" s="11"/>
      <c r="J116" s="22"/>
      <c r="K116" s="22"/>
      <c r="L116" s="22"/>
      <c r="M116" s="30">
        <v>18886</v>
      </c>
      <c r="N116" s="30"/>
      <c r="O116" s="35">
        <f t="shared" si="1"/>
        <v>22.846229999999998</v>
      </c>
      <c r="P116" s="22"/>
      <c r="Q116" s="22"/>
      <c r="R116" s="22"/>
      <c r="S116" s="22"/>
      <c r="T116" s="22"/>
      <c r="U116" s="35"/>
    </row>
    <row r="117" spans="1:21" ht="15" outlineLevel="1" x14ac:dyDescent="0.25">
      <c r="A117" s="85" t="s">
        <v>263</v>
      </c>
      <c r="B117" s="35">
        <v>415.38599999999997</v>
      </c>
      <c r="C117" s="30"/>
      <c r="D117" s="30"/>
      <c r="E117" s="26"/>
      <c r="F117" s="22"/>
      <c r="G117" s="22"/>
      <c r="H117" s="22" t="s">
        <v>516</v>
      </c>
      <c r="I117" s="11"/>
      <c r="J117" s="22"/>
      <c r="K117" s="22"/>
      <c r="L117" s="22"/>
      <c r="M117" s="30">
        <v>18853</v>
      </c>
      <c r="N117" s="30"/>
      <c r="O117" s="35">
        <f t="shared" si="1"/>
        <v>22.846229999999998</v>
      </c>
      <c r="P117" s="22"/>
      <c r="Q117" s="22"/>
      <c r="R117" s="22"/>
      <c r="S117" s="22"/>
      <c r="T117" s="22"/>
      <c r="U117" s="35"/>
    </row>
    <row r="118" spans="1:21" ht="15" outlineLevel="1" x14ac:dyDescent="0.25">
      <c r="A118" s="85" t="s">
        <v>264</v>
      </c>
      <c r="B118" s="35">
        <v>21.875999999999998</v>
      </c>
      <c r="C118" s="30"/>
      <c r="D118" s="30"/>
      <c r="E118" s="26"/>
      <c r="F118" s="22"/>
      <c r="G118" s="22"/>
      <c r="H118" s="22" t="s">
        <v>516</v>
      </c>
      <c r="I118" s="11"/>
      <c r="J118" s="22"/>
      <c r="K118" s="22"/>
      <c r="L118" s="22"/>
      <c r="M118" s="30">
        <v>18866</v>
      </c>
      <c r="N118" s="30"/>
      <c r="O118" s="35">
        <f t="shared" si="1"/>
        <v>1.2031799999999999</v>
      </c>
      <c r="P118" s="22"/>
      <c r="Q118" s="22"/>
      <c r="R118" s="22"/>
      <c r="S118" s="22"/>
      <c r="T118" s="22"/>
      <c r="U118" s="35"/>
    </row>
    <row r="119" spans="1:21" ht="15" outlineLevel="1" x14ac:dyDescent="0.25">
      <c r="A119" s="85" t="s">
        <v>264</v>
      </c>
      <c r="B119" s="35">
        <v>70.578000000000003</v>
      </c>
      <c r="C119" s="30"/>
      <c r="D119" s="30"/>
      <c r="E119" s="26"/>
      <c r="F119" s="22"/>
      <c r="G119" s="22"/>
      <c r="H119" s="22" t="s">
        <v>516</v>
      </c>
      <c r="I119" s="11"/>
      <c r="J119" s="22"/>
      <c r="K119" s="22"/>
      <c r="L119" s="22"/>
      <c r="M119" s="30">
        <v>18831</v>
      </c>
      <c r="N119" s="30"/>
      <c r="O119" s="35">
        <f t="shared" si="1"/>
        <v>3.8817900000000001</v>
      </c>
      <c r="P119" s="22"/>
      <c r="Q119" s="22"/>
      <c r="R119" s="22"/>
      <c r="S119" s="22"/>
      <c r="T119" s="22"/>
      <c r="U119" s="35"/>
    </row>
    <row r="120" spans="1:21" ht="15" outlineLevel="1" x14ac:dyDescent="0.25">
      <c r="A120" s="85" t="s">
        <v>264</v>
      </c>
      <c r="B120" s="35">
        <v>109.05599999999998</v>
      </c>
      <c r="C120" s="30"/>
      <c r="D120" s="30"/>
      <c r="E120" s="26"/>
      <c r="F120" s="22"/>
      <c r="G120" s="22"/>
      <c r="H120" s="22" t="s">
        <v>516</v>
      </c>
      <c r="I120" s="11"/>
      <c r="J120" s="22"/>
      <c r="K120" s="22"/>
      <c r="L120" s="22"/>
      <c r="M120" s="30">
        <v>18903</v>
      </c>
      <c r="N120" s="30"/>
      <c r="O120" s="35">
        <f t="shared" si="1"/>
        <v>5.998079999999999</v>
      </c>
      <c r="P120" s="22"/>
      <c r="Q120" s="22"/>
      <c r="R120" s="22"/>
      <c r="S120" s="22"/>
      <c r="T120" s="22"/>
      <c r="U120" s="35"/>
    </row>
    <row r="121" spans="1:21" ht="15" outlineLevel="1" x14ac:dyDescent="0.25">
      <c r="A121" s="85" t="s">
        <v>265</v>
      </c>
      <c r="B121" s="35">
        <v>206.56799999999998</v>
      </c>
      <c r="C121" s="30"/>
      <c r="D121" s="30"/>
      <c r="E121" s="26"/>
      <c r="F121" s="22"/>
      <c r="G121" s="22"/>
      <c r="H121" s="22" t="s">
        <v>516</v>
      </c>
      <c r="I121" s="11"/>
      <c r="J121" s="22"/>
      <c r="K121" s="22"/>
      <c r="L121" s="22"/>
      <c r="M121" s="30">
        <v>18879</v>
      </c>
      <c r="N121" s="30"/>
      <c r="O121" s="35">
        <f t="shared" si="1"/>
        <v>11.361239999999999</v>
      </c>
      <c r="P121" s="22"/>
      <c r="Q121" s="22"/>
      <c r="R121" s="22"/>
      <c r="S121" s="22"/>
      <c r="T121" s="22"/>
      <c r="U121" s="35"/>
    </row>
    <row r="122" spans="1:21" ht="15" outlineLevel="1" x14ac:dyDescent="0.25">
      <c r="A122" s="85" t="s">
        <v>265</v>
      </c>
      <c r="B122" s="35">
        <v>21.875999999999998</v>
      </c>
      <c r="C122" s="30"/>
      <c r="D122" s="30"/>
      <c r="E122" s="26"/>
      <c r="F122" s="22"/>
      <c r="G122" s="22"/>
      <c r="H122" s="22" t="s">
        <v>516</v>
      </c>
      <c r="I122" s="11"/>
      <c r="J122" s="22"/>
      <c r="K122" s="22"/>
      <c r="L122" s="22"/>
      <c r="M122" s="30">
        <v>18631</v>
      </c>
      <c r="N122" s="30"/>
      <c r="O122" s="35">
        <f t="shared" si="1"/>
        <v>1.2031799999999999</v>
      </c>
      <c r="P122" s="22"/>
      <c r="Q122" s="22"/>
      <c r="R122" s="22"/>
      <c r="S122" s="22"/>
      <c r="T122" s="22"/>
      <c r="U122" s="35"/>
    </row>
    <row r="123" spans="1:21" ht="15" outlineLevel="1" x14ac:dyDescent="0.25">
      <c r="A123" s="85" t="s">
        <v>266</v>
      </c>
      <c r="B123" s="35">
        <v>213.42000000000002</v>
      </c>
      <c r="C123" s="30"/>
      <c r="D123" s="30"/>
      <c r="E123" s="26"/>
      <c r="F123" s="22"/>
      <c r="G123" s="22"/>
      <c r="H123" s="22" t="s">
        <v>516</v>
      </c>
      <c r="I123" s="11"/>
      <c r="J123" s="22"/>
      <c r="K123" s="22"/>
      <c r="L123" s="22"/>
      <c r="M123" s="30">
        <v>19013</v>
      </c>
      <c r="N123" s="30"/>
      <c r="O123" s="35">
        <f t="shared" si="1"/>
        <v>11.738100000000001</v>
      </c>
      <c r="P123" s="22"/>
      <c r="Q123" s="22"/>
      <c r="R123" s="22"/>
      <c r="S123" s="22"/>
      <c r="T123" s="22"/>
      <c r="U123" s="35"/>
    </row>
    <row r="124" spans="1:21" ht="15" outlineLevel="1" x14ac:dyDescent="0.25">
      <c r="A124" s="85" t="s">
        <v>267</v>
      </c>
      <c r="B124" s="35">
        <v>21.875999999999998</v>
      </c>
      <c r="C124" s="30"/>
      <c r="D124" s="30"/>
      <c r="E124" s="26"/>
      <c r="F124" s="22"/>
      <c r="G124" s="22"/>
      <c r="H124" s="22" t="s">
        <v>516</v>
      </c>
      <c r="I124" s="11"/>
      <c r="J124" s="22"/>
      <c r="K124" s="22"/>
      <c r="L124" s="22"/>
      <c r="M124" s="30">
        <v>18911</v>
      </c>
      <c r="N124" s="30"/>
      <c r="O124" s="35">
        <f t="shared" si="1"/>
        <v>1.2031799999999999</v>
      </c>
      <c r="P124" s="22"/>
      <c r="Q124" s="22"/>
      <c r="R124" s="22"/>
      <c r="S124" s="22"/>
      <c r="T124" s="22"/>
      <c r="U124" s="35"/>
    </row>
    <row r="125" spans="1:21" ht="15" outlineLevel="1" x14ac:dyDescent="0.25">
      <c r="A125" s="85" t="s">
        <v>267</v>
      </c>
      <c r="B125" s="35">
        <v>9.66</v>
      </c>
      <c r="C125" s="30"/>
      <c r="D125" s="30"/>
      <c r="E125" s="26"/>
      <c r="F125" s="22"/>
      <c r="G125" s="22"/>
      <c r="H125" s="22" t="s">
        <v>516</v>
      </c>
      <c r="I125" s="11"/>
      <c r="J125" s="22"/>
      <c r="K125" s="22"/>
      <c r="L125" s="22"/>
      <c r="M125" s="30">
        <v>18967</v>
      </c>
      <c r="N125" s="30"/>
      <c r="O125" s="35">
        <f t="shared" si="1"/>
        <v>0.53129999999999999</v>
      </c>
      <c r="P125" s="22"/>
      <c r="Q125" s="22"/>
      <c r="R125" s="22"/>
      <c r="S125" s="22"/>
      <c r="T125" s="22"/>
      <c r="U125" s="35"/>
    </row>
    <row r="126" spans="1:21" ht="15" outlineLevel="1" x14ac:dyDescent="0.25">
      <c r="A126" s="85" t="s">
        <v>267</v>
      </c>
      <c r="B126" s="35">
        <v>24.798000000000002</v>
      </c>
      <c r="C126" s="30"/>
      <c r="D126" s="30"/>
      <c r="E126" s="26"/>
      <c r="F126" s="22"/>
      <c r="G126" s="22"/>
      <c r="H126" s="22" t="s">
        <v>516</v>
      </c>
      <c r="I126" s="11"/>
      <c r="J126" s="22"/>
      <c r="K126" s="22"/>
      <c r="L126" s="22"/>
      <c r="M126" s="30">
        <v>18960</v>
      </c>
      <c r="N126" s="30"/>
      <c r="O126" s="35">
        <f t="shared" si="1"/>
        <v>1.36389</v>
      </c>
      <c r="P126" s="22"/>
      <c r="Q126" s="22"/>
      <c r="R126" s="22"/>
      <c r="S126" s="22"/>
      <c r="T126" s="22"/>
      <c r="U126" s="35"/>
    </row>
    <row r="127" spans="1:21" ht="15" outlineLevel="1" x14ac:dyDescent="0.25">
      <c r="A127" s="85" t="s">
        <v>267</v>
      </c>
      <c r="B127" s="35">
        <v>9.66</v>
      </c>
      <c r="C127" s="30"/>
      <c r="D127" s="30"/>
      <c r="E127" s="26"/>
      <c r="F127" s="22"/>
      <c r="G127" s="22"/>
      <c r="H127" s="22" t="s">
        <v>516</v>
      </c>
      <c r="I127" s="11"/>
      <c r="J127" s="22"/>
      <c r="K127" s="22"/>
      <c r="L127" s="22"/>
      <c r="M127" s="30">
        <v>18687</v>
      </c>
      <c r="N127" s="30"/>
      <c r="O127" s="35">
        <f t="shared" si="1"/>
        <v>0.53129999999999999</v>
      </c>
      <c r="P127" s="22"/>
      <c r="Q127" s="22"/>
      <c r="R127" s="22"/>
      <c r="S127" s="22"/>
      <c r="T127" s="22"/>
      <c r="U127" s="35"/>
    </row>
    <row r="128" spans="1:21" ht="15" outlineLevel="1" x14ac:dyDescent="0.25">
      <c r="A128" s="85" t="s">
        <v>268</v>
      </c>
      <c r="B128" s="35">
        <v>141.14999999999998</v>
      </c>
      <c r="C128" s="30"/>
      <c r="D128" s="30"/>
      <c r="E128" s="26"/>
      <c r="F128" s="22"/>
      <c r="G128" s="22"/>
      <c r="H128" s="22" t="s">
        <v>516</v>
      </c>
      <c r="I128" s="11"/>
      <c r="J128" s="22"/>
      <c r="K128" s="22"/>
      <c r="L128" s="22"/>
      <c r="M128" s="30">
        <v>18961</v>
      </c>
      <c r="N128" s="30"/>
      <c r="O128" s="35">
        <f t="shared" si="1"/>
        <v>7.7632499999999984</v>
      </c>
      <c r="P128" s="22"/>
      <c r="Q128" s="22"/>
      <c r="R128" s="22"/>
      <c r="S128" s="22"/>
      <c r="T128" s="22"/>
      <c r="U128" s="35"/>
    </row>
    <row r="129" spans="1:21" ht="15" outlineLevel="1" x14ac:dyDescent="0.25">
      <c r="A129" s="85" t="s">
        <v>268</v>
      </c>
      <c r="B129" s="35">
        <v>149.334</v>
      </c>
      <c r="C129" s="30"/>
      <c r="D129" s="30"/>
      <c r="E129" s="26"/>
      <c r="F129" s="22"/>
      <c r="G129" s="22"/>
      <c r="H129" s="22" t="s">
        <v>516</v>
      </c>
      <c r="I129" s="11"/>
      <c r="J129" s="22"/>
      <c r="K129" s="22"/>
      <c r="L129" s="22"/>
      <c r="M129" s="30">
        <v>145</v>
      </c>
      <c r="N129" s="30"/>
      <c r="O129" s="35">
        <f t="shared" si="1"/>
        <v>8.2133699999999994</v>
      </c>
      <c r="P129" s="22"/>
      <c r="Q129" s="22"/>
      <c r="R129" s="22"/>
      <c r="S129" s="22"/>
      <c r="T129" s="22"/>
      <c r="U129" s="35"/>
    </row>
    <row r="130" spans="1:21" ht="15" outlineLevel="1" x14ac:dyDescent="0.25">
      <c r="A130" s="85" t="s">
        <v>269</v>
      </c>
      <c r="B130" s="35">
        <v>17.646000000000001</v>
      </c>
      <c r="C130" s="30"/>
      <c r="D130" s="30"/>
      <c r="E130" s="26"/>
      <c r="F130" s="22"/>
      <c r="G130" s="22"/>
      <c r="H130" s="22" t="s">
        <v>516</v>
      </c>
      <c r="I130" s="11"/>
      <c r="J130" s="22"/>
      <c r="K130" s="22"/>
      <c r="L130" s="22"/>
      <c r="M130" s="30">
        <v>19007</v>
      </c>
      <c r="N130" s="30"/>
      <c r="O130" s="35">
        <f t="shared" si="1"/>
        <v>0.97053</v>
      </c>
      <c r="P130" s="22"/>
      <c r="Q130" s="22"/>
      <c r="R130" s="22"/>
      <c r="S130" s="22"/>
      <c r="T130" s="22"/>
      <c r="U130" s="35"/>
    </row>
    <row r="131" spans="1:21" ht="15" outlineLevel="1" x14ac:dyDescent="0.25">
      <c r="A131" s="85" t="s">
        <v>269</v>
      </c>
      <c r="B131" s="35">
        <v>31.536000000000001</v>
      </c>
      <c r="C131" s="30"/>
      <c r="D131" s="30"/>
      <c r="E131" s="26"/>
      <c r="F131" s="22"/>
      <c r="G131" s="22"/>
      <c r="H131" s="22" t="s">
        <v>516</v>
      </c>
      <c r="I131" s="11"/>
      <c r="J131" s="22"/>
      <c r="K131" s="22"/>
      <c r="L131" s="22"/>
      <c r="M131" s="30">
        <v>18974</v>
      </c>
      <c r="N131" s="30"/>
      <c r="O131" s="35">
        <f t="shared" ref="O131:O194" si="2">B131*$O$1</f>
        <v>1.73448</v>
      </c>
      <c r="P131" s="22"/>
      <c r="Q131" s="22"/>
      <c r="R131" s="22"/>
      <c r="S131" s="22"/>
      <c r="T131" s="22"/>
      <c r="U131" s="35"/>
    </row>
    <row r="132" spans="1:21" ht="15" outlineLevel="1" x14ac:dyDescent="0.25">
      <c r="A132" s="85" t="s">
        <v>269</v>
      </c>
      <c r="B132" s="35">
        <v>176.44200000000001</v>
      </c>
      <c r="C132" s="30"/>
      <c r="D132" s="30"/>
      <c r="E132" s="26"/>
      <c r="F132" s="22"/>
      <c r="G132" s="22"/>
      <c r="H132" s="22" t="s">
        <v>516</v>
      </c>
      <c r="I132" s="11"/>
      <c r="J132" s="22"/>
      <c r="K132" s="22"/>
      <c r="L132" s="22"/>
      <c r="M132" s="30">
        <v>19006</v>
      </c>
      <c r="N132" s="30"/>
      <c r="O132" s="35">
        <f t="shared" si="2"/>
        <v>9.7043100000000013</v>
      </c>
      <c r="P132" s="22"/>
      <c r="Q132" s="22"/>
      <c r="R132" s="22"/>
      <c r="S132" s="22"/>
      <c r="T132" s="22"/>
      <c r="U132" s="35"/>
    </row>
    <row r="133" spans="1:21" ht="15" outlineLevel="1" x14ac:dyDescent="0.25">
      <c r="A133" s="85" t="s">
        <v>269</v>
      </c>
      <c r="B133" s="35">
        <v>244.58399999999997</v>
      </c>
      <c r="C133" s="30"/>
      <c r="D133" s="30"/>
      <c r="E133" s="26"/>
      <c r="F133" s="22"/>
      <c r="G133" s="22"/>
      <c r="H133" s="22" t="s">
        <v>516</v>
      </c>
      <c r="I133" s="11"/>
      <c r="J133" s="22"/>
      <c r="K133" s="22"/>
      <c r="L133" s="22"/>
      <c r="M133" s="30">
        <v>19041</v>
      </c>
      <c r="N133" s="30"/>
      <c r="O133" s="35">
        <f t="shared" si="2"/>
        <v>13.452119999999999</v>
      </c>
      <c r="P133" s="22"/>
      <c r="Q133" s="22"/>
      <c r="R133" s="22"/>
      <c r="S133" s="22"/>
      <c r="T133" s="22"/>
      <c r="U133" s="35"/>
    </row>
    <row r="134" spans="1:21" ht="15" outlineLevel="1" x14ac:dyDescent="0.25">
      <c r="A134" s="85" t="s">
        <v>269</v>
      </c>
      <c r="B134" s="35">
        <v>138.46200000000002</v>
      </c>
      <c r="C134" s="30"/>
      <c r="D134" s="30"/>
      <c r="E134" s="26"/>
      <c r="F134" s="22"/>
      <c r="G134" s="22"/>
      <c r="H134" s="22" t="s">
        <v>516</v>
      </c>
      <c r="I134" s="11"/>
      <c r="J134" s="22"/>
      <c r="K134" s="22"/>
      <c r="L134" s="22"/>
      <c r="M134" s="30">
        <v>18962</v>
      </c>
      <c r="N134" s="30"/>
      <c r="O134" s="35">
        <f t="shared" si="2"/>
        <v>7.6154100000000007</v>
      </c>
      <c r="P134" s="22"/>
      <c r="Q134" s="22"/>
      <c r="R134" s="22"/>
      <c r="S134" s="22"/>
      <c r="T134" s="22"/>
      <c r="U134" s="35"/>
    </row>
    <row r="135" spans="1:21" ht="15" outlineLevel="1" x14ac:dyDescent="0.25">
      <c r="A135" s="85" t="s">
        <v>269</v>
      </c>
      <c r="B135" s="35">
        <v>18.665999999999997</v>
      </c>
      <c r="C135" s="30"/>
      <c r="D135" s="30"/>
      <c r="E135" s="26"/>
      <c r="F135" s="22"/>
      <c r="G135" s="22"/>
      <c r="H135" s="22" t="s">
        <v>516</v>
      </c>
      <c r="I135" s="11"/>
      <c r="J135" s="22"/>
      <c r="K135" s="22"/>
      <c r="L135" s="22"/>
      <c r="M135" s="30">
        <v>19042</v>
      </c>
      <c r="N135" s="30"/>
      <c r="O135" s="35">
        <f t="shared" si="2"/>
        <v>1.0266299999999999</v>
      </c>
      <c r="P135" s="22"/>
      <c r="Q135" s="22"/>
      <c r="R135" s="22"/>
      <c r="S135" s="22"/>
      <c r="T135" s="22"/>
      <c r="U135" s="35"/>
    </row>
    <row r="136" spans="1:21" ht="15" outlineLevel="1" x14ac:dyDescent="0.25">
      <c r="A136" s="85" t="s">
        <v>270</v>
      </c>
      <c r="B136" s="35">
        <v>346.15199999999993</v>
      </c>
      <c r="C136" s="30"/>
      <c r="D136" s="30"/>
      <c r="E136" s="26"/>
      <c r="F136" s="22"/>
      <c r="G136" s="22"/>
      <c r="H136" s="22" t="s">
        <v>516</v>
      </c>
      <c r="I136" s="11"/>
      <c r="J136" s="22"/>
      <c r="K136" s="22"/>
      <c r="L136" s="22"/>
      <c r="M136" s="30">
        <v>19034</v>
      </c>
      <c r="N136" s="30"/>
      <c r="O136" s="35">
        <f t="shared" si="2"/>
        <v>19.038359999999997</v>
      </c>
      <c r="P136" s="22"/>
      <c r="Q136" s="22"/>
      <c r="R136" s="22"/>
      <c r="S136" s="22"/>
      <c r="T136" s="22"/>
      <c r="U136" s="35"/>
    </row>
    <row r="137" spans="1:21" ht="15" outlineLevel="1" x14ac:dyDescent="0.25">
      <c r="A137" s="85" t="s">
        <v>270</v>
      </c>
      <c r="B137" s="35">
        <v>507.68999999999994</v>
      </c>
      <c r="C137" s="30"/>
      <c r="D137" s="30"/>
      <c r="E137" s="26"/>
      <c r="F137" s="22"/>
      <c r="G137" s="22"/>
      <c r="H137" s="22" t="s">
        <v>516</v>
      </c>
      <c r="I137" s="11"/>
      <c r="J137" s="22"/>
      <c r="K137" s="22"/>
      <c r="L137" s="22"/>
      <c r="M137" s="30">
        <v>44705</v>
      </c>
      <c r="N137" s="30"/>
      <c r="O137" s="35">
        <f t="shared" si="2"/>
        <v>27.922949999999997</v>
      </c>
      <c r="P137" s="22"/>
      <c r="Q137" s="22"/>
      <c r="R137" s="22"/>
      <c r="S137" s="22"/>
      <c r="T137" s="22"/>
      <c r="U137" s="35"/>
    </row>
    <row r="138" spans="1:21" ht="15" outlineLevel="1" x14ac:dyDescent="0.25">
      <c r="A138" s="85" t="s">
        <v>271</v>
      </c>
      <c r="B138" s="35">
        <v>9.66</v>
      </c>
      <c r="C138" s="30"/>
      <c r="D138" s="30"/>
      <c r="E138" s="26"/>
      <c r="F138" s="22"/>
      <c r="G138" s="22"/>
      <c r="H138" s="22" t="s">
        <v>516</v>
      </c>
      <c r="I138" s="11"/>
      <c r="J138" s="22"/>
      <c r="K138" s="22"/>
      <c r="L138" s="22"/>
      <c r="M138" s="30">
        <v>18797</v>
      </c>
      <c r="N138" s="30"/>
      <c r="O138" s="35">
        <f t="shared" si="2"/>
        <v>0.53129999999999999</v>
      </c>
      <c r="P138" s="22"/>
      <c r="Q138" s="22"/>
      <c r="R138" s="22"/>
      <c r="S138" s="22"/>
      <c r="T138" s="22"/>
      <c r="U138" s="35"/>
    </row>
    <row r="139" spans="1:21" ht="15" outlineLevel="1" x14ac:dyDescent="0.25">
      <c r="A139" s="85" t="s">
        <v>271</v>
      </c>
      <c r="B139" s="35">
        <v>57.96</v>
      </c>
      <c r="C139" s="30"/>
      <c r="D139" s="30"/>
      <c r="E139" s="26"/>
      <c r="F139" s="22"/>
      <c r="G139" s="22"/>
      <c r="H139" s="22" t="s">
        <v>516</v>
      </c>
      <c r="I139" s="11"/>
      <c r="J139" s="22"/>
      <c r="K139" s="22"/>
      <c r="L139" s="22"/>
      <c r="M139" s="30">
        <v>18887</v>
      </c>
      <c r="N139" s="30"/>
      <c r="O139" s="35">
        <f t="shared" si="2"/>
        <v>3.1878000000000002</v>
      </c>
      <c r="P139" s="22"/>
      <c r="Q139" s="22"/>
      <c r="R139" s="22"/>
      <c r="S139" s="22"/>
      <c r="T139" s="22"/>
      <c r="U139" s="35"/>
    </row>
    <row r="140" spans="1:21" ht="15" outlineLevel="1" x14ac:dyDescent="0.25">
      <c r="A140" s="85" t="s">
        <v>271</v>
      </c>
      <c r="B140" s="35">
        <v>19.32</v>
      </c>
      <c r="C140" s="30"/>
      <c r="D140" s="30"/>
      <c r="E140" s="26"/>
      <c r="F140" s="22"/>
      <c r="G140" s="22"/>
      <c r="H140" s="22" t="s">
        <v>516</v>
      </c>
      <c r="I140" s="11"/>
      <c r="J140" s="22"/>
      <c r="K140" s="22"/>
      <c r="L140" s="22"/>
      <c r="M140" s="30">
        <v>18827</v>
      </c>
      <c r="N140" s="30"/>
      <c r="O140" s="35">
        <f t="shared" si="2"/>
        <v>1.0626</v>
      </c>
      <c r="P140" s="22"/>
      <c r="Q140" s="22"/>
      <c r="R140" s="22"/>
      <c r="S140" s="22"/>
      <c r="T140" s="22"/>
      <c r="U140" s="35"/>
    </row>
    <row r="141" spans="1:21" ht="15" outlineLevel="1" x14ac:dyDescent="0.25">
      <c r="A141" s="85" t="s">
        <v>271</v>
      </c>
      <c r="B141" s="35">
        <v>207.60000000000002</v>
      </c>
      <c r="C141" s="30"/>
      <c r="D141" s="30"/>
      <c r="E141" s="26"/>
      <c r="F141" s="22"/>
      <c r="G141" s="22"/>
      <c r="H141" s="22" t="s">
        <v>516</v>
      </c>
      <c r="I141" s="11"/>
      <c r="J141" s="22"/>
      <c r="K141" s="22"/>
      <c r="L141" s="22"/>
      <c r="M141" s="30">
        <v>18626</v>
      </c>
      <c r="N141" s="30"/>
      <c r="O141" s="35">
        <f t="shared" si="2"/>
        <v>11.418000000000001</v>
      </c>
      <c r="P141" s="22"/>
      <c r="Q141" s="22"/>
      <c r="R141" s="22"/>
      <c r="S141" s="22"/>
      <c r="T141" s="22"/>
      <c r="U141" s="35"/>
    </row>
    <row r="142" spans="1:21" ht="15" outlineLevel="1" x14ac:dyDescent="0.25">
      <c r="A142" s="85" t="s">
        <v>271</v>
      </c>
      <c r="B142" s="35">
        <v>67.62</v>
      </c>
      <c r="C142" s="30"/>
      <c r="D142" s="30"/>
      <c r="E142" s="26"/>
      <c r="F142" s="22"/>
      <c r="G142" s="22"/>
      <c r="H142" s="22" t="s">
        <v>516</v>
      </c>
      <c r="I142" s="11"/>
      <c r="J142" s="22"/>
      <c r="K142" s="22"/>
      <c r="L142" s="22"/>
      <c r="M142" s="30">
        <v>18949</v>
      </c>
      <c r="N142" s="30"/>
      <c r="O142" s="35">
        <f t="shared" si="2"/>
        <v>3.7191000000000001</v>
      </c>
      <c r="P142" s="22"/>
      <c r="Q142" s="22"/>
      <c r="R142" s="22"/>
      <c r="S142" s="22"/>
      <c r="T142" s="22"/>
      <c r="U142" s="35"/>
    </row>
    <row r="143" spans="1:21" ht="15" outlineLevel="1" x14ac:dyDescent="0.25">
      <c r="A143" s="85" t="s">
        <v>271</v>
      </c>
      <c r="B143" s="35">
        <v>189.45</v>
      </c>
      <c r="C143" s="30"/>
      <c r="D143" s="30"/>
      <c r="E143" s="26"/>
      <c r="F143" s="22"/>
      <c r="G143" s="22"/>
      <c r="H143" s="22" t="s">
        <v>516</v>
      </c>
      <c r="I143" s="11"/>
      <c r="J143" s="22"/>
      <c r="K143" s="22"/>
      <c r="L143" s="22"/>
      <c r="M143" s="30">
        <v>18918</v>
      </c>
      <c r="N143" s="30"/>
      <c r="O143" s="35">
        <f t="shared" si="2"/>
        <v>10.419749999999999</v>
      </c>
      <c r="P143" s="22"/>
      <c r="Q143" s="22"/>
      <c r="R143" s="22"/>
      <c r="S143" s="22"/>
      <c r="T143" s="22"/>
      <c r="U143" s="35"/>
    </row>
    <row r="144" spans="1:21" ht="15" outlineLevel="1" x14ac:dyDescent="0.25">
      <c r="A144" s="85" t="s">
        <v>271</v>
      </c>
      <c r="B144" s="35">
        <v>207.60000000000002</v>
      </c>
      <c r="C144" s="30"/>
      <c r="D144" s="30"/>
      <c r="E144" s="26"/>
      <c r="F144" s="22"/>
      <c r="G144" s="22"/>
      <c r="H144" s="22" t="s">
        <v>516</v>
      </c>
      <c r="I144" s="11"/>
      <c r="J144" s="22"/>
      <c r="K144" s="22"/>
      <c r="L144" s="22"/>
      <c r="M144" s="30">
        <v>18822</v>
      </c>
      <c r="N144" s="30"/>
      <c r="O144" s="35">
        <f t="shared" si="2"/>
        <v>11.418000000000001</v>
      </c>
      <c r="P144" s="22"/>
      <c r="Q144" s="22"/>
      <c r="R144" s="22"/>
      <c r="S144" s="22"/>
      <c r="T144" s="22"/>
      <c r="U144" s="35"/>
    </row>
    <row r="145" spans="1:21" ht="15" outlineLevel="1" x14ac:dyDescent="0.25">
      <c r="A145" s="85" t="s">
        <v>271</v>
      </c>
      <c r="B145" s="35">
        <v>135.50399999999999</v>
      </c>
      <c r="C145" s="30"/>
      <c r="D145" s="30"/>
      <c r="E145" s="26"/>
      <c r="F145" s="22"/>
      <c r="G145" s="22"/>
      <c r="H145" s="22" t="s">
        <v>516</v>
      </c>
      <c r="I145" s="11"/>
      <c r="J145" s="22"/>
      <c r="K145" s="22"/>
      <c r="L145" s="22"/>
      <c r="M145" s="30">
        <v>18979</v>
      </c>
      <c r="N145" s="30"/>
      <c r="O145" s="35">
        <f t="shared" si="2"/>
        <v>7.4527199999999993</v>
      </c>
      <c r="P145" s="22"/>
      <c r="Q145" s="22"/>
      <c r="R145" s="22"/>
      <c r="S145" s="22"/>
      <c r="T145" s="22"/>
      <c r="U145" s="35"/>
    </row>
    <row r="146" spans="1:21" ht="15" outlineLevel="1" x14ac:dyDescent="0.25">
      <c r="A146" s="85" t="s">
        <v>474</v>
      </c>
      <c r="B146" s="35">
        <v>9.66</v>
      </c>
      <c r="C146" s="30"/>
      <c r="D146" s="30"/>
      <c r="E146" s="26"/>
      <c r="F146" s="22"/>
      <c r="G146" s="22"/>
      <c r="H146" s="22" t="s">
        <v>516</v>
      </c>
      <c r="I146" s="11"/>
      <c r="J146" s="22"/>
      <c r="K146" s="22"/>
      <c r="L146" s="22"/>
      <c r="M146" s="30">
        <v>18989</v>
      </c>
      <c r="N146" s="30"/>
      <c r="O146" s="35">
        <f t="shared" si="2"/>
        <v>0.53129999999999999</v>
      </c>
      <c r="P146" s="22"/>
      <c r="Q146" s="22"/>
      <c r="R146" s="22"/>
      <c r="S146" s="22"/>
      <c r="T146" s="22"/>
      <c r="U146" s="35"/>
    </row>
    <row r="147" spans="1:21" ht="15" outlineLevel="1" x14ac:dyDescent="0.25">
      <c r="A147" s="85" t="s">
        <v>475</v>
      </c>
      <c r="B147" s="35">
        <v>43.47</v>
      </c>
      <c r="C147" s="30"/>
      <c r="D147" s="30"/>
      <c r="E147" s="26"/>
      <c r="F147" s="22"/>
      <c r="G147" s="22"/>
      <c r="H147" s="22" t="s">
        <v>516</v>
      </c>
      <c r="I147" s="11"/>
      <c r="J147" s="22"/>
      <c r="K147" s="22"/>
      <c r="L147" s="22"/>
      <c r="M147" s="30">
        <v>18736</v>
      </c>
      <c r="N147" s="30"/>
      <c r="O147" s="35">
        <f t="shared" si="2"/>
        <v>2.3908499999999999</v>
      </c>
      <c r="P147" s="22"/>
      <c r="Q147" s="22"/>
      <c r="R147" s="22"/>
      <c r="S147" s="22"/>
      <c r="T147" s="22"/>
      <c r="U147" s="35"/>
    </row>
    <row r="148" spans="1:21" ht="15" outlineLevel="1" x14ac:dyDescent="0.25">
      <c r="A148" s="85" t="s">
        <v>273</v>
      </c>
      <c r="B148" s="35">
        <v>57.96</v>
      </c>
      <c r="C148" s="30"/>
      <c r="D148" s="30"/>
      <c r="E148" s="26"/>
      <c r="F148" s="22"/>
      <c r="G148" s="22"/>
      <c r="H148" s="22" t="s">
        <v>516</v>
      </c>
      <c r="I148" s="11"/>
      <c r="J148" s="22"/>
      <c r="K148" s="22"/>
      <c r="L148" s="22"/>
      <c r="M148" s="30">
        <v>19028</v>
      </c>
      <c r="N148" s="30"/>
      <c r="O148" s="35">
        <f t="shared" si="2"/>
        <v>3.1878000000000002</v>
      </c>
      <c r="P148" s="22"/>
      <c r="Q148" s="22"/>
      <c r="R148" s="22"/>
      <c r="S148" s="22"/>
      <c r="T148" s="22"/>
      <c r="U148" s="35"/>
    </row>
    <row r="149" spans="1:21" ht="15" outlineLevel="1" x14ac:dyDescent="0.25">
      <c r="A149" s="85" t="s">
        <v>273</v>
      </c>
      <c r="B149" s="35">
        <v>149.75399999999999</v>
      </c>
      <c r="C149" s="30"/>
      <c r="D149" s="30"/>
      <c r="E149" s="26"/>
      <c r="F149" s="22"/>
      <c r="G149" s="22"/>
      <c r="H149" s="22" t="s">
        <v>516</v>
      </c>
      <c r="I149" s="11"/>
      <c r="J149" s="22"/>
      <c r="K149" s="22"/>
      <c r="L149" s="22"/>
      <c r="M149" s="30">
        <v>18932</v>
      </c>
      <c r="N149" s="30"/>
      <c r="O149" s="35">
        <f t="shared" si="2"/>
        <v>8.2364699999999988</v>
      </c>
      <c r="P149" s="22"/>
      <c r="Q149" s="22"/>
      <c r="R149" s="22"/>
      <c r="S149" s="22"/>
      <c r="T149" s="22"/>
      <c r="U149" s="35"/>
    </row>
    <row r="150" spans="1:21" ht="15" outlineLevel="1" x14ac:dyDescent="0.25">
      <c r="A150" s="85" t="s">
        <v>273</v>
      </c>
      <c r="B150" s="35">
        <v>57.96</v>
      </c>
      <c r="C150" s="30"/>
      <c r="D150" s="30"/>
      <c r="E150" s="26"/>
      <c r="F150" s="22"/>
      <c r="G150" s="22"/>
      <c r="H150" s="22" t="s">
        <v>516</v>
      </c>
      <c r="I150" s="11"/>
      <c r="J150" s="22"/>
      <c r="K150" s="22"/>
      <c r="L150" s="22"/>
      <c r="M150" s="30">
        <v>18983</v>
      </c>
      <c r="N150" s="30"/>
      <c r="O150" s="35">
        <f t="shared" si="2"/>
        <v>3.1878000000000002</v>
      </c>
      <c r="P150" s="22"/>
      <c r="Q150" s="22"/>
      <c r="R150" s="22"/>
      <c r="S150" s="22"/>
      <c r="T150" s="22"/>
      <c r="U150" s="35"/>
    </row>
    <row r="151" spans="1:21" ht="15" outlineLevel="1" x14ac:dyDescent="0.25">
      <c r="A151" s="85" t="s">
        <v>273</v>
      </c>
      <c r="B151" s="35">
        <v>265.56000000000006</v>
      </c>
      <c r="C151" s="30"/>
      <c r="D151" s="30"/>
      <c r="E151" s="26"/>
      <c r="F151" s="22"/>
      <c r="G151" s="22"/>
      <c r="H151" s="22" t="s">
        <v>516</v>
      </c>
      <c r="I151" s="11"/>
      <c r="J151" s="22"/>
      <c r="K151" s="22"/>
      <c r="L151" s="22"/>
      <c r="M151" s="30">
        <v>18829</v>
      </c>
      <c r="N151" s="30"/>
      <c r="O151" s="35">
        <f t="shared" si="2"/>
        <v>14.605800000000004</v>
      </c>
      <c r="P151" s="22"/>
      <c r="Q151" s="22"/>
      <c r="R151" s="22"/>
      <c r="S151" s="22"/>
      <c r="T151" s="22"/>
      <c r="U151" s="35"/>
    </row>
    <row r="152" spans="1:21" ht="15" outlineLevel="1" x14ac:dyDescent="0.25">
      <c r="A152" s="85" t="s">
        <v>273</v>
      </c>
      <c r="B152" s="35">
        <v>254.41800000000001</v>
      </c>
      <c r="C152" s="30"/>
      <c r="D152" s="30"/>
      <c r="E152" s="26"/>
      <c r="F152" s="22"/>
      <c r="G152" s="22"/>
      <c r="H152" s="22" t="s">
        <v>516</v>
      </c>
      <c r="I152" s="11"/>
      <c r="J152" s="22"/>
      <c r="K152" s="22"/>
      <c r="L152" s="22"/>
      <c r="M152" s="30">
        <v>19030</v>
      </c>
      <c r="N152" s="30"/>
      <c r="O152" s="35">
        <f t="shared" si="2"/>
        <v>13.992990000000001</v>
      </c>
      <c r="P152" s="22"/>
      <c r="Q152" s="22"/>
      <c r="R152" s="22"/>
      <c r="S152" s="22"/>
      <c r="T152" s="22"/>
      <c r="U152" s="35"/>
    </row>
    <row r="153" spans="1:21" ht="15" outlineLevel="1" x14ac:dyDescent="0.25">
      <c r="A153" s="85" t="s">
        <v>273</v>
      </c>
      <c r="B153" s="35">
        <v>48.300000000000004</v>
      </c>
      <c r="C153" s="30"/>
      <c r="D153" s="30"/>
      <c r="E153" s="26"/>
      <c r="F153" s="22"/>
      <c r="G153" s="22"/>
      <c r="H153" s="22" t="s">
        <v>516</v>
      </c>
      <c r="I153" s="11"/>
      <c r="J153" s="22"/>
      <c r="K153" s="22"/>
      <c r="L153" s="22"/>
      <c r="M153" s="30">
        <v>19029</v>
      </c>
      <c r="N153" s="30"/>
      <c r="O153" s="35">
        <f t="shared" si="2"/>
        <v>2.6565000000000003</v>
      </c>
      <c r="P153" s="22"/>
      <c r="Q153" s="22"/>
      <c r="R153" s="22"/>
      <c r="S153" s="22"/>
      <c r="T153" s="22"/>
      <c r="U153" s="35"/>
    </row>
    <row r="154" spans="1:21" ht="15" outlineLevel="1" x14ac:dyDescent="0.25">
      <c r="A154" s="85" t="s">
        <v>273</v>
      </c>
      <c r="B154" s="35">
        <v>9.66</v>
      </c>
      <c r="C154" s="30"/>
      <c r="D154" s="30"/>
      <c r="E154" s="26"/>
      <c r="F154" s="22"/>
      <c r="G154" s="22"/>
      <c r="H154" s="22" t="s">
        <v>516</v>
      </c>
      <c r="I154" s="11"/>
      <c r="J154" s="22"/>
      <c r="K154" s="22"/>
      <c r="L154" s="22"/>
      <c r="M154" s="30">
        <v>19011</v>
      </c>
      <c r="N154" s="30"/>
      <c r="O154" s="35">
        <f t="shared" si="2"/>
        <v>0.53129999999999999</v>
      </c>
      <c r="P154" s="22"/>
      <c r="Q154" s="22"/>
      <c r="R154" s="22"/>
      <c r="S154" s="22"/>
      <c r="T154" s="22"/>
      <c r="U154" s="35"/>
    </row>
    <row r="155" spans="1:21" ht="15" outlineLevel="1" x14ac:dyDescent="0.25">
      <c r="A155" s="85" t="s">
        <v>273</v>
      </c>
      <c r="B155" s="35">
        <v>57.96</v>
      </c>
      <c r="C155" s="30"/>
      <c r="D155" s="30"/>
      <c r="E155" s="26"/>
      <c r="F155" s="22"/>
      <c r="G155" s="22"/>
      <c r="H155" s="22" t="s">
        <v>516</v>
      </c>
      <c r="I155" s="11"/>
      <c r="J155" s="22"/>
      <c r="K155" s="22"/>
      <c r="L155" s="22"/>
      <c r="M155" s="30">
        <v>19015</v>
      </c>
      <c r="N155" s="30"/>
      <c r="O155" s="35">
        <f t="shared" si="2"/>
        <v>3.1878000000000002</v>
      </c>
      <c r="P155" s="22"/>
      <c r="Q155" s="22"/>
      <c r="R155" s="22"/>
      <c r="S155" s="22"/>
      <c r="T155" s="22"/>
      <c r="U155" s="35"/>
    </row>
    <row r="156" spans="1:21" ht="15" outlineLevel="1" x14ac:dyDescent="0.25">
      <c r="A156" s="85" t="s">
        <v>273</v>
      </c>
      <c r="B156" s="35">
        <v>48.300000000000004</v>
      </c>
      <c r="C156" s="30"/>
      <c r="D156" s="30"/>
      <c r="E156" s="26"/>
      <c r="F156" s="22"/>
      <c r="G156" s="22"/>
      <c r="H156" s="22" t="s">
        <v>516</v>
      </c>
      <c r="I156" s="11"/>
      <c r="J156" s="22"/>
      <c r="K156" s="22"/>
      <c r="L156" s="22"/>
      <c r="M156" s="30">
        <v>19012</v>
      </c>
      <c r="N156" s="30"/>
      <c r="O156" s="35">
        <f t="shared" si="2"/>
        <v>2.6565000000000003</v>
      </c>
      <c r="P156" s="22"/>
      <c r="Q156" s="22"/>
      <c r="R156" s="22"/>
      <c r="S156" s="22"/>
      <c r="T156" s="22"/>
      <c r="U156" s="35"/>
    </row>
    <row r="157" spans="1:21" ht="15" outlineLevel="1" x14ac:dyDescent="0.25">
      <c r="A157" s="85" t="s">
        <v>273</v>
      </c>
      <c r="B157" s="35">
        <v>48.300000000000004</v>
      </c>
      <c r="C157" s="30"/>
      <c r="D157" s="30"/>
      <c r="E157" s="26"/>
      <c r="F157" s="22"/>
      <c r="G157" s="22"/>
      <c r="H157" s="22" t="s">
        <v>516</v>
      </c>
      <c r="I157" s="11"/>
      <c r="J157" s="22"/>
      <c r="K157" s="22"/>
      <c r="L157" s="22"/>
      <c r="M157" s="30">
        <v>19019</v>
      </c>
      <c r="N157" s="30"/>
      <c r="O157" s="35">
        <f t="shared" si="2"/>
        <v>2.6565000000000003</v>
      </c>
      <c r="P157" s="22"/>
      <c r="Q157" s="22"/>
      <c r="R157" s="22"/>
      <c r="S157" s="22"/>
      <c r="T157" s="22"/>
      <c r="U157" s="35"/>
    </row>
    <row r="158" spans="1:21" ht="15" outlineLevel="1" x14ac:dyDescent="0.25">
      <c r="A158" s="85" t="s">
        <v>273</v>
      </c>
      <c r="B158" s="35">
        <v>9.66</v>
      </c>
      <c r="C158" s="30"/>
      <c r="D158" s="30"/>
      <c r="E158" s="26"/>
      <c r="F158" s="22"/>
      <c r="G158" s="22"/>
      <c r="H158" s="22" t="s">
        <v>516</v>
      </c>
      <c r="I158" s="11"/>
      <c r="J158" s="22"/>
      <c r="K158" s="22"/>
      <c r="L158" s="22"/>
      <c r="M158" s="30">
        <v>19017</v>
      </c>
      <c r="N158" s="30"/>
      <c r="O158" s="35">
        <f t="shared" si="2"/>
        <v>0.53129999999999999</v>
      </c>
      <c r="P158" s="22"/>
      <c r="Q158" s="22"/>
      <c r="R158" s="22"/>
      <c r="S158" s="22"/>
      <c r="T158" s="22"/>
      <c r="U158" s="35"/>
    </row>
    <row r="159" spans="1:21" ht="15" outlineLevel="1" x14ac:dyDescent="0.25">
      <c r="A159" s="85" t="s">
        <v>274</v>
      </c>
      <c r="B159" s="35">
        <v>415.38599999999997</v>
      </c>
      <c r="C159" s="30"/>
      <c r="D159" s="30"/>
      <c r="E159" s="26"/>
      <c r="F159" s="22"/>
      <c r="G159" s="22"/>
      <c r="H159" s="22" t="s">
        <v>516</v>
      </c>
      <c r="I159" s="11"/>
      <c r="J159" s="22"/>
      <c r="K159" s="22"/>
      <c r="L159" s="22"/>
      <c r="M159" s="30">
        <v>18998</v>
      </c>
      <c r="N159" s="30"/>
      <c r="O159" s="35">
        <f t="shared" si="2"/>
        <v>22.846229999999998</v>
      </c>
      <c r="P159" s="22"/>
      <c r="Q159" s="22"/>
      <c r="R159" s="22"/>
      <c r="S159" s="22"/>
      <c r="T159" s="22"/>
      <c r="U159" s="35"/>
    </row>
    <row r="160" spans="1:21" ht="15" outlineLevel="1" x14ac:dyDescent="0.25">
      <c r="A160" s="85" t="s">
        <v>275</v>
      </c>
      <c r="B160" s="35">
        <v>21.875999999999998</v>
      </c>
      <c r="C160" s="30"/>
      <c r="D160" s="30"/>
      <c r="E160" s="26"/>
      <c r="F160" s="22"/>
      <c r="G160" s="22"/>
      <c r="H160" s="22" t="s">
        <v>516</v>
      </c>
      <c r="I160" s="11"/>
      <c r="J160" s="22"/>
      <c r="K160" s="22"/>
      <c r="L160" s="22"/>
      <c r="M160" s="30">
        <v>18649</v>
      </c>
      <c r="N160" s="30"/>
      <c r="O160" s="35">
        <f t="shared" si="2"/>
        <v>1.2031799999999999</v>
      </c>
      <c r="P160" s="22"/>
      <c r="Q160" s="22"/>
      <c r="R160" s="22"/>
      <c r="S160" s="22"/>
      <c r="T160" s="22"/>
      <c r="U160" s="35"/>
    </row>
    <row r="161" spans="1:21" ht="15" outlineLevel="1" x14ac:dyDescent="0.25">
      <c r="A161" s="85" t="s">
        <v>276</v>
      </c>
      <c r="B161" s="35">
        <v>160.33199999999999</v>
      </c>
      <c r="C161" s="30"/>
      <c r="D161" s="30"/>
      <c r="E161" s="26"/>
      <c r="F161" s="22"/>
      <c r="G161" s="22"/>
      <c r="H161" s="22" t="s">
        <v>516</v>
      </c>
      <c r="I161" s="11"/>
      <c r="J161" s="22"/>
      <c r="K161" s="22"/>
      <c r="L161" s="22"/>
      <c r="M161" s="30">
        <v>18713</v>
      </c>
      <c r="N161" s="30"/>
      <c r="O161" s="35">
        <f t="shared" si="2"/>
        <v>8.8182600000000004</v>
      </c>
      <c r="P161" s="22"/>
      <c r="Q161" s="22"/>
      <c r="R161" s="22"/>
      <c r="S161" s="22"/>
      <c r="T161" s="22"/>
      <c r="U161" s="35"/>
    </row>
    <row r="162" spans="1:21" ht="15" outlineLevel="1" x14ac:dyDescent="0.25">
      <c r="A162" s="85" t="s">
        <v>276</v>
      </c>
      <c r="B162" s="35">
        <v>21.875999999999998</v>
      </c>
      <c r="C162" s="30"/>
      <c r="D162" s="30"/>
      <c r="E162" s="26"/>
      <c r="F162" s="22"/>
      <c r="G162" s="22"/>
      <c r="H162" s="22" t="s">
        <v>516</v>
      </c>
      <c r="I162" s="11"/>
      <c r="J162" s="22"/>
      <c r="K162" s="22"/>
      <c r="L162" s="22"/>
      <c r="M162" s="30">
        <v>18858</v>
      </c>
      <c r="N162" s="30"/>
      <c r="O162" s="35">
        <f t="shared" si="2"/>
        <v>1.2031799999999999</v>
      </c>
      <c r="P162" s="22"/>
      <c r="Q162" s="22"/>
      <c r="R162" s="22"/>
      <c r="S162" s="22"/>
      <c r="T162" s="22"/>
      <c r="U162" s="35"/>
    </row>
    <row r="163" spans="1:21" ht="15" outlineLevel="1" x14ac:dyDescent="0.25">
      <c r="A163" s="85" t="s">
        <v>276</v>
      </c>
      <c r="B163" s="35">
        <v>57.011999999999993</v>
      </c>
      <c r="C163" s="30"/>
      <c r="D163" s="30"/>
      <c r="E163" s="26"/>
      <c r="F163" s="22"/>
      <c r="G163" s="22"/>
      <c r="H163" s="22" t="s">
        <v>516</v>
      </c>
      <c r="I163" s="11"/>
      <c r="J163" s="22"/>
      <c r="K163" s="22"/>
      <c r="L163" s="22"/>
      <c r="M163" s="30">
        <v>18917</v>
      </c>
      <c r="N163" s="30"/>
      <c r="O163" s="35">
        <f t="shared" si="2"/>
        <v>3.1356599999999997</v>
      </c>
      <c r="P163" s="22"/>
      <c r="Q163" s="22"/>
      <c r="R163" s="22"/>
      <c r="S163" s="22"/>
      <c r="T163" s="22"/>
      <c r="U163" s="35"/>
    </row>
    <row r="164" spans="1:21" ht="15" outlineLevel="1" x14ac:dyDescent="0.25">
      <c r="A164" s="85" t="s">
        <v>276</v>
      </c>
      <c r="B164" s="35">
        <v>21.875999999999998</v>
      </c>
      <c r="C164" s="30"/>
      <c r="D164" s="30"/>
      <c r="E164" s="26"/>
      <c r="F164" s="22"/>
      <c r="G164" s="22"/>
      <c r="H164" s="22" t="s">
        <v>516</v>
      </c>
      <c r="I164" s="11"/>
      <c r="J164" s="22"/>
      <c r="K164" s="22"/>
      <c r="L164" s="22"/>
      <c r="M164" s="30">
        <v>18850</v>
      </c>
      <c r="N164" s="30"/>
      <c r="O164" s="35">
        <f t="shared" si="2"/>
        <v>1.2031799999999999</v>
      </c>
      <c r="P164" s="22"/>
      <c r="Q164" s="22"/>
      <c r="R164" s="22"/>
      <c r="S164" s="22"/>
      <c r="T164" s="22"/>
      <c r="U164" s="35"/>
    </row>
    <row r="165" spans="1:21" ht="15" outlineLevel="1" x14ac:dyDescent="0.25">
      <c r="A165" s="85" t="s">
        <v>276</v>
      </c>
      <c r="B165" s="35">
        <v>97.494000000000014</v>
      </c>
      <c r="C165" s="30"/>
      <c r="D165" s="30"/>
      <c r="E165" s="26"/>
      <c r="F165" s="22"/>
      <c r="G165" s="22"/>
      <c r="H165" s="22" t="s">
        <v>516</v>
      </c>
      <c r="I165" s="11"/>
      <c r="J165" s="22"/>
      <c r="K165" s="22"/>
      <c r="L165" s="22"/>
      <c r="M165" s="30">
        <v>19039</v>
      </c>
      <c r="N165" s="30"/>
      <c r="O165" s="35">
        <f t="shared" si="2"/>
        <v>5.3621700000000008</v>
      </c>
      <c r="P165" s="22"/>
      <c r="Q165" s="22"/>
      <c r="R165" s="22"/>
      <c r="S165" s="22"/>
      <c r="T165" s="22"/>
      <c r="U165" s="35"/>
    </row>
    <row r="166" spans="1:21" ht="15" outlineLevel="1" x14ac:dyDescent="0.25">
      <c r="A166" s="85" t="s">
        <v>276</v>
      </c>
      <c r="B166" s="35">
        <v>52.931999999999995</v>
      </c>
      <c r="C166" s="30"/>
      <c r="D166" s="30"/>
      <c r="E166" s="26"/>
      <c r="F166" s="22"/>
      <c r="G166" s="22"/>
      <c r="H166" s="22" t="s">
        <v>516</v>
      </c>
      <c r="I166" s="11"/>
      <c r="J166" s="22"/>
      <c r="K166" s="22"/>
      <c r="L166" s="22"/>
      <c r="M166" s="30">
        <v>18942</v>
      </c>
      <c r="N166" s="30"/>
      <c r="O166" s="35">
        <f t="shared" si="2"/>
        <v>2.91126</v>
      </c>
      <c r="P166" s="22"/>
      <c r="Q166" s="22"/>
      <c r="R166" s="22"/>
      <c r="S166" s="22"/>
      <c r="T166" s="22"/>
      <c r="U166" s="35"/>
    </row>
    <row r="167" spans="1:21" ht="15" outlineLevel="1" x14ac:dyDescent="0.25">
      <c r="A167" s="85" t="s">
        <v>276</v>
      </c>
      <c r="B167" s="35">
        <v>113.53200000000001</v>
      </c>
      <c r="C167" s="30"/>
      <c r="D167" s="30"/>
      <c r="E167" s="26"/>
      <c r="F167" s="22"/>
      <c r="G167" s="22"/>
      <c r="H167" s="22" t="s">
        <v>516</v>
      </c>
      <c r="I167" s="11"/>
      <c r="J167" s="22"/>
      <c r="K167" s="22"/>
      <c r="L167" s="22"/>
      <c r="M167" s="30">
        <v>19023</v>
      </c>
      <c r="N167" s="30"/>
      <c r="O167" s="35">
        <f t="shared" si="2"/>
        <v>6.2442600000000006</v>
      </c>
      <c r="P167" s="22"/>
      <c r="Q167" s="22"/>
      <c r="R167" s="22"/>
      <c r="S167" s="22"/>
      <c r="T167" s="22"/>
      <c r="U167" s="35"/>
    </row>
    <row r="168" spans="1:21" ht="15" outlineLevel="1" x14ac:dyDescent="0.25">
      <c r="A168" s="85" t="s">
        <v>276</v>
      </c>
      <c r="B168" s="35">
        <v>146.238</v>
      </c>
      <c r="C168" s="30"/>
      <c r="D168" s="30"/>
      <c r="E168" s="26"/>
      <c r="F168" s="22"/>
      <c r="G168" s="22"/>
      <c r="H168" s="22" t="s">
        <v>516</v>
      </c>
      <c r="I168" s="11"/>
      <c r="J168" s="22"/>
      <c r="K168" s="22"/>
      <c r="L168" s="22"/>
      <c r="M168" s="30">
        <v>18986</v>
      </c>
      <c r="N168" s="30"/>
      <c r="O168" s="35">
        <f t="shared" si="2"/>
        <v>8.0430899999999994</v>
      </c>
      <c r="P168" s="22"/>
      <c r="Q168" s="22"/>
      <c r="R168" s="22"/>
      <c r="S168" s="22"/>
      <c r="T168" s="22"/>
      <c r="U168" s="35"/>
    </row>
    <row r="169" spans="1:21" ht="15" outlineLevel="1" x14ac:dyDescent="0.25">
      <c r="A169" s="85" t="s">
        <v>277</v>
      </c>
      <c r="B169" s="35">
        <v>415.38599999999997</v>
      </c>
      <c r="C169" s="30"/>
      <c r="D169" s="30"/>
      <c r="E169" s="26"/>
      <c r="F169" s="22"/>
      <c r="G169" s="22"/>
      <c r="H169" s="22" t="s">
        <v>516</v>
      </c>
      <c r="I169" s="11"/>
      <c r="J169" s="22"/>
      <c r="K169" s="22"/>
      <c r="L169" s="22"/>
      <c r="M169" s="30">
        <v>19031</v>
      </c>
      <c r="N169" s="30"/>
      <c r="O169" s="35">
        <f t="shared" si="2"/>
        <v>22.846229999999998</v>
      </c>
      <c r="P169" s="22"/>
      <c r="Q169" s="22"/>
      <c r="R169" s="22"/>
      <c r="S169" s="22"/>
      <c r="T169" s="22"/>
      <c r="U169" s="35"/>
    </row>
    <row r="170" spans="1:21" ht="15" outlineLevel="1" x14ac:dyDescent="0.25">
      <c r="A170" s="85" t="s">
        <v>278</v>
      </c>
      <c r="B170" s="35">
        <v>21.875999999999998</v>
      </c>
      <c r="C170" s="30"/>
      <c r="D170" s="30"/>
      <c r="E170" s="26"/>
      <c r="F170" s="22"/>
      <c r="G170" s="22"/>
      <c r="H170" s="22" t="s">
        <v>516</v>
      </c>
      <c r="I170" s="11"/>
      <c r="J170" s="22"/>
      <c r="K170" s="22"/>
      <c r="L170" s="22"/>
      <c r="M170" s="30">
        <v>18442</v>
      </c>
      <c r="N170" s="30"/>
      <c r="O170" s="35">
        <f t="shared" si="2"/>
        <v>1.2031799999999999</v>
      </c>
      <c r="P170" s="22"/>
      <c r="Q170" s="22"/>
      <c r="R170" s="22"/>
      <c r="S170" s="22"/>
      <c r="T170" s="22"/>
      <c r="U170" s="35"/>
    </row>
    <row r="171" spans="1:21" ht="15" outlineLevel="1" x14ac:dyDescent="0.25">
      <c r="A171" s="85" t="s">
        <v>279</v>
      </c>
      <c r="B171" s="35">
        <v>21.875999999999998</v>
      </c>
      <c r="C171" s="30"/>
      <c r="D171" s="30"/>
      <c r="E171" s="26"/>
      <c r="F171" s="22"/>
      <c r="G171" s="22"/>
      <c r="H171" s="22" t="s">
        <v>516</v>
      </c>
      <c r="I171" s="11"/>
      <c r="J171" s="22"/>
      <c r="K171" s="22"/>
      <c r="L171" s="22"/>
      <c r="M171" s="30">
        <v>18823</v>
      </c>
      <c r="N171" s="30"/>
      <c r="O171" s="35">
        <f t="shared" si="2"/>
        <v>1.2031799999999999</v>
      </c>
      <c r="P171" s="22"/>
      <c r="Q171" s="22"/>
      <c r="R171" s="22"/>
      <c r="S171" s="22"/>
      <c r="T171" s="22"/>
      <c r="U171" s="35"/>
    </row>
    <row r="172" spans="1:21" ht="15" outlineLevel="1" x14ac:dyDescent="0.25">
      <c r="A172" s="85" t="s">
        <v>279</v>
      </c>
      <c r="B172" s="35">
        <v>21.875999999999998</v>
      </c>
      <c r="C172" s="30"/>
      <c r="D172" s="30"/>
      <c r="E172" s="26"/>
      <c r="F172" s="22"/>
      <c r="G172" s="22"/>
      <c r="H172" s="22" t="s">
        <v>516</v>
      </c>
      <c r="I172" s="11"/>
      <c r="J172" s="22"/>
      <c r="K172" s="22"/>
      <c r="L172" s="22"/>
      <c r="M172" s="30">
        <v>261</v>
      </c>
      <c r="N172" s="30"/>
      <c r="O172" s="35">
        <f t="shared" si="2"/>
        <v>1.2031799999999999</v>
      </c>
      <c r="P172" s="22"/>
      <c r="Q172" s="22"/>
      <c r="R172" s="22"/>
      <c r="S172" s="22"/>
      <c r="T172" s="22"/>
      <c r="U172" s="35"/>
    </row>
    <row r="173" spans="1:21" ht="15" outlineLevel="1" x14ac:dyDescent="0.25">
      <c r="A173" s="85" t="s">
        <v>279</v>
      </c>
      <c r="B173" s="35">
        <v>9.66</v>
      </c>
      <c r="C173" s="30"/>
      <c r="D173" s="30"/>
      <c r="E173" s="26"/>
      <c r="F173" s="22"/>
      <c r="G173" s="22"/>
      <c r="H173" s="22" t="s">
        <v>516</v>
      </c>
      <c r="I173" s="11"/>
      <c r="J173" s="22"/>
      <c r="K173" s="22"/>
      <c r="L173" s="22"/>
      <c r="M173" s="30">
        <v>18895</v>
      </c>
      <c r="N173" s="30"/>
      <c r="O173" s="35">
        <f t="shared" si="2"/>
        <v>0.53129999999999999</v>
      </c>
      <c r="P173" s="22"/>
      <c r="Q173" s="22"/>
      <c r="R173" s="22"/>
      <c r="S173" s="22"/>
      <c r="T173" s="22"/>
      <c r="U173" s="35"/>
    </row>
    <row r="174" spans="1:21" ht="15" outlineLevel="1" x14ac:dyDescent="0.25">
      <c r="A174" s="85" t="s">
        <v>484</v>
      </c>
      <c r="B174" s="35">
        <v>9.66</v>
      </c>
      <c r="C174" s="30"/>
      <c r="D174" s="30"/>
      <c r="E174" s="26"/>
      <c r="F174" s="22"/>
      <c r="G174" s="22"/>
      <c r="H174" s="22" t="s">
        <v>516</v>
      </c>
      <c r="I174" s="11"/>
      <c r="J174" s="22"/>
      <c r="K174" s="22"/>
      <c r="L174" s="22"/>
      <c r="M174" s="30">
        <v>18561</v>
      </c>
      <c r="N174" s="30"/>
      <c r="O174" s="35">
        <f t="shared" si="2"/>
        <v>0.53129999999999999</v>
      </c>
      <c r="P174" s="22"/>
      <c r="Q174" s="22"/>
      <c r="R174" s="22"/>
      <c r="S174" s="22"/>
      <c r="T174" s="22"/>
      <c r="U174" s="35"/>
    </row>
    <row r="175" spans="1:21" ht="15" outlineLevel="1" x14ac:dyDescent="0.25">
      <c r="A175" s="85" t="s">
        <v>280</v>
      </c>
      <c r="B175" s="35">
        <v>415.38599999999997</v>
      </c>
      <c r="C175" s="30"/>
      <c r="D175" s="30"/>
      <c r="E175" s="26"/>
      <c r="F175" s="22"/>
      <c r="G175" s="22"/>
      <c r="H175" s="22" t="s">
        <v>516</v>
      </c>
      <c r="I175" s="11"/>
      <c r="J175" s="22"/>
      <c r="K175" s="22"/>
      <c r="L175" s="22"/>
      <c r="M175" s="30">
        <v>18876</v>
      </c>
      <c r="N175" s="30"/>
      <c r="O175" s="35">
        <f t="shared" si="2"/>
        <v>22.846229999999998</v>
      </c>
      <c r="P175" s="22"/>
      <c r="Q175" s="22"/>
      <c r="R175" s="22"/>
      <c r="S175" s="22"/>
      <c r="T175" s="22"/>
      <c r="U175" s="35"/>
    </row>
    <row r="176" spans="1:21" ht="15" outlineLevel="1" x14ac:dyDescent="0.25">
      <c r="A176" s="85" t="s">
        <v>281</v>
      </c>
      <c r="B176" s="35">
        <v>99</v>
      </c>
      <c r="C176" s="30"/>
      <c r="D176" s="30"/>
      <c r="E176" s="26"/>
      <c r="F176" s="22"/>
      <c r="G176" s="22"/>
      <c r="H176" s="22" t="s">
        <v>516</v>
      </c>
      <c r="I176" s="11"/>
      <c r="J176" s="22"/>
      <c r="K176" s="22"/>
      <c r="L176" s="22"/>
      <c r="M176" s="30">
        <v>18726</v>
      </c>
      <c r="N176" s="30"/>
      <c r="O176" s="35">
        <f t="shared" si="2"/>
        <v>5.4450000000000003</v>
      </c>
      <c r="P176" s="22"/>
      <c r="Q176" s="22"/>
      <c r="R176" s="22"/>
      <c r="S176" s="22"/>
      <c r="T176" s="22"/>
      <c r="U176" s="35"/>
    </row>
    <row r="177" spans="1:21" ht="15" outlineLevel="1" x14ac:dyDescent="0.25">
      <c r="A177" s="85" t="s">
        <v>282</v>
      </c>
      <c r="B177" s="35">
        <v>180</v>
      </c>
      <c r="C177" s="30"/>
      <c r="D177" s="30"/>
      <c r="E177" s="26"/>
      <c r="F177" s="22"/>
      <c r="G177" s="22"/>
      <c r="H177" s="22" t="s">
        <v>516</v>
      </c>
      <c r="I177" s="11"/>
      <c r="J177" s="22"/>
      <c r="K177" s="22"/>
      <c r="L177" s="22"/>
      <c r="M177" s="30">
        <v>18946</v>
      </c>
      <c r="N177" s="30"/>
      <c r="O177" s="35">
        <f t="shared" si="2"/>
        <v>9.9</v>
      </c>
      <c r="P177" s="22"/>
      <c r="Q177" s="22"/>
      <c r="R177" s="22"/>
      <c r="S177" s="22"/>
      <c r="T177" s="22"/>
      <c r="U177" s="35"/>
    </row>
    <row r="178" spans="1:21" ht="15" outlineLevel="1" x14ac:dyDescent="0.25">
      <c r="A178" s="85" t="s">
        <v>283</v>
      </c>
      <c r="B178" s="35">
        <v>45</v>
      </c>
      <c r="C178" s="30"/>
      <c r="D178" s="30"/>
      <c r="E178" s="26"/>
      <c r="F178" s="22"/>
      <c r="G178" s="22"/>
      <c r="H178" s="22" t="s">
        <v>516</v>
      </c>
      <c r="I178" s="11"/>
      <c r="J178" s="22"/>
      <c r="K178" s="22"/>
      <c r="L178" s="22"/>
      <c r="M178" s="30">
        <v>220</v>
      </c>
      <c r="N178" s="30"/>
      <c r="O178" s="35">
        <f t="shared" si="2"/>
        <v>2.4750000000000001</v>
      </c>
      <c r="P178" s="22"/>
      <c r="Q178" s="22"/>
      <c r="R178" s="22"/>
      <c r="S178" s="22"/>
      <c r="T178" s="22"/>
      <c r="U178" s="35"/>
    </row>
    <row r="179" spans="1:21" ht="15" outlineLevel="1" x14ac:dyDescent="0.25">
      <c r="A179" s="85" t="s">
        <v>284</v>
      </c>
      <c r="B179" s="35">
        <v>240</v>
      </c>
      <c r="C179" s="30"/>
      <c r="D179" s="30"/>
      <c r="E179" s="26"/>
      <c r="F179" s="22"/>
      <c r="G179" s="22"/>
      <c r="H179" s="22" t="s">
        <v>516</v>
      </c>
      <c r="I179" s="11"/>
      <c r="J179" s="22"/>
      <c r="K179" s="22"/>
      <c r="L179" s="22"/>
      <c r="M179" s="30">
        <v>18968</v>
      </c>
      <c r="N179" s="30"/>
      <c r="O179" s="35">
        <f t="shared" si="2"/>
        <v>13.2</v>
      </c>
      <c r="P179" s="22"/>
      <c r="Q179" s="22"/>
      <c r="R179" s="22"/>
      <c r="S179" s="22"/>
      <c r="T179" s="22"/>
      <c r="U179" s="35"/>
    </row>
    <row r="180" spans="1:21" ht="15" outlineLevel="1" x14ac:dyDescent="0.25">
      <c r="A180" s="85" t="s">
        <v>284</v>
      </c>
      <c r="B180" s="35">
        <v>468</v>
      </c>
      <c r="C180" s="30"/>
      <c r="D180" s="30"/>
      <c r="E180" s="26"/>
      <c r="F180" s="22"/>
      <c r="G180" s="22"/>
      <c r="H180" s="22" t="s">
        <v>516</v>
      </c>
      <c r="I180" s="11"/>
      <c r="J180" s="22"/>
      <c r="K180" s="22"/>
      <c r="L180" s="22"/>
      <c r="M180" s="30">
        <v>18550</v>
      </c>
      <c r="N180" s="30"/>
      <c r="O180" s="35">
        <f t="shared" si="2"/>
        <v>25.74</v>
      </c>
      <c r="P180" s="22"/>
      <c r="Q180" s="22"/>
      <c r="R180" s="22"/>
      <c r="S180" s="22"/>
      <c r="T180" s="22"/>
      <c r="U180" s="35"/>
    </row>
    <row r="181" spans="1:21" ht="15" outlineLevel="1" x14ac:dyDescent="0.25">
      <c r="A181" s="85" t="s">
        <v>293</v>
      </c>
      <c r="B181" s="35">
        <v>516</v>
      </c>
      <c r="C181" s="30"/>
      <c r="D181" s="30"/>
      <c r="E181" s="26"/>
      <c r="F181" s="22"/>
      <c r="G181" s="22"/>
      <c r="H181" s="22" t="s">
        <v>516</v>
      </c>
      <c r="I181" s="11"/>
      <c r="J181" s="22"/>
      <c r="K181" s="22"/>
      <c r="L181" s="22"/>
      <c r="M181" s="30">
        <v>18957</v>
      </c>
      <c r="N181" s="30"/>
      <c r="O181" s="35">
        <f t="shared" si="2"/>
        <v>28.38</v>
      </c>
      <c r="P181" s="22"/>
      <c r="Q181" s="22"/>
      <c r="R181" s="22"/>
      <c r="S181" s="22"/>
      <c r="T181" s="22"/>
      <c r="U181" s="35"/>
    </row>
    <row r="182" spans="1:21" ht="15" outlineLevel="1" x14ac:dyDescent="0.25">
      <c r="A182" s="85" t="s">
        <v>285</v>
      </c>
      <c r="B182" s="35">
        <v>90</v>
      </c>
      <c r="C182" s="30"/>
      <c r="D182" s="30"/>
      <c r="E182" s="26"/>
      <c r="F182" s="22"/>
      <c r="G182" s="22"/>
      <c r="H182" s="22" t="s">
        <v>516</v>
      </c>
      <c r="I182" s="11"/>
      <c r="J182" s="22"/>
      <c r="K182" s="22"/>
      <c r="L182" s="22"/>
      <c r="M182" s="30">
        <v>261</v>
      </c>
      <c r="N182" s="30"/>
      <c r="O182" s="35">
        <f t="shared" si="2"/>
        <v>4.95</v>
      </c>
      <c r="P182" s="22"/>
      <c r="Q182" s="22"/>
      <c r="R182" s="22"/>
      <c r="S182" s="22"/>
      <c r="T182" s="22"/>
      <c r="U182" s="35"/>
    </row>
    <row r="183" spans="1:21" ht="15" outlineLevel="1" x14ac:dyDescent="0.25">
      <c r="A183" s="85" t="s">
        <v>281</v>
      </c>
      <c r="B183" s="35">
        <v>262.53000000000003</v>
      </c>
      <c r="C183" s="30"/>
      <c r="D183" s="30"/>
      <c r="E183" s="26"/>
      <c r="F183" s="22"/>
      <c r="G183" s="22"/>
      <c r="H183" s="22" t="s">
        <v>516</v>
      </c>
      <c r="I183" s="11"/>
      <c r="J183" s="22"/>
      <c r="K183" s="22"/>
      <c r="L183" s="22"/>
      <c r="M183" s="30">
        <v>18647</v>
      </c>
      <c r="N183" s="30"/>
      <c r="O183" s="35">
        <f t="shared" si="2"/>
        <v>14.439150000000001</v>
      </c>
      <c r="P183" s="22"/>
      <c r="Q183" s="22"/>
      <c r="R183" s="22"/>
      <c r="S183" s="22"/>
      <c r="T183" s="22"/>
      <c r="U183" s="35"/>
    </row>
    <row r="184" spans="1:21" ht="15" outlineLevel="1" x14ac:dyDescent="0.25">
      <c r="A184" s="85" t="s">
        <v>281</v>
      </c>
      <c r="B184" s="35">
        <v>266.53800000000001</v>
      </c>
      <c r="C184" s="30"/>
      <c r="D184" s="30"/>
      <c r="E184" s="26"/>
      <c r="F184" s="22"/>
      <c r="G184" s="22"/>
      <c r="H184" s="22" t="s">
        <v>516</v>
      </c>
      <c r="I184" s="11"/>
      <c r="J184" s="22"/>
      <c r="K184" s="22"/>
      <c r="L184" s="22"/>
      <c r="M184" s="30">
        <v>18871</v>
      </c>
      <c r="N184" s="30"/>
      <c r="O184" s="35">
        <f t="shared" si="2"/>
        <v>14.659590000000001</v>
      </c>
      <c r="P184" s="22"/>
      <c r="Q184" s="22"/>
      <c r="R184" s="22"/>
      <c r="S184" s="22"/>
      <c r="T184" s="22"/>
      <c r="U184" s="35"/>
    </row>
    <row r="185" spans="1:21" ht="15" outlineLevel="1" x14ac:dyDescent="0.25">
      <c r="A185" s="85" t="s">
        <v>281</v>
      </c>
      <c r="B185" s="35">
        <v>339.23400000000004</v>
      </c>
      <c r="C185" s="30"/>
      <c r="D185" s="30"/>
      <c r="E185" s="26"/>
      <c r="F185" s="22"/>
      <c r="G185" s="22"/>
      <c r="H185" s="22" t="s">
        <v>516</v>
      </c>
      <c r="I185" s="11"/>
      <c r="J185" s="22"/>
      <c r="K185" s="22"/>
      <c r="L185" s="22"/>
      <c r="M185" s="30">
        <v>18517</v>
      </c>
      <c r="N185" s="30"/>
      <c r="O185" s="35">
        <f t="shared" si="2"/>
        <v>18.657870000000003</v>
      </c>
      <c r="P185" s="22"/>
      <c r="Q185" s="22"/>
      <c r="R185" s="22"/>
      <c r="S185" s="22"/>
      <c r="T185" s="22"/>
      <c r="U185" s="35"/>
    </row>
    <row r="186" spans="1:21" ht="15" outlineLevel="1" x14ac:dyDescent="0.25">
      <c r="A186" s="85" t="s">
        <v>281</v>
      </c>
      <c r="B186" s="35">
        <v>61.787999999999997</v>
      </c>
      <c r="C186" s="30"/>
      <c r="D186" s="30"/>
      <c r="E186" s="26"/>
      <c r="F186" s="22"/>
      <c r="G186" s="22"/>
      <c r="H186" s="22" t="s">
        <v>516</v>
      </c>
      <c r="I186" s="11"/>
      <c r="J186" s="22"/>
      <c r="K186" s="22"/>
      <c r="L186" s="22"/>
      <c r="M186" s="30">
        <v>18726</v>
      </c>
      <c r="N186" s="30"/>
      <c r="O186" s="35">
        <f t="shared" si="2"/>
        <v>3.3983399999999997</v>
      </c>
      <c r="P186" s="22"/>
      <c r="Q186" s="22"/>
      <c r="R186" s="22"/>
      <c r="S186" s="22"/>
      <c r="T186" s="22"/>
      <c r="U186" s="35"/>
    </row>
    <row r="187" spans="1:21" ht="15" outlineLevel="1" x14ac:dyDescent="0.25">
      <c r="A187" s="85" t="s">
        <v>286</v>
      </c>
      <c r="B187" s="35">
        <v>242.31000000000003</v>
      </c>
      <c r="C187" s="30"/>
      <c r="D187" s="30"/>
      <c r="E187" s="26"/>
      <c r="F187" s="22"/>
      <c r="G187" s="22"/>
      <c r="H187" s="22" t="s">
        <v>516</v>
      </c>
      <c r="I187" s="11"/>
      <c r="J187" s="22"/>
      <c r="K187" s="22"/>
      <c r="L187" s="22"/>
      <c r="M187" s="30">
        <v>152</v>
      </c>
      <c r="N187" s="30"/>
      <c r="O187" s="35">
        <f t="shared" si="2"/>
        <v>13.327050000000002</v>
      </c>
      <c r="P187" s="22"/>
      <c r="Q187" s="22"/>
      <c r="R187" s="22"/>
      <c r="S187" s="22"/>
      <c r="T187" s="22"/>
      <c r="U187" s="35"/>
    </row>
    <row r="188" spans="1:21" ht="15" outlineLevel="1" x14ac:dyDescent="0.25">
      <c r="A188" s="85" t="s">
        <v>287</v>
      </c>
      <c r="B188" s="35">
        <v>157.5</v>
      </c>
      <c r="C188" s="30"/>
      <c r="D188" s="30"/>
      <c r="E188" s="26"/>
      <c r="F188" s="22"/>
      <c r="G188" s="22"/>
      <c r="H188" s="22" t="s">
        <v>516</v>
      </c>
      <c r="I188" s="11"/>
      <c r="J188" s="22"/>
      <c r="K188" s="22"/>
      <c r="L188" s="22"/>
      <c r="M188" s="30">
        <v>19014</v>
      </c>
      <c r="N188" s="30"/>
      <c r="O188" s="35">
        <f t="shared" si="2"/>
        <v>8.6624999999999996</v>
      </c>
      <c r="P188" s="22"/>
      <c r="Q188" s="22"/>
      <c r="R188" s="22"/>
      <c r="S188" s="22"/>
      <c r="T188" s="22"/>
      <c r="U188" s="35"/>
    </row>
    <row r="189" spans="1:21" ht="15" outlineLevel="1" x14ac:dyDescent="0.25">
      <c r="A189" s="85" t="s">
        <v>287</v>
      </c>
      <c r="B189" s="35">
        <v>36.864000000000004</v>
      </c>
      <c r="C189" s="30"/>
      <c r="D189" s="30"/>
      <c r="E189" s="26"/>
      <c r="F189" s="22"/>
      <c r="G189" s="22"/>
      <c r="H189" s="22" t="s">
        <v>516</v>
      </c>
      <c r="I189" s="11"/>
      <c r="J189" s="22"/>
      <c r="K189" s="22"/>
      <c r="L189" s="22"/>
      <c r="M189" s="30">
        <v>18736</v>
      </c>
      <c r="N189" s="30"/>
      <c r="O189" s="35">
        <f t="shared" si="2"/>
        <v>2.0275200000000004</v>
      </c>
      <c r="P189" s="22"/>
      <c r="Q189" s="22"/>
      <c r="R189" s="22"/>
      <c r="S189" s="22"/>
      <c r="T189" s="22"/>
      <c r="U189" s="35"/>
    </row>
    <row r="190" spans="1:21" ht="15" outlineLevel="1" x14ac:dyDescent="0.25">
      <c r="A190" s="85" t="s">
        <v>282</v>
      </c>
      <c r="B190" s="35">
        <v>300.46199999999999</v>
      </c>
      <c r="C190" s="30"/>
      <c r="D190" s="30"/>
      <c r="E190" s="26"/>
      <c r="F190" s="22"/>
      <c r="G190" s="22"/>
      <c r="H190" s="22" t="s">
        <v>516</v>
      </c>
      <c r="I190" s="11"/>
      <c r="J190" s="22"/>
      <c r="K190" s="22"/>
      <c r="L190" s="22"/>
      <c r="M190" s="30">
        <v>18920</v>
      </c>
      <c r="N190" s="30"/>
      <c r="O190" s="35">
        <f t="shared" si="2"/>
        <v>16.525410000000001</v>
      </c>
      <c r="P190" s="22"/>
      <c r="Q190" s="22"/>
      <c r="R190" s="22"/>
      <c r="S190" s="22"/>
      <c r="T190" s="22"/>
      <c r="U190" s="35"/>
    </row>
    <row r="191" spans="1:21" ht="15" outlineLevel="1" x14ac:dyDescent="0.25">
      <c r="A191" s="85" t="s">
        <v>282</v>
      </c>
      <c r="B191" s="35">
        <v>169.61399999999998</v>
      </c>
      <c r="C191" s="30"/>
      <c r="D191" s="30"/>
      <c r="E191" s="26"/>
      <c r="F191" s="22"/>
      <c r="G191" s="22"/>
      <c r="H191" s="22" t="s">
        <v>516</v>
      </c>
      <c r="I191" s="11"/>
      <c r="J191" s="22"/>
      <c r="K191" s="22"/>
      <c r="L191" s="22"/>
      <c r="M191" s="30">
        <v>18988</v>
      </c>
      <c r="N191" s="30"/>
      <c r="O191" s="35">
        <f t="shared" si="2"/>
        <v>9.3287699999999987</v>
      </c>
      <c r="P191" s="22"/>
      <c r="Q191" s="22"/>
      <c r="R191" s="22"/>
      <c r="S191" s="22"/>
      <c r="T191" s="22"/>
      <c r="U191" s="35"/>
    </row>
    <row r="192" spans="1:21" ht="15" outlineLevel="1" x14ac:dyDescent="0.25">
      <c r="A192" s="85" t="s">
        <v>282</v>
      </c>
      <c r="B192" s="35">
        <v>176.88600000000002</v>
      </c>
      <c r="C192" s="30"/>
      <c r="D192" s="30"/>
      <c r="E192" s="26"/>
      <c r="F192" s="22"/>
      <c r="G192" s="22"/>
      <c r="H192" s="22" t="s">
        <v>516</v>
      </c>
      <c r="I192" s="11"/>
      <c r="J192" s="22"/>
      <c r="K192" s="22"/>
      <c r="L192" s="22"/>
      <c r="M192" s="30">
        <v>18721</v>
      </c>
      <c r="N192" s="30"/>
      <c r="O192" s="35">
        <f t="shared" si="2"/>
        <v>9.7287300000000005</v>
      </c>
      <c r="P192" s="22"/>
      <c r="Q192" s="22"/>
      <c r="R192" s="22"/>
      <c r="S192" s="22"/>
      <c r="T192" s="22"/>
      <c r="U192" s="35"/>
    </row>
    <row r="193" spans="1:21" ht="15" outlineLevel="1" x14ac:dyDescent="0.25">
      <c r="A193" s="85" t="s">
        <v>282</v>
      </c>
      <c r="B193" s="35">
        <v>145.38600000000002</v>
      </c>
      <c r="C193" s="30"/>
      <c r="D193" s="30"/>
      <c r="E193" s="26"/>
      <c r="F193" s="22"/>
      <c r="G193" s="22"/>
      <c r="H193" s="22" t="s">
        <v>516</v>
      </c>
      <c r="I193" s="11"/>
      <c r="J193" s="22"/>
      <c r="K193" s="22"/>
      <c r="L193" s="22"/>
      <c r="M193" s="30">
        <v>18995</v>
      </c>
      <c r="N193" s="30"/>
      <c r="O193" s="35">
        <f t="shared" si="2"/>
        <v>7.9962300000000015</v>
      </c>
      <c r="P193" s="22"/>
      <c r="Q193" s="22"/>
      <c r="R193" s="22"/>
      <c r="S193" s="22"/>
      <c r="T193" s="22"/>
      <c r="U193" s="35"/>
    </row>
    <row r="194" spans="1:21" ht="15" outlineLevel="1" x14ac:dyDescent="0.25">
      <c r="A194" s="85" t="s">
        <v>282</v>
      </c>
      <c r="B194" s="35">
        <v>152.10599999999999</v>
      </c>
      <c r="C194" s="30"/>
      <c r="D194" s="30"/>
      <c r="E194" s="26"/>
      <c r="F194" s="22"/>
      <c r="G194" s="22"/>
      <c r="H194" s="22" t="s">
        <v>516</v>
      </c>
      <c r="I194" s="11"/>
      <c r="J194" s="22"/>
      <c r="K194" s="22"/>
      <c r="L194" s="22"/>
      <c r="M194" s="30">
        <v>18946</v>
      </c>
      <c r="N194" s="30"/>
      <c r="O194" s="35">
        <f t="shared" si="2"/>
        <v>8.365829999999999</v>
      </c>
      <c r="P194" s="22"/>
      <c r="Q194" s="22"/>
      <c r="R194" s="22"/>
      <c r="S194" s="22"/>
      <c r="T194" s="22"/>
      <c r="U194" s="35"/>
    </row>
    <row r="195" spans="1:21" ht="15" outlineLevel="1" x14ac:dyDescent="0.25">
      <c r="A195" s="85" t="s">
        <v>282</v>
      </c>
      <c r="B195" s="35">
        <v>193.84800000000001</v>
      </c>
      <c r="C195" s="30"/>
      <c r="D195" s="30"/>
      <c r="E195" s="26"/>
      <c r="F195" s="22"/>
      <c r="G195" s="22"/>
      <c r="H195" s="22" t="s">
        <v>516</v>
      </c>
      <c r="I195" s="11"/>
      <c r="J195" s="22"/>
      <c r="K195" s="22"/>
      <c r="L195" s="22"/>
      <c r="M195" s="30">
        <v>18987</v>
      </c>
      <c r="N195" s="30"/>
      <c r="O195" s="35">
        <f t="shared" ref="O195:O258" si="3">B195*$O$1</f>
        <v>10.66164</v>
      </c>
      <c r="P195" s="22"/>
      <c r="Q195" s="22"/>
      <c r="R195" s="22"/>
      <c r="S195" s="22"/>
      <c r="T195" s="22"/>
      <c r="U195" s="35"/>
    </row>
    <row r="196" spans="1:21" ht="15" outlineLevel="1" x14ac:dyDescent="0.25">
      <c r="A196" s="85" t="s">
        <v>283</v>
      </c>
      <c r="B196" s="35">
        <v>202.74</v>
      </c>
      <c r="C196" s="30"/>
      <c r="D196" s="30"/>
      <c r="E196" s="26"/>
      <c r="F196" s="22"/>
      <c r="G196" s="22"/>
      <c r="H196" s="22" t="s">
        <v>516</v>
      </c>
      <c r="I196" s="11"/>
      <c r="J196" s="22"/>
      <c r="K196" s="22"/>
      <c r="L196" s="22"/>
      <c r="M196" s="30">
        <v>220</v>
      </c>
      <c r="N196" s="30"/>
      <c r="O196" s="35">
        <f t="shared" si="3"/>
        <v>11.150700000000001</v>
      </c>
      <c r="P196" s="22"/>
      <c r="Q196" s="22"/>
      <c r="R196" s="22"/>
      <c r="S196" s="22"/>
      <c r="T196" s="22"/>
      <c r="U196" s="35"/>
    </row>
    <row r="197" spans="1:21" ht="15" outlineLevel="1" x14ac:dyDescent="0.25">
      <c r="A197" s="85" t="s">
        <v>288</v>
      </c>
      <c r="B197" s="35">
        <v>339.23400000000004</v>
      </c>
      <c r="C197" s="30"/>
      <c r="D197" s="30"/>
      <c r="E197" s="26"/>
      <c r="F197" s="22"/>
      <c r="G197" s="22"/>
      <c r="H197" s="22" t="s">
        <v>516</v>
      </c>
      <c r="I197" s="11"/>
      <c r="J197" s="22"/>
      <c r="K197" s="22"/>
      <c r="L197" s="22"/>
      <c r="M197" s="30">
        <v>18716</v>
      </c>
      <c r="N197" s="30"/>
      <c r="O197" s="35">
        <f t="shared" si="3"/>
        <v>18.657870000000003</v>
      </c>
      <c r="P197" s="22"/>
      <c r="Q197" s="22"/>
      <c r="R197" s="22"/>
      <c r="S197" s="22"/>
      <c r="T197" s="22"/>
      <c r="U197" s="35"/>
    </row>
    <row r="198" spans="1:21" ht="15" outlineLevel="1" x14ac:dyDescent="0.25">
      <c r="A198" s="85" t="s">
        <v>288</v>
      </c>
      <c r="B198" s="35">
        <v>164.77199999999999</v>
      </c>
      <c r="C198" s="30"/>
      <c r="D198" s="30"/>
      <c r="E198" s="26"/>
      <c r="F198" s="22"/>
      <c r="G198" s="22"/>
      <c r="H198" s="22" t="s">
        <v>516</v>
      </c>
      <c r="I198" s="11"/>
      <c r="J198" s="22"/>
      <c r="K198" s="22"/>
      <c r="L198" s="22"/>
      <c r="M198" s="30">
        <v>18948</v>
      </c>
      <c r="N198" s="30"/>
      <c r="O198" s="35">
        <f t="shared" si="3"/>
        <v>9.0624599999999997</v>
      </c>
      <c r="P198" s="22"/>
      <c r="Q198" s="22"/>
      <c r="R198" s="22"/>
      <c r="S198" s="22"/>
      <c r="T198" s="22"/>
      <c r="U198" s="35"/>
    </row>
    <row r="199" spans="1:21" ht="15" outlineLevel="1" x14ac:dyDescent="0.25">
      <c r="A199" s="85" t="s">
        <v>290</v>
      </c>
      <c r="B199" s="35">
        <v>164.77199999999999</v>
      </c>
      <c r="C199" s="30"/>
      <c r="D199" s="30"/>
      <c r="E199" s="26"/>
      <c r="F199" s="22"/>
      <c r="G199" s="22"/>
      <c r="H199" s="22" t="s">
        <v>516</v>
      </c>
      <c r="I199" s="11"/>
      <c r="J199" s="22"/>
      <c r="K199" s="22"/>
      <c r="L199" s="22"/>
      <c r="M199" s="30">
        <v>18862</v>
      </c>
      <c r="N199" s="30"/>
      <c r="O199" s="35">
        <f t="shared" si="3"/>
        <v>9.0624599999999997</v>
      </c>
      <c r="P199" s="22"/>
      <c r="Q199" s="22"/>
      <c r="R199" s="22"/>
      <c r="S199" s="22"/>
      <c r="T199" s="22"/>
      <c r="U199" s="35"/>
    </row>
    <row r="200" spans="1:21" ht="15" outlineLevel="1" x14ac:dyDescent="0.25">
      <c r="A200" s="85" t="s">
        <v>290</v>
      </c>
      <c r="B200" s="35">
        <v>339.23400000000004</v>
      </c>
      <c r="C200" s="30"/>
      <c r="D200" s="30"/>
      <c r="E200" s="26"/>
      <c r="F200" s="22"/>
      <c r="G200" s="22"/>
      <c r="H200" s="22" t="s">
        <v>516</v>
      </c>
      <c r="I200" s="11"/>
      <c r="J200" s="22"/>
      <c r="K200" s="22"/>
      <c r="L200" s="22"/>
      <c r="M200" s="30">
        <v>18969</v>
      </c>
      <c r="N200" s="30"/>
      <c r="O200" s="35">
        <f t="shared" si="3"/>
        <v>18.657870000000003</v>
      </c>
      <c r="P200" s="22"/>
      <c r="Q200" s="22"/>
      <c r="R200" s="22"/>
      <c r="S200" s="22"/>
      <c r="T200" s="22"/>
      <c r="U200" s="35"/>
    </row>
    <row r="201" spans="1:21" ht="15" outlineLevel="1" x14ac:dyDescent="0.25">
      <c r="A201" s="85" t="s">
        <v>291</v>
      </c>
      <c r="B201" s="35">
        <v>514.452</v>
      </c>
      <c r="C201" s="30"/>
      <c r="D201" s="30"/>
      <c r="E201" s="26"/>
      <c r="F201" s="22"/>
      <c r="G201" s="22"/>
      <c r="H201" s="22" t="s">
        <v>516</v>
      </c>
      <c r="I201" s="11"/>
      <c r="J201" s="22"/>
      <c r="K201" s="22"/>
      <c r="L201" s="22"/>
      <c r="M201" s="30">
        <v>18886</v>
      </c>
      <c r="N201" s="30"/>
      <c r="O201" s="35">
        <f t="shared" si="3"/>
        <v>28.29486</v>
      </c>
      <c r="P201" s="22"/>
      <c r="Q201" s="22"/>
      <c r="R201" s="22"/>
      <c r="S201" s="22"/>
      <c r="T201" s="22"/>
      <c r="U201" s="35"/>
    </row>
    <row r="202" spans="1:21" ht="15" outlineLevel="1" x14ac:dyDescent="0.25">
      <c r="A202" s="85" t="s">
        <v>284</v>
      </c>
      <c r="B202" s="35">
        <v>169.61399999999998</v>
      </c>
      <c r="C202" s="30"/>
      <c r="D202" s="30"/>
      <c r="E202" s="26"/>
      <c r="F202" s="22"/>
      <c r="G202" s="22"/>
      <c r="H202" s="22" t="s">
        <v>516</v>
      </c>
      <c r="I202" s="11"/>
      <c r="J202" s="22"/>
      <c r="K202" s="22"/>
      <c r="L202" s="22"/>
      <c r="M202" s="30">
        <v>18968</v>
      </c>
      <c r="N202" s="30"/>
      <c r="O202" s="35">
        <f t="shared" si="3"/>
        <v>9.3287699999999987</v>
      </c>
      <c r="P202" s="22"/>
      <c r="Q202" s="22"/>
      <c r="R202" s="22"/>
      <c r="S202" s="22"/>
      <c r="T202" s="22"/>
      <c r="U202" s="35"/>
    </row>
    <row r="203" spans="1:21" ht="15" outlineLevel="1" x14ac:dyDescent="0.25">
      <c r="A203" s="85" t="s">
        <v>284</v>
      </c>
      <c r="B203" s="35">
        <v>133.14000000000001</v>
      </c>
      <c r="C203" s="30"/>
      <c r="D203" s="30"/>
      <c r="E203" s="26"/>
      <c r="F203" s="22"/>
      <c r="G203" s="22"/>
      <c r="H203" s="22" t="s">
        <v>516</v>
      </c>
      <c r="I203" s="11"/>
      <c r="J203" s="22"/>
      <c r="K203" s="22"/>
      <c r="L203" s="22"/>
      <c r="M203" s="30">
        <v>19022</v>
      </c>
      <c r="N203" s="30"/>
      <c r="O203" s="35">
        <f t="shared" si="3"/>
        <v>7.3227000000000011</v>
      </c>
      <c r="P203" s="22"/>
      <c r="Q203" s="22"/>
      <c r="R203" s="22"/>
      <c r="S203" s="22"/>
      <c r="T203" s="22"/>
      <c r="U203" s="35"/>
    </row>
    <row r="204" spans="1:21" ht="15" outlineLevel="1" x14ac:dyDescent="0.25">
      <c r="A204" s="85" t="s">
        <v>284</v>
      </c>
      <c r="B204" s="35">
        <v>406.66799999999995</v>
      </c>
      <c r="C204" s="30"/>
      <c r="D204" s="30"/>
      <c r="E204" s="26"/>
      <c r="F204" s="22"/>
      <c r="G204" s="22"/>
      <c r="H204" s="22" t="s">
        <v>516</v>
      </c>
      <c r="I204" s="11"/>
      <c r="J204" s="22"/>
      <c r="K204" s="22"/>
      <c r="L204" s="22"/>
      <c r="M204" s="30">
        <v>18853</v>
      </c>
      <c r="N204" s="30"/>
      <c r="O204" s="35">
        <f t="shared" si="3"/>
        <v>22.366739999999997</v>
      </c>
      <c r="P204" s="22"/>
      <c r="Q204" s="22"/>
      <c r="R204" s="22"/>
      <c r="S204" s="22"/>
      <c r="T204" s="22"/>
      <c r="U204" s="35"/>
    </row>
    <row r="205" spans="1:21" ht="15" outlineLevel="1" x14ac:dyDescent="0.25">
      <c r="A205" s="85" t="s">
        <v>284</v>
      </c>
      <c r="B205" s="35">
        <v>163.536</v>
      </c>
      <c r="C205" s="30"/>
      <c r="D205" s="30"/>
      <c r="E205" s="26"/>
      <c r="F205" s="22"/>
      <c r="G205" s="22"/>
      <c r="H205" s="22" t="s">
        <v>516</v>
      </c>
      <c r="I205" s="11"/>
      <c r="J205" s="22"/>
      <c r="K205" s="22"/>
      <c r="L205" s="22"/>
      <c r="M205" s="30">
        <v>18550</v>
      </c>
      <c r="N205" s="30"/>
      <c r="O205" s="35">
        <f t="shared" si="3"/>
        <v>8.9944799999999994</v>
      </c>
      <c r="P205" s="22"/>
      <c r="Q205" s="22"/>
      <c r="R205" s="22"/>
      <c r="S205" s="22"/>
      <c r="T205" s="22"/>
      <c r="U205" s="35"/>
    </row>
    <row r="206" spans="1:21" ht="15" outlineLevel="1" x14ac:dyDescent="0.25">
      <c r="A206" s="85" t="s">
        <v>284</v>
      </c>
      <c r="B206" s="35">
        <v>205.96199999999999</v>
      </c>
      <c r="C206" s="30"/>
      <c r="D206" s="30"/>
      <c r="E206" s="26"/>
      <c r="F206" s="22"/>
      <c r="G206" s="22"/>
      <c r="H206" s="22" t="s">
        <v>516</v>
      </c>
      <c r="I206" s="11"/>
      <c r="J206" s="22"/>
      <c r="K206" s="22"/>
      <c r="L206" s="22"/>
      <c r="M206" s="30">
        <v>18741</v>
      </c>
      <c r="N206" s="30"/>
      <c r="O206" s="35">
        <f t="shared" si="3"/>
        <v>11.327909999999999</v>
      </c>
      <c r="P206" s="22"/>
      <c r="Q206" s="22"/>
      <c r="R206" s="22"/>
      <c r="S206" s="22"/>
      <c r="T206" s="22"/>
      <c r="U206" s="35"/>
    </row>
    <row r="207" spans="1:21" ht="15" outlineLevel="1" x14ac:dyDescent="0.25">
      <c r="A207" s="85" t="s">
        <v>284</v>
      </c>
      <c r="B207" s="35">
        <v>196.26599999999999</v>
      </c>
      <c r="C207" s="30"/>
      <c r="D207" s="30"/>
      <c r="E207" s="26"/>
      <c r="F207" s="22"/>
      <c r="G207" s="22"/>
      <c r="H207" s="22" t="s">
        <v>516</v>
      </c>
      <c r="I207" s="11"/>
      <c r="J207" s="22"/>
      <c r="K207" s="22"/>
      <c r="L207" s="22"/>
      <c r="M207" s="30">
        <v>19003</v>
      </c>
      <c r="N207" s="30"/>
      <c r="O207" s="35">
        <f t="shared" si="3"/>
        <v>10.79463</v>
      </c>
      <c r="P207" s="22"/>
      <c r="Q207" s="22"/>
      <c r="R207" s="22"/>
      <c r="S207" s="22"/>
      <c r="T207" s="22"/>
      <c r="U207" s="35"/>
    </row>
    <row r="208" spans="1:21" ht="15" outlineLevel="1" x14ac:dyDescent="0.25">
      <c r="A208" s="85" t="s">
        <v>284</v>
      </c>
      <c r="B208" s="35">
        <v>157.5</v>
      </c>
      <c r="C208" s="30"/>
      <c r="D208" s="30"/>
      <c r="E208" s="26"/>
      <c r="F208" s="22"/>
      <c r="G208" s="22"/>
      <c r="H208" s="22" t="s">
        <v>516</v>
      </c>
      <c r="I208" s="11"/>
      <c r="J208" s="22"/>
      <c r="K208" s="22"/>
      <c r="L208" s="22"/>
      <c r="M208" s="30">
        <v>19025</v>
      </c>
      <c r="N208" s="30"/>
      <c r="O208" s="35">
        <f t="shared" si="3"/>
        <v>8.6624999999999996</v>
      </c>
      <c r="P208" s="22"/>
      <c r="Q208" s="22"/>
      <c r="R208" s="22"/>
      <c r="S208" s="22"/>
      <c r="T208" s="22"/>
      <c r="U208" s="35"/>
    </row>
    <row r="209" spans="1:21" ht="15" outlineLevel="1" x14ac:dyDescent="0.25">
      <c r="A209" s="85" t="s">
        <v>292</v>
      </c>
      <c r="B209" s="35">
        <v>161.51400000000001</v>
      </c>
      <c r="C209" s="30"/>
      <c r="D209" s="30"/>
      <c r="E209" s="26"/>
      <c r="F209" s="22"/>
      <c r="G209" s="22"/>
      <c r="H209" s="22" t="s">
        <v>516</v>
      </c>
      <c r="I209" s="11"/>
      <c r="J209" s="22"/>
      <c r="K209" s="22"/>
      <c r="L209" s="22"/>
      <c r="M209" s="30">
        <v>18836</v>
      </c>
      <c r="N209" s="30"/>
      <c r="O209" s="35">
        <f t="shared" si="3"/>
        <v>8.8832700000000013</v>
      </c>
      <c r="P209" s="22"/>
      <c r="Q209" s="22"/>
      <c r="R209" s="22"/>
      <c r="S209" s="22"/>
      <c r="T209" s="22"/>
      <c r="U209" s="35"/>
    </row>
    <row r="210" spans="1:21" ht="15" outlineLevel="1" x14ac:dyDescent="0.25">
      <c r="A210" s="85" t="s">
        <v>292</v>
      </c>
      <c r="B210" s="35">
        <v>159.68399999999997</v>
      </c>
      <c r="C210" s="30"/>
      <c r="D210" s="30"/>
      <c r="E210" s="26"/>
      <c r="F210" s="22"/>
      <c r="G210" s="22"/>
      <c r="H210" s="22" t="s">
        <v>516</v>
      </c>
      <c r="I210" s="11"/>
      <c r="J210" s="22"/>
      <c r="K210" s="22"/>
      <c r="L210" s="22"/>
      <c r="M210" s="30">
        <v>18619</v>
      </c>
      <c r="N210" s="30"/>
      <c r="O210" s="35">
        <f t="shared" si="3"/>
        <v>8.7826199999999979</v>
      </c>
      <c r="P210" s="22"/>
      <c r="Q210" s="22"/>
      <c r="R210" s="22"/>
      <c r="S210" s="22"/>
      <c r="T210" s="22"/>
      <c r="U210" s="35"/>
    </row>
    <row r="211" spans="1:21" ht="15" outlineLevel="1" x14ac:dyDescent="0.25">
      <c r="A211" s="85" t="s">
        <v>457</v>
      </c>
      <c r="B211" s="35">
        <v>79.962000000000018</v>
      </c>
      <c r="C211" s="30"/>
      <c r="D211" s="30"/>
      <c r="E211" s="26"/>
      <c r="F211" s="22"/>
      <c r="G211" s="22"/>
      <c r="H211" s="22" t="s">
        <v>516</v>
      </c>
      <c r="I211" s="11"/>
      <c r="J211" s="22"/>
      <c r="K211" s="22"/>
      <c r="L211" s="22"/>
      <c r="M211" s="30">
        <v>18893</v>
      </c>
      <c r="N211" s="30"/>
      <c r="O211" s="35">
        <f t="shared" si="3"/>
        <v>4.3979100000000013</v>
      </c>
      <c r="P211" s="22"/>
      <c r="Q211" s="22"/>
      <c r="R211" s="22"/>
      <c r="S211" s="22"/>
      <c r="T211" s="22"/>
      <c r="U211" s="35"/>
    </row>
    <row r="212" spans="1:21" ht="15" outlineLevel="1" x14ac:dyDescent="0.25">
      <c r="A212" s="85" t="s">
        <v>457</v>
      </c>
      <c r="B212" s="35">
        <v>79.068000000000012</v>
      </c>
      <c r="C212" s="30"/>
      <c r="D212" s="30"/>
      <c r="E212" s="26"/>
      <c r="F212" s="22"/>
      <c r="G212" s="22"/>
      <c r="H212" s="22" t="s">
        <v>516</v>
      </c>
      <c r="I212" s="11"/>
      <c r="J212" s="22"/>
      <c r="K212" s="22"/>
      <c r="L212" s="22"/>
      <c r="M212" s="30">
        <v>19040</v>
      </c>
      <c r="N212" s="30"/>
      <c r="O212" s="35">
        <f t="shared" si="3"/>
        <v>4.3487400000000003</v>
      </c>
      <c r="P212" s="22"/>
      <c r="Q212" s="22"/>
      <c r="R212" s="22"/>
      <c r="S212" s="22"/>
      <c r="T212" s="22"/>
      <c r="U212" s="35"/>
    </row>
    <row r="213" spans="1:21" ht="15" outlineLevel="1" x14ac:dyDescent="0.25">
      <c r="A213" s="85" t="s">
        <v>293</v>
      </c>
      <c r="B213" s="35">
        <v>163.20600000000002</v>
      </c>
      <c r="C213" s="30"/>
      <c r="D213" s="30"/>
      <c r="E213" s="26"/>
      <c r="F213" s="22"/>
      <c r="G213" s="22"/>
      <c r="H213" s="22" t="s">
        <v>516</v>
      </c>
      <c r="I213" s="11"/>
      <c r="J213" s="22"/>
      <c r="K213" s="22"/>
      <c r="L213" s="22"/>
      <c r="M213" s="30">
        <v>18957</v>
      </c>
      <c r="N213" s="30"/>
      <c r="O213" s="35">
        <f t="shared" si="3"/>
        <v>8.9763300000000008</v>
      </c>
      <c r="P213" s="22"/>
      <c r="Q213" s="22"/>
      <c r="R213" s="22"/>
      <c r="S213" s="22"/>
      <c r="T213" s="22"/>
      <c r="U213" s="35"/>
    </row>
    <row r="214" spans="1:21" ht="15" outlineLevel="1" x14ac:dyDescent="0.25">
      <c r="A214" s="85" t="s">
        <v>293</v>
      </c>
      <c r="B214" s="35">
        <v>146.42400000000001</v>
      </c>
      <c r="C214" s="30"/>
      <c r="D214" s="30"/>
      <c r="E214" s="26"/>
      <c r="F214" s="22"/>
      <c r="G214" s="22"/>
      <c r="H214" s="22" t="s">
        <v>516</v>
      </c>
      <c r="I214" s="11"/>
      <c r="J214" s="22"/>
      <c r="K214" s="22"/>
      <c r="L214" s="22"/>
      <c r="M214" s="30">
        <v>18903</v>
      </c>
      <c r="N214" s="30"/>
      <c r="O214" s="35">
        <f t="shared" si="3"/>
        <v>8.0533200000000011</v>
      </c>
      <c r="P214" s="22"/>
      <c r="Q214" s="22"/>
      <c r="R214" s="22"/>
      <c r="S214" s="22"/>
      <c r="T214" s="22"/>
      <c r="U214" s="35"/>
    </row>
    <row r="215" spans="1:21" ht="15" outlineLevel="1" x14ac:dyDescent="0.25">
      <c r="A215" s="85" t="s">
        <v>293</v>
      </c>
      <c r="B215" s="35">
        <v>94.75800000000001</v>
      </c>
      <c r="C215" s="30"/>
      <c r="D215" s="30"/>
      <c r="E215" s="26"/>
      <c r="F215" s="22"/>
      <c r="G215" s="22"/>
      <c r="H215" s="22" t="s">
        <v>516</v>
      </c>
      <c r="I215" s="11"/>
      <c r="J215" s="22"/>
      <c r="K215" s="22"/>
      <c r="L215" s="22"/>
      <c r="M215" s="30">
        <v>18831</v>
      </c>
      <c r="N215" s="30"/>
      <c r="O215" s="35">
        <f t="shared" si="3"/>
        <v>5.2116900000000008</v>
      </c>
      <c r="P215" s="22"/>
      <c r="Q215" s="22"/>
      <c r="R215" s="22"/>
      <c r="S215" s="22"/>
      <c r="T215" s="22"/>
      <c r="U215" s="35"/>
    </row>
    <row r="216" spans="1:21" ht="15" outlineLevel="1" x14ac:dyDescent="0.25">
      <c r="A216" s="85" t="s">
        <v>293</v>
      </c>
      <c r="B216" s="35">
        <v>169.71600000000001</v>
      </c>
      <c r="C216" s="30"/>
      <c r="D216" s="30"/>
      <c r="E216" s="26"/>
      <c r="F216" s="22"/>
      <c r="G216" s="22"/>
      <c r="H216" s="22" t="s">
        <v>516</v>
      </c>
      <c r="I216" s="11"/>
      <c r="J216" s="22"/>
      <c r="K216" s="22"/>
      <c r="L216" s="22"/>
      <c r="M216" s="30">
        <v>18589</v>
      </c>
      <c r="N216" s="30"/>
      <c r="O216" s="35">
        <f t="shared" si="3"/>
        <v>9.3343800000000012</v>
      </c>
      <c r="P216" s="22"/>
      <c r="Q216" s="22"/>
      <c r="R216" s="22"/>
      <c r="S216" s="22"/>
      <c r="T216" s="22"/>
      <c r="U216" s="35"/>
    </row>
    <row r="217" spans="1:21" ht="15" outlineLevel="1" x14ac:dyDescent="0.25">
      <c r="A217" s="85" t="s">
        <v>293</v>
      </c>
      <c r="B217" s="35">
        <v>116.15400000000001</v>
      </c>
      <c r="C217" s="30"/>
      <c r="D217" s="30"/>
      <c r="E217" s="26"/>
      <c r="F217" s="22"/>
      <c r="G217" s="22"/>
      <c r="H217" s="22" t="s">
        <v>516</v>
      </c>
      <c r="I217" s="11"/>
      <c r="J217" s="22"/>
      <c r="K217" s="22"/>
      <c r="L217" s="22"/>
      <c r="M217" s="30">
        <v>18891</v>
      </c>
      <c r="N217" s="30"/>
      <c r="O217" s="35">
        <f t="shared" si="3"/>
        <v>6.3884700000000008</v>
      </c>
      <c r="P217" s="22"/>
      <c r="Q217" s="22"/>
      <c r="R217" s="22"/>
      <c r="S217" s="22"/>
      <c r="T217" s="22"/>
      <c r="U217" s="35"/>
    </row>
    <row r="218" spans="1:21" ht="15" outlineLevel="1" x14ac:dyDescent="0.25">
      <c r="A218" s="85" t="s">
        <v>293</v>
      </c>
      <c r="B218" s="35">
        <v>158.29199999999997</v>
      </c>
      <c r="C218" s="30"/>
      <c r="D218" s="30"/>
      <c r="E218" s="26"/>
      <c r="F218" s="22"/>
      <c r="G218" s="22"/>
      <c r="H218" s="22" t="s">
        <v>516</v>
      </c>
      <c r="I218" s="11"/>
      <c r="J218" s="22"/>
      <c r="K218" s="22"/>
      <c r="L218" s="22"/>
      <c r="M218" s="30">
        <v>18866</v>
      </c>
      <c r="N218" s="30"/>
      <c r="O218" s="35">
        <f t="shared" si="3"/>
        <v>8.706059999999999</v>
      </c>
      <c r="P218" s="22"/>
      <c r="Q218" s="22"/>
      <c r="R218" s="22"/>
      <c r="S218" s="22"/>
      <c r="T218" s="22"/>
      <c r="U218" s="35"/>
    </row>
    <row r="219" spans="1:21" ht="15" outlineLevel="1" x14ac:dyDescent="0.25">
      <c r="A219" s="85" t="s">
        <v>294</v>
      </c>
      <c r="B219" s="35">
        <v>83.48399999999998</v>
      </c>
      <c r="C219" s="30"/>
      <c r="D219" s="30"/>
      <c r="E219" s="26"/>
      <c r="F219" s="22"/>
      <c r="G219" s="22"/>
      <c r="H219" s="22" t="s">
        <v>516</v>
      </c>
      <c r="I219" s="11"/>
      <c r="J219" s="22"/>
      <c r="K219" s="22"/>
      <c r="L219" s="22"/>
      <c r="M219" s="30">
        <v>18631</v>
      </c>
      <c r="N219" s="30"/>
      <c r="O219" s="35">
        <f t="shared" si="3"/>
        <v>4.5916199999999989</v>
      </c>
      <c r="P219" s="22"/>
      <c r="Q219" s="22"/>
      <c r="R219" s="22"/>
      <c r="S219" s="22"/>
      <c r="T219" s="22"/>
      <c r="U219" s="35"/>
    </row>
    <row r="220" spans="1:21" ht="15" outlineLevel="1" x14ac:dyDescent="0.25">
      <c r="A220" s="85" t="s">
        <v>294</v>
      </c>
      <c r="B220" s="35">
        <v>164.78999999999996</v>
      </c>
      <c r="C220" s="30"/>
      <c r="D220" s="30"/>
      <c r="E220" s="26"/>
      <c r="F220" s="22"/>
      <c r="G220" s="22"/>
      <c r="H220" s="22" t="s">
        <v>516</v>
      </c>
      <c r="I220" s="11"/>
      <c r="J220" s="22"/>
      <c r="K220" s="22"/>
      <c r="L220" s="22"/>
      <c r="M220" s="30">
        <v>18879</v>
      </c>
      <c r="N220" s="30"/>
      <c r="O220" s="35">
        <f t="shared" si="3"/>
        <v>9.0634499999999978</v>
      </c>
      <c r="P220" s="22"/>
      <c r="Q220" s="22"/>
      <c r="R220" s="22"/>
      <c r="S220" s="22"/>
      <c r="T220" s="22"/>
      <c r="U220" s="35"/>
    </row>
    <row r="221" spans="1:21" ht="15" outlineLevel="1" x14ac:dyDescent="0.25">
      <c r="A221" s="85" t="s">
        <v>294</v>
      </c>
      <c r="B221" s="35">
        <v>193.84800000000001</v>
      </c>
      <c r="C221" s="30"/>
      <c r="D221" s="30"/>
      <c r="E221" s="26"/>
      <c r="F221" s="22"/>
      <c r="G221" s="22"/>
      <c r="H221" s="22" t="s">
        <v>516</v>
      </c>
      <c r="I221" s="11"/>
      <c r="J221" s="22"/>
      <c r="K221" s="22"/>
      <c r="L221" s="22"/>
      <c r="M221" s="30">
        <v>18954</v>
      </c>
      <c r="N221" s="30"/>
      <c r="O221" s="35">
        <f t="shared" si="3"/>
        <v>10.66164</v>
      </c>
      <c r="P221" s="22"/>
      <c r="Q221" s="22"/>
      <c r="R221" s="22"/>
      <c r="S221" s="22"/>
      <c r="T221" s="22"/>
      <c r="U221" s="35"/>
    </row>
    <row r="222" spans="1:21" ht="15" outlineLevel="1" x14ac:dyDescent="0.25">
      <c r="A222" s="85" t="s">
        <v>294</v>
      </c>
      <c r="B222" s="35">
        <v>68.358000000000004</v>
      </c>
      <c r="C222" s="30"/>
      <c r="D222" s="30"/>
      <c r="E222" s="26"/>
      <c r="F222" s="22"/>
      <c r="G222" s="22"/>
      <c r="H222" s="22" t="s">
        <v>516</v>
      </c>
      <c r="I222" s="11"/>
      <c r="J222" s="22"/>
      <c r="K222" s="22"/>
      <c r="L222" s="22"/>
      <c r="M222" s="30">
        <v>18</v>
      </c>
      <c r="N222" s="30"/>
      <c r="O222" s="35">
        <f t="shared" si="3"/>
        <v>3.7596900000000004</v>
      </c>
      <c r="P222" s="22"/>
      <c r="Q222" s="22"/>
      <c r="R222" s="22"/>
      <c r="S222" s="22"/>
      <c r="T222" s="22"/>
      <c r="U222" s="35"/>
    </row>
    <row r="223" spans="1:21" ht="15" outlineLevel="1" x14ac:dyDescent="0.25">
      <c r="A223" s="85" t="s">
        <v>295</v>
      </c>
      <c r="B223" s="35">
        <v>182.60399999999998</v>
      </c>
      <c r="C223" s="30"/>
      <c r="D223" s="30"/>
      <c r="E223" s="26"/>
      <c r="F223" s="22"/>
      <c r="G223" s="22"/>
      <c r="H223" s="22" t="s">
        <v>516</v>
      </c>
      <c r="I223" s="11"/>
      <c r="J223" s="22"/>
      <c r="K223" s="22"/>
      <c r="L223" s="22"/>
      <c r="M223" s="30">
        <v>19013</v>
      </c>
      <c r="N223" s="30"/>
      <c r="O223" s="35">
        <f t="shared" si="3"/>
        <v>10.04322</v>
      </c>
      <c r="P223" s="22"/>
      <c r="Q223" s="22"/>
      <c r="R223" s="22"/>
      <c r="S223" s="22"/>
      <c r="T223" s="22"/>
      <c r="U223" s="35"/>
    </row>
    <row r="224" spans="1:21" ht="15" outlineLevel="1" x14ac:dyDescent="0.25">
      <c r="A224" s="85" t="s">
        <v>295</v>
      </c>
      <c r="B224" s="35">
        <v>141.42600000000002</v>
      </c>
      <c r="C224" s="30"/>
      <c r="D224" s="30"/>
      <c r="E224" s="26"/>
      <c r="F224" s="22"/>
      <c r="G224" s="22"/>
      <c r="H224" s="22" t="s">
        <v>516</v>
      </c>
      <c r="I224" s="11"/>
      <c r="J224" s="22"/>
      <c r="K224" s="22"/>
      <c r="L224" s="22"/>
      <c r="M224" s="30">
        <v>18630</v>
      </c>
      <c r="N224" s="30"/>
      <c r="O224" s="35">
        <f t="shared" si="3"/>
        <v>7.7784300000000011</v>
      </c>
      <c r="P224" s="22"/>
      <c r="Q224" s="22"/>
      <c r="R224" s="22"/>
      <c r="S224" s="22"/>
      <c r="T224" s="22"/>
      <c r="U224" s="35"/>
    </row>
    <row r="225" spans="1:21" ht="15" outlineLevel="1" x14ac:dyDescent="0.25">
      <c r="A225" s="85" t="s">
        <v>296</v>
      </c>
      <c r="B225" s="35">
        <v>145.27800000000002</v>
      </c>
      <c r="C225" s="30"/>
      <c r="D225" s="30"/>
      <c r="E225" s="26"/>
      <c r="F225" s="22"/>
      <c r="G225" s="22"/>
      <c r="H225" s="22" t="s">
        <v>516</v>
      </c>
      <c r="I225" s="11"/>
      <c r="J225" s="22"/>
      <c r="K225" s="22"/>
      <c r="L225" s="22"/>
      <c r="M225" s="30">
        <v>18687</v>
      </c>
      <c r="N225" s="30"/>
      <c r="O225" s="35">
        <f t="shared" si="3"/>
        <v>7.9902900000000008</v>
      </c>
      <c r="P225" s="22"/>
      <c r="Q225" s="22"/>
      <c r="R225" s="22"/>
      <c r="S225" s="22"/>
      <c r="T225" s="22"/>
      <c r="U225" s="35"/>
    </row>
    <row r="226" spans="1:21" ht="15" outlineLevel="1" x14ac:dyDescent="0.25">
      <c r="A226" s="85" t="s">
        <v>296</v>
      </c>
      <c r="B226" s="35">
        <v>163.20600000000002</v>
      </c>
      <c r="C226" s="30"/>
      <c r="D226" s="30"/>
      <c r="E226" s="26"/>
      <c r="F226" s="22"/>
      <c r="G226" s="22"/>
      <c r="H226" s="22" t="s">
        <v>516</v>
      </c>
      <c r="I226" s="11"/>
      <c r="J226" s="22"/>
      <c r="K226" s="22"/>
      <c r="L226" s="22"/>
      <c r="M226" s="30">
        <v>18781</v>
      </c>
      <c r="N226" s="30"/>
      <c r="O226" s="35">
        <f t="shared" si="3"/>
        <v>8.9763300000000008</v>
      </c>
      <c r="P226" s="22"/>
      <c r="Q226" s="22"/>
      <c r="R226" s="22"/>
      <c r="S226" s="22"/>
      <c r="T226" s="22"/>
      <c r="U226" s="35"/>
    </row>
    <row r="227" spans="1:21" ht="15" outlineLevel="1" x14ac:dyDescent="0.25">
      <c r="A227" s="85" t="s">
        <v>296</v>
      </c>
      <c r="B227" s="35">
        <v>139.19999999999999</v>
      </c>
      <c r="C227" s="30"/>
      <c r="D227" s="30"/>
      <c r="E227" s="26"/>
      <c r="F227" s="22"/>
      <c r="G227" s="22"/>
      <c r="H227" s="22" t="s">
        <v>516</v>
      </c>
      <c r="I227" s="11"/>
      <c r="J227" s="22"/>
      <c r="K227" s="22"/>
      <c r="L227" s="22"/>
      <c r="M227" s="30">
        <v>18733</v>
      </c>
      <c r="N227" s="30"/>
      <c r="O227" s="35">
        <f t="shared" si="3"/>
        <v>7.6559999999999997</v>
      </c>
      <c r="P227" s="22"/>
      <c r="Q227" s="22"/>
      <c r="R227" s="22"/>
      <c r="S227" s="22"/>
      <c r="T227" s="22"/>
      <c r="U227" s="35"/>
    </row>
    <row r="228" spans="1:21" ht="15" outlineLevel="1" x14ac:dyDescent="0.25">
      <c r="A228" s="85" t="s">
        <v>296</v>
      </c>
      <c r="B228" s="35">
        <v>150.26400000000001</v>
      </c>
      <c r="C228" s="30"/>
      <c r="D228" s="30"/>
      <c r="E228" s="26"/>
      <c r="F228" s="22"/>
      <c r="G228" s="22"/>
      <c r="H228" s="22" t="s">
        <v>516</v>
      </c>
      <c r="I228" s="11"/>
      <c r="J228" s="22"/>
      <c r="K228" s="22"/>
      <c r="L228" s="22"/>
      <c r="M228" s="30">
        <v>18659</v>
      </c>
      <c r="N228" s="30"/>
      <c r="O228" s="35">
        <f t="shared" si="3"/>
        <v>8.264520000000001</v>
      </c>
      <c r="P228" s="22"/>
      <c r="Q228" s="22"/>
      <c r="R228" s="22"/>
      <c r="S228" s="22"/>
      <c r="T228" s="22"/>
      <c r="U228" s="35"/>
    </row>
    <row r="229" spans="1:21" ht="15" outlineLevel="1" x14ac:dyDescent="0.25">
      <c r="A229" s="85" t="s">
        <v>296</v>
      </c>
      <c r="B229" s="35">
        <v>59.514000000000003</v>
      </c>
      <c r="C229" s="30"/>
      <c r="D229" s="30"/>
      <c r="E229" s="26"/>
      <c r="F229" s="22"/>
      <c r="G229" s="22"/>
      <c r="H229" s="22" t="s">
        <v>516</v>
      </c>
      <c r="I229" s="11"/>
      <c r="J229" s="22"/>
      <c r="K229" s="22"/>
      <c r="L229" s="22"/>
      <c r="M229" s="30">
        <v>18960</v>
      </c>
      <c r="N229" s="30"/>
      <c r="O229" s="35">
        <f t="shared" si="3"/>
        <v>3.2732700000000001</v>
      </c>
      <c r="P229" s="22"/>
      <c r="Q229" s="22"/>
      <c r="R229" s="22"/>
      <c r="S229" s="22"/>
      <c r="T229" s="22"/>
      <c r="U229" s="35"/>
    </row>
    <row r="230" spans="1:21" ht="15" outlineLevel="1" x14ac:dyDescent="0.25">
      <c r="A230" s="85" t="s">
        <v>296</v>
      </c>
      <c r="B230" s="35">
        <v>159.99</v>
      </c>
      <c r="C230" s="30"/>
      <c r="D230" s="30"/>
      <c r="E230" s="26"/>
      <c r="F230" s="22"/>
      <c r="G230" s="22"/>
      <c r="H230" s="22" t="s">
        <v>516</v>
      </c>
      <c r="I230" s="11"/>
      <c r="J230" s="22"/>
      <c r="K230" s="22"/>
      <c r="L230" s="22"/>
      <c r="M230" s="30">
        <v>18911</v>
      </c>
      <c r="N230" s="30"/>
      <c r="O230" s="35">
        <f t="shared" si="3"/>
        <v>8.7994500000000002</v>
      </c>
      <c r="P230" s="22"/>
      <c r="Q230" s="22"/>
      <c r="R230" s="22"/>
      <c r="S230" s="22"/>
      <c r="T230" s="22"/>
      <c r="U230" s="35"/>
    </row>
    <row r="231" spans="1:21" ht="15" outlineLevel="1" x14ac:dyDescent="0.25">
      <c r="A231" s="85" t="s">
        <v>296</v>
      </c>
      <c r="B231" s="35">
        <v>164.21999999999997</v>
      </c>
      <c r="C231" s="30"/>
      <c r="D231" s="30"/>
      <c r="E231" s="26"/>
      <c r="F231" s="22"/>
      <c r="G231" s="22"/>
      <c r="H231" s="22" t="s">
        <v>516</v>
      </c>
      <c r="I231" s="11"/>
      <c r="J231" s="22"/>
      <c r="K231" s="22"/>
      <c r="L231" s="22"/>
      <c r="M231" s="30">
        <v>18967</v>
      </c>
      <c r="N231" s="30"/>
      <c r="O231" s="35">
        <f t="shared" si="3"/>
        <v>9.032099999999998</v>
      </c>
      <c r="P231" s="22"/>
      <c r="Q231" s="22"/>
      <c r="R231" s="22"/>
      <c r="S231" s="22"/>
      <c r="T231" s="22"/>
      <c r="U231" s="35"/>
    </row>
    <row r="232" spans="1:21" ht="15" outlineLevel="1" x14ac:dyDescent="0.25">
      <c r="A232" s="85" t="s">
        <v>296</v>
      </c>
      <c r="B232" s="35">
        <v>112.53000000000002</v>
      </c>
      <c r="C232" s="30"/>
      <c r="D232" s="30"/>
      <c r="E232" s="26"/>
      <c r="F232" s="22"/>
      <c r="G232" s="22"/>
      <c r="H232" s="22" t="s">
        <v>516</v>
      </c>
      <c r="I232" s="11"/>
      <c r="J232" s="22"/>
      <c r="K232" s="22"/>
      <c r="L232" s="22"/>
      <c r="M232" s="30">
        <v>19033</v>
      </c>
      <c r="N232" s="30"/>
      <c r="O232" s="35">
        <f t="shared" si="3"/>
        <v>6.1891500000000006</v>
      </c>
      <c r="P232" s="22"/>
      <c r="Q232" s="22"/>
      <c r="R232" s="22"/>
      <c r="S232" s="22"/>
      <c r="T232" s="22"/>
      <c r="U232" s="35"/>
    </row>
    <row r="233" spans="1:21" ht="15" outlineLevel="1" x14ac:dyDescent="0.25">
      <c r="A233" s="85" t="s">
        <v>296</v>
      </c>
      <c r="B233" s="35">
        <v>132.84</v>
      </c>
      <c r="C233" s="30"/>
      <c r="D233" s="30"/>
      <c r="E233" s="26"/>
      <c r="F233" s="22"/>
      <c r="G233" s="22"/>
      <c r="H233" s="22" t="s">
        <v>516</v>
      </c>
      <c r="I233" s="11"/>
      <c r="J233" s="22"/>
      <c r="K233" s="22"/>
      <c r="L233" s="22"/>
      <c r="M233" s="30">
        <v>18892</v>
      </c>
      <c r="N233" s="30"/>
      <c r="O233" s="35">
        <f t="shared" si="3"/>
        <v>7.3062000000000005</v>
      </c>
      <c r="P233" s="22"/>
      <c r="Q233" s="22"/>
      <c r="R233" s="22"/>
      <c r="S233" s="22"/>
      <c r="T233" s="22"/>
      <c r="U233" s="35"/>
    </row>
    <row r="234" spans="1:21" ht="15" outlineLevel="1" x14ac:dyDescent="0.25">
      <c r="A234" s="85" t="s">
        <v>296</v>
      </c>
      <c r="B234" s="35">
        <v>86.927999999999997</v>
      </c>
      <c r="C234" s="30"/>
      <c r="D234" s="30"/>
      <c r="E234" s="26"/>
      <c r="F234" s="22"/>
      <c r="G234" s="22"/>
      <c r="H234" s="22" t="s">
        <v>516</v>
      </c>
      <c r="I234" s="11"/>
      <c r="J234" s="22"/>
      <c r="K234" s="22"/>
      <c r="L234" s="22"/>
      <c r="M234" s="30">
        <v>18894</v>
      </c>
      <c r="N234" s="30"/>
      <c r="O234" s="35">
        <f t="shared" si="3"/>
        <v>4.78104</v>
      </c>
      <c r="P234" s="22"/>
      <c r="Q234" s="22"/>
      <c r="R234" s="22"/>
      <c r="S234" s="22"/>
      <c r="T234" s="22"/>
      <c r="U234" s="35"/>
    </row>
    <row r="235" spans="1:21" ht="15" outlineLevel="1" x14ac:dyDescent="0.25">
      <c r="A235" s="85" t="s">
        <v>296</v>
      </c>
      <c r="B235" s="35">
        <v>254.42400000000004</v>
      </c>
      <c r="C235" s="30"/>
      <c r="D235" s="30"/>
      <c r="E235" s="26"/>
      <c r="F235" s="22"/>
      <c r="G235" s="22"/>
      <c r="H235" s="22" t="s">
        <v>516</v>
      </c>
      <c r="I235" s="11"/>
      <c r="J235" s="22"/>
      <c r="K235" s="22"/>
      <c r="L235" s="22"/>
      <c r="M235" s="30">
        <v>18559</v>
      </c>
      <c r="N235" s="30"/>
      <c r="O235" s="35">
        <f t="shared" si="3"/>
        <v>13.993320000000002</v>
      </c>
      <c r="P235" s="22"/>
      <c r="Q235" s="22"/>
      <c r="R235" s="22"/>
      <c r="S235" s="22"/>
      <c r="T235" s="22"/>
      <c r="U235" s="35"/>
    </row>
    <row r="236" spans="1:21" ht="15" outlineLevel="1" x14ac:dyDescent="0.25">
      <c r="A236" s="85" t="s">
        <v>297</v>
      </c>
      <c r="B236" s="35">
        <v>68.891999999999996</v>
      </c>
      <c r="C236" s="30"/>
      <c r="D236" s="30"/>
      <c r="E236" s="26"/>
      <c r="F236" s="22"/>
      <c r="G236" s="22"/>
      <c r="H236" s="22" t="s">
        <v>516</v>
      </c>
      <c r="I236" s="11"/>
      <c r="J236" s="22"/>
      <c r="K236" s="22"/>
      <c r="L236" s="22"/>
      <c r="M236" s="30">
        <v>141</v>
      </c>
      <c r="N236" s="30"/>
      <c r="O236" s="35">
        <f t="shared" si="3"/>
        <v>3.7890599999999997</v>
      </c>
      <c r="P236" s="22"/>
      <c r="Q236" s="22"/>
      <c r="R236" s="22"/>
      <c r="S236" s="22"/>
      <c r="T236" s="22"/>
      <c r="U236" s="35"/>
    </row>
    <row r="237" spans="1:21" ht="15" outlineLevel="1" x14ac:dyDescent="0.25">
      <c r="A237" s="85" t="s">
        <v>297</v>
      </c>
      <c r="B237" s="35">
        <v>147.738</v>
      </c>
      <c r="C237" s="30"/>
      <c r="D237" s="30"/>
      <c r="E237" s="26"/>
      <c r="F237" s="22"/>
      <c r="G237" s="22"/>
      <c r="H237" s="22" t="s">
        <v>516</v>
      </c>
      <c r="I237" s="11"/>
      <c r="J237" s="22"/>
      <c r="K237" s="22"/>
      <c r="L237" s="22"/>
      <c r="M237" s="30">
        <v>145</v>
      </c>
      <c r="N237" s="30"/>
      <c r="O237" s="35">
        <f t="shared" si="3"/>
        <v>8.1255900000000008</v>
      </c>
      <c r="P237" s="22"/>
      <c r="Q237" s="22"/>
      <c r="R237" s="22"/>
      <c r="S237" s="22"/>
      <c r="T237" s="22"/>
      <c r="U237" s="35"/>
    </row>
    <row r="238" spans="1:21" ht="15" outlineLevel="1" x14ac:dyDescent="0.25">
      <c r="A238" s="85" t="s">
        <v>297</v>
      </c>
      <c r="B238" s="35">
        <v>152.11199999999999</v>
      </c>
      <c r="C238" s="30"/>
      <c r="D238" s="30"/>
      <c r="E238" s="26"/>
      <c r="F238" s="22"/>
      <c r="G238" s="22"/>
      <c r="H238" s="22" t="s">
        <v>516</v>
      </c>
      <c r="I238" s="11"/>
      <c r="J238" s="22"/>
      <c r="K238" s="22"/>
      <c r="L238" s="22"/>
      <c r="M238" s="30">
        <v>18961</v>
      </c>
      <c r="N238" s="30"/>
      <c r="O238" s="35">
        <f t="shared" si="3"/>
        <v>8.3661599999999989</v>
      </c>
      <c r="P238" s="22"/>
      <c r="Q238" s="22"/>
      <c r="R238" s="22"/>
      <c r="S238" s="22"/>
      <c r="T238" s="22"/>
      <c r="U238" s="35"/>
    </row>
    <row r="239" spans="1:21" ht="15" outlineLevel="1" x14ac:dyDescent="0.25">
      <c r="A239" s="85" t="s">
        <v>298</v>
      </c>
      <c r="B239" s="35">
        <v>104.68199999999999</v>
      </c>
      <c r="C239" s="30"/>
      <c r="D239" s="30"/>
      <c r="E239" s="26"/>
      <c r="F239" s="22"/>
      <c r="G239" s="22"/>
      <c r="H239" s="22" t="s">
        <v>516</v>
      </c>
      <c r="I239" s="11"/>
      <c r="J239" s="22"/>
      <c r="K239" s="22"/>
      <c r="L239" s="22"/>
      <c r="M239" s="30">
        <v>18973</v>
      </c>
      <c r="N239" s="30"/>
      <c r="O239" s="35">
        <f t="shared" si="3"/>
        <v>5.757509999999999</v>
      </c>
      <c r="P239" s="22"/>
      <c r="Q239" s="22"/>
      <c r="R239" s="22"/>
      <c r="S239" s="22"/>
      <c r="T239" s="22"/>
      <c r="U239" s="35"/>
    </row>
    <row r="240" spans="1:21" ht="15" outlineLevel="1" x14ac:dyDescent="0.25">
      <c r="A240" s="85" t="s">
        <v>298</v>
      </c>
      <c r="B240" s="35">
        <v>184.87200000000001</v>
      </c>
      <c r="C240" s="30"/>
      <c r="D240" s="30"/>
      <c r="E240" s="26"/>
      <c r="F240" s="22"/>
      <c r="G240" s="22"/>
      <c r="H240" s="22" t="s">
        <v>516</v>
      </c>
      <c r="I240" s="11"/>
      <c r="J240" s="22"/>
      <c r="K240" s="22"/>
      <c r="L240" s="22"/>
      <c r="M240" s="30">
        <v>18974</v>
      </c>
      <c r="N240" s="30"/>
      <c r="O240" s="35">
        <f t="shared" si="3"/>
        <v>10.167960000000001</v>
      </c>
      <c r="P240" s="22"/>
      <c r="Q240" s="22"/>
      <c r="R240" s="22"/>
      <c r="S240" s="22"/>
      <c r="T240" s="22"/>
      <c r="U240" s="35"/>
    </row>
    <row r="241" spans="1:21" ht="15" outlineLevel="1" x14ac:dyDescent="0.25">
      <c r="A241" s="85" t="s">
        <v>298</v>
      </c>
      <c r="B241" s="35">
        <v>118.72199999999999</v>
      </c>
      <c r="C241" s="30"/>
      <c r="D241" s="30"/>
      <c r="E241" s="26"/>
      <c r="F241" s="22"/>
      <c r="G241" s="22"/>
      <c r="H241" s="22" t="s">
        <v>516</v>
      </c>
      <c r="I241" s="11"/>
      <c r="J241" s="22"/>
      <c r="K241" s="22"/>
      <c r="L241" s="22"/>
      <c r="M241" s="30">
        <v>19035</v>
      </c>
      <c r="N241" s="30"/>
      <c r="O241" s="35">
        <f t="shared" si="3"/>
        <v>6.5297099999999997</v>
      </c>
      <c r="P241" s="22"/>
      <c r="Q241" s="22"/>
      <c r="R241" s="22"/>
      <c r="S241" s="22"/>
      <c r="T241" s="22"/>
      <c r="U241" s="35"/>
    </row>
    <row r="242" spans="1:21" ht="15" outlineLevel="1" x14ac:dyDescent="0.25">
      <c r="A242" s="85" t="s">
        <v>298</v>
      </c>
      <c r="B242" s="35">
        <v>15.167999999999999</v>
      </c>
      <c r="C242" s="30"/>
      <c r="D242" s="30"/>
      <c r="E242" s="26"/>
      <c r="F242" s="22"/>
      <c r="G242" s="22"/>
      <c r="H242" s="22" t="s">
        <v>516</v>
      </c>
      <c r="I242" s="11"/>
      <c r="J242" s="22"/>
      <c r="K242" s="22"/>
      <c r="L242" s="22"/>
      <c r="M242" s="30">
        <v>19042</v>
      </c>
      <c r="N242" s="30"/>
      <c r="O242" s="35">
        <f t="shared" si="3"/>
        <v>0.83423999999999998</v>
      </c>
      <c r="P242" s="22"/>
      <c r="Q242" s="22"/>
      <c r="R242" s="22"/>
      <c r="S242" s="22"/>
      <c r="T242" s="22"/>
      <c r="U242" s="35"/>
    </row>
    <row r="243" spans="1:21" ht="15" outlineLevel="1" x14ac:dyDescent="0.25">
      <c r="A243" s="85" t="s">
        <v>298</v>
      </c>
      <c r="B243" s="35">
        <v>74.813999999999993</v>
      </c>
      <c r="C243" s="30"/>
      <c r="D243" s="30"/>
      <c r="E243" s="26"/>
      <c r="F243" s="22"/>
      <c r="G243" s="22"/>
      <c r="H243" s="22" t="s">
        <v>516</v>
      </c>
      <c r="I243" s="11"/>
      <c r="J243" s="22"/>
      <c r="K243" s="22"/>
      <c r="L243" s="22"/>
      <c r="M243" s="30">
        <v>19026</v>
      </c>
      <c r="N243" s="30"/>
      <c r="O243" s="35">
        <f t="shared" si="3"/>
        <v>4.11477</v>
      </c>
      <c r="P243" s="22"/>
      <c r="Q243" s="22"/>
      <c r="R243" s="22"/>
      <c r="S243" s="22"/>
      <c r="T243" s="22"/>
      <c r="U243" s="35"/>
    </row>
    <row r="244" spans="1:21" ht="15" outlineLevel="1" x14ac:dyDescent="0.25">
      <c r="A244" s="85" t="s">
        <v>298</v>
      </c>
      <c r="B244" s="35">
        <v>151.49400000000003</v>
      </c>
      <c r="C244" s="30"/>
      <c r="D244" s="30"/>
      <c r="E244" s="26"/>
      <c r="F244" s="22"/>
      <c r="G244" s="22"/>
      <c r="H244" s="22" t="s">
        <v>516</v>
      </c>
      <c r="I244" s="11"/>
      <c r="J244" s="22"/>
      <c r="K244" s="22"/>
      <c r="L244" s="22"/>
      <c r="M244" s="30">
        <v>19007</v>
      </c>
      <c r="N244" s="30"/>
      <c r="O244" s="35">
        <f t="shared" si="3"/>
        <v>8.3321700000000014</v>
      </c>
      <c r="P244" s="22"/>
      <c r="Q244" s="22"/>
      <c r="R244" s="22"/>
      <c r="S244" s="22"/>
      <c r="T244" s="22"/>
      <c r="U244" s="35"/>
    </row>
    <row r="245" spans="1:21" ht="15" outlineLevel="1" x14ac:dyDescent="0.25">
      <c r="A245" s="85" t="s">
        <v>298</v>
      </c>
      <c r="B245" s="35">
        <v>74.813999999999993</v>
      </c>
      <c r="C245" s="30"/>
      <c r="D245" s="30"/>
      <c r="E245" s="26"/>
      <c r="F245" s="22"/>
      <c r="G245" s="22"/>
      <c r="H245" s="22" t="s">
        <v>516</v>
      </c>
      <c r="I245" s="11"/>
      <c r="J245" s="22"/>
      <c r="K245" s="22"/>
      <c r="L245" s="22"/>
      <c r="M245" s="30">
        <v>19032</v>
      </c>
      <c r="N245" s="30"/>
      <c r="O245" s="35">
        <f t="shared" si="3"/>
        <v>4.11477</v>
      </c>
      <c r="P245" s="22"/>
      <c r="Q245" s="22"/>
      <c r="R245" s="22"/>
      <c r="S245" s="22"/>
      <c r="T245" s="22"/>
      <c r="U245" s="35"/>
    </row>
    <row r="246" spans="1:21" ht="15" outlineLevel="1" x14ac:dyDescent="0.25">
      <c r="A246" s="85" t="s">
        <v>298</v>
      </c>
      <c r="B246" s="35">
        <v>129.63</v>
      </c>
      <c r="C246" s="30"/>
      <c r="D246" s="30"/>
      <c r="E246" s="26"/>
      <c r="F246" s="22"/>
      <c r="G246" s="22"/>
      <c r="H246" s="22" t="s">
        <v>516</v>
      </c>
      <c r="I246" s="11"/>
      <c r="J246" s="22"/>
      <c r="K246" s="22"/>
      <c r="L246" s="22"/>
      <c r="M246" s="30">
        <v>19041</v>
      </c>
      <c r="N246" s="30"/>
      <c r="O246" s="35">
        <f t="shared" si="3"/>
        <v>7.1296499999999998</v>
      </c>
      <c r="P246" s="22"/>
      <c r="Q246" s="22"/>
      <c r="R246" s="22"/>
      <c r="S246" s="22"/>
      <c r="T246" s="22"/>
      <c r="U246" s="35"/>
    </row>
    <row r="247" spans="1:21" ht="15" outlineLevel="1" x14ac:dyDescent="0.25">
      <c r="A247" s="85" t="s">
        <v>298</v>
      </c>
      <c r="B247" s="35">
        <v>143.38200000000001</v>
      </c>
      <c r="C247" s="30"/>
      <c r="D247" s="30"/>
      <c r="E247" s="26"/>
      <c r="F247" s="22"/>
      <c r="G247" s="22"/>
      <c r="H247" s="22" t="s">
        <v>516</v>
      </c>
      <c r="I247" s="11"/>
      <c r="J247" s="22"/>
      <c r="K247" s="22"/>
      <c r="L247" s="22"/>
      <c r="M247" s="30">
        <v>19006</v>
      </c>
      <c r="N247" s="30"/>
      <c r="O247" s="35">
        <f t="shared" si="3"/>
        <v>7.8860100000000006</v>
      </c>
      <c r="P247" s="22"/>
      <c r="Q247" s="22"/>
      <c r="R247" s="22"/>
      <c r="S247" s="22"/>
      <c r="T247" s="22"/>
      <c r="U247" s="35"/>
    </row>
    <row r="248" spans="1:21" ht="15" outlineLevel="1" x14ac:dyDescent="0.25">
      <c r="A248" s="85" t="s">
        <v>298</v>
      </c>
      <c r="B248" s="35">
        <v>141.28799999999998</v>
      </c>
      <c r="C248" s="30"/>
      <c r="D248" s="30"/>
      <c r="E248" s="26"/>
      <c r="F248" s="22"/>
      <c r="G248" s="22"/>
      <c r="H248" s="22" t="s">
        <v>516</v>
      </c>
      <c r="I248" s="11"/>
      <c r="J248" s="22"/>
      <c r="K248" s="22"/>
      <c r="L248" s="22"/>
      <c r="M248" s="30">
        <v>18999</v>
      </c>
      <c r="N248" s="30"/>
      <c r="O248" s="35">
        <f t="shared" si="3"/>
        <v>7.7708399999999989</v>
      </c>
      <c r="P248" s="22"/>
      <c r="Q248" s="22"/>
      <c r="R248" s="22"/>
      <c r="S248" s="22"/>
      <c r="T248" s="22"/>
      <c r="U248" s="35"/>
    </row>
    <row r="249" spans="1:21" ht="15" outlineLevel="1" x14ac:dyDescent="0.25">
      <c r="A249" s="85" t="s">
        <v>298</v>
      </c>
      <c r="B249" s="35">
        <v>315</v>
      </c>
      <c r="C249" s="30"/>
      <c r="D249" s="30"/>
      <c r="E249" s="26"/>
      <c r="F249" s="22"/>
      <c r="G249" s="22"/>
      <c r="H249" s="22" t="s">
        <v>516</v>
      </c>
      <c r="I249" s="11"/>
      <c r="J249" s="22"/>
      <c r="K249" s="22"/>
      <c r="L249" s="22"/>
      <c r="M249" s="30">
        <v>18962</v>
      </c>
      <c r="N249" s="30"/>
      <c r="O249" s="35">
        <f t="shared" si="3"/>
        <v>17.324999999999999</v>
      </c>
      <c r="P249" s="22"/>
      <c r="Q249" s="22"/>
      <c r="R249" s="22"/>
      <c r="S249" s="22"/>
      <c r="T249" s="22"/>
      <c r="U249" s="35"/>
    </row>
    <row r="250" spans="1:21" ht="15" outlineLevel="1" x14ac:dyDescent="0.25">
      <c r="A250" s="85" t="s">
        <v>299</v>
      </c>
      <c r="B250" s="35">
        <v>124.54800000000002</v>
      </c>
      <c r="C250" s="30"/>
      <c r="D250" s="30"/>
      <c r="E250" s="26"/>
      <c r="F250" s="22"/>
      <c r="G250" s="22"/>
      <c r="H250" s="22" t="s">
        <v>516</v>
      </c>
      <c r="I250" s="11"/>
      <c r="J250" s="22"/>
      <c r="K250" s="22"/>
      <c r="L250" s="22"/>
      <c r="M250" s="30">
        <v>18980</v>
      </c>
      <c r="N250" s="30"/>
      <c r="O250" s="35">
        <f t="shared" si="3"/>
        <v>6.8501400000000006</v>
      </c>
      <c r="P250" s="22"/>
      <c r="Q250" s="22"/>
      <c r="R250" s="22"/>
      <c r="S250" s="22"/>
      <c r="T250" s="22"/>
      <c r="U250" s="35"/>
    </row>
    <row r="251" spans="1:21" ht="15" outlineLevel="1" x14ac:dyDescent="0.25">
      <c r="A251" s="85" t="s">
        <v>299</v>
      </c>
      <c r="B251" s="35">
        <v>205.96199999999999</v>
      </c>
      <c r="C251" s="30"/>
      <c r="D251" s="30"/>
      <c r="E251" s="26"/>
      <c r="F251" s="22"/>
      <c r="G251" s="22"/>
      <c r="H251" s="22" t="s">
        <v>516</v>
      </c>
      <c r="I251" s="11"/>
      <c r="J251" s="22"/>
      <c r="K251" s="22"/>
      <c r="L251" s="22"/>
      <c r="M251" s="30">
        <v>19038</v>
      </c>
      <c r="N251" s="30"/>
      <c r="O251" s="35">
        <f t="shared" si="3"/>
        <v>11.327909999999999</v>
      </c>
      <c r="P251" s="22"/>
      <c r="Q251" s="22"/>
      <c r="R251" s="22"/>
      <c r="S251" s="22"/>
      <c r="T251" s="22"/>
      <c r="U251" s="35"/>
    </row>
    <row r="252" spans="1:21" ht="15" outlineLevel="1" x14ac:dyDescent="0.25">
      <c r="A252" s="85" t="s">
        <v>299</v>
      </c>
      <c r="B252" s="35">
        <v>121.56600000000002</v>
      </c>
      <c r="C252" s="30"/>
      <c r="D252" s="30"/>
      <c r="E252" s="26"/>
      <c r="F252" s="22"/>
      <c r="G252" s="22"/>
      <c r="H252" s="22" t="s">
        <v>516</v>
      </c>
      <c r="I252" s="11"/>
      <c r="J252" s="22"/>
      <c r="K252" s="22"/>
      <c r="L252" s="22"/>
      <c r="M252" s="30">
        <v>19027</v>
      </c>
      <c r="N252" s="30"/>
      <c r="O252" s="35">
        <f t="shared" si="3"/>
        <v>6.6861300000000012</v>
      </c>
      <c r="P252" s="22"/>
      <c r="Q252" s="22"/>
      <c r="R252" s="22"/>
      <c r="S252" s="22"/>
      <c r="T252" s="22"/>
      <c r="U252" s="35"/>
    </row>
    <row r="253" spans="1:21" ht="15" outlineLevel="1" x14ac:dyDescent="0.25">
      <c r="A253" s="85" t="s">
        <v>299</v>
      </c>
      <c r="B253" s="35">
        <v>124.68599999999999</v>
      </c>
      <c r="C253" s="30"/>
      <c r="D253" s="30"/>
      <c r="E253" s="26"/>
      <c r="F253" s="22"/>
      <c r="G253" s="22"/>
      <c r="H253" s="22" t="s">
        <v>516</v>
      </c>
      <c r="I253" s="11"/>
      <c r="J253" s="22"/>
      <c r="K253" s="22"/>
      <c r="L253" s="22"/>
      <c r="M253" s="30">
        <v>19021</v>
      </c>
      <c r="N253" s="30"/>
      <c r="O253" s="35">
        <f t="shared" si="3"/>
        <v>6.8577299999999992</v>
      </c>
      <c r="P253" s="22"/>
      <c r="Q253" s="22"/>
      <c r="R253" s="22"/>
      <c r="S253" s="22"/>
      <c r="T253" s="22"/>
      <c r="U253" s="35"/>
    </row>
    <row r="254" spans="1:21" ht="15" outlineLevel="1" x14ac:dyDescent="0.25">
      <c r="A254" s="85" t="s">
        <v>300</v>
      </c>
      <c r="B254" s="35">
        <v>199.24200000000002</v>
      </c>
      <c r="C254" s="30"/>
      <c r="D254" s="30"/>
      <c r="E254" s="26"/>
      <c r="F254" s="22"/>
      <c r="G254" s="22"/>
      <c r="H254" s="22" t="s">
        <v>516</v>
      </c>
      <c r="I254" s="11"/>
      <c r="J254" s="22"/>
      <c r="K254" s="22"/>
      <c r="L254" s="22"/>
      <c r="M254" s="30">
        <v>18581</v>
      </c>
      <c r="N254" s="30"/>
      <c r="O254" s="35">
        <f t="shared" si="3"/>
        <v>10.958310000000001</v>
      </c>
      <c r="P254" s="22"/>
      <c r="Q254" s="22"/>
      <c r="R254" s="22"/>
      <c r="S254" s="22"/>
      <c r="T254" s="22"/>
      <c r="U254" s="35"/>
    </row>
    <row r="255" spans="1:21" ht="15" outlineLevel="1" x14ac:dyDescent="0.25">
      <c r="A255" s="85" t="s">
        <v>301</v>
      </c>
      <c r="B255" s="35">
        <v>339.23400000000004</v>
      </c>
      <c r="C255" s="30"/>
      <c r="D255" s="30"/>
      <c r="E255" s="26"/>
      <c r="F255" s="22"/>
      <c r="G255" s="22"/>
      <c r="H255" s="22" t="s">
        <v>516</v>
      </c>
      <c r="I255" s="11"/>
      <c r="J255" s="22"/>
      <c r="K255" s="22"/>
      <c r="L255" s="22"/>
      <c r="M255" s="30">
        <v>44705</v>
      </c>
      <c r="N255" s="30"/>
      <c r="O255" s="35">
        <f t="shared" si="3"/>
        <v>18.657870000000003</v>
      </c>
      <c r="P255" s="22"/>
      <c r="Q255" s="22"/>
      <c r="R255" s="22"/>
      <c r="S255" s="22"/>
      <c r="T255" s="22"/>
      <c r="U255" s="35"/>
    </row>
    <row r="256" spans="1:21" ht="15" outlineLevel="1" x14ac:dyDescent="0.25">
      <c r="A256" s="85" t="s">
        <v>301</v>
      </c>
      <c r="B256" s="35">
        <v>157.5</v>
      </c>
      <c r="C256" s="30"/>
      <c r="D256" s="30"/>
      <c r="E256" s="26"/>
      <c r="F256" s="22"/>
      <c r="G256" s="22"/>
      <c r="H256" s="22" t="s">
        <v>516</v>
      </c>
      <c r="I256" s="11"/>
      <c r="J256" s="22"/>
      <c r="K256" s="22"/>
      <c r="L256" s="22"/>
      <c r="M256" s="30">
        <v>19034</v>
      </c>
      <c r="N256" s="30"/>
      <c r="O256" s="35">
        <f t="shared" si="3"/>
        <v>8.6624999999999996</v>
      </c>
      <c r="P256" s="22"/>
      <c r="Q256" s="22"/>
      <c r="R256" s="22"/>
      <c r="S256" s="22"/>
      <c r="T256" s="22"/>
      <c r="U256" s="35"/>
    </row>
    <row r="257" spans="1:21" ht="15" outlineLevel="1" x14ac:dyDescent="0.25">
      <c r="A257" s="85" t="s">
        <v>302</v>
      </c>
      <c r="B257" s="35">
        <v>145.38600000000002</v>
      </c>
      <c r="C257" s="30"/>
      <c r="D257" s="30"/>
      <c r="E257" s="26"/>
      <c r="F257" s="22"/>
      <c r="G257" s="22"/>
      <c r="H257" s="22" t="s">
        <v>516</v>
      </c>
      <c r="I257" s="11"/>
      <c r="J257" s="22"/>
      <c r="K257" s="22"/>
      <c r="L257" s="22"/>
      <c r="M257" s="30">
        <v>18805</v>
      </c>
      <c r="N257" s="30"/>
      <c r="O257" s="35">
        <f t="shared" si="3"/>
        <v>7.9962300000000015</v>
      </c>
      <c r="P257" s="22"/>
      <c r="Q257" s="22"/>
      <c r="R257" s="22"/>
      <c r="S257" s="22"/>
      <c r="T257" s="22"/>
      <c r="U257" s="35"/>
    </row>
    <row r="258" spans="1:21" ht="15" outlineLevel="1" x14ac:dyDescent="0.25">
      <c r="A258" s="85" t="s">
        <v>302</v>
      </c>
      <c r="B258" s="35">
        <v>145.38600000000002</v>
      </c>
      <c r="C258" s="30"/>
      <c r="D258" s="30"/>
      <c r="E258" s="26"/>
      <c r="F258" s="22"/>
      <c r="G258" s="22"/>
      <c r="H258" s="22" t="s">
        <v>516</v>
      </c>
      <c r="I258" s="11"/>
      <c r="J258" s="22"/>
      <c r="K258" s="22"/>
      <c r="L258" s="22"/>
      <c r="M258" s="30">
        <v>18982</v>
      </c>
      <c r="N258" s="30"/>
      <c r="O258" s="35">
        <f t="shared" si="3"/>
        <v>7.9962300000000015</v>
      </c>
      <c r="P258" s="22"/>
      <c r="Q258" s="22"/>
      <c r="R258" s="22"/>
      <c r="S258" s="22"/>
      <c r="T258" s="22"/>
      <c r="U258" s="35"/>
    </row>
    <row r="259" spans="1:21" ht="15" outlineLevel="1" x14ac:dyDescent="0.25">
      <c r="A259" s="85" t="s">
        <v>303</v>
      </c>
      <c r="B259" s="35">
        <v>155.976</v>
      </c>
      <c r="C259" s="30"/>
      <c r="D259" s="30"/>
      <c r="E259" s="26"/>
      <c r="F259" s="22"/>
      <c r="G259" s="22"/>
      <c r="H259" s="22" t="s">
        <v>516</v>
      </c>
      <c r="I259" s="11"/>
      <c r="J259" s="22"/>
      <c r="K259" s="22"/>
      <c r="L259" s="22"/>
      <c r="M259" s="30">
        <v>266</v>
      </c>
      <c r="N259" s="30"/>
      <c r="O259" s="35">
        <f t="shared" ref="O259:O322" si="4">B259*$O$1</f>
        <v>8.5786800000000003</v>
      </c>
      <c r="P259" s="22"/>
      <c r="Q259" s="22"/>
      <c r="R259" s="22"/>
      <c r="S259" s="22"/>
      <c r="T259" s="22"/>
      <c r="U259" s="35"/>
    </row>
    <row r="260" spans="1:21" ht="15" outlineLevel="1" x14ac:dyDescent="0.25">
      <c r="A260" s="85" t="s">
        <v>303</v>
      </c>
      <c r="B260" s="35">
        <v>135.69</v>
      </c>
      <c r="C260" s="30"/>
      <c r="D260" s="30"/>
      <c r="E260" s="26"/>
      <c r="F260" s="22"/>
      <c r="G260" s="22"/>
      <c r="H260" s="22" t="s">
        <v>516</v>
      </c>
      <c r="I260" s="11"/>
      <c r="J260" s="22"/>
      <c r="K260" s="22"/>
      <c r="L260" s="22"/>
      <c r="M260" s="30">
        <v>18841</v>
      </c>
      <c r="N260" s="30"/>
      <c r="O260" s="35">
        <f t="shared" si="4"/>
        <v>7.4629500000000002</v>
      </c>
      <c r="P260" s="22"/>
      <c r="Q260" s="22"/>
      <c r="R260" s="22"/>
      <c r="S260" s="22"/>
      <c r="T260" s="22"/>
      <c r="U260" s="35"/>
    </row>
    <row r="261" spans="1:21" ht="15" outlineLevel="1" x14ac:dyDescent="0.25">
      <c r="A261" s="85" t="s">
        <v>304</v>
      </c>
      <c r="B261" s="35">
        <v>119.77800000000001</v>
      </c>
      <c r="C261" s="30"/>
      <c r="D261" s="30"/>
      <c r="E261" s="26"/>
      <c r="F261" s="22"/>
      <c r="G261" s="22"/>
      <c r="H261" s="22" t="s">
        <v>516</v>
      </c>
      <c r="I261" s="11"/>
      <c r="J261" s="22"/>
      <c r="K261" s="22"/>
      <c r="L261" s="22"/>
      <c r="M261" s="30">
        <v>18918</v>
      </c>
      <c r="N261" s="30"/>
      <c r="O261" s="35">
        <f t="shared" si="4"/>
        <v>6.58779</v>
      </c>
      <c r="P261" s="22"/>
      <c r="Q261" s="22"/>
      <c r="R261" s="22"/>
      <c r="S261" s="22"/>
      <c r="T261" s="22"/>
      <c r="U261" s="35"/>
    </row>
    <row r="262" spans="1:21" ht="15" outlineLevel="1" x14ac:dyDescent="0.25">
      <c r="A262" s="85" t="s">
        <v>304</v>
      </c>
      <c r="B262" s="35">
        <v>121.66799999999999</v>
      </c>
      <c r="C262" s="30"/>
      <c r="D262" s="30"/>
      <c r="E262" s="26"/>
      <c r="F262" s="22"/>
      <c r="G262" s="22"/>
      <c r="H262" s="22" t="s">
        <v>516</v>
      </c>
      <c r="I262" s="11"/>
      <c r="J262" s="22"/>
      <c r="K262" s="22"/>
      <c r="L262" s="22"/>
      <c r="M262" s="30">
        <v>18949</v>
      </c>
      <c r="N262" s="30"/>
      <c r="O262" s="35">
        <f t="shared" si="4"/>
        <v>6.6917399999999994</v>
      </c>
      <c r="P262" s="22"/>
      <c r="Q262" s="22"/>
      <c r="R262" s="22"/>
      <c r="S262" s="22"/>
      <c r="T262" s="22"/>
      <c r="U262" s="35"/>
    </row>
    <row r="263" spans="1:21" ht="15" outlineLevel="1" x14ac:dyDescent="0.25">
      <c r="A263" s="85" t="s">
        <v>304</v>
      </c>
      <c r="B263" s="35">
        <v>151.04399999999998</v>
      </c>
      <c r="C263" s="30"/>
      <c r="D263" s="30"/>
      <c r="E263" s="26"/>
      <c r="F263" s="22"/>
      <c r="G263" s="22"/>
      <c r="H263" s="22" t="s">
        <v>516</v>
      </c>
      <c r="I263" s="11"/>
      <c r="J263" s="22"/>
      <c r="K263" s="22"/>
      <c r="L263" s="22"/>
      <c r="M263" s="30">
        <v>18827</v>
      </c>
      <c r="N263" s="30"/>
      <c r="O263" s="35">
        <f t="shared" si="4"/>
        <v>8.3074199999999987</v>
      </c>
      <c r="P263" s="22"/>
      <c r="Q263" s="22"/>
      <c r="R263" s="22"/>
      <c r="S263" s="22"/>
      <c r="T263" s="22"/>
      <c r="U263" s="35"/>
    </row>
    <row r="264" spans="1:21" ht="15" outlineLevel="1" x14ac:dyDescent="0.25">
      <c r="A264" s="85" t="s">
        <v>304</v>
      </c>
      <c r="B264" s="35">
        <v>125.51400000000001</v>
      </c>
      <c r="C264" s="30"/>
      <c r="D264" s="30"/>
      <c r="E264" s="26"/>
      <c r="F264" s="22"/>
      <c r="G264" s="22"/>
      <c r="H264" s="22" t="s">
        <v>516</v>
      </c>
      <c r="I264" s="11"/>
      <c r="J264" s="22"/>
      <c r="K264" s="22"/>
      <c r="L264" s="22"/>
      <c r="M264" s="30">
        <v>18979</v>
      </c>
      <c r="N264" s="30"/>
      <c r="O264" s="35">
        <f t="shared" si="4"/>
        <v>6.9032700000000009</v>
      </c>
      <c r="P264" s="22"/>
      <c r="Q264" s="22"/>
      <c r="R264" s="22"/>
      <c r="S264" s="22"/>
      <c r="T264" s="22"/>
      <c r="U264" s="35"/>
    </row>
    <row r="265" spans="1:21" ht="15" outlineLevel="1" x14ac:dyDescent="0.25">
      <c r="A265" s="85" t="s">
        <v>304</v>
      </c>
      <c r="B265" s="35">
        <v>218.07599999999996</v>
      </c>
      <c r="C265" s="30"/>
      <c r="D265" s="30"/>
      <c r="E265" s="26"/>
      <c r="F265" s="22"/>
      <c r="G265" s="22"/>
      <c r="H265" s="22" t="s">
        <v>516</v>
      </c>
      <c r="I265" s="11"/>
      <c r="J265" s="22"/>
      <c r="K265" s="22"/>
      <c r="L265" s="22"/>
      <c r="M265" s="30">
        <v>18626</v>
      </c>
      <c r="N265" s="30"/>
      <c r="O265" s="35">
        <f t="shared" si="4"/>
        <v>11.994179999999998</v>
      </c>
      <c r="P265" s="22"/>
      <c r="Q265" s="22"/>
      <c r="R265" s="22"/>
      <c r="S265" s="22"/>
      <c r="T265" s="22"/>
      <c r="U265" s="35"/>
    </row>
    <row r="266" spans="1:21" ht="15" outlineLevel="1" x14ac:dyDescent="0.25">
      <c r="A266" s="85" t="s">
        <v>304</v>
      </c>
      <c r="B266" s="35">
        <v>124.30199999999999</v>
      </c>
      <c r="C266" s="30"/>
      <c r="D266" s="30"/>
      <c r="E266" s="26"/>
      <c r="F266" s="22"/>
      <c r="G266" s="22"/>
      <c r="H266" s="22" t="s">
        <v>516</v>
      </c>
      <c r="I266" s="11"/>
      <c r="J266" s="22"/>
      <c r="K266" s="22"/>
      <c r="L266" s="22"/>
      <c r="M266" s="30">
        <v>18822</v>
      </c>
      <c r="N266" s="30"/>
      <c r="O266" s="35">
        <f t="shared" si="4"/>
        <v>6.8366099999999994</v>
      </c>
      <c r="P266" s="22"/>
      <c r="Q266" s="22"/>
      <c r="R266" s="22"/>
      <c r="S266" s="22"/>
      <c r="T266" s="22"/>
      <c r="U266" s="35"/>
    </row>
    <row r="267" spans="1:21" ht="15" outlineLevel="1" x14ac:dyDescent="0.25">
      <c r="A267" s="85" t="s">
        <v>304</v>
      </c>
      <c r="B267" s="35">
        <v>58.529999999999994</v>
      </c>
      <c r="C267" s="30"/>
      <c r="D267" s="30"/>
      <c r="E267" s="26"/>
      <c r="F267" s="22"/>
      <c r="G267" s="22"/>
      <c r="H267" s="22" t="s">
        <v>516</v>
      </c>
      <c r="I267" s="11"/>
      <c r="J267" s="22"/>
      <c r="K267" s="22"/>
      <c r="L267" s="22"/>
      <c r="M267" s="30">
        <v>18929</v>
      </c>
      <c r="N267" s="30"/>
      <c r="O267" s="35">
        <f t="shared" si="4"/>
        <v>3.2191499999999995</v>
      </c>
      <c r="P267" s="22"/>
      <c r="Q267" s="22"/>
      <c r="R267" s="22"/>
      <c r="S267" s="22"/>
      <c r="T267" s="22"/>
      <c r="U267" s="35"/>
    </row>
    <row r="268" spans="1:21" ht="15" outlineLevel="1" x14ac:dyDescent="0.25">
      <c r="A268" s="85" t="s">
        <v>304</v>
      </c>
      <c r="B268" s="35">
        <v>60.431999999999995</v>
      </c>
      <c r="C268" s="30"/>
      <c r="D268" s="30"/>
      <c r="E268" s="26"/>
      <c r="F268" s="22"/>
      <c r="G268" s="22"/>
      <c r="H268" s="22" t="s">
        <v>516</v>
      </c>
      <c r="I268" s="11"/>
      <c r="J268" s="22"/>
      <c r="K268" s="22"/>
      <c r="L268" s="22"/>
      <c r="M268" s="30">
        <v>134</v>
      </c>
      <c r="N268" s="30"/>
      <c r="O268" s="35">
        <f t="shared" si="4"/>
        <v>3.3237599999999996</v>
      </c>
      <c r="P268" s="22"/>
      <c r="Q268" s="22"/>
      <c r="R268" s="22"/>
      <c r="S268" s="22"/>
      <c r="T268" s="22"/>
      <c r="U268" s="35"/>
    </row>
    <row r="269" spans="1:21" ht="15" outlineLevel="1" x14ac:dyDescent="0.25">
      <c r="A269" s="85" t="s">
        <v>304</v>
      </c>
      <c r="B269" s="35">
        <v>138.16800000000001</v>
      </c>
      <c r="C269" s="30"/>
      <c r="D269" s="30"/>
      <c r="E269" s="26"/>
      <c r="F269" s="22"/>
      <c r="G269" s="22"/>
      <c r="H269" s="22" t="s">
        <v>516</v>
      </c>
      <c r="I269" s="11"/>
      <c r="J269" s="22"/>
      <c r="K269" s="22"/>
      <c r="L269" s="22"/>
      <c r="M269" s="30">
        <v>18797</v>
      </c>
      <c r="N269" s="30"/>
      <c r="O269" s="35">
        <f t="shared" si="4"/>
        <v>7.59924</v>
      </c>
      <c r="P269" s="22"/>
      <c r="Q269" s="22"/>
      <c r="R269" s="22"/>
      <c r="S269" s="22"/>
      <c r="T269" s="22"/>
      <c r="U269" s="35"/>
    </row>
    <row r="270" spans="1:21" ht="15" outlineLevel="1" x14ac:dyDescent="0.25">
      <c r="A270" s="85" t="s">
        <v>304</v>
      </c>
      <c r="B270" s="35">
        <v>120.91200000000001</v>
      </c>
      <c r="C270" s="30"/>
      <c r="D270" s="30"/>
      <c r="E270" s="26"/>
      <c r="F270" s="22"/>
      <c r="G270" s="22"/>
      <c r="H270" s="22" t="s">
        <v>516</v>
      </c>
      <c r="I270" s="11"/>
      <c r="J270" s="22"/>
      <c r="K270" s="22"/>
      <c r="L270" s="22"/>
      <c r="M270" s="30">
        <v>18887</v>
      </c>
      <c r="N270" s="30"/>
      <c r="O270" s="35">
        <f t="shared" si="4"/>
        <v>6.6501600000000005</v>
      </c>
      <c r="P270" s="22"/>
      <c r="Q270" s="22"/>
      <c r="R270" s="22"/>
      <c r="S270" s="22"/>
      <c r="T270" s="22"/>
      <c r="U270" s="35"/>
    </row>
    <row r="271" spans="1:21" ht="15" outlineLevel="1" x14ac:dyDescent="0.25">
      <c r="A271" s="85" t="s">
        <v>305</v>
      </c>
      <c r="B271" s="35">
        <v>27.276000000000003</v>
      </c>
      <c r="C271" s="30"/>
      <c r="D271" s="30"/>
      <c r="E271" s="26"/>
      <c r="F271" s="22"/>
      <c r="G271" s="22"/>
      <c r="H271" s="22" t="s">
        <v>516</v>
      </c>
      <c r="I271" s="11"/>
      <c r="J271" s="22"/>
      <c r="K271" s="22"/>
      <c r="L271" s="22"/>
      <c r="M271" s="30">
        <v>18793</v>
      </c>
      <c r="N271" s="30"/>
      <c r="O271" s="35">
        <f t="shared" si="4"/>
        <v>1.5001800000000003</v>
      </c>
      <c r="P271" s="22"/>
      <c r="Q271" s="22"/>
      <c r="R271" s="22"/>
      <c r="S271" s="22"/>
      <c r="T271" s="22"/>
      <c r="U271" s="35"/>
    </row>
    <row r="272" spans="1:21" ht="15" outlineLevel="1" x14ac:dyDescent="0.25">
      <c r="A272" s="85" t="s">
        <v>306</v>
      </c>
      <c r="B272" s="35">
        <v>109.74600000000001</v>
      </c>
      <c r="C272" s="30"/>
      <c r="D272" s="30"/>
      <c r="E272" s="26"/>
      <c r="F272" s="22"/>
      <c r="G272" s="22"/>
      <c r="H272" s="22" t="s">
        <v>516</v>
      </c>
      <c r="I272" s="11"/>
      <c r="J272" s="22"/>
      <c r="K272" s="22"/>
      <c r="L272" s="22"/>
      <c r="M272" s="30">
        <v>18989</v>
      </c>
      <c r="N272" s="30"/>
      <c r="O272" s="35">
        <f t="shared" si="4"/>
        <v>6.0360300000000002</v>
      </c>
      <c r="P272" s="22"/>
      <c r="Q272" s="22"/>
      <c r="R272" s="22"/>
      <c r="S272" s="22"/>
      <c r="T272" s="22"/>
      <c r="U272" s="35"/>
    </row>
    <row r="273" spans="1:21" ht="15" outlineLevel="1" x14ac:dyDescent="0.25">
      <c r="A273" s="85" t="s">
        <v>307</v>
      </c>
      <c r="B273" s="35">
        <v>110.58600000000001</v>
      </c>
      <c r="C273" s="30"/>
      <c r="D273" s="30"/>
      <c r="E273" s="26"/>
      <c r="F273" s="22"/>
      <c r="G273" s="22"/>
      <c r="H273" s="22" t="s">
        <v>516</v>
      </c>
      <c r="I273" s="11"/>
      <c r="J273" s="22"/>
      <c r="K273" s="22"/>
      <c r="L273" s="22"/>
      <c r="M273" s="30">
        <v>18736</v>
      </c>
      <c r="N273" s="30"/>
      <c r="O273" s="35">
        <f t="shared" si="4"/>
        <v>6.0822300000000009</v>
      </c>
      <c r="P273" s="22"/>
      <c r="Q273" s="22"/>
      <c r="R273" s="22"/>
      <c r="S273" s="22"/>
      <c r="T273" s="22"/>
      <c r="U273" s="35"/>
    </row>
    <row r="274" spans="1:21" ht="15" outlineLevel="1" x14ac:dyDescent="0.25">
      <c r="A274" s="85" t="s">
        <v>308</v>
      </c>
      <c r="B274" s="35">
        <v>120.41399999999999</v>
      </c>
      <c r="C274" s="30"/>
      <c r="D274" s="30"/>
      <c r="E274" s="26"/>
      <c r="F274" s="22"/>
      <c r="G274" s="22"/>
      <c r="H274" s="22" t="s">
        <v>516</v>
      </c>
      <c r="I274" s="11"/>
      <c r="J274" s="22"/>
      <c r="K274" s="22"/>
      <c r="L274" s="22"/>
      <c r="M274" s="30">
        <v>19009</v>
      </c>
      <c r="N274" s="30"/>
      <c r="O274" s="35">
        <f t="shared" si="4"/>
        <v>6.6227699999999992</v>
      </c>
      <c r="P274" s="22"/>
      <c r="Q274" s="22"/>
      <c r="R274" s="22"/>
      <c r="S274" s="22"/>
      <c r="T274" s="22"/>
      <c r="U274" s="35"/>
    </row>
    <row r="275" spans="1:21" ht="15" outlineLevel="1" x14ac:dyDescent="0.25">
      <c r="A275" s="85" t="s">
        <v>308</v>
      </c>
      <c r="B275" s="35">
        <v>119.928</v>
      </c>
      <c r="C275" s="30"/>
      <c r="D275" s="30"/>
      <c r="E275" s="26"/>
      <c r="F275" s="22"/>
      <c r="G275" s="22"/>
      <c r="H275" s="22" t="s">
        <v>516</v>
      </c>
      <c r="I275" s="11"/>
      <c r="J275" s="22"/>
      <c r="K275" s="22"/>
      <c r="L275" s="22"/>
      <c r="M275" s="30">
        <v>19028</v>
      </c>
      <c r="N275" s="30"/>
      <c r="O275" s="35">
        <f t="shared" si="4"/>
        <v>6.5960399999999995</v>
      </c>
      <c r="P275" s="22"/>
      <c r="Q275" s="22"/>
      <c r="R275" s="22"/>
      <c r="S275" s="22"/>
      <c r="T275" s="22"/>
      <c r="U275" s="35"/>
    </row>
    <row r="276" spans="1:21" ht="15" outlineLevel="1" x14ac:dyDescent="0.25">
      <c r="A276" s="85" t="s">
        <v>308</v>
      </c>
      <c r="B276" s="35">
        <v>147.37200000000001</v>
      </c>
      <c r="C276" s="30"/>
      <c r="D276" s="30"/>
      <c r="E276" s="26"/>
      <c r="F276" s="22"/>
      <c r="G276" s="22"/>
      <c r="H276" s="22" t="s">
        <v>516</v>
      </c>
      <c r="I276" s="11"/>
      <c r="J276" s="22"/>
      <c r="K276" s="22"/>
      <c r="L276" s="22"/>
      <c r="M276" s="30">
        <v>18829</v>
      </c>
      <c r="N276" s="30"/>
      <c r="O276" s="35">
        <f t="shared" si="4"/>
        <v>8.1054600000000008</v>
      </c>
      <c r="P276" s="22"/>
      <c r="Q276" s="22"/>
      <c r="R276" s="22"/>
      <c r="S276" s="22"/>
      <c r="T276" s="22"/>
      <c r="U276" s="35"/>
    </row>
    <row r="277" spans="1:21" ht="15" outlineLevel="1" x14ac:dyDescent="0.25">
      <c r="A277" s="85" t="s">
        <v>308</v>
      </c>
      <c r="B277" s="35">
        <v>132.012</v>
      </c>
      <c r="C277" s="30"/>
      <c r="D277" s="30"/>
      <c r="E277" s="26"/>
      <c r="F277" s="22"/>
      <c r="G277" s="22"/>
      <c r="H277" s="22" t="s">
        <v>516</v>
      </c>
      <c r="I277" s="11"/>
      <c r="J277" s="22"/>
      <c r="K277" s="22"/>
      <c r="L277" s="22"/>
      <c r="M277" s="30">
        <v>19015</v>
      </c>
      <c r="N277" s="30"/>
      <c r="O277" s="35">
        <f t="shared" si="4"/>
        <v>7.2606599999999997</v>
      </c>
      <c r="P277" s="22"/>
      <c r="Q277" s="22"/>
      <c r="R277" s="22"/>
      <c r="S277" s="22"/>
      <c r="T277" s="22"/>
      <c r="U277" s="35"/>
    </row>
    <row r="278" spans="1:21" ht="15" outlineLevel="1" x14ac:dyDescent="0.25">
      <c r="A278" s="85" t="s">
        <v>308</v>
      </c>
      <c r="B278" s="35">
        <v>115.78200000000001</v>
      </c>
      <c r="C278" s="30"/>
      <c r="D278" s="30"/>
      <c r="E278" s="26"/>
      <c r="F278" s="22"/>
      <c r="G278" s="22"/>
      <c r="H278" s="22" t="s">
        <v>516</v>
      </c>
      <c r="I278" s="11"/>
      <c r="J278" s="22"/>
      <c r="K278" s="22"/>
      <c r="L278" s="22"/>
      <c r="M278" s="30">
        <v>19011</v>
      </c>
      <c r="N278" s="30"/>
      <c r="O278" s="35">
        <f t="shared" si="4"/>
        <v>6.3680100000000008</v>
      </c>
      <c r="P278" s="22"/>
      <c r="Q278" s="22"/>
      <c r="R278" s="22"/>
      <c r="S278" s="22"/>
      <c r="T278" s="22"/>
      <c r="U278" s="35"/>
    </row>
    <row r="279" spans="1:21" ht="15" outlineLevel="1" x14ac:dyDescent="0.25">
      <c r="A279" s="85" t="s">
        <v>308</v>
      </c>
      <c r="B279" s="35">
        <v>97.055999999999983</v>
      </c>
      <c r="C279" s="30"/>
      <c r="D279" s="30"/>
      <c r="E279" s="26"/>
      <c r="F279" s="22"/>
      <c r="G279" s="22"/>
      <c r="H279" s="22" t="s">
        <v>516</v>
      </c>
      <c r="I279" s="11"/>
      <c r="J279" s="22"/>
      <c r="K279" s="22"/>
      <c r="L279" s="22"/>
      <c r="M279" s="30">
        <v>19017</v>
      </c>
      <c r="N279" s="30"/>
      <c r="O279" s="35">
        <f t="shared" si="4"/>
        <v>5.3380799999999988</v>
      </c>
      <c r="P279" s="22"/>
      <c r="Q279" s="22"/>
      <c r="R279" s="22"/>
      <c r="S279" s="22"/>
      <c r="T279" s="22"/>
      <c r="U279" s="35"/>
    </row>
    <row r="280" spans="1:21" ht="15" outlineLevel="1" x14ac:dyDescent="0.25">
      <c r="A280" s="85" t="s">
        <v>308</v>
      </c>
      <c r="B280" s="35">
        <v>127.35000000000001</v>
      </c>
      <c r="C280" s="30"/>
      <c r="D280" s="30"/>
      <c r="E280" s="26"/>
      <c r="F280" s="22"/>
      <c r="G280" s="22"/>
      <c r="H280" s="22" t="s">
        <v>516</v>
      </c>
      <c r="I280" s="11"/>
      <c r="J280" s="22"/>
      <c r="K280" s="22"/>
      <c r="L280" s="22"/>
      <c r="M280" s="30">
        <v>19012</v>
      </c>
      <c r="N280" s="30"/>
      <c r="O280" s="35">
        <f t="shared" si="4"/>
        <v>7.0042500000000008</v>
      </c>
      <c r="P280" s="22"/>
      <c r="Q280" s="22"/>
      <c r="R280" s="22"/>
      <c r="S280" s="22"/>
      <c r="T280" s="22"/>
      <c r="U280" s="35"/>
    </row>
    <row r="281" spans="1:21" ht="15" outlineLevel="1" x14ac:dyDescent="0.25">
      <c r="A281" s="85" t="s">
        <v>308</v>
      </c>
      <c r="B281" s="35">
        <v>126.16799999999999</v>
      </c>
      <c r="C281" s="30"/>
      <c r="D281" s="30"/>
      <c r="E281" s="26"/>
      <c r="F281" s="22"/>
      <c r="G281" s="22"/>
      <c r="H281" s="22" t="s">
        <v>516</v>
      </c>
      <c r="I281" s="11"/>
      <c r="J281" s="22"/>
      <c r="K281" s="22"/>
      <c r="L281" s="22"/>
      <c r="M281" s="30">
        <v>18607</v>
      </c>
      <c r="N281" s="30"/>
      <c r="O281" s="35">
        <f t="shared" si="4"/>
        <v>6.9392399999999999</v>
      </c>
      <c r="P281" s="22"/>
      <c r="Q281" s="22"/>
      <c r="R281" s="22"/>
      <c r="S281" s="22"/>
      <c r="T281" s="22"/>
      <c r="U281" s="35"/>
    </row>
    <row r="282" spans="1:21" ht="15" outlineLevel="1" x14ac:dyDescent="0.25">
      <c r="A282" s="85" t="s">
        <v>308</v>
      </c>
      <c r="B282" s="35">
        <v>157.29599999999999</v>
      </c>
      <c r="C282" s="30"/>
      <c r="D282" s="30"/>
      <c r="E282" s="26"/>
      <c r="F282" s="22"/>
      <c r="G282" s="22"/>
      <c r="H282" s="22" t="s">
        <v>516</v>
      </c>
      <c r="I282" s="11"/>
      <c r="J282" s="22"/>
      <c r="K282" s="22"/>
      <c r="L282" s="22"/>
      <c r="M282" s="30">
        <v>18932</v>
      </c>
      <c r="N282" s="30"/>
      <c r="O282" s="35">
        <f t="shared" si="4"/>
        <v>8.6512799999999999</v>
      </c>
      <c r="P282" s="22"/>
      <c r="Q282" s="22"/>
      <c r="R282" s="22"/>
      <c r="S282" s="22"/>
      <c r="T282" s="22"/>
      <c r="U282" s="35"/>
    </row>
    <row r="283" spans="1:21" ht="15" outlineLevel="1" x14ac:dyDescent="0.25">
      <c r="A283" s="85" t="s">
        <v>308</v>
      </c>
      <c r="B283" s="35">
        <v>111.16200000000001</v>
      </c>
      <c r="C283" s="30"/>
      <c r="D283" s="30"/>
      <c r="E283" s="26"/>
      <c r="F283" s="22"/>
      <c r="G283" s="22"/>
      <c r="H283" s="22" t="s">
        <v>516</v>
      </c>
      <c r="I283" s="11"/>
      <c r="J283" s="22"/>
      <c r="K283" s="22"/>
      <c r="L283" s="22"/>
      <c r="M283" s="30">
        <v>18923</v>
      </c>
      <c r="N283" s="30"/>
      <c r="O283" s="35">
        <f t="shared" si="4"/>
        <v>6.1139100000000006</v>
      </c>
      <c r="P283" s="22"/>
      <c r="Q283" s="22"/>
      <c r="R283" s="22"/>
      <c r="S283" s="22"/>
      <c r="T283" s="22"/>
      <c r="U283" s="35"/>
    </row>
    <row r="284" spans="1:21" ht="15" outlineLevel="1" x14ac:dyDescent="0.25">
      <c r="A284" s="85" t="s">
        <v>308</v>
      </c>
      <c r="B284" s="35">
        <v>131.55599999999998</v>
      </c>
      <c r="C284" s="30"/>
      <c r="D284" s="30"/>
      <c r="E284" s="26"/>
      <c r="F284" s="22"/>
      <c r="G284" s="22"/>
      <c r="H284" s="22" t="s">
        <v>516</v>
      </c>
      <c r="I284" s="11"/>
      <c r="J284" s="22"/>
      <c r="K284" s="22"/>
      <c r="L284" s="22"/>
      <c r="M284" s="30">
        <v>18983</v>
      </c>
      <c r="N284" s="30"/>
      <c r="O284" s="35">
        <f t="shared" si="4"/>
        <v>7.2355799999999988</v>
      </c>
      <c r="P284" s="22"/>
      <c r="Q284" s="22"/>
      <c r="R284" s="22"/>
      <c r="S284" s="22"/>
      <c r="T284" s="22"/>
      <c r="U284" s="35"/>
    </row>
    <row r="285" spans="1:21" ht="15" outlineLevel="1" x14ac:dyDescent="0.25">
      <c r="A285" s="85" t="s">
        <v>308</v>
      </c>
      <c r="B285" s="35">
        <v>110.45399999999999</v>
      </c>
      <c r="C285" s="30"/>
      <c r="D285" s="30"/>
      <c r="E285" s="26"/>
      <c r="F285" s="22"/>
      <c r="G285" s="22"/>
      <c r="H285" s="22" t="s">
        <v>516</v>
      </c>
      <c r="I285" s="11"/>
      <c r="J285" s="22"/>
      <c r="K285" s="22"/>
      <c r="L285" s="22"/>
      <c r="M285" s="30">
        <v>18679</v>
      </c>
      <c r="N285" s="30"/>
      <c r="O285" s="35">
        <f t="shared" si="4"/>
        <v>6.0749699999999995</v>
      </c>
      <c r="P285" s="22"/>
      <c r="Q285" s="22"/>
      <c r="R285" s="22"/>
      <c r="S285" s="22"/>
      <c r="T285" s="22"/>
      <c r="U285" s="35"/>
    </row>
    <row r="286" spans="1:21" ht="15" outlineLevel="1" x14ac:dyDescent="0.25">
      <c r="A286" s="85" t="s">
        <v>308</v>
      </c>
      <c r="B286" s="35">
        <v>134.84399999999999</v>
      </c>
      <c r="C286" s="30"/>
      <c r="D286" s="30"/>
      <c r="E286" s="26"/>
      <c r="F286" s="22"/>
      <c r="G286" s="22"/>
      <c r="H286" s="22" t="s">
        <v>516</v>
      </c>
      <c r="I286" s="11"/>
      <c r="J286" s="22"/>
      <c r="K286" s="22"/>
      <c r="L286" s="22"/>
      <c r="M286" s="30">
        <v>19030</v>
      </c>
      <c r="N286" s="30"/>
      <c r="O286" s="35">
        <f t="shared" si="4"/>
        <v>7.4164199999999996</v>
      </c>
      <c r="P286" s="22"/>
      <c r="Q286" s="22"/>
      <c r="R286" s="22"/>
      <c r="S286" s="22"/>
      <c r="T286" s="22"/>
      <c r="U286" s="35"/>
    </row>
    <row r="287" spans="1:21" ht="15" outlineLevel="1" x14ac:dyDescent="0.25">
      <c r="A287" s="85" t="s">
        <v>308</v>
      </c>
      <c r="B287" s="35">
        <v>127.07399999999998</v>
      </c>
      <c r="C287" s="30"/>
      <c r="D287" s="30"/>
      <c r="E287" s="26"/>
      <c r="F287" s="22"/>
      <c r="G287" s="22"/>
      <c r="H287" s="22" t="s">
        <v>516</v>
      </c>
      <c r="I287" s="11"/>
      <c r="J287" s="22"/>
      <c r="K287" s="22"/>
      <c r="L287" s="22"/>
      <c r="M287" s="30">
        <v>19029</v>
      </c>
      <c r="N287" s="30"/>
      <c r="O287" s="35">
        <f t="shared" si="4"/>
        <v>6.989069999999999</v>
      </c>
      <c r="P287" s="22"/>
      <c r="Q287" s="22"/>
      <c r="R287" s="22"/>
      <c r="S287" s="22"/>
      <c r="T287" s="22"/>
      <c r="U287" s="35"/>
    </row>
    <row r="288" spans="1:21" ht="15" outlineLevel="1" x14ac:dyDescent="0.25">
      <c r="A288" s="85" t="s">
        <v>308</v>
      </c>
      <c r="B288" s="35">
        <v>130.99800000000002</v>
      </c>
      <c r="C288" s="30"/>
      <c r="D288" s="30"/>
      <c r="E288" s="26"/>
      <c r="F288" s="22"/>
      <c r="G288" s="22"/>
      <c r="H288" s="22" t="s">
        <v>516</v>
      </c>
      <c r="I288" s="11"/>
      <c r="J288" s="22"/>
      <c r="K288" s="22"/>
      <c r="L288" s="22"/>
      <c r="M288" s="30">
        <v>19019</v>
      </c>
      <c r="N288" s="30"/>
      <c r="O288" s="35">
        <f t="shared" si="4"/>
        <v>7.2048900000000007</v>
      </c>
      <c r="P288" s="22"/>
      <c r="Q288" s="22"/>
      <c r="R288" s="22"/>
      <c r="S288" s="22"/>
      <c r="T288" s="22"/>
      <c r="U288" s="35"/>
    </row>
    <row r="289" spans="1:21" ht="15" outlineLevel="1" x14ac:dyDescent="0.25">
      <c r="A289" s="85" t="s">
        <v>308</v>
      </c>
      <c r="B289" s="35">
        <v>89.147999999999996</v>
      </c>
      <c r="C289" s="30"/>
      <c r="D289" s="30"/>
      <c r="E289" s="26"/>
      <c r="F289" s="22"/>
      <c r="G289" s="22"/>
      <c r="H289" s="22" t="s">
        <v>516</v>
      </c>
      <c r="I289" s="11"/>
      <c r="J289" s="22"/>
      <c r="K289" s="22"/>
      <c r="L289" s="22"/>
      <c r="M289" s="30">
        <v>19008</v>
      </c>
      <c r="N289" s="30"/>
      <c r="O289" s="35">
        <f t="shared" si="4"/>
        <v>4.9031399999999996</v>
      </c>
      <c r="P289" s="22"/>
      <c r="Q289" s="22"/>
      <c r="R289" s="22"/>
      <c r="S289" s="22"/>
      <c r="T289" s="22"/>
      <c r="U289" s="35"/>
    </row>
    <row r="290" spans="1:21" ht="15" outlineLevel="1" x14ac:dyDescent="0.25">
      <c r="A290" s="85" t="s">
        <v>309</v>
      </c>
      <c r="B290" s="35">
        <v>181.73399999999998</v>
      </c>
      <c r="C290" s="30"/>
      <c r="D290" s="30"/>
      <c r="E290" s="26"/>
      <c r="F290" s="22"/>
      <c r="G290" s="22"/>
      <c r="H290" s="22" t="s">
        <v>516</v>
      </c>
      <c r="I290" s="11"/>
      <c r="J290" s="22"/>
      <c r="K290" s="22"/>
      <c r="L290" s="22"/>
      <c r="M290" s="30">
        <v>18998</v>
      </c>
      <c r="N290" s="30"/>
      <c r="O290" s="35">
        <f t="shared" si="4"/>
        <v>9.9953699999999994</v>
      </c>
      <c r="P290" s="22"/>
      <c r="Q290" s="22"/>
      <c r="R290" s="22"/>
      <c r="S290" s="22"/>
      <c r="T290" s="22"/>
      <c r="U290" s="35"/>
    </row>
    <row r="291" spans="1:21" ht="15" outlineLevel="1" x14ac:dyDescent="0.25">
      <c r="A291" s="85" t="s">
        <v>310</v>
      </c>
      <c r="B291" s="35">
        <v>186.45600000000002</v>
      </c>
      <c r="C291" s="30"/>
      <c r="D291" s="30"/>
      <c r="E291" s="26"/>
      <c r="F291" s="22"/>
      <c r="G291" s="22"/>
      <c r="H291" s="22" t="s">
        <v>516</v>
      </c>
      <c r="I291" s="11"/>
      <c r="J291" s="22"/>
      <c r="K291" s="22"/>
      <c r="L291" s="22"/>
      <c r="M291" s="30">
        <v>115</v>
      </c>
      <c r="N291" s="30"/>
      <c r="O291" s="35">
        <f t="shared" si="4"/>
        <v>10.255080000000001</v>
      </c>
      <c r="P291" s="22"/>
      <c r="Q291" s="22"/>
      <c r="R291" s="22"/>
      <c r="S291" s="22"/>
      <c r="T291" s="22"/>
      <c r="U291" s="35"/>
    </row>
    <row r="292" spans="1:21" ht="15" outlineLevel="1" x14ac:dyDescent="0.25">
      <c r="A292" s="85" t="s">
        <v>311</v>
      </c>
      <c r="B292" s="35">
        <v>128.66399999999999</v>
      </c>
      <c r="C292" s="30"/>
      <c r="D292" s="30"/>
      <c r="E292" s="26"/>
      <c r="F292" s="22"/>
      <c r="G292" s="22"/>
      <c r="H292" s="22" t="s">
        <v>516</v>
      </c>
      <c r="I292" s="11"/>
      <c r="J292" s="22"/>
      <c r="K292" s="22"/>
      <c r="L292" s="22"/>
      <c r="M292" s="30">
        <v>19020</v>
      </c>
      <c r="N292" s="30"/>
      <c r="O292" s="35">
        <f t="shared" si="4"/>
        <v>7.0765199999999995</v>
      </c>
      <c r="P292" s="22"/>
      <c r="Q292" s="22"/>
      <c r="R292" s="22"/>
      <c r="S292" s="22"/>
      <c r="T292" s="22"/>
      <c r="U292" s="35"/>
    </row>
    <row r="293" spans="1:21" ht="15" outlineLevel="1" x14ac:dyDescent="0.25">
      <c r="A293" s="85" t="s">
        <v>311</v>
      </c>
      <c r="B293" s="35">
        <v>193.84800000000001</v>
      </c>
      <c r="C293" s="30"/>
      <c r="D293" s="30"/>
      <c r="E293" s="26"/>
      <c r="F293" s="22"/>
      <c r="G293" s="22"/>
      <c r="H293" s="22" t="s">
        <v>516</v>
      </c>
      <c r="I293" s="11"/>
      <c r="J293" s="22"/>
      <c r="K293" s="22"/>
      <c r="L293" s="22"/>
      <c r="M293" s="30">
        <v>18649</v>
      </c>
      <c r="N293" s="30"/>
      <c r="O293" s="35">
        <f t="shared" si="4"/>
        <v>10.66164</v>
      </c>
      <c r="P293" s="22"/>
      <c r="Q293" s="22"/>
      <c r="R293" s="22"/>
      <c r="S293" s="22"/>
      <c r="T293" s="22"/>
      <c r="U293" s="35"/>
    </row>
    <row r="294" spans="1:21" ht="15" outlineLevel="1" x14ac:dyDescent="0.25">
      <c r="A294" s="85" t="s">
        <v>312</v>
      </c>
      <c r="B294" s="35">
        <v>76.055999999999997</v>
      </c>
      <c r="C294" s="30"/>
      <c r="D294" s="30"/>
      <c r="E294" s="26"/>
      <c r="F294" s="22"/>
      <c r="G294" s="22"/>
      <c r="H294" s="22" t="s">
        <v>516</v>
      </c>
      <c r="I294" s="11"/>
      <c r="J294" s="22"/>
      <c r="K294" s="22"/>
      <c r="L294" s="22"/>
      <c r="M294" s="30">
        <v>18839</v>
      </c>
      <c r="N294" s="30"/>
      <c r="O294" s="35">
        <f t="shared" si="4"/>
        <v>4.1830799999999995</v>
      </c>
      <c r="P294" s="22"/>
      <c r="Q294" s="22"/>
      <c r="R294" s="22"/>
      <c r="S294" s="22"/>
      <c r="T294" s="22"/>
      <c r="U294" s="35"/>
    </row>
    <row r="295" spans="1:21" ht="15" outlineLevel="1" x14ac:dyDescent="0.25">
      <c r="A295" s="85" t="s">
        <v>312</v>
      </c>
      <c r="B295" s="35">
        <v>123.786</v>
      </c>
      <c r="C295" s="30"/>
      <c r="D295" s="30"/>
      <c r="E295" s="26"/>
      <c r="F295" s="22"/>
      <c r="G295" s="22"/>
      <c r="H295" s="22" t="s">
        <v>516</v>
      </c>
      <c r="I295" s="11"/>
      <c r="J295" s="22"/>
      <c r="K295" s="22"/>
      <c r="L295" s="22"/>
      <c r="M295" s="30">
        <v>18904</v>
      </c>
      <c r="N295" s="30"/>
      <c r="O295" s="35">
        <f t="shared" si="4"/>
        <v>6.80823</v>
      </c>
      <c r="P295" s="22"/>
      <c r="Q295" s="22"/>
      <c r="R295" s="22"/>
      <c r="S295" s="22"/>
      <c r="T295" s="22"/>
      <c r="U295" s="35"/>
    </row>
    <row r="296" spans="1:21" ht="15" outlineLevel="1" x14ac:dyDescent="0.25">
      <c r="A296" s="85" t="s">
        <v>313</v>
      </c>
      <c r="B296" s="35">
        <v>117.75</v>
      </c>
      <c r="C296" s="30"/>
      <c r="D296" s="30"/>
      <c r="E296" s="26"/>
      <c r="F296" s="22"/>
      <c r="G296" s="22"/>
      <c r="H296" s="22" t="s">
        <v>516</v>
      </c>
      <c r="I296" s="11"/>
      <c r="J296" s="22"/>
      <c r="K296" s="22"/>
      <c r="L296" s="22"/>
      <c r="M296" s="30">
        <v>18650</v>
      </c>
      <c r="N296" s="30"/>
      <c r="O296" s="35">
        <f t="shared" si="4"/>
        <v>6.4762500000000003</v>
      </c>
      <c r="P296" s="22"/>
      <c r="Q296" s="22"/>
      <c r="R296" s="22"/>
      <c r="S296" s="22"/>
      <c r="T296" s="22"/>
      <c r="U296" s="35"/>
    </row>
    <row r="297" spans="1:21" ht="15" outlineLevel="1" x14ac:dyDescent="0.25">
      <c r="A297" s="85" t="s">
        <v>314</v>
      </c>
      <c r="B297" s="35">
        <v>83.4</v>
      </c>
      <c r="C297" s="30"/>
      <c r="D297" s="30"/>
      <c r="E297" s="26"/>
      <c r="F297" s="22"/>
      <c r="G297" s="22"/>
      <c r="H297" s="22" t="s">
        <v>516</v>
      </c>
      <c r="I297" s="11"/>
      <c r="J297" s="22"/>
      <c r="K297" s="22"/>
      <c r="L297" s="22"/>
      <c r="M297" s="30">
        <v>18924</v>
      </c>
      <c r="N297" s="30"/>
      <c r="O297" s="35">
        <f t="shared" si="4"/>
        <v>4.5870000000000006</v>
      </c>
      <c r="P297" s="22"/>
      <c r="Q297" s="22"/>
      <c r="R297" s="22"/>
      <c r="S297" s="22"/>
      <c r="T297" s="22"/>
      <c r="U297" s="35"/>
    </row>
    <row r="298" spans="1:21" ht="15" outlineLevel="1" x14ac:dyDescent="0.25">
      <c r="A298" s="85" t="s">
        <v>314</v>
      </c>
      <c r="B298" s="35">
        <v>198.71999999999997</v>
      </c>
      <c r="C298" s="30"/>
      <c r="D298" s="30"/>
      <c r="E298" s="26"/>
      <c r="F298" s="22"/>
      <c r="G298" s="22"/>
      <c r="H298" s="22" t="s">
        <v>516</v>
      </c>
      <c r="I298" s="11"/>
      <c r="J298" s="22"/>
      <c r="K298" s="22"/>
      <c r="L298" s="22"/>
      <c r="M298" s="30">
        <v>18713</v>
      </c>
      <c r="N298" s="30"/>
      <c r="O298" s="35">
        <f t="shared" si="4"/>
        <v>10.929599999999999</v>
      </c>
      <c r="P298" s="22"/>
      <c r="Q298" s="22"/>
      <c r="R298" s="22"/>
      <c r="S298" s="22"/>
      <c r="T298" s="22"/>
      <c r="U298" s="35"/>
    </row>
    <row r="299" spans="1:21" ht="15" outlineLevel="1" x14ac:dyDescent="0.25">
      <c r="A299" s="85" t="s">
        <v>314</v>
      </c>
      <c r="B299" s="35">
        <v>30.222000000000001</v>
      </c>
      <c r="C299" s="30"/>
      <c r="D299" s="30"/>
      <c r="E299" s="26"/>
      <c r="F299" s="22"/>
      <c r="G299" s="22"/>
      <c r="H299" s="22" t="s">
        <v>516</v>
      </c>
      <c r="I299" s="11"/>
      <c r="J299" s="22"/>
      <c r="K299" s="22"/>
      <c r="L299" s="22"/>
      <c r="M299" s="30">
        <v>18917</v>
      </c>
      <c r="N299" s="30"/>
      <c r="O299" s="35">
        <f t="shared" si="4"/>
        <v>1.6622100000000002</v>
      </c>
      <c r="P299" s="22"/>
      <c r="Q299" s="22"/>
      <c r="R299" s="22"/>
      <c r="S299" s="22"/>
      <c r="T299" s="22"/>
      <c r="U299" s="35"/>
    </row>
    <row r="300" spans="1:21" ht="15" outlineLevel="1" x14ac:dyDescent="0.25">
      <c r="A300" s="85" t="s">
        <v>314</v>
      </c>
      <c r="B300" s="35">
        <v>153.91800000000001</v>
      </c>
      <c r="C300" s="30"/>
      <c r="D300" s="30"/>
      <c r="E300" s="26"/>
      <c r="F300" s="22"/>
      <c r="G300" s="22"/>
      <c r="H300" s="22" t="s">
        <v>516</v>
      </c>
      <c r="I300" s="11"/>
      <c r="J300" s="22"/>
      <c r="K300" s="22"/>
      <c r="L300" s="22"/>
      <c r="M300" s="30">
        <v>18942</v>
      </c>
      <c r="N300" s="30"/>
      <c r="O300" s="35">
        <f t="shared" si="4"/>
        <v>8.4654900000000008</v>
      </c>
      <c r="P300" s="22"/>
      <c r="Q300" s="22"/>
      <c r="R300" s="22"/>
      <c r="S300" s="22"/>
      <c r="T300" s="22"/>
      <c r="U300" s="35"/>
    </row>
    <row r="301" spans="1:21" ht="15" outlineLevel="1" x14ac:dyDescent="0.25">
      <c r="A301" s="85" t="s">
        <v>314</v>
      </c>
      <c r="B301" s="35">
        <v>114.06600000000002</v>
      </c>
      <c r="C301" s="30"/>
      <c r="D301" s="30"/>
      <c r="E301" s="26"/>
      <c r="F301" s="22"/>
      <c r="G301" s="22"/>
      <c r="H301" s="22" t="s">
        <v>516</v>
      </c>
      <c r="I301" s="11"/>
      <c r="J301" s="22"/>
      <c r="K301" s="22"/>
      <c r="L301" s="22"/>
      <c r="M301" s="30">
        <v>18990</v>
      </c>
      <c r="N301" s="30"/>
      <c r="O301" s="35">
        <f t="shared" si="4"/>
        <v>6.2736300000000007</v>
      </c>
      <c r="P301" s="22"/>
      <c r="Q301" s="22"/>
      <c r="R301" s="22"/>
      <c r="S301" s="22"/>
      <c r="T301" s="22"/>
      <c r="U301" s="35"/>
    </row>
    <row r="302" spans="1:21" ht="15" outlineLevel="1" x14ac:dyDescent="0.25">
      <c r="A302" s="85" t="s">
        <v>314</v>
      </c>
      <c r="B302" s="35">
        <v>151.90199999999999</v>
      </c>
      <c r="C302" s="30"/>
      <c r="D302" s="30"/>
      <c r="E302" s="26"/>
      <c r="F302" s="22"/>
      <c r="G302" s="22"/>
      <c r="H302" s="22" t="s">
        <v>516</v>
      </c>
      <c r="I302" s="11"/>
      <c r="J302" s="22"/>
      <c r="K302" s="22"/>
      <c r="L302" s="22"/>
      <c r="M302" s="30">
        <v>18703</v>
      </c>
      <c r="N302" s="30"/>
      <c r="O302" s="35">
        <f t="shared" si="4"/>
        <v>8.3546099999999992</v>
      </c>
      <c r="P302" s="22"/>
      <c r="Q302" s="22"/>
      <c r="R302" s="22"/>
      <c r="S302" s="22"/>
      <c r="T302" s="22"/>
      <c r="U302" s="35"/>
    </row>
    <row r="303" spans="1:21" ht="15" outlineLevel="1" x14ac:dyDescent="0.25">
      <c r="A303" s="85" t="s">
        <v>314</v>
      </c>
      <c r="B303" s="35">
        <v>60.173999999999999</v>
      </c>
      <c r="C303" s="30"/>
      <c r="D303" s="30"/>
      <c r="E303" s="26"/>
      <c r="F303" s="22"/>
      <c r="G303" s="22"/>
      <c r="H303" s="22" t="s">
        <v>516</v>
      </c>
      <c r="I303" s="11"/>
      <c r="J303" s="22"/>
      <c r="K303" s="22"/>
      <c r="L303" s="22"/>
      <c r="M303" s="30">
        <v>19023</v>
      </c>
      <c r="N303" s="30"/>
      <c r="O303" s="35">
        <f t="shared" si="4"/>
        <v>3.3095699999999999</v>
      </c>
      <c r="P303" s="22"/>
      <c r="Q303" s="22"/>
      <c r="R303" s="22"/>
      <c r="S303" s="22"/>
      <c r="T303" s="22"/>
      <c r="U303" s="35"/>
    </row>
    <row r="304" spans="1:21" ht="15" outlineLevel="1" x14ac:dyDescent="0.25">
      <c r="A304" s="85" t="s">
        <v>314</v>
      </c>
      <c r="B304" s="35">
        <v>141.09</v>
      </c>
      <c r="C304" s="30"/>
      <c r="D304" s="30"/>
      <c r="E304" s="26"/>
      <c r="F304" s="22"/>
      <c r="G304" s="22"/>
      <c r="H304" s="22" t="s">
        <v>516</v>
      </c>
      <c r="I304" s="11"/>
      <c r="J304" s="22"/>
      <c r="K304" s="22"/>
      <c r="L304" s="22"/>
      <c r="M304" s="30">
        <v>18850</v>
      </c>
      <c r="N304" s="30"/>
      <c r="O304" s="35">
        <f t="shared" si="4"/>
        <v>7.7599499999999999</v>
      </c>
      <c r="P304" s="22"/>
      <c r="Q304" s="22"/>
      <c r="R304" s="22"/>
      <c r="S304" s="22"/>
      <c r="T304" s="22"/>
      <c r="U304" s="35"/>
    </row>
    <row r="305" spans="1:21" ht="15" outlineLevel="1" x14ac:dyDescent="0.25">
      <c r="A305" s="85" t="s">
        <v>314</v>
      </c>
      <c r="B305" s="35">
        <v>129.06600000000003</v>
      </c>
      <c r="C305" s="30"/>
      <c r="D305" s="30"/>
      <c r="E305" s="26"/>
      <c r="F305" s="22"/>
      <c r="G305" s="22"/>
      <c r="H305" s="22" t="s">
        <v>516</v>
      </c>
      <c r="I305" s="11"/>
      <c r="J305" s="22"/>
      <c r="K305" s="22"/>
      <c r="L305" s="22"/>
      <c r="M305" s="30">
        <v>18986</v>
      </c>
      <c r="N305" s="30"/>
      <c r="O305" s="35">
        <f t="shared" si="4"/>
        <v>7.0986300000000018</v>
      </c>
      <c r="P305" s="22"/>
      <c r="Q305" s="22"/>
      <c r="R305" s="22"/>
      <c r="S305" s="22"/>
      <c r="T305" s="22"/>
      <c r="U305" s="35"/>
    </row>
    <row r="306" spans="1:21" ht="15" x14ac:dyDescent="0.25">
      <c r="A306" s="85" t="s">
        <v>314</v>
      </c>
      <c r="B306" s="35">
        <v>149.01</v>
      </c>
      <c r="C306" s="30"/>
      <c r="D306" s="30"/>
      <c r="E306" s="26"/>
      <c r="F306" s="22"/>
      <c r="G306" s="22"/>
      <c r="H306" s="22" t="s">
        <v>516</v>
      </c>
      <c r="I306" s="11"/>
      <c r="J306" s="22"/>
      <c r="K306" s="22"/>
      <c r="L306" s="22"/>
      <c r="M306" s="30">
        <v>18646</v>
      </c>
      <c r="N306" s="30"/>
      <c r="O306" s="35">
        <f t="shared" si="4"/>
        <v>8.195549999999999</v>
      </c>
      <c r="P306" s="22"/>
      <c r="Q306" s="22"/>
      <c r="R306" s="22"/>
      <c r="S306" s="22"/>
      <c r="T306" s="22"/>
      <c r="U306" s="35"/>
    </row>
    <row r="307" spans="1:21" ht="15" x14ac:dyDescent="0.25">
      <c r="A307" s="85" t="s">
        <v>314</v>
      </c>
      <c r="B307" s="35">
        <v>121.608</v>
      </c>
      <c r="C307" s="30"/>
      <c r="D307" s="30"/>
      <c r="E307" s="26"/>
      <c r="F307" s="22"/>
      <c r="G307" s="22"/>
      <c r="H307" s="22" t="s">
        <v>516</v>
      </c>
      <c r="I307" s="11"/>
      <c r="J307" s="22"/>
      <c r="K307" s="22"/>
      <c r="L307" s="22"/>
      <c r="M307" s="30">
        <v>19039</v>
      </c>
      <c r="N307" s="30"/>
      <c r="O307" s="35">
        <f t="shared" si="4"/>
        <v>6.6884399999999999</v>
      </c>
      <c r="P307" s="22"/>
      <c r="Q307" s="22"/>
      <c r="R307" s="22"/>
      <c r="S307" s="22"/>
      <c r="T307" s="22"/>
      <c r="U307" s="35"/>
    </row>
    <row r="308" spans="1:21" ht="15" x14ac:dyDescent="0.25">
      <c r="A308" s="85" t="s">
        <v>315</v>
      </c>
      <c r="B308" s="35">
        <v>111.20399999999999</v>
      </c>
      <c r="C308" s="30"/>
      <c r="D308" s="30"/>
      <c r="E308" s="26"/>
      <c r="F308" s="22"/>
      <c r="G308" s="22"/>
      <c r="H308" s="22" t="s">
        <v>516</v>
      </c>
      <c r="I308" s="11"/>
      <c r="J308" s="22"/>
      <c r="K308" s="22"/>
      <c r="L308" s="22"/>
      <c r="M308" s="30">
        <v>18970</v>
      </c>
      <c r="N308" s="30"/>
      <c r="O308" s="35">
        <f t="shared" si="4"/>
        <v>6.1162199999999993</v>
      </c>
      <c r="P308" s="22"/>
      <c r="Q308" s="22"/>
      <c r="R308" s="22"/>
      <c r="S308" s="22"/>
      <c r="T308" s="22"/>
      <c r="U308" s="35"/>
    </row>
    <row r="309" spans="1:21" ht="15" x14ac:dyDescent="0.25">
      <c r="A309" s="85" t="s">
        <v>316</v>
      </c>
      <c r="B309" s="35">
        <v>138.11399999999998</v>
      </c>
      <c r="C309" s="30"/>
      <c r="D309" s="30"/>
      <c r="E309" s="26"/>
      <c r="F309" s="22"/>
      <c r="G309" s="22"/>
      <c r="H309" s="22" t="s">
        <v>516</v>
      </c>
      <c r="I309" s="11"/>
      <c r="J309" s="22"/>
      <c r="K309" s="22"/>
      <c r="L309" s="22"/>
      <c r="M309" s="30">
        <v>18976</v>
      </c>
      <c r="N309" s="30"/>
      <c r="O309" s="35">
        <f t="shared" si="4"/>
        <v>7.5962699999999987</v>
      </c>
      <c r="P309" s="22"/>
      <c r="Q309" s="22"/>
      <c r="R309" s="22"/>
      <c r="S309" s="22"/>
      <c r="T309" s="22"/>
      <c r="U309" s="35"/>
    </row>
    <row r="310" spans="1:21" ht="15" x14ac:dyDescent="0.25">
      <c r="A310" s="85" t="s">
        <v>316</v>
      </c>
      <c r="B310" s="35">
        <v>205.96199999999999</v>
      </c>
      <c r="C310" s="30"/>
      <c r="D310" s="30"/>
      <c r="E310" s="26"/>
      <c r="F310" s="22"/>
      <c r="G310" s="22"/>
      <c r="H310" s="22" t="s">
        <v>516</v>
      </c>
      <c r="I310" s="11"/>
      <c r="J310" s="22"/>
      <c r="K310" s="22"/>
      <c r="L310" s="22"/>
      <c r="M310" s="30">
        <v>19031</v>
      </c>
      <c r="N310" s="30"/>
      <c r="O310" s="35">
        <f t="shared" si="4"/>
        <v>11.327909999999999</v>
      </c>
      <c r="P310" s="22"/>
      <c r="Q310" s="22"/>
      <c r="R310" s="22"/>
      <c r="S310" s="22"/>
      <c r="T310" s="22"/>
      <c r="U310" s="35"/>
    </row>
    <row r="311" spans="1:21" ht="15" x14ac:dyDescent="0.25">
      <c r="A311" s="85" t="s">
        <v>317</v>
      </c>
      <c r="B311" s="35">
        <v>159.92400000000004</v>
      </c>
      <c r="C311" s="30"/>
      <c r="D311" s="30"/>
      <c r="E311" s="26"/>
      <c r="F311" s="22"/>
      <c r="G311" s="22"/>
      <c r="H311" s="22" t="s">
        <v>516</v>
      </c>
      <c r="I311" s="11"/>
      <c r="J311" s="22"/>
      <c r="K311" s="22"/>
      <c r="L311" s="22"/>
      <c r="M311" s="30">
        <v>18442</v>
      </c>
      <c r="N311" s="30"/>
      <c r="O311" s="35">
        <f t="shared" si="4"/>
        <v>8.7958200000000026</v>
      </c>
      <c r="P311" s="22"/>
      <c r="Q311" s="22"/>
      <c r="R311" s="22"/>
      <c r="S311" s="22"/>
      <c r="T311" s="22"/>
      <c r="U311" s="35"/>
    </row>
    <row r="312" spans="1:21" ht="15" x14ac:dyDescent="0.25">
      <c r="A312" s="85" t="s">
        <v>285</v>
      </c>
      <c r="B312" s="35">
        <v>82.841999999999985</v>
      </c>
      <c r="C312" s="30"/>
      <c r="D312" s="30"/>
      <c r="E312" s="26"/>
      <c r="F312" s="22"/>
      <c r="G312" s="22"/>
      <c r="H312" s="22" t="s">
        <v>516</v>
      </c>
      <c r="I312" s="11"/>
      <c r="J312" s="22"/>
      <c r="K312" s="22"/>
      <c r="L312" s="22"/>
      <c r="M312" s="30">
        <v>18634</v>
      </c>
      <c r="N312" s="30"/>
      <c r="O312" s="35">
        <f t="shared" si="4"/>
        <v>4.556309999999999</v>
      </c>
      <c r="P312" s="22"/>
      <c r="Q312" s="22"/>
      <c r="R312" s="22"/>
      <c r="S312" s="22"/>
      <c r="T312" s="22"/>
      <c r="U312" s="35"/>
    </row>
    <row r="313" spans="1:21" ht="15" x14ac:dyDescent="0.25">
      <c r="A313" s="85" t="s">
        <v>285</v>
      </c>
      <c r="B313" s="35">
        <v>101.22600000000001</v>
      </c>
      <c r="C313" s="30"/>
      <c r="D313" s="30"/>
      <c r="E313" s="26"/>
      <c r="F313" s="22"/>
      <c r="G313" s="22"/>
      <c r="H313" s="22" t="s">
        <v>516</v>
      </c>
      <c r="I313" s="11"/>
      <c r="J313" s="22"/>
      <c r="K313" s="22"/>
      <c r="L313" s="22"/>
      <c r="M313" s="30">
        <v>18996</v>
      </c>
      <c r="N313" s="30"/>
      <c r="O313" s="35">
        <f t="shared" si="4"/>
        <v>5.5674300000000008</v>
      </c>
      <c r="P313" s="22"/>
      <c r="Q313" s="22"/>
      <c r="R313" s="22"/>
      <c r="S313" s="22"/>
      <c r="T313" s="22"/>
      <c r="U313" s="35"/>
    </row>
    <row r="314" spans="1:21" ht="15" x14ac:dyDescent="0.25">
      <c r="A314" s="85" t="s">
        <v>285</v>
      </c>
      <c r="B314" s="35">
        <v>112.21200000000002</v>
      </c>
      <c r="C314" s="30"/>
      <c r="D314" s="30"/>
      <c r="E314" s="26"/>
      <c r="F314" s="22"/>
      <c r="G314" s="22"/>
      <c r="H314" s="22" t="s">
        <v>516</v>
      </c>
      <c r="I314" s="11"/>
      <c r="J314" s="22"/>
      <c r="K314" s="22"/>
      <c r="L314" s="22"/>
      <c r="M314" s="30">
        <v>18898</v>
      </c>
      <c r="N314" s="30"/>
      <c r="O314" s="35">
        <f t="shared" si="4"/>
        <v>6.171660000000001</v>
      </c>
      <c r="P314" s="22"/>
      <c r="Q314" s="22"/>
      <c r="R314" s="22"/>
      <c r="S314" s="22"/>
      <c r="T314" s="22"/>
      <c r="U314" s="35"/>
    </row>
    <row r="315" spans="1:21" ht="15" x14ac:dyDescent="0.25">
      <c r="A315" s="85" t="s">
        <v>285</v>
      </c>
      <c r="B315" s="35">
        <v>43.5</v>
      </c>
      <c r="C315" s="30"/>
      <c r="D315" s="30"/>
      <c r="E315" s="26"/>
      <c r="F315" s="22"/>
      <c r="G315" s="22"/>
      <c r="H315" s="22" t="s">
        <v>516</v>
      </c>
      <c r="I315" s="11"/>
      <c r="J315" s="22"/>
      <c r="K315" s="22"/>
      <c r="L315" s="22"/>
      <c r="M315" s="30">
        <v>18927</v>
      </c>
      <c r="N315" s="30"/>
      <c r="O315" s="35">
        <f t="shared" si="4"/>
        <v>2.3925000000000001</v>
      </c>
      <c r="P315" s="22"/>
      <c r="Q315" s="22"/>
      <c r="R315" s="22"/>
      <c r="S315" s="22"/>
      <c r="T315" s="22"/>
      <c r="U315" s="35"/>
    </row>
    <row r="316" spans="1:21" ht="15" x14ac:dyDescent="0.25">
      <c r="A316" s="85" t="s">
        <v>285</v>
      </c>
      <c r="B316" s="35">
        <v>193.84800000000001</v>
      </c>
      <c r="C316" s="30"/>
      <c r="D316" s="30"/>
      <c r="E316" s="26"/>
      <c r="F316" s="22"/>
      <c r="G316" s="22"/>
      <c r="H316" s="22" t="s">
        <v>516</v>
      </c>
      <c r="I316" s="11"/>
      <c r="J316" s="22"/>
      <c r="K316" s="22"/>
      <c r="L316" s="22"/>
      <c r="M316" s="30">
        <v>261</v>
      </c>
      <c r="N316" s="30"/>
      <c r="O316" s="35">
        <f t="shared" si="4"/>
        <v>10.66164</v>
      </c>
      <c r="P316" s="22"/>
      <c r="Q316" s="22"/>
      <c r="R316" s="22"/>
      <c r="S316" s="22"/>
      <c r="T316" s="22"/>
      <c r="U316" s="35"/>
    </row>
    <row r="317" spans="1:21" ht="15" x14ac:dyDescent="0.25">
      <c r="A317" s="85" t="s">
        <v>285</v>
      </c>
      <c r="B317" s="35">
        <v>103.76999999999998</v>
      </c>
      <c r="C317" s="22"/>
      <c r="D317" s="22"/>
      <c r="E317" s="26"/>
      <c r="F317" s="22"/>
      <c r="G317" s="22"/>
      <c r="H317" s="22" t="s">
        <v>516</v>
      </c>
      <c r="I317" s="11"/>
      <c r="J317" s="22"/>
      <c r="K317" s="22"/>
      <c r="L317" s="22"/>
      <c r="M317" s="22">
        <v>18895</v>
      </c>
      <c r="N317" s="22"/>
      <c r="O317" s="35">
        <f t="shared" si="4"/>
        <v>5.707349999999999</v>
      </c>
      <c r="P317" s="22"/>
      <c r="Q317" s="22"/>
      <c r="R317" s="22"/>
      <c r="S317" s="22"/>
      <c r="T317" s="22"/>
      <c r="U317" s="35"/>
    </row>
    <row r="318" spans="1:21" ht="15" x14ac:dyDescent="0.25">
      <c r="A318" s="85" t="s">
        <v>285</v>
      </c>
      <c r="B318" s="35">
        <v>152.60999999999999</v>
      </c>
      <c r="C318" s="22"/>
      <c r="D318" s="22"/>
      <c r="E318" s="26"/>
      <c r="F318" s="22"/>
      <c r="G318" s="22"/>
      <c r="H318" s="22" t="s">
        <v>516</v>
      </c>
      <c r="I318" s="11"/>
      <c r="J318" s="22"/>
      <c r="K318" s="22"/>
      <c r="L318" s="22"/>
      <c r="M318" s="22">
        <v>18823</v>
      </c>
      <c r="N318" s="22"/>
      <c r="O318" s="35">
        <f t="shared" si="4"/>
        <v>8.3935499999999994</v>
      </c>
      <c r="P318" s="22"/>
      <c r="Q318" s="22"/>
      <c r="R318" s="22"/>
      <c r="S318" s="22"/>
      <c r="T318" s="22"/>
      <c r="U318" s="35"/>
    </row>
    <row r="319" spans="1:21" ht="15" x14ac:dyDescent="0.25">
      <c r="A319" s="85" t="s">
        <v>318</v>
      </c>
      <c r="B319" s="35">
        <v>30.558</v>
      </c>
      <c r="C319" s="22"/>
      <c r="D319" s="22"/>
      <c r="E319" s="26"/>
      <c r="F319" s="22"/>
      <c r="G319" s="22"/>
      <c r="H319" s="22" t="s">
        <v>516</v>
      </c>
      <c r="I319" s="11"/>
      <c r="J319" s="22"/>
      <c r="K319" s="22"/>
      <c r="L319" s="22"/>
      <c r="M319" s="22">
        <v>18791</v>
      </c>
      <c r="N319" s="22"/>
      <c r="O319" s="35">
        <f t="shared" si="4"/>
        <v>1.68069</v>
      </c>
      <c r="P319" s="22"/>
      <c r="Q319" s="22"/>
      <c r="R319" s="22"/>
      <c r="S319" s="22"/>
      <c r="T319" s="22"/>
      <c r="U319" s="35"/>
    </row>
    <row r="320" spans="1:21" ht="15" x14ac:dyDescent="0.25">
      <c r="A320" s="85" t="s">
        <v>319</v>
      </c>
      <c r="B320" s="35">
        <v>161.00399999999996</v>
      </c>
      <c r="C320" s="22"/>
      <c r="D320" s="22"/>
      <c r="E320" s="26"/>
      <c r="F320" s="22"/>
      <c r="G320" s="22"/>
      <c r="H320" s="22" t="s">
        <v>516</v>
      </c>
      <c r="I320" s="11"/>
      <c r="J320" s="22"/>
      <c r="K320" s="22"/>
      <c r="L320" s="22"/>
      <c r="M320" s="22">
        <v>18561</v>
      </c>
      <c r="N320" s="22"/>
      <c r="O320" s="35">
        <f t="shared" si="4"/>
        <v>8.8552199999999974</v>
      </c>
      <c r="P320" s="22"/>
      <c r="Q320" s="22"/>
      <c r="R320" s="22"/>
      <c r="S320" s="22"/>
      <c r="T320" s="22"/>
      <c r="U320" s="35"/>
    </row>
    <row r="321" spans="1:21" ht="15" x14ac:dyDescent="0.25">
      <c r="A321" s="85" t="s">
        <v>319</v>
      </c>
      <c r="B321" s="35">
        <v>114.804</v>
      </c>
      <c r="C321" s="22"/>
      <c r="D321" s="22"/>
      <c r="E321" s="26"/>
      <c r="F321" s="22"/>
      <c r="G321" s="22"/>
      <c r="H321" s="22" t="s">
        <v>516</v>
      </c>
      <c r="I321" s="11"/>
      <c r="J321" s="22"/>
      <c r="K321" s="22"/>
      <c r="L321" s="22"/>
      <c r="M321" s="22">
        <v>18953</v>
      </c>
      <c r="N321" s="22"/>
      <c r="O321" s="35">
        <f t="shared" si="4"/>
        <v>6.3142199999999997</v>
      </c>
      <c r="P321" s="22"/>
      <c r="Q321" s="22"/>
      <c r="R321" s="22"/>
      <c r="S321" s="22"/>
      <c r="T321" s="22"/>
      <c r="U321" s="35"/>
    </row>
    <row r="322" spans="1:21" ht="15" x14ac:dyDescent="0.25">
      <c r="A322" s="85" t="s">
        <v>320</v>
      </c>
      <c r="B322" s="35">
        <v>35.099999999999994</v>
      </c>
      <c r="C322" s="22"/>
      <c r="D322" s="22"/>
      <c r="E322" s="26"/>
      <c r="F322" s="22"/>
      <c r="G322" s="22"/>
      <c r="H322" s="22" t="s">
        <v>516</v>
      </c>
      <c r="I322" s="11"/>
      <c r="J322" s="22"/>
      <c r="K322" s="22"/>
      <c r="L322" s="22"/>
      <c r="M322" s="22">
        <v>156</v>
      </c>
      <c r="N322" s="22"/>
      <c r="O322" s="35">
        <f t="shared" si="4"/>
        <v>1.9304999999999997</v>
      </c>
      <c r="P322" s="22"/>
      <c r="Q322" s="22"/>
      <c r="R322" s="22"/>
      <c r="S322" s="22"/>
      <c r="T322" s="22"/>
      <c r="U322" s="35"/>
    </row>
    <row r="323" spans="1:21" ht="15" x14ac:dyDescent="0.25">
      <c r="A323" s="85" t="s">
        <v>320</v>
      </c>
      <c r="B323" s="35">
        <v>124.05599999999998</v>
      </c>
      <c r="C323" s="22"/>
      <c r="D323" s="22"/>
      <c r="E323" s="26"/>
      <c r="F323" s="22"/>
      <c r="G323" s="22"/>
      <c r="H323" s="22" t="s">
        <v>516</v>
      </c>
      <c r="I323" s="11"/>
      <c r="J323" s="22"/>
      <c r="K323" s="22"/>
      <c r="L323" s="22"/>
      <c r="M323" s="22">
        <v>18792</v>
      </c>
      <c r="N323" s="22"/>
      <c r="O323" s="35">
        <f t="shared" ref="O323:O386" si="5">B323*$O$1</f>
        <v>6.8230799999999991</v>
      </c>
      <c r="P323" s="22"/>
      <c r="Q323" s="22"/>
      <c r="R323" s="22"/>
      <c r="S323" s="22"/>
      <c r="T323" s="22"/>
      <c r="U323" s="35"/>
    </row>
    <row r="324" spans="1:21" ht="15" x14ac:dyDescent="0.25">
      <c r="A324" s="85" t="s">
        <v>320</v>
      </c>
      <c r="B324" s="35">
        <v>44.658000000000001</v>
      </c>
      <c r="C324" s="22"/>
      <c r="D324" s="22"/>
      <c r="E324" s="26"/>
      <c r="F324" s="22"/>
      <c r="G324" s="22"/>
      <c r="H324" s="22" t="s">
        <v>516</v>
      </c>
      <c r="I324" s="11"/>
      <c r="J324" s="22"/>
      <c r="K324" s="22"/>
      <c r="L324" s="22"/>
      <c r="M324" s="22">
        <v>18506</v>
      </c>
      <c r="N324" s="22"/>
      <c r="O324" s="35">
        <f t="shared" si="5"/>
        <v>2.4561899999999999</v>
      </c>
      <c r="P324" s="22"/>
      <c r="Q324" s="22"/>
      <c r="R324" s="22"/>
      <c r="S324" s="22"/>
      <c r="T324" s="22"/>
      <c r="U324" s="35"/>
    </row>
    <row r="325" spans="1:21" ht="15" x14ac:dyDescent="0.25">
      <c r="A325" s="86" t="s">
        <v>447</v>
      </c>
      <c r="B325" s="35">
        <v>39.888000000000005</v>
      </c>
      <c r="C325" s="22"/>
      <c r="D325" s="22"/>
      <c r="E325" s="26"/>
      <c r="F325" s="22"/>
      <c r="G325" s="22"/>
      <c r="H325" s="22" t="s">
        <v>516</v>
      </c>
      <c r="I325" s="11"/>
      <c r="J325" s="22"/>
      <c r="K325" s="22"/>
      <c r="L325" s="22"/>
      <c r="M325" s="22">
        <v>19037</v>
      </c>
      <c r="N325" s="22"/>
      <c r="O325" s="35">
        <f t="shared" si="5"/>
        <v>2.1938400000000002</v>
      </c>
      <c r="P325" s="22"/>
      <c r="Q325" s="22"/>
      <c r="R325" s="22"/>
      <c r="S325" s="22"/>
      <c r="T325" s="22"/>
      <c r="U325" s="35"/>
    </row>
    <row r="326" spans="1:21" ht="15" x14ac:dyDescent="0.25">
      <c r="A326" s="87" t="s">
        <v>447</v>
      </c>
      <c r="B326" s="35">
        <v>22.962000000000003</v>
      </c>
      <c r="C326" s="22"/>
      <c r="D326" s="22"/>
      <c r="E326" s="26"/>
      <c r="F326" s="22"/>
      <c r="G326" s="22"/>
      <c r="H326" s="22" t="s">
        <v>516</v>
      </c>
      <c r="I326" s="11"/>
      <c r="J326" s="22"/>
      <c r="K326" s="22"/>
      <c r="L326" s="22"/>
      <c r="M326" s="22">
        <v>19043</v>
      </c>
      <c r="N326" s="22"/>
      <c r="O326" s="35">
        <f t="shared" si="5"/>
        <v>1.2629100000000002</v>
      </c>
      <c r="P326" s="22"/>
      <c r="Q326" s="22"/>
      <c r="R326" s="22"/>
      <c r="S326" s="22"/>
      <c r="T326" s="22"/>
      <c r="U326" s="35"/>
    </row>
    <row r="327" spans="1:21" ht="15" x14ac:dyDescent="0.25">
      <c r="A327" s="86" t="s">
        <v>321</v>
      </c>
      <c r="B327" s="35">
        <v>181.73399999999998</v>
      </c>
      <c r="C327" s="22"/>
      <c r="D327" s="22"/>
      <c r="E327" s="26"/>
      <c r="F327" s="22"/>
      <c r="G327" s="22"/>
      <c r="H327" s="22" t="s">
        <v>516</v>
      </c>
      <c r="I327" s="11"/>
      <c r="J327" s="22"/>
      <c r="K327" s="22"/>
      <c r="L327" s="22"/>
      <c r="M327" s="22">
        <v>18876</v>
      </c>
      <c r="N327" s="22"/>
      <c r="O327" s="35">
        <f t="shared" si="5"/>
        <v>9.9953699999999994</v>
      </c>
      <c r="P327" s="22"/>
      <c r="Q327" s="22"/>
      <c r="R327" s="22"/>
      <c r="S327" s="22"/>
      <c r="T327" s="22"/>
      <c r="U327" s="35"/>
    </row>
    <row r="328" spans="1:21" ht="15" x14ac:dyDescent="0.25">
      <c r="A328" s="86" t="s">
        <v>322</v>
      </c>
      <c r="B328" s="35">
        <v>2538.4679999999998</v>
      </c>
      <c r="C328" s="22"/>
      <c r="D328" s="22"/>
      <c r="E328" s="26"/>
      <c r="F328" s="22"/>
      <c r="G328" s="22"/>
      <c r="H328" s="22" t="s">
        <v>516</v>
      </c>
      <c r="I328" s="11"/>
      <c r="J328" s="22"/>
      <c r="K328" s="22"/>
      <c r="L328" s="22"/>
      <c r="M328" s="22">
        <v>18871</v>
      </c>
      <c r="N328" s="22"/>
      <c r="O328" s="35">
        <f t="shared" si="5"/>
        <v>139.61573999999999</v>
      </c>
      <c r="P328" s="22"/>
      <c r="Q328" s="22"/>
      <c r="R328" s="22"/>
      <c r="S328" s="22"/>
      <c r="T328" s="22"/>
      <c r="U328" s="35"/>
    </row>
    <row r="329" spans="1:21" ht="15" x14ac:dyDescent="0.25">
      <c r="A329" s="86" t="s">
        <v>322</v>
      </c>
      <c r="B329" s="35">
        <v>2500.2719999999999</v>
      </c>
      <c r="C329" s="22"/>
      <c r="D329" s="22"/>
      <c r="E329" s="26"/>
      <c r="F329" s="22"/>
      <c r="G329" s="22"/>
      <c r="H329" s="22" t="s">
        <v>516</v>
      </c>
      <c r="I329" s="11"/>
      <c r="J329" s="22"/>
      <c r="K329" s="22"/>
      <c r="L329" s="22"/>
      <c r="M329" s="22">
        <v>18647</v>
      </c>
      <c r="N329" s="22"/>
      <c r="O329" s="35">
        <f t="shared" si="5"/>
        <v>137.51496</v>
      </c>
      <c r="P329" s="22"/>
      <c r="Q329" s="22"/>
      <c r="R329" s="22"/>
      <c r="S329" s="22"/>
      <c r="T329" s="22"/>
      <c r="U329" s="35"/>
    </row>
    <row r="330" spans="1:21" ht="15" x14ac:dyDescent="0.25">
      <c r="A330" s="86" t="s">
        <v>322</v>
      </c>
      <c r="B330" s="35">
        <v>3230.7719999999999</v>
      </c>
      <c r="C330" s="22"/>
      <c r="D330" s="22"/>
      <c r="E330" s="26"/>
      <c r="F330" s="22"/>
      <c r="G330" s="22"/>
      <c r="H330" s="22" t="s">
        <v>516</v>
      </c>
      <c r="I330" s="11"/>
      <c r="J330" s="22"/>
      <c r="K330" s="22"/>
      <c r="L330" s="22"/>
      <c r="M330" s="22">
        <v>18517</v>
      </c>
      <c r="N330" s="22"/>
      <c r="O330" s="35">
        <f t="shared" si="5"/>
        <v>177.69246000000001</v>
      </c>
      <c r="P330" s="22"/>
      <c r="Q330" s="22"/>
      <c r="R330" s="22"/>
      <c r="S330" s="22"/>
      <c r="T330" s="22"/>
      <c r="U330" s="35"/>
    </row>
    <row r="331" spans="1:21" ht="15" x14ac:dyDescent="0.25">
      <c r="A331" s="86" t="s">
        <v>322</v>
      </c>
      <c r="B331" s="35">
        <v>489.46199999999999</v>
      </c>
      <c r="C331" s="22"/>
      <c r="D331" s="22"/>
      <c r="E331" s="26"/>
      <c r="F331" s="22"/>
      <c r="G331" s="22"/>
      <c r="H331" s="22" t="s">
        <v>516</v>
      </c>
      <c r="I331" s="11"/>
      <c r="J331" s="22"/>
      <c r="K331" s="22"/>
      <c r="L331" s="22"/>
      <c r="M331" s="22">
        <v>18726</v>
      </c>
      <c r="N331" s="22"/>
      <c r="O331" s="35">
        <f t="shared" si="5"/>
        <v>26.92041</v>
      </c>
      <c r="P331" s="22"/>
      <c r="Q331" s="22"/>
      <c r="R331" s="22"/>
      <c r="S331" s="22"/>
      <c r="T331" s="22"/>
      <c r="U331" s="35"/>
    </row>
    <row r="332" spans="1:21" ht="15" x14ac:dyDescent="0.25">
      <c r="A332" s="86" t="s">
        <v>323</v>
      </c>
      <c r="B332" s="35">
        <v>2307.69</v>
      </c>
      <c r="C332" s="22"/>
      <c r="D332" s="22"/>
      <c r="E332" s="26"/>
      <c r="F332" s="22"/>
      <c r="G332" s="22"/>
      <c r="H332" s="22" t="s">
        <v>516</v>
      </c>
      <c r="I332" s="11"/>
      <c r="J332" s="22"/>
      <c r="K332" s="22"/>
      <c r="L332" s="22"/>
      <c r="M332" s="22">
        <v>152</v>
      </c>
      <c r="N332" s="22"/>
      <c r="O332" s="35">
        <f t="shared" si="5"/>
        <v>126.92295</v>
      </c>
      <c r="P332" s="22"/>
      <c r="Q332" s="22"/>
      <c r="R332" s="22"/>
      <c r="S332" s="22"/>
      <c r="T332" s="22"/>
      <c r="U332" s="35"/>
    </row>
    <row r="333" spans="1:21" ht="15" x14ac:dyDescent="0.25">
      <c r="A333" s="86" t="s">
        <v>324</v>
      </c>
      <c r="B333" s="35">
        <v>1500</v>
      </c>
      <c r="C333" s="22"/>
      <c r="D333" s="22"/>
      <c r="E333" s="26"/>
      <c r="F333" s="22"/>
      <c r="G333" s="22"/>
      <c r="H333" s="22" t="s">
        <v>516</v>
      </c>
      <c r="I333" s="11"/>
      <c r="J333" s="22"/>
      <c r="K333" s="22"/>
      <c r="L333" s="22"/>
      <c r="M333" s="22">
        <v>19014</v>
      </c>
      <c r="N333" s="22"/>
      <c r="O333" s="35">
        <f t="shared" si="5"/>
        <v>82.5</v>
      </c>
      <c r="P333" s="22"/>
      <c r="Q333" s="22"/>
      <c r="R333" s="22"/>
      <c r="S333" s="22"/>
      <c r="T333" s="22"/>
      <c r="U333" s="35"/>
    </row>
    <row r="334" spans="1:21" ht="15" x14ac:dyDescent="0.25">
      <c r="A334" s="86" t="s">
        <v>324</v>
      </c>
      <c r="B334" s="35">
        <v>333.41399999999999</v>
      </c>
      <c r="C334" s="22"/>
      <c r="D334" s="22"/>
      <c r="E334" s="26"/>
      <c r="F334" s="22"/>
      <c r="G334" s="22"/>
      <c r="H334" s="22" t="s">
        <v>516</v>
      </c>
      <c r="I334" s="11"/>
      <c r="J334" s="22"/>
      <c r="K334" s="22"/>
      <c r="L334" s="22"/>
      <c r="M334" s="22">
        <v>18736</v>
      </c>
      <c r="N334" s="22"/>
      <c r="O334" s="35">
        <f t="shared" si="5"/>
        <v>18.337769999999999</v>
      </c>
      <c r="P334" s="22"/>
      <c r="Q334" s="22"/>
      <c r="R334" s="22"/>
      <c r="S334" s="22"/>
      <c r="T334" s="22"/>
      <c r="U334" s="35"/>
    </row>
    <row r="335" spans="1:21" ht="15" x14ac:dyDescent="0.25">
      <c r="A335" s="86" t="s">
        <v>325</v>
      </c>
      <c r="B335" s="35">
        <v>1846.1579999999999</v>
      </c>
      <c r="C335" s="22"/>
      <c r="D335" s="22"/>
      <c r="E335" s="26"/>
      <c r="F335" s="22"/>
      <c r="G335" s="22"/>
      <c r="H335" s="22" t="s">
        <v>516</v>
      </c>
      <c r="I335" s="11"/>
      <c r="J335" s="22"/>
      <c r="K335" s="22"/>
      <c r="L335" s="22"/>
      <c r="M335" s="22">
        <v>18987</v>
      </c>
      <c r="N335" s="22"/>
      <c r="O335" s="35">
        <f t="shared" si="5"/>
        <v>101.53868999999999</v>
      </c>
      <c r="P335" s="22"/>
      <c r="Q335" s="22"/>
      <c r="R335" s="22"/>
      <c r="S335" s="22"/>
      <c r="T335" s="22"/>
      <c r="U335" s="35"/>
    </row>
    <row r="336" spans="1:21" ht="15" x14ac:dyDescent="0.25">
      <c r="A336" s="86" t="s">
        <v>325</v>
      </c>
      <c r="B336" s="35">
        <v>1615.386</v>
      </c>
      <c r="C336" s="22"/>
      <c r="D336" s="22"/>
      <c r="E336" s="26"/>
      <c r="F336" s="22"/>
      <c r="G336" s="22"/>
      <c r="H336" s="22" t="s">
        <v>516</v>
      </c>
      <c r="I336" s="11"/>
      <c r="J336" s="22"/>
      <c r="K336" s="22"/>
      <c r="L336" s="22"/>
      <c r="M336" s="22">
        <v>18988</v>
      </c>
      <c r="N336" s="22"/>
      <c r="O336" s="35">
        <f t="shared" si="5"/>
        <v>88.846230000000006</v>
      </c>
      <c r="P336" s="22"/>
      <c r="Q336" s="22"/>
      <c r="R336" s="22"/>
      <c r="S336" s="22"/>
      <c r="T336" s="22"/>
      <c r="U336" s="35"/>
    </row>
    <row r="337" spans="1:21" ht="15" x14ac:dyDescent="0.25">
      <c r="A337" s="86" t="s">
        <v>325</v>
      </c>
      <c r="B337" s="35">
        <v>1384.614</v>
      </c>
      <c r="C337" s="22"/>
      <c r="D337" s="22"/>
      <c r="E337" s="26"/>
      <c r="F337" s="22"/>
      <c r="G337" s="22"/>
      <c r="H337" s="22" t="s">
        <v>516</v>
      </c>
      <c r="I337" s="11"/>
      <c r="J337" s="22"/>
      <c r="K337" s="22"/>
      <c r="L337" s="22"/>
      <c r="M337" s="22">
        <v>18995</v>
      </c>
      <c r="N337" s="22"/>
      <c r="O337" s="35">
        <f t="shared" si="5"/>
        <v>76.153770000000009</v>
      </c>
      <c r="P337" s="22"/>
      <c r="Q337" s="22"/>
      <c r="R337" s="22"/>
      <c r="S337" s="22"/>
      <c r="T337" s="22"/>
      <c r="U337" s="35"/>
    </row>
    <row r="338" spans="1:21" ht="15" x14ac:dyDescent="0.25">
      <c r="A338" s="86" t="s">
        <v>325</v>
      </c>
      <c r="B338" s="35">
        <v>2861.5379999999996</v>
      </c>
      <c r="C338" s="22"/>
      <c r="D338" s="22"/>
      <c r="E338" s="26"/>
      <c r="F338" s="22"/>
      <c r="G338" s="22"/>
      <c r="H338" s="22" t="s">
        <v>516</v>
      </c>
      <c r="I338" s="11"/>
      <c r="J338" s="22"/>
      <c r="K338" s="22"/>
      <c r="L338" s="22"/>
      <c r="M338" s="22">
        <v>18920</v>
      </c>
      <c r="N338" s="22"/>
      <c r="O338" s="35">
        <f t="shared" si="5"/>
        <v>157.38458999999997</v>
      </c>
      <c r="P338" s="22"/>
      <c r="Q338" s="22"/>
      <c r="R338" s="22"/>
      <c r="S338" s="22"/>
      <c r="T338" s="22"/>
      <c r="U338" s="35"/>
    </row>
    <row r="339" spans="1:21" ht="15" x14ac:dyDescent="0.25">
      <c r="A339" s="86" t="s">
        <v>325</v>
      </c>
      <c r="B339" s="35">
        <v>1268.652</v>
      </c>
      <c r="C339" s="22"/>
      <c r="D339" s="22"/>
      <c r="E339" s="26"/>
      <c r="F339" s="22"/>
      <c r="G339" s="22"/>
      <c r="H339" s="22" t="s">
        <v>516</v>
      </c>
      <c r="I339" s="11"/>
      <c r="J339" s="22"/>
      <c r="K339" s="22"/>
      <c r="L339" s="22"/>
      <c r="M339" s="22">
        <v>18946</v>
      </c>
      <c r="N339" s="22"/>
      <c r="O339" s="35">
        <f t="shared" si="5"/>
        <v>69.775860000000009</v>
      </c>
      <c r="P339" s="22"/>
      <c r="Q339" s="22"/>
      <c r="R339" s="22"/>
      <c r="S339" s="22"/>
      <c r="T339" s="22"/>
      <c r="U339" s="35"/>
    </row>
    <row r="340" spans="1:21" ht="15" x14ac:dyDescent="0.25">
      <c r="A340" s="86" t="s">
        <v>325</v>
      </c>
      <c r="B340" s="35">
        <v>1684.62</v>
      </c>
      <c r="C340" s="22"/>
      <c r="D340" s="22"/>
      <c r="E340" s="26"/>
      <c r="F340" s="22"/>
      <c r="G340" s="22"/>
      <c r="H340" s="22" t="s">
        <v>516</v>
      </c>
      <c r="I340" s="11"/>
      <c r="J340" s="22"/>
      <c r="K340" s="22"/>
      <c r="L340" s="22"/>
      <c r="M340" s="22">
        <v>18721</v>
      </c>
      <c r="N340" s="22"/>
      <c r="O340" s="35">
        <f t="shared" si="5"/>
        <v>92.6541</v>
      </c>
      <c r="P340" s="22"/>
      <c r="Q340" s="22"/>
      <c r="R340" s="22"/>
      <c r="S340" s="22"/>
      <c r="T340" s="22"/>
      <c r="U340" s="35"/>
    </row>
    <row r="341" spans="1:21" ht="15" x14ac:dyDescent="0.25">
      <c r="A341" s="86" t="s">
        <v>326</v>
      </c>
      <c r="B341" s="35">
        <v>1885.8600000000001</v>
      </c>
      <c r="C341" s="22"/>
      <c r="D341" s="22"/>
      <c r="E341" s="26"/>
      <c r="F341" s="22"/>
      <c r="G341" s="22"/>
      <c r="H341" s="22" t="s">
        <v>516</v>
      </c>
      <c r="I341" s="11"/>
      <c r="J341" s="22"/>
      <c r="K341" s="22"/>
      <c r="L341" s="22"/>
      <c r="M341" s="22">
        <v>220</v>
      </c>
      <c r="N341" s="22"/>
      <c r="O341" s="35">
        <f t="shared" si="5"/>
        <v>103.7223</v>
      </c>
      <c r="P341" s="22"/>
      <c r="Q341" s="22"/>
      <c r="R341" s="22"/>
      <c r="S341" s="22"/>
      <c r="T341" s="22"/>
      <c r="U341" s="35"/>
    </row>
    <row r="342" spans="1:21" ht="15" x14ac:dyDescent="0.25">
      <c r="A342" s="86" t="s">
        <v>327</v>
      </c>
      <c r="B342" s="35">
        <v>3230.7719999999999</v>
      </c>
      <c r="C342" s="22"/>
      <c r="D342" s="22"/>
      <c r="E342" s="26"/>
      <c r="F342" s="22"/>
      <c r="G342" s="22"/>
      <c r="H342" s="22" t="s">
        <v>516</v>
      </c>
      <c r="I342" s="11"/>
      <c r="J342" s="22"/>
      <c r="K342" s="22"/>
      <c r="L342" s="22"/>
      <c r="M342" s="22">
        <v>18716</v>
      </c>
      <c r="N342" s="22"/>
      <c r="O342" s="35">
        <f t="shared" si="5"/>
        <v>177.69246000000001</v>
      </c>
      <c r="P342" s="22"/>
      <c r="Q342" s="22"/>
      <c r="R342" s="22"/>
      <c r="S342" s="22"/>
      <c r="T342" s="22"/>
      <c r="U342" s="35"/>
    </row>
    <row r="343" spans="1:21" ht="15" x14ac:dyDescent="0.25">
      <c r="A343" s="86" t="s">
        <v>327</v>
      </c>
      <c r="B343" s="35">
        <v>1569.2339999999999</v>
      </c>
      <c r="C343" s="22"/>
      <c r="D343" s="22"/>
      <c r="E343" s="26"/>
      <c r="F343" s="22"/>
      <c r="G343" s="22"/>
      <c r="H343" s="22" t="s">
        <v>516</v>
      </c>
      <c r="I343" s="11"/>
      <c r="J343" s="22"/>
      <c r="K343" s="22"/>
      <c r="L343" s="22"/>
      <c r="M343" s="22">
        <v>18948</v>
      </c>
      <c r="N343" s="22"/>
      <c r="O343" s="35">
        <f t="shared" si="5"/>
        <v>86.307869999999994</v>
      </c>
      <c r="P343" s="22"/>
      <c r="Q343" s="22"/>
      <c r="R343" s="22"/>
      <c r="S343" s="22"/>
      <c r="T343" s="22"/>
      <c r="U343" s="35"/>
    </row>
    <row r="344" spans="1:21" ht="15" x14ac:dyDescent="0.25">
      <c r="A344" s="86" t="s">
        <v>329</v>
      </c>
      <c r="B344" s="35">
        <v>3230.7719999999999</v>
      </c>
      <c r="C344" s="22"/>
      <c r="D344" s="22"/>
      <c r="E344" s="26"/>
      <c r="F344" s="22"/>
      <c r="G344" s="22"/>
      <c r="H344" s="22" t="s">
        <v>516</v>
      </c>
      <c r="I344" s="11"/>
      <c r="J344" s="22"/>
      <c r="K344" s="22"/>
      <c r="L344" s="22"/>
      <c r="M344" s="22">
        <v>18969</v>
      </c>
      <c r="N344" s="22"/>
      <c r="O344" s="35">
        <f t="shared" si="5"/>
        <v>177.69246000000001</v>
      </c>
      <c r="P344" s="22"/>
      <c r="Q344" s="22"/>
      <c r="R344" s="22"/>
      <c r="S344" s="22"/>
      <c r="T344" s="22"/>
      <c r="U344" s="35"/>
    </row>
    <row r="345" spans="1:21" ht="15" x14ac:dyDescent="0.25">
      <c r="A345" s="86" t="s">
        <v>329</v>
      </c>
      <c r="B345" s="35">
        <v>1569.2339999999999</v>
      </c>
      <c r="C345" s="22"/>
      <c r="D345" s="22"/>
      <c r="E345" s="26"/>
      <c r="F345" s="22"/>
      <c r="G345" s="22"/>
      <c r="H345" s="22" t="s">
        <v>516</v>
      </c>
      <c r="I345" s="11"/>
      <c r="J345" s="22"/>
      <c r="K345" s="22"/>
      <c r="L345" s="22"/>
      <c r="M345" s="22">
        <v>18862</v>
      </c>
      <c r="N345" s="22"/>
      <c r="O345" s="35">
        <f t="shared" si="5"/>
        <v>86.307869999999994</v>
      </c>
      <c r="P345" s="22"/>
      <c r="Q345" s="22"/>
      <c r="R345" s="22"/>
      <c r="S345" s="22"/>
      <c r="T345" s="22"/>
      <c r="U345" s="35"/>
    </row>
    <row r="346" spans="1:21" ht="15" x14ac:dyDescent="0.25">
      <c r="A346" s="86" t="s">
        <v>330</v>
      </c>
      <c r="B346" s="35">
        <v>4899.5340000000006</v>
      </c>
      <c r="C346" s="22"/>
      <c r="D346" s="22"/>
      <c r="E346" s="26"/>
      <c r="F346" s="22"/>
      <c r="G346" s="22"/>
      <c r="H346" s="22" t="s">
        <v>516</v>
      </c>
      <c r="I346" s="11"/>
      <c r="J346" s="22"/>
      <c r="K346" s="22"/>
      <c r="L346" s="22"/>
      <c r="M346" s="22">
        <v>18886</v>
      </c>
      <c r="N346" s="22"/>
      <c r="O346" s="35">
        <f t="shared" si="5"/>
        <v>269.47437000000002</v>
      </c>
      <c r="P346" s="22"/>
      <c r="Q346" s="22"/>
      <c r="R346" s="22"/>
      <c r="S346" s="22"/>
      <c r="T346" s="22"/>
      <c r="U346" s="35"/>
    </row>
    <row r="347" spans="1:21" ht="15" x14ac:dyDescent="0.25">
      <c r="A347" s="86" t="s">
        <v>331</v>
      </c>
      <c r="B347" s="35">
        <v>3873.0480000000002</v>
      </c>
      <c r="C347" s="22"/>
      <c r="D347" s="22"/>
      <c r="E347" s="26"/>
      <c r="F347" s="22"/>
      <c r="G347" s="22"/>
      <c r="H347" s="22" t="s">
        <v>516</v>
      </c>
      <c r="I347" s="11"/>
      <c r="J347" s="22"/>
      <c r="K347" s="22"/>
      <c r="L347" s="22"/>
      <c r="M347" s="22">
        <v>18853</v>
      </c>
      <c r="N347" s="22"/>
      <c r="O347" s="35">
        <f t="shared" si="5"/>
        <v>213.01764</v>
      </c>
      <c r="P347" s="22"/>
      <c r="Q347" s="22"/>
      <c r="R347" s="22"/>
      <c r="S347" s="22"/>
      <c r="T347" s="22"/>
      <c r="U347" s="35"/>
    </row>
    <row r="348" spans="1:21" ht="15" x14ac:dyDescent="0.25">
      <c r="A348" s="86" t="s">
        <v>331</v>
      </c>
      <c r="B348" s="35">
        <v>1089.5099999999998</v>
      </c>
      <c r="C348" s="22"/>
      <c r="D348" s="22"/>
      <c r="E348" s="26"/>
      <c r="F348" s="22"/>
      <c r="G348" s="22"/>
      <c r="H348" s="22" t="s">
        <v>516</v>
      </c>
      <c r="I348" s="11"/>
      <c r="J348" s="22"/>
      <c r="K348" s="22"/>
      <c r="L348" s="22"/>
      <c r="M348" s="22">
        <v>18550</v>
      </c>
      <c r="N348" s="22"/>
      <c r="O348" s="35">
        <f t="shared" si="5"/>
        <v>59.923049999999989</v>
      </c>
      <c r="P348" s="22"/>
      <c r="Q348" s="22"/>
      <c r="R348" s="22"/>
      <c r="S348" s="22"/>
      <c r="T348" s="22"/>
      <c r="U348" s="35"/>
    </row>
    <row r="349" spans="1:21" ht="15" x14ac:dyDescent="0.25">
      <c r="A349" s="86" t="s">
        <v>331</v>
      </c>
      <c r="B349" s="35">
        <v>1500</v>
      </c>
      <c r="C349" s="22"/>
      <c r="D349" s="22"/>
      <c r="E349" s="26"/>
      <c r="F349" s="22"/>
      <c r="G349" s="22"/>
      <c r="H349" s="22" t="s">
        <v>516</v>
      </c>
      <c r="I349" s="11"/>
      <c r="J349" s="22"/>
      <c r="K349" s="22"/>
      <c r="L349" s="22"/>
      <c r="M349" s="22">
        <v>19025</v>
      </c>
      <c r="N349" s="22"/>
      <c r="O349" s="35">
        <f t="shared" si="5"/>
        <v>82.5</v>
      </c>
      <c r="P349" s="22"/>
      <c r="Q349" s="22"/>
      <c r="R349" s="22"/>
      <c r="S349" s="22"/>
      <c r="T349" s="22"/>
      <c r="U349" s="35"/>
    </row>
    <row r="350" spans="1:21" ht="15" x14ac:dyDescent="0.25">
      <c r="A350" s="86" t="s">
        <v>331</v>
      </c>
      <c r="B350" s="35">
        <v>1869.2280000000001</v>
      </c>
      <c r="C350" s="22"/>
      <c r="D350" s="22"/>
      <c r="E350" s="26"/>
      <c r="F350" s="22"/>
      <c r="G350" s="22"/>
      <c r="H350" s="22" t="s">
        <v>516</v>
      </c>
      <c r="I350" s="11"/>
      <c r="J350" s="22"/>
      <c r="K350" s="22"/>
      <c r="L350" s="22"/>
      <c r="M350" s="22">
        <v>19003</v>
      </c>
      <c r="N350" s="22"/>
      <c r="O350" s="35">
        <f t="shared" si="5"/>
        <v>102.80754</v>
      </c>
      <c r="P350" s="22"/>
      <c r="Q350" s="22"/>
      <c r="R350" s="22"/>
      <c r="S350" s="22"/>
      <c r="T350" s="22"/>
      <c r="U350" s="35"/>
    </row>
    <row r="351" spans="1:21" ht="15" x14ac:dyDescent="0.25">
      <c r="A351" s="86" t="s">
        <v>331</v>
      </c>
      <c r="B351" s="35">
        <v>1961.538</v>
      </c>
      <c r="C351" s="22"/>
      <c r="D351" s="22"/>
      <c r="E351" s="26"/>
      <c r="F351" s="22"/>
      <c r="G351" s="22"/>
      <c r="H351" s="22" t="s">
        <v>516</v>
      </c>
      <c r="I351" s="11"/>
      <c r="J351" s="22"/>
      <c r="K351" s="22"/>
      <c r="L351" s="22"/>
      <c r="M351" s="22">
        <v>18741</v>
      </c>
      <c r="N351" s="22"/>
      <c r="O351" s="35">
        <f t="shared" si="5"/>
        <v>107.88459</v>
      </c>
      <c r="P351" s="22"/>
      <c r="Q351" s="22"/>
      <c r="R351" s="22"/>
      <c r="S351" s="22"/>
      <c r="T351" s="22"/>
      <c r="U351" s="35"/>
    </row>
    <row r="352" spans="1:21" ht="15" x14ac:dyDescent="0.25">
      <c r="A352" s="86" t="s">
        <v>331</v>
      </c>
      <c r="B352" s="35">
        <v>1375.386</v>
      </c>
      <c r="C352" s="22"/>
      <c r="D352" s="22"/>
      <c r="E352" s="26"/>
      <c r="F352" s="22"/>
      <c r="G352" s="22"/>
      <c r="H352" s="22" t="s">
        <v>516</v>
      </c>
      <c r="I352" s="11"/>
      <c r="J352" s="22"/>
      <c r="K352" s="22"/>
      <c r="L352" s="22"/>
      <c r="M352" s="22">
        <v>18968</v>
      </c>
      <c r="N352" s="22"/>
      <c r="O352" s="35">
        <f t="shared" si="5"/>
        <v>75.646230000000003</v>
      </c>
      <c r="P352" s="22"/>
      <c r="Q352" s="22"/>
      <c r="R352" s="22"/>
      <c r="S352" s="22"/>
      <c r="T352" s="22"/>
      <c r="U352" s="35"/>
    </row>
    <row r="353" spans="1:21" ht="15" x14ac:dyDescent="0.25">
      <c r="A353" s="86" t="s">
        <v>331</v>
      </c>
      <c r="B353" s="35">
        <v>1127.1239999999998</v>
      </c>
      <c r="C353" s="22"/>
      <c r="D353" s="22"/>
      <c r="E353" s="26"/>
      <c r="F353" s="22"/>
      <c r="G353" s="22"/>
      <c r="H353" s="22" t="s">
        <v>516</v>
      </c>
      <c r="I353" s="11"/>
      <c r="J353" s="22"/>
      <c r="K353" s="22"/>
      <c r="L353" s="22"/>
      <c r="M353" s="22">
        <v>19022</v>
      </c>
      <c r="N353" s="22"/>
      <c r="O353" s="35">
        <f t="shared" si="5"/>
        <v>61.99181999999999</v>
      </c>
      <c r="P353" s="22"/>
      <c r="Q353" s="22"/>
      <c r="R353" s="22"/>
      <c r="S353" s="22"/>
      <c r="T353" s="22"/>
      <c r="U353" s="35"/>
    </row>
    <row r="354" spans="1:21" ht="15" x14ac:dyDescent="0.25">
      <c r="A354" s="86" t="s">
        <v>332</v>
      </c>
      <c r="B354" s="35">
        <v>1520.7719999999999</v>
      </c>
      <c r="C354" s="22"/>
      <c r="D354" s="22"/>
      <c r="E354" s="26"/>
      <c r="F354" s="22"/>
      <c r="G354" s="22"/>
      <c r="H354" s="22" t="s">
        <v>516</v>
      </c>
      <c r="I354" s="11"/>
      <c r="J354" s="22"/>
      <c r="K354" s="22"/>
      <c r="L354" s="22"/>
      <c r="M354" s="22">
        <v>18619</v>
      </c>
      <c r="N354" s="22"/>
      <c r="O354" s="35">
        <f t="shared" si="5"/>
        <v>83.64246</v>
      </c>
      <c r="P354" s="22"/>
      <c r="Q354" s="22"/>
      <c r="R354" s="22"/>
      <c r="S354" s="22"/>
      <c r="T354" s="22"/>
      <c r="U354" s="35"/>
    </row>
    <row r="355" spans="1:21" ht="15" x14ac:dyDescent="0.25">
      <c r="A355" s="86" t="s">
        <v>332</v>
      </c>
      <c r="B355" s="35">
        <v>1538.22</v>
      </c>
      <c r="C355" s="22"/>
      <c r="D355" s="22"/>
      <c r="E355" s="26"/>
      <c r="F355" s="22"/>
      <c r="G355" s="22"/>
      <c r="H355" s="22" t="s">
        <v>516</v>
      </c>
      <c r="I355" s="11"/>
      <c r="J355" s="22"/>
      <c r="K355" s="22"/>
      <c r="L355" s="22"/>
      <c r="M355" s="22">
        <v>18836</v>
      </c>
      <c r="N355" s="22"/>
      <c r="O355" s="35">
        <f t="shared" si="5"/>
        <v>84.602100000000007</v>
      </c>
      <c r="P355" s="22"/>
      <c r="Q355" s="22"/>
      <c r="R355" s="22"/>
      <c r="S355" s="22"/>
      <c r="T355" s="22"/>
      <c r="U355" s="35"/>
    </row>
    <row r="356" spans="1:21" ht="15" x14ac:dyDescent="0.25">
      <c r="A356" s="86" t="s">
        <v>458</v>
      </c>
      <c r="B356" s="35">
        <v>761.53800000000001</v>
      </c>
      <c r="C356" s="22"/>
      <c r="D356" s="22"/>
      <c r="E356" s="26"/>
      <c r="F356" s="22"/>
      <c r="G356" s="22"/>
      <c r="H356" s="22" t="s">
        <v>516</v>
      </c>
      <c r="I356" s="11"/>
      <c r="J356" s="22"/>
      <c r="K356" s="22"/>
      <c r="L356" s="22"/>
      <c r="M356" s="22">
        <v>18893</v>
      </c>
      <c r="N356" s="22"/>
      <c r="O356" s="35">
        <f t="shared" si="5"/>
        <v>41.884590000000003</v>
      </c>
      <c r="P356" s="22"/>
      <c r="Q356" s="22"/>
      <c r="R356" s="22"/>
      <c r="S356" s="22"/>
      <c r="T356" s="22"/>
      <c r="U356" s="35"/>
    </row>
    <row r="357" spans="1:21" ht="15" x14ac:dyDescent="0.25">
      <c r="A357" s="86" t="s">
        <v>458</v>
      </c>
      <c r="B357" s="35">
        <v>753.03600000000006</v>
      </c>
      <c r="C357" s="22"/>
      <c r="D357" s="22"/>
      <c r="E357" s="26"/>
      <c r="F357" s="22"/>
      <c r="G357" s="22"/>
      <c r="H357" s="22" t="s">
        <v>516</v>
      </c>
      <c r="I357" s="11"/>
      <c r="J357" s="22"/>
      <c r="K357" s="22"/>
      <c r="L357" s="22"/>
      <c r="M357" s="22">
        <v>19040</v>
      </c>
      <c r="N357" s="22"/>
      <c r="O357" s="35">
        <f t="shared" si="5"/>
        <v>41.416980000000002</v>
      </c>
      <c r="P357" s="22"/>
      <c r="Q357" s="22"/>
      <c r="R357" s="22"/>
      <c r="S357" s="22"/>
      <c r="T357" s="22"/>
      <c r="U357" s="35"/>
    </row>
    <row r="358" spans="1:21" ht="15" x14ac:dyDescent="0.25">
      <c r="A358" s="86" t="s">
        <v>333</v>
      </c>
      <c r="B358" s="35">
        <v>1493.3220000000001</v>
      </c>
      <c r="C358" s="22"/>
      <c r="D358" s="22"/>
      <c r="E358" s="26"/>
      <c r="F358" s="22"/>
      <c r="G358" s="22"/>
      <c r="H358" s="22" t="s">
        <v>516</v>
      </c>
      <c r="I358" s="11"/>
      <c r="J358" s="22"/>
      <c r="K358" s="22"/>
      <c r="L358" s="22"/>
      <c r="M358" s="22">
        <v>18866</v>
      </c>
      <c r="N358" s="22"/>
      <c r="O358" s="35">
        <f t="shared" si="5"/>
        <v>82.132710000000003</v>
      </c>
      <c r="P358" s="22"/>
      <c r="Q358" s="22"/>
      <c r="R358" s="22"/>
      <c r="S358" s="22"/>
      <c r="T358" s="22"/>
      <c r="U358" s="35"/>
    </row>
    <row r="359" spans="1:21" ht="15" x14ac:dyDescent="0.25">
      <c r="A359" s="86" t="s">
        <v>333</v>
      </c>
      <c r="B359" s="35">
        <v>1023.6539999999999</v>
      </c>
      <c r="C359" s="22"/>
      <c r="D359" s="22"/>
      <c r="E359" s="26"/>
      <c r="F359" s="22"/>
      <c r="G359" s="22"/>
      <c r="H359" s="22" t="s">
        <v>516</v>
      </c>
      <c r="I359" s="11"/>
      <c r="J359" s="22"/>
      <c r="K359" s="22"/>
      <c r="L359" s="22"/>
      <c r="M359" s="22">
        <v>18957</v>
      </c>
      <c r="N359" s="22"/>
      <c r="O359" s="35">
        <f t="shared" si="5"/>
        <v>56.300969999999992</v>
      </c>
      <c r="P359" s="22"/>
      <c r="Q359" s="22"/>
      <c r="R359" s="22"/>
      <c r="S359" s="22"/>
      <c r="T359" s="22"/>
      <c r="U359" s="35"/>
    </row>
    <row r="360" spans="1:21" ht="15" x14ac:dyDescent="0.25">
      <c r="A360" s="86" t="s">
        <v>333</v>
      </c>
      <c r="B360" s="35">
        <v>908.79600000000005</v>
      </c>
      <c r="C360" s="22"/>
      <c r="D360" s="22"/>
      <c r="E360" s="26"/>
      <c r="F360" s="22"/>
      <c r="G360" s="22"/>
      <c r="H360" s="22" t="s">
        <v>516</v>
      </c>
      <c r="I360" s="11"/>
      <c r="J360" s="22"/>
      <c r="K360" s="22"/>
      <c r="L360" s="22"/>
      <c r="M360" s="22">
        <v>18903</v>
      </c>
      <c r="N360" s="22"/>
      <c r="O360" s="35">
        <f t="shared" si="5"/>
        <v>49.983780000000003</v>
      </c>
      <c r="P360" s="22"/>
      <c r="Q360" s="22"/>
      <c r="R360" s="22"/>
      <c r="S360" s="22"/>
      <c r="T360" s="22"/>
      <c r="U360" s="35"/>
    </row>
    <row r="361" spans="1:21" ht="15" x14ac:dyDescent="0.25">
      <c r="A361" s="86" t="s">
        <v>333</v>
      </c>
      <c r="B361" s="35">
        <v>705.76199999999994</v>
      </c>
      <c r="C361" s="22"/>
      <c r="D361" s="22"/>
      <c r="E361" s="26"/>
      <c r="F361" s="22"/>
      <c r="G361" s="22"/>
      <c r="H361" s="22" t="s">
        <v>516</v>
      </c>
      <c r="I361" s="11"/>
      <c r="J361" s="22"/>
      <c r="K361" s="22"/>
      <c r="L361" s="22"/>
      <c r="M361" s="22">
        <v>18831</v>
      </c>
      <c r="N361" s="22"/>
      <c r="O361" s="35">
        <f t="shared" si="5"/>
        <v>38.81691</v>
      </c>
      <c r="P361" s="22"/>
      <c r="Q361" s="22"/>
      <c r="R361" s="22"/>
      <c r="S361" s="22"/>
      <c r="T361" s="22"/>
      <c r="U361" s="35"/>
    </row>
    <row r="362" spans="1:21" ht="15" x14ac:dyDescent="0.25">
      <c r="A362" s="86" t="s">
        <v>485</v>
      </c>
      <c r="B362" s="35">
        <v>1334.2379999999998</v>
      </c>
      <c r="C362" s="22"/>
      <c r="D362" s="22"/>
      <c r="E362" s="26"/>
      <c r="F362" s="22"/>
      <c r="G362" s="22"/>
      <c r="H362" s="22" t="s">
        <v>516</v>
      </c>
      <c r="I362" s="11"/>
      <c r="J362" s="22"/>
      <c r="K362" s="22"/>
      <c r="L362" s="22"/>
      <c r="M362" s="22">
        <v>18589</v>
      </c>
      <c r="N362" s="22"/>
      <c r="O362" s="35">
        <f t="shared" si="5"/>
        <v>73.383089999999996</v>
      </c>
      <c r="P362" s="22"/>
      <c r="Q362" s="22"/>
      <c r="R362" s="22"/>
      <c r="S362" s="22"/>
      <c r="T362" s="22"/>
      <c r="U362" s="35"/>
    </row>
    <row r="363" spans="1:21" ht="15" x14ac:dyDescent="0.25">
      <c r="A363" s="86" t="s">
        <v>485</v>
      </c>
      <c r="B363" s="35">
        <v>958.7940000000001</v>
      </c>
      <c r="C363" s="22"/>
      <c r="D363" s="22"/>
      <c r="E363" s="26"/>
      <c r="F363" s="22"/>
      <c r="G363" s="22"/>
      <c r="H363" s="22" t="s">
        <v>516</v>
      </c>
      <c r="I363" s="11"/>
      <c r="J363" s="22"/>
      <c r="K363" s="22"/>
      <c r="L363" s="22"/>
      <c r="M363" s="22">
        <v>18891</v>
      </c>
      <c r="N363" s="22"/>
      <c r="O363" s="35">
        <f t="shared" si="5"/>
        <v>52.733670000000004</v>
      </c>
      <c r="P363" s="22"/>
      <c r="Q363" s="22"/>
      <c r="R363" s="22"/>
      <c r="S363" s="22"/>
      <c r="T363" s="22"/>
      <c r="U363" s="35"/>
    </row>
    <row r="364" spans="1:21" ht="15" x14ac:dyDescent="0.25">
      <c r="A364" s="86" t="s">
        <v>486</v>
      </c>
      <c r="B364" s="35">
        <v>666.45</v>
      </c>
      <c r="C364" s="22"/>
      <c r="D364" s="22"/>
      <c r="E364" s="26"/>
      <c r="F364" s="22"/>
      <c r="G364" s="22"/>
      <c r="H364" s="22" t="s">
        <v>516</v>
      </c>
      <c r="I364" s="11"/>
      <c r="J364" s="22"/>
      <c r="K364" s="22"/>
      <c r="L364" s="22"/>
      <c r="M364" s="22">
        <v>18631</v>
      </c>
      <c r="N364" s="22"/>
      <c r="O364" s="35">
        <f t="shared" si="5"/>
        <v>36.65475</v>
      </c>
      <c r="P364" s="22"/>
      <c r="Q364" s="22"/>
      <c r="R364" s="22"/>
      <c r="S364" s="22"/>
      <c r="T364" s="22"/>
      <c r="U364" s="35"/>
    </row>
    <row r="365" spans="1:21" ht="15" x14ac:dyDescent="0.25">
      <c r="A365" s="86" t="s">
        <v>486</v>
      </c>
      <c r="B365" s="35">
        <v>1846.152</v>
      </c>
      <c r="C365" s="22"/>
      <c r="D365" s="22"/>
      <c r="E365" s="26"/>
      <c r="F365" s="22"/>
      <c r="G365" s="22"/>
      <c r="H365" s="22" t="s">
        <v>516</v>
      </c>
      <c r="I365" s="11"/>
      <c r="J365" s="22"/>
      <c r="K365" s="22"/>
      <c r="L365" s="22"/>
      <c r="M365" s="22">
        <v>18954</v>
      </c>
      <c r="N365" s="22"/>
      <c r="O365" s="35">
        <f t="shared" si="5"/>
        <v>101.53836</v>
      </c>
      <c r="P365" s="22"/>
      <c r="Q365" s="22"/>
      <c r="R365" s="22"/>
      <c r="S365" s="22"/>
      <c r="T365" s="22"/>
      <c r="U365" s="35"/>
    </row>
    <row r="366" spans="1:21" ht="15" x14ac:dyDescent="0.25">
      <c r="A366" s="86" t="s">
        <v>486</v>
      </c>
      <c r="B366" s="35">
        <v>644.88599999999997</v>
      </c>
      <c r="C366" s="22"/>
      <c r="D366" s="22"/>
      <c r="E366" s="26"/>
      <c r="F366" s="22"/>
      <c r="G366" s="22"/>
      <c r="H366" s="22" t="s">
        <v>516</v>
      </c>
      <c r="I366" s="11"/>
      <c r="J366" s="22"/>
      <c r="K366" s="22"/>
      <c r="L366" s="22"/>
      <c r="M366" s="22">
        <v>18</v>
      </c>
      <c r="N366" s="22"/>
      <c r="O366" s="35">
        <f t="shared" si="5"/>
        <v>35.468730000000001</v>
      </c>
      <c r="P366" s="22"/>
      <c r="Q366" s="22"/>
      <c r="R366" s="22"/>
      <c r="S366" s="22"/>
      <c r="T366" s="22"/>
      <c r="U366" s="35"/>
    </row>
    <row r="367" spans="1:21" ht="15" x14ac:dyDescent="0.25">
      <c r="A367" s="86" t="s">
        <v>486</v>
      </c>
      <c r="B367" s="35">
        <v>1369.7040000000002</v>
      </c>
      <c r="C367" s="22"/>
      <c r="D367" s="22"/>
      <c r="E367" s="26"/>
      <c r="F367" s="22"/>
      <c r="G367" s="22"/>
      <c r="H367" s="22" t="s">
        <v>516</v>
      </c>
      <c r="I367" s="11"/>
      <c r="J367" s="22"/>
      <c r="K367" s="22"/>
      <c r="L367" s="22"/>
      <c r="M367" s="22">
        <v>18879</v>
      </c>
      <c r="N367" s="22"/>
      <c r="O367" s="35">
        <f t="shared" si="5"/>
        <v>75.333720000000014</v>
      </c>
      <c r="P367" s="22"/>
      <c r="Q367" s="22"/>
      <c r="R367" s="22"/>
      <c r="S367" s="22"/>
      <c r="T367" s="22"/>
      <c r="U367" s="35"/>
    </row>
    <row r="368" spans="1:21" ht="15" x14ac:dyDescent="0.25">
      <c r="A368" s="86" t="s">
        <v>487</v>
      </c>
      <c r="B368" s="35">
        <v>1334.2439999999997</v>
      </c>
      <c r="C368" s="22"/>
      <c r="D368" s="22"/>
      <c r="E368" s="26"/>
      <c r="F368" s="22"/>
      <c r="G368" s="22"/>
      <c r="H368" s="22" t="s">
        <v>516</v>
      </c>
      <c r="I368" s="11"/>
      <c r="J368" s="22"/>
      <c r="K368" s="22"/>
      <c r="L368" s="22"/>
      <c r="M368" s="22">
        <v>18630</v>
      </c>
      <c r="N368" s="22"/>
      <c r="O368" s="35">
        <f t="shared" si="5"/>
        <v>73.383419999999987</v>
      </c>
      <c r="P368" s="22"/>
      <c r="Q368" s="22"/>
      <c r="R368" s="22"/>
      <c r="S368" s="22"/>
      <c r="T368" s="22"/>
      <c r="U368" s="35"/>
    </row>
    <row r="369" spans="1:21" ht="15" x14ac:dyDescent="0.25">
      <c r="A369" s="86" t="s">
        <v>487</v>
      </c>
      <c r="B369" s="35">
        <v>1509.33</v>
      </c>
      <c r="C369" s="22"/>
      <c r="D369" s="22"/>
      <c r="E369" s="26"/>
      <c r="F369" s="22"/>
      <c r="G369" s="22"/>
      <c r="H369" s="22" t="s">
        <v>516</v>
      </c>
      <c r="I369" s="11"/>
      <c r="J369" s="22"/>
      <c r="K369" s="22"/>
      <c r="L369" s="22"/>
      <c r="M369" s="22">
        <v>19013</v>
      </c>
      <c r="N369" s="22"/>
      <c r="O369" s="35">
        <f t="shared" si="5"/>
        <v>83.013149999999996</v>
      </c>
      <c r="P369" s="22"/>
      <c r="Q369" s="22"/>
      <c r="R369" s="22"/>
      <c r="S369" s="22"/>
      <c r="T369" s="22"/>
      <c r="U369" s="35"/>
    </row>
    <row r="370" spans="1:21" ht="15" x14ac:dyDescent="0.25">
      <c r="A370" s="86" t="s">
        <v>488</v>
      </c>
      <c r="B370" s="35">
        <v>536.62800000000004</v>
      </c>
      <c r="C370" s="22"/>
      <c r="D370" s="22"/>
      <c r="E370" s="26"/>
      <c r="F370" s="22"/>
      <c r="G370" s="22"/>
      <c r="H370" s="22" t="s">
        <v>516</v>
      </c>
      <c r="I370" s="11"/>
      <c r="J370" s="22"/>
      <c r="K370" s="22"/>
      <c r="L370" s="22"/>
      <c r="M370" s="22">
        <v>18960</v>
      </c>
      <c r="N370" s="22"/>
      <c r="O370" s="35">
        <f t="shared" si="5"/>
        <v>29.514540000000004</v>
      </c>
      <c r="P370" s="22"/>
      <c r="Q370" s="22"/>
      <c r="R370" s="22"/>
      <c r="S370" s="22"/>
      <c r="T370" s="22"/>
      <c r="U370" s="35"/>
    </row>
    <row r="371" spans="1:21" ht="15" x14ac:dyDescent="0.25">
      <c r="A371" s="86" t="s">
        <v>488</v>
      </c>
      <c r="B371" s="35">
        <v>1224.8579999999999</v>
      </c>
      <c r="C371" s="22"/>
      <c r="D371" s="22"/>
      <c r="E371" s="26"/>
      <c r="F371" s="22"/>
      <c r="G371" s="22"/>
      <c r="H371" s="22" t="s">
        <v>516</v>
      </c>
      <c r="I371" s="11"/>
      <c r="J371" s="22"/>
      <c r="K371" s="22"/>
      <c r="L371" s="22"/>
      <c r="M371" s="22">
        <v>18687</v>
      </c>
      <c r="N371" s="22"/>
      <c r="O371" s="35">
        <f t="shared" si="5"/>
        <v>67.367189999999994</v>
      </c>
      <c r="P371" s="22"/>
      <c r="Q371" s="22"/>
      <c r="R371" s="22"/>
      <c r="S371" s="22"/>
      <c r="T371" s="22"/>
      <c r="U371" s="35"/>
    </row>
    <row r="372" spans="1:21" ht="15" x14ac:dyDescent="0.25">
      <c r="A372" s="86" t="s">
        <v>488</v>
      </c>
      <c r="B372" s="35">
        <v>698.87400000000002</v>
      </c>
      <c r="C372" s="22"/>
      <c r="D372" s="22"/>
      <c r="E372" s="26"/>
      <c r="F372" s="22"/>
      <c r="G372" s="22"/>
      <c r="H372" s="22" t="s">
        <v>516</v>
      </c>
      <c r="I372" s="11"/>
      <c r="J372" s="22"/>
      <c r="K372" s="22"/>
      <c r="L372" s="22"/>
      <c r="M372" s="22">
        <v>18894</v>
      </c>
      <c r="N372" s="22"/>
      <c r="O372" s="35">
        <f t="shared" si="5"/>
        <v>38.438070000000003</v>
      </c>
      <c r="P372" s="22"/>
      <c r="Q372" s="22"/>
      <c r="R372" s="22"/>
      <c r="S372" s="22"/>
      <c r="T372" s="22"/>
      <c r="U372" s="35"/>
    </row>
    <row r="373" spans="1:21" ht="15" x14ac:dyDescent="0.25">
      <c r="A373" s="86" t="s">
        <v>488</v>
      </c>
      <c r="B373" s="35">
        <v>1231.7219999999998</v>
      </c>
      <c r="C373" s="22"/>
      <c r="D373" s="22"/>
      <c r="E373" s="26"/>
      <c r="F373" s="22"/>
      <c r="G373" s="22"/>
      <c r="H373" s="22" t="s">
        <v>516</v>
      </c>
      <c r="I373" s="11"/>
      <c r="J373" s="22"/>
      <c r="K373" s="22"/>
      <c r="L373" s="22"/>
      <c r="M373" s="22">
        <v>18781</v>
      </c>
      <c r="N373" s="22"/>
      <c r="O373" s="35">
        <f t="shared" si="5"/>
        <v>67.744709999999984</v>
      </c>
      <c r="P373" s="22"/>
      <c r="Q373" s="22"/>
      <c r="R373" s="22"/>
      <c r="S373" s="22"/>
      <c r="T373" s="22"/>
      <c r="U373" s="35"/>
    </row>
    <row r="374" spans="1:21" ht="15" x14ac:dyDescent="0.25">
      <c r="A374" s="86" t="s">
        <v>488</v>
      </c>
      <c r="B374" s="35">
        <v>1385.6880000000001</v>
      </c>
      <c r="C374" s="22"/>
      <c r="D374" s="22"/>
      <c r="E374" s="26"/>
      <c r="F374" s="22"/>
      <c r="G374" s="22"/>
      <c r="H374" s="22" t="s">
        <v>516</v>
      </c>
      <c r="I374" s="11"/>
      <c r="J374" s="22"/>
      <c r="K374" s="22"/>
      <c r="L374" s="22"/>
      <c r="M374" s="22">
        <v>18967</v>
      </c>
      <c r="N374" s="22"/>
      <c r="O374" s="35">
        <f t="shared" si="5"/>
        <v>76.21284</v>
      </c>
      <c r="P374" s="22"/>
      <c r="Q374" s="22"/>
      <c r="R374" s="22"/>
      <c r="S374" s="22"/>
      <c r="T374" s="22"/>
      <c r="U374" s="35"/>
    </row>
    <row r="375" spans="1:21" ht="15" x14ac:dyDescent="0.25">
      <c r="A375" s="86" t="s">
        <v>488</v>
      </c>
      <c r="B375" s="35">
        <v>1313.172</v>
      </c>
      <c r="C375" s="22"/>
      <c r="D375" s="22"/>
      <c r="E375" s="26"/>
      <c r="F375" s="22"/>
      <c r="G375" s="22"/>
      <c r="H375" s="22" t="s">
        <v>516</v>
      </c>
      <c r="I375" s="11"/>
      <c r="J375" s="22"/>
      <c r="K375" s="22"/>
      <c r="L375" s="22"/>
      <c r="M375" s="22">
        <v>18733</v>
      </c>
      <c r="N375" s="22"/>
      <c r="O375" s="35">
        <f t="shared" si="5"/>
        <v>72.224460000000008</v>
      </c>
      <c r="P375" s="22"/>
      <c r="Q375" s="22"/>
      <c r="R375" s="22"/>
      <c r="S375" s="22"/>
      <c r="T375" s="22"/>
      <c r="U375" s="35"/>
    </row>
    <row r="376" spans="1:21" ht="15" x14ac:dyDescent="0.25">
      <c r="A376" s="86" t="s">
        <v>488</v>
      </c>
      <c r="B376" s="35">
        <v>2423.0819999999999</v>
      </c>
      <c r="C376" s="22"/>
      <c r="D376" s="22"/>
      <c r="E376" s="26"/>
      <c r="F376" s="22"/>
      <c r="G376" s="22"/>
      <c r="H376" s="22" t="s">
        <v>516</v>
      </c>
      <c r="I376" s="11"/>
      <c r="J376" s="22"/>
      <c r="K376" s="22"/>
      <c r="L376" s="22"/>
      <c r="M376" s="22">
        <v>18559</v>
      </c>
      <c r="N376" s="22"/>
      <c r="O376" s="35">
        <f t="shared" si="5"/>
        <v>133.26951</v>
      </c>
      <c r="P376" s="22"/>
      <c r="Q376" s="22"/>
      <c r="R376" s="22"/>
      <c r="S376" s="22"/>
      <c r="T376" s="22"/>
      <c r="U376" s="35"/>
    </row>
    <row r="377" spans="1:21" ht="15" x14ac:dyDescent="0.25">
      <c r="A377" s="86" t="s">
        <v>488</v>
      </c>
      <c r="B377" s="35">
        <v>1061.6219999999998</v>
      </c>
      <c r="C377" s="22"/>
      <c r="D377" s="22"/>
      <c r="E377" s="26"/>
      <c r="F377" s="22"/>
      <c r="G377" s="22"/>
      <c r="H377" s="22" t="s">
        <v>516</v>
      </c>
      <c r="I377" s="11"/>
      <c r="J377" s="22"/>
      <c r="K377" s="22"/>
      <c r="L377" s="22"/>
      <c r="M377" s="22">
        <v>19033</v>
      </c>
      <c r="N377" s="22"/>
      <c r="O377" s="35">
        <f t="shared" si="5"/>
        <v>58.389209999999991</v>
      </c>
      <c r="P377" s="22"/>
      <c r="Q377" s="22"/>
      <c r="R377" s="22"/>
      <c r="S377" s="22"/>
      <c r="T377" s="22"/>
      <c r="U377" s="35"/>
    </row>
    <row r="378" spans="1:21" ht="15" x14ac:dyDescent="0.25">
      <c r="A378" s="86" t="s">
        <v>488</v>
      </c>
      <c r="B378" s="35">
        <v>1253.1959999999999</v>
      </c>
      <c r="C378" s="22"/>
      <c r="D378" s="22"/>
      <c r="E378" s="26"/>
      <c r="F378" s="22"/>
      <c r="G378" s="22"/>
      <c r="H378" s="22" t="s">
        <v>516</v>
      </c>
      <c r="I378" s="11"/>
      <c r="J378" s="22"/>
      <c r="K378" s="22"/>
      <c r="L378" s="22"/>
      <c r="M378" s="22">
        <v>18892</v>
      </c>
      <c r="N378" s="22"/>
      <c r="O378" s="35">
        <f t="shared" si="5"/>
        <v>68.925779999999989</v>
      </c>
      <c r="P378" s="22"/>
      <c r="Q378" s="22"/>
      <c r="R378" s="22"/>
      <c r="S378" s="22"/>
      <c r="T378" s="22"/>
      <c r="U378" s="35"/>
    </row>
    <row r="379" spans="1:21" ht="15" x14ac:dyDescent="0.25">
      <c r="A379" s="86" t="s">
        <v>488</v>
      </c>
      <c r="B379" s="35">
        <v>1417.6019999999999</v>
      </c>
      <c r="C379" s="22"/>
      <c r="D379" s="22"/>
      <c r="E379" s="26"/>
      <c r="F379" s="22"/>
      <c r="G379" s="22"/>
      <c r="H379" s="22" t="s">
        <v>516</v>
      </c>
      <c r="I379" s="11"/>
      <c r="J379" s="22"/>
      <c r="K379" s="22"/>
      <c r="L379" s="22"/>
      <c r="M379" s="22">
        <v>18659</v>
      </c>
      <c r="N379" s="22"/>
      <c r="O379" s="35">
        <f t="shared" si="5"/>
        <v>77.968109999999996</v>
      </c>
      <c r="P379" s="22"/>
      <c r="Q379" s="22"/>
      <c r="R379" s="22"/>
      <c r="S379" s="22"/>
      <c r="T379" s="22"/>
      <c r="U379" s="35"/>
    </row>
    <row r="380" spans="1:21" ht="15" x14ac:dyDescent="0.25">
      <c r="A380" s="86" t="s">
        <v>488</v>
      </c>
      <c r="B380" s="35">
        <v>1509.33</v>
      </c>
      <c r="C380" s="22"/>
      <c r="D380" s="22"/>
      <c r="E380" s="26"/>
      <c r="F380" s="22"/>
      <c r="G380" s="22"/>
      <c r="H380" s="22" t="s">
        <v>516</v>
      </c>
      <c r="I380" s="11"/>
      <c r="J380" s="22"/>
      <c r="K380" s="22"/>
      <c r="L380" s="22"/>
      <c r="M380" s="22">
        <v>18911</v>
      </c>
      <c r="N380" s="22"/>
      <c r="O380" s="35">
        <f t="shared" si="5"/>
        <v>83.013149999999996</v>
      </c>
      <c r="P380" s="22"/>
      <c r="Q380" s="22"/>
      <c r="R380" s="22"/>
      <c r="S380" s="22"/>
      <c r="T380" s="22"/>
      <c r="U380" s="35"/>
    </row>
    <row r="381" spans="1:21" ht="15" x14ac:dyDescent="0.25">
      <c r="A381" s="86" t="s">
        <v>489</v>
      </c>
      <c r="B381" s="35">
        <v>1293.9000000000001</v>
      </c>
      <c r="C381" s="22"/>
      <c r="D381" s="22"/>
      <c r="E381" s="26"/>
      <c r="F381" s="22"/>
      <c r="G381" s="22"/>
      <c r="H381" s="22" t="s">
        <v>516</v>
      </c>
      <c r="I381" s="11"/>
      <c r="J381" s="22"/>
      <c r="K381" s="22"/>
      <c r="L381" s="22"/>
      <c r="M381" s="22">
        <v>18961</v>
      </c>
      <c r="N381" s="22"/>
      <c r="O381" s="35">
        <f t="shared" si="5"/>
        <v>71.164500000000004</v>
      </c>
      <c r="P381" s="22"/>
      <c r="Q381" s="22"/>
      <c r="R381" s="22"/>
      <c r="S381" s="22"/>
      <c r="T381" s="22"/>
      <c r="U381" s="35"/>
    </row>
    <row r="382" spans="1:21" ht="15" x14ac:dyDescent="0.25">
      <c r="A382" s="86" t="s">
        <v>489</v>
      </c>
      <c r="B382" s="35">
        <v>1119.9900000000002</v>
      </c>
      <c r="C382" s="22"/>
      <c r="D382" s="22"/>
      <c r="E382" s="26"/>
      <c r="F382" s="22"/>
      <c r="G382" s="22"/>
      <c r="H382" s="22" t="s">
        <v>516</v>
      </c>
      <c r="I382" s="11"/>
      <c r="J382" s="22"/>
      <c r="K382" s="22"/>
      <c r="L382" s="22"/>
      <c r="M382" s="22">
        <v>145</v>
      </c>
      <c r="N382" s="22"/>
      <c r="O382" s="35">
        <f t="shared" si="5"/>
        <v>61.599450000000012</v>
      </c>
      <c r="P382" s="22"/>
      <c r="Q382" s="22"/>
      <c r="R382" s="22"/>
      <c r="S382" s="22"/>
      <c r="T382" s="22"/>
      <c r="U382" s="35"/>
    </row>
    <row r="383" spans="1:21" ht="15" x14ac:dyDescent="0.25">
      <c r="A383" s="86" t="s">
        <v>489</v>
      </c>
      <c r="B383" s="35">
        <v>541.62000000000012</v>
      </c>
      <c r="C383" s="22"/>
      <c r="D383" s="22"/>
      <c r="E383" s="26"/>
      <c r="F383" s="22"/>
      <c r="G383" s="22"/>
      <c r="H383" s="22" t="s">
        <v>516</v>
      </c>
      <c r="I383" s="11"/>
      <c r="J383" s="22"/>
      <c r="K383" s="22"/>
      <c r="L383" s="22"/>
      <c r="M383" s="22">
        <v>141</v>
      </c>
      <c r="N383" s="22"/>
      <c r="O383" s="35">
        <f t="shared" si="5"/>
        <v>29.789100000000008</v>
      </c>
      <c r="P383" s="22"/>
      <c r="Q383" s="22"/>
      <c r="R383" s="22"/>
      <c r="S383" s="22"/>
      <c r="T383" s="22"/>
      <c r="U383" s="35"/>
    </row>
    <row r="384" spans="1:21" ht="15" x14ac:dyDescent="0.25">
      <c r="A384" s="86" t="s">
        <v>490</v>
      </c>
      <c r="B384" s="35">
        <v>1119.9900000000002</v>
      </c>
      <c r="C384" s="22"/>
      <c r="D384" s="22"/>
      <c r="E384" s="26"/>
      <c r="F384" s="22"/>
      <c r="G384" s="22"/>
      <c r="H384" s="22" t="s">
        <v>516</v>
      </c>
      <c r="I384" s="11"/>
      <c r="J384" s="22"/>
      <c r="K384" s="22"/>
      <c r="L384" s="22"/>
      <c r="M384" s="22">
        <v>19035</v>
      </c>
      <c r="N384" s="22"/>
      <c r="O384" s="35">
        <f t="shared" si="5"/>
        <v>61.599450000000012</v>
      </c>
      <c r="P384" s="22"/>
      <c r="Q384" s="22"/>
      <c r="R384" s="22"/>
      <c r="S384" s="22"/>
      <c r="T384" s="22"/>
      <c r="U384" s="35"/>
    </row>
    <row r="385" spans="1:21" ht="15" x14ac:dyDescent="0.25">
      <c r="A385" s="86" t="s">
        <v>490</v>
      </c>
      <c r="B385" s="35">
        <v>1176.27</v>
      </c>
      <c r="C385" s="22"/>
      <c r="D385" s="22"/>
      <c r="E385" s="26"/>
      <c r="F385" s="22"/>
      <c r="G385" s="22"/>
      <c r="H385" s="22" t="s">
        <v>516</v>
      </c>
      <c r="I385" s="11"/>
      <c r="J385" s="22"/>
      <c r="K385" s="22"/>
      <c r="L385" s="22"/>
      <c r="M385" s="22">
        <v>19006</v>
      </c>
      <c r="N385" s="22"/>
      <c r="O385" s="35">
        <f t="shared" si="5"/>
        <v>64.694850000000002</v>
      </c>
      <c r="P385" s="22"/>
      <c r="Q385" s="22"/>
      <c r="R385" s="22"/>
      <c r="S385" s="22"/>
      <c r="T385" s="22"/>
      <c r="U385" s="35"/>
    </row>
    <row r="386" spans="1:21" ht="15" x14ac:dyDescent="0.25">
      <c r="A386" s="86" t="s">
        <v>490</v>
      </c>
      <c r="B386" s="35">
        <v>1365.096</v>
      </c>
      <c r="C386" s="22"/>
      <c r="D386" s="22"/>
      <c r="E386" s="26"/>
      <c r="F386" s="22"/>
      <c r="G386" s="22"/>
      <c r="H386" s="22" t="s">
        <v>516</v>
      </c>
      <c r="I386" s="11"/>
      <c r="J386" s="22"/>
      <c r="K386" s="22"/>
      <c r="L386" s="22"/>
      <c r="M386" s="22">
        <v>19007</v>
      </c>
      <c r="N386" s="22"/>
      <c r="O386" s="35">
        <f t="shared" si="5"/>
        <v>75.080280000000002</v>
      </c>
      <c r="P386" s="22"/>
      <c r="Q386" s="22"/>
      <c r="R386" s="22"/>
      <c r="S386" s="22"/>
      <c r="T386" s="22"/>
      <c r="U386" s="35"/>
    </row>
    <row r="387" spans="1:21" ht="15" x14ac:dyDescent="0.25">
      <c r="A387" s="86" t="s">
        <v>490</v>
      </c>
      <c r="B387" s="35">
        <v>124.446</v>
      </c>
      <c r="C387" s="22"/>
      <c r="D387" s="22"/>
      <c r="E387" s="26"/>
      <c r="F387" s="22"/>
      <c r="G387" s="22"/>
      <c r="H387" s="22" t="s">
        <v>516</v>
      </c>
      <c r="I387" s="11"/>
      <c r="J387" s="22"/>
      <c r="K387" s="22"/>
      <c r="L387" s="22"/>
      <c r="M387" s="22">
        <v>19042</v>
      </c>
      <c r="N387" s="22"/>
      <c r="O387" s="35">
        <f t="shared" ref="O387:O450" si="6">B387*$O$1</f>
        <v>6.8445299999999998</v>
      </c>
      <c r="P387" s="22"/>
      <c r="Q387" s="22"/>
      <c r="R387" s="22"/>
      <c r="S387" s="22"/>
      <c r="T387" s="22"/>
      <c r="U387" s="35"/>
    </row>
    <row r="388" spans="1:21" ht="15" x14ac:dyDescent="0.25">
      <c r="A388" s="86" t="s">
        <v>490</v>
      </c>
      <c r="B388" s="35">
        <v>1734.5099999999998</v>
      </c>
      <c r="C388" s="22"/>
      <c r="D388" s="22"/>
      <c r="E388" s="26"/>
      <c r="F388" s="22"/>
      <c r="G388" s="22"/>
      <c r="H388" s="22" t="s">
        <v>516</v>
      </c>
      <c r="I388" s="11"/>
      <c r="J388" s="22"/>
      <c r="K388" s="22"/>
      <c r="L388" s="22"/>
      <c r="M388" s="22">
        <v>18974</v>
      </c>
      <c r="N388" s="22"/>
      <c r="O388" s="35">
        <f t="shared" si="6"/>
        <v>95.398049999999984</v>
      </c>
      <c r="P388" s="22"/>
      <c r="Q388" s="22"/>
      <c r="R388" s="22"/>
      <c r="S388" s="22"/>
      <c r="T388" s="22"/>
      <c r="U388" s="35"/>
    </row>
    <row r="389" spans="1:21" ht="15" x14ac:dyDescent="0.25">
      <c r="A389" s="86" t="s">
        <v>490</v>
      </c>
      <c r="B389" s="35">
        <v>1332.9119999999998</v>
      </c>
      <c r="C389" s="22"/>
      <c r="D389" s="22"/>
      <c r="E389" s="26"/>
      <c r="F389" s="22"/>
      <c r="G389" s="22"/>
      <c r="H389" s="22" t="s">
        <v>516</v>
      </c>
      <c r="I389" s="11"/>
      <c r="J389" s="22"/>
      <c r="K389" s="22"/>
      <c r="L389" s="22"/>
      <c r="M389" s="22">
        <v>18999</v>
      </c>
      <c r="N389" s="22"/>
      <c r="O389" s="35">
        <f t="shared" si="6"/>
        <v>73.310159999999996</v>
      </c>
      <c r="P389" s="22"/>
      <c r="Q389" s="22"/>
      <c r="R389" s="22"/>
      <c r="S389" s="22"/>
      <c r="T389" s="22"/>
      <c r="U389" s="35"/>
    </row>
    <row r="390" spans="1:21" ht="15" x14ac:dyDescent="0.25">
      <c r="A390" s="86" t="s">
        <v>490</v>
      </c>
      <c r="B390" s="35">
        <v>705.76199999999994</v>
      </c>
      <c r="C390" s="22"/>
      <c r="D390" s="22"/>
      <c r="E390" s="26"/>
      <c r="F390" s="22"/>
      <c r="G390" s="22"/>
      <c r="H390" s="22" t="s">
        <v>516</v>
      </c>
      <c r="I390" s="11"/>
      <c r="J390" s="22"/>
      <c r="K390" s="22"/>
      <c r="L390" s="22"/>
      <c r="M390" s="22">
        <v>19026</v>
      </c>
      <c r="N390" s="22"/>
      <c r="O390" s="35">
        <f t="shared" si="6"/>
        <v>38.81691</v>
      </c>
      <c r="P390" s="22"/>
      <c r="Q390" s="22"/>
      <c r="R390" s="22"/>
      <c r="S390" s="22"/>
      <c r="T390" s="22"/>
      <c r="U390" s="35"/>
    </row>
    <row r="391" spans="1:21" ht="15" x14ac:dyDescent="0.25">
      <c r="A391" s="86" t="s">
        <v>490</v>
      </c>
      <c r="B391" s="35">
        <v>705.76199999999994</v>
      </c>
      <c r="C391" s="22"/>
      <c r="D391" s="22"/>
      <c r="E391" s="26"/>
      <c r="F391" s="22"/>
      <c r="G391" s="22"/>
      <c r="H391" s="22" t="s">
        <v>516</v>
      </c>
      <c r="I391" s="11"/>
      <c r="J391" s="22"/>
      <c r="K391" s="22"/>
      <c r="L391" s="22"/>
      <c r="M391" s="22">
        <v>19032</v>
      </c>
      <c r="N391" s="22"/>
      <c r="O391" s="35">
        <f t="shared" si="6"/>
        <v>38.81691</v>
      </c>
      <c r="P391" s="22"/>
      <c r="Q391" s="22"/>
      <c r="R391" s="22"/>
      <c r="S391" s="22"/>
      <c r="T391" s="22"/>
      <c r="U391" s="35"/>
    </row>
    <row r="392" spans="1:21" ht="15" x14ac:dyDescent="0.25">
      <c r="A392" s="86" t="s">
        <v>490</v>
      </c>
      <c r="B392" s="35">
        <v>3000</v>
      </c>
      <c r="C392" s="22"/>
      <c r="D392" s="22"/>
      <c r="E392" s="26"/>
      <c r="F392" s="22"/>
      <c r="G392" s="22"/>
      <c r="H392" s="22" t="s">
        <v>516</v>
      </c>
      <c r="I392" s="11"/>
      <c r="J392" s="22"/>
      <c r="K392" s="22"/>
      <c r="L392" s="22"/>
      <c r="M392" s="22">
        <v>18962</v>
      </c>
      <c r="N392" s="22"/>
      <c r="O392" s="35">
        <f t="shared" si="6"/>
        <v>165</v>
      </c>
      <c r="P392" s="22"/>
      <c r="Q392" s="22"/>
      <c r="R392" s="22"/>
      <c r="S392" s="22"/>
      <c r="T392" s="22"/>
      <c r="U392" s="35"/>
    </row>
    <row r="393" spans="1:21" ht="15" x14ac:dyDescent="0.25">
      <c r="A393" s="86" t="s">
        <v>490</v>
      </c>
      <c r="B393" s="35">
        <v>987.53399999999999</v>
      </c>
      <c r="C393" s="22"/>
      <c r="D393" s="22"/>
      <c r="E393" s="26"/>
      <c r="F393" s="22"/>
      <c r="G393" s="22"/>
      <c r="H393" s="22" t="s">
        <v>516</v>
      </c>
      <c r="I393" s="11"/>
      <c r="J393" s="22"/>
      <c r="K393" s="22"/>
      <c r="L393" s="22"/>
      <c r="M393" s="22">
        <v>18973</v>
      </c>
      <c r="N393" s="22"/>
      <c r="O393" s="35">
        <f t="shared" si="6"/>
        <v>54.314369999999997</v>
      </c>
      <c r="P393" s="22"/>
      <c r="Q393" s="22"/>
      <c r="R393" s="22"/>
      <c r="S393" s="22"/>
      <c r="T393" s="22"/>
      <c r="U393" s="35"/>
    </row>
    <row r="394" spans="1:21" ht="15" x14ac:dyDescent="0.25">
      <c r="A394" s="86" t="s">
        <v>491</v>
      </c>
      <c r="B394" s="35">
        <v>1961.538</v>
      </c>
      <c r="C394" s="22"/>
      <c r="D394" s="22"/>
      <c r="E394" s="26"/>
      <c r="F394" s="22"/>
      <c r="G394" s="22"/>
      <c r="H394" s="22" t="s">
        <v>516</v>
      </c>
      <c r="I394" s="11"/>
      <c r="J394" s="22"/>
      <c r="K394" s="22"/>
      <c r="L394" s="22"/>
      <c r="M394" s="22">
        <v>19038</v>
      </c>
      <c r="N394" s="22"/>
      <c r="O394" s="35">
        <f t="shared" si="6"/>
        <v>107.88459</v>
      </c>
      <c r="P394" s="22"/>
      <c r="Q394" s="22"/>
      <c r="R394" s="22"/>
      <c r="S394" s="22"/>
      <c r="T394" s="22"/>
      <c r="U394" s="35"/>
    </row>
    <row r="395" spans="1:21" ht="15" x14ac:dyDescent="0.25">
      <c r="A395" s="86" t="s">
        <v>491</v>
      </c>
      <c r="B395" s="35">
        <v>1146.864</v>
      </c>
      <c r="C395" s="22"/>
      <c r="D395" s="22"/>
      <c r="E395" s="26"/>
      <c r="F395" s="22"/>
      <c r="G395" s="22"/>
      <c r="H395" s="22" t="s">
        <v>516</v>
      </c>
      <c r="I395" s="11"/>
      <c r="J395" s="22"/>
      <c r="K395" s="22"/>
      <c r="L395" s="22"/>
      <c r="M395" s="22">
        <v>19027</v>
      </c>
      <c r="N395" s="22"/>
      <c r="O395" s="35">
        <f t="shared" si="6"/>
        <v>63.07752</v>
      </c>
      <c r="P395" s="22"/>
      <c r="Q395" s="22"/>
      <c r="R395" s="22"/>
      <c r="S395" s="22"/>
      <c r="T395" s="22"/>
      <c r="U395" s="35"/>
    </row>
    <row r="396" spans="1:21" ht="15" x14ac:dyDescent="0.25">
      <c r="A396" s="86" t="s">
        <v>491</v>
      </c>
      <c r="B396" s="35">
        <v>1176.2759999999998</v>
      </c>
      <c r="C396" s="22"/>
      <c r="D396" s="22"/>
      <c r="E396" s="26"/>
      <c r="F396" s="22"/>
      <c r="G396" s="22"/>
      <c r="H396" s="22" t="s">
        <v>516</v>
      </c>
      <c r="I396" s="11"/>
      <c r="J396" s="22"/>
      <c r="K396" s="22"/>
      <c r="L396" s="22"/>
      <c r="M396" s="22">
        <v>19021</v>
      </c>
      <c r="N396" s="22"/>
      <c r="O396" s="35">
        <f t="shared" si="6"/>
        <v>64.695179999999993</v>
      </c>
      <c r="P396" s="22"/>
      <c r="Q396" s="22"/>
      <c r="R396" s="22"/>
      <c r="S396" s="22"/>
      <c r="T396" s="22"/>
      <c r="U396" s="35"/>
    </row>
    <row r="397" spans="1:21" ht="15" x14ac:dyDescent="0.25">
      <c r="A397" s="86" t="s">
        <v>491</v>
      </c>
      <c r="B397" s="35">
        <v>1174.98</v>
      </c>
      <c r="C397" s="22"/>
      <c r="D397" s="22"/>
      <c r="E397" s="26"/>
      <c r="F397" s="22"/>
      <c r="G397" s="22"/>
      <c r="H397" s="22" t="s">
        <v>516</v>
      </c>
      <c r="I397" s="11"/>
      <c r="J397" s="22"/>
      <c r="K397" s="22"/>
      <c r="L397" s="22"/>
      <c r="M397" s="22">
        <v>18980</v>
      </c>
      <c r="N397" s="22"/>
      <c r="O397" s="35">
        <f t="shared" si="6"/>
        <v>64.623900000000006</v>
      </c>
      <c r="P397" s="22"/>
      <c r="Q397" s="22"/>
      <c r="R397" s="22"/>
      <c r="S397" s="22"/>
      <c r="T397" s="22"/>
      <c r="U397" s="35"/>
    </row>
    <row r="398" spans="1:21" ht="15" x14ac:dyDescent="0.25">
      <c r="A398" s="86" t="s">
        <v>492</v>
      </c>
      <c r="B398" s="35">
        <v>1707.8040000000001</v>
      </c>
      <c r="C398" s="22"/>
      <c r="D398" s="22"/>
      <c r="E398" s="26"/>
      <c r="F398" s="22"/>
      <c r="G398" s="22"/>
      <c r="H398" s="22" t="s">
        <v>516</v>
      </c>
      <c r="I398" s="11"/>
      <c r="J398" s="22"/>
      <c r="K398" s="22"/>
      <c r="L398" s="22"/>
      <c r="M398" s="22">
        <v>18581</v>
      </c>
      <c r="N398" s="22"/>
      <c r="O398" s="35">
        <f t="shared" si="6"/>
        <v>93.929220000000001</v>
      </c>
      <c r="P398" s="22"/>
      <c r="Q398" s="22"/>
      <c r="R398" s="22"/>
      <c r="S398" s="22"/>
      <c r="T398" s="22"/>
      <c r="U398" s="35"/>
    </row>
    <row r="399" spans="1:21" ht="15" x14ac:dyDescent="0.25">
      <c r="A399" s="86" t="s">
        <v>493</v>
      </c>
      <c r="B399" s="35">
        <v>1500</v>
      </c>
      <c r="C399" s="22"/>
      <c r="D399" s="22"/>
      <c r="E399" s="26"/>
      <c r="F399" s="22"/>
      <c r="G399" s="22"/>
      <c r="H399" s="22" t="s">
        <v>516</v>
      </c>
      <c r="I399" s="11"/>
      <c r="J399" s="22"/>
      <c r="K399" s="22"/>
      <c r="L399" s="22"/>
      <c r="M399" s="22">
        <v>19034</v>
      </c>
      <c r="N399" s="22"/>
      <c r="O399" s="35">
        <f t="shared" si="6"/>
        <v>82.5</v>
      </c>
      <c r="P399" s="22"/>
      <c r="Q399" s="22"/>
      <c r="R399" s="22"/>
      <c r="S399" s="22"/>
      <c r="T399" s="22"/>
      <c r="U399" s="35"/>
    </row>
    <row r="400" spans="1:21" ht="15" x14ac:dyDescent="0.25">
      <c r="A400" s="86" t="s">
        <v>493</v>
      </c>
      <c r="B400" s="35">
        <v>3230.7719999999999</v>
      </c>
      <c r="C400" s="22"/>
      <c r="D400" s="22"/>
      <c r="E400" s="26"/>
      <c r="F400" s="22"/>
      <c r="G400" s="22"/>
      <c r="H400" s="22" t="s">
        <v>516</v>
      </c>
      <c r="I400" s="11"/>
      <c r="J400" s="22"/>
      <c r="K400" s="22"/>
      <c r="L400" s="22"/>
      <c r="M400" s="22">
        <v>44705</v>
      </c>
      <c r="N400" s="22"/>
      <c r="O400" s="35">
        <f t="shared" si="6"/>
        <v>177.69246000000001</v>
      </c>
      <c r="P400" s="22"/>
      <c r="Q400" s="22"/>
      <c r="R400" s="22"/>
      <c r="S400" s="22"/>
      <c r="T400" s="22"/>
      <c r="U400" s="35"/>
    </row>
    <row r="401" spans="1:21" ht="15" x14ac:dyDescent="0.25">
      <c r="A401" s="86" t="s">
        <v>494</v>
      </c>
      <c r="B401" s="35">
        <v>1384.614</v>
      </c>
      <c r="C401" s="22"/>
      <c r="D401" s="22"/>
      <c r="E401" s="26"/>
      <c r="F401" s="22"/>
      <c r="G401" s="22"/>
      <c r="H401" s="22" t="s">
        <v>516</v>
      </c>
      <c r="I401" s="11"/>
      <c r="J401" s="22"/>
      <c r="K401" s="22"/>
      <c r="L401" s="22"/>
      <c r="M401" s="22">
        <v>18805</v>
      </c>
      <c r="N401" s="22"/>
      <c r="O401" s="35">
        <f t="shared" si="6"/>
        <v>76.153770000000009</v>
      </c>
      <c r="P401" s="22"/>
      <c r="Q401" s="22"/>
      <c r="R401" s="22"/>
      <c r="S401" s="22"/>
      <c r="T401" s="22"/>
      <c r="U401" s="35"/>
    </row>
    <row r="402" spans="1:21" ht="15" x14ac:dyDescent="0.25">
      <c r="A402" s="86" t="s">
        <v>494</v>
      </c>
      <c r="B402" s="35">
        <v>1384.6079999999997</v>
      </c>
      <c r="C402" s="22"/>
      <c r="D402" s="22"/>
      <c r="E402" s="26"/>
      <c r="F402" s="22"/>
      <c r="G402" s="22"/>
      <c r="H402" s="22" t="s">
        <v>516</v>
      </c>
      <c r="I402" s="11"/>
      <c r="J402" s="22"/>
      <c r="K402" s="22"/>
      <c r="L402" s="22"/>
      <c r="M402" s="22">
        <v>18982</v>
      </c>
      <c r="N402" s="22"/>
      <c r="O402" s="35">
        <f t="shared" si="6"/>
        <v>76.153439999999989</v>
      </c>
      <c r="P402" s="22"/>
      <c r="Q402" s="22"/>
      <c r="R402" s="22"/>
      <c r="S402" s="22"/>
      <c r="T402" s="22"/>
      <c r="U402" s="35"/>
    </row>
    <row r="403" spans="1:21" ht="15" x14ac:dyDescent="0.25">
      <c r="A403" s="86" t="s">
        <v>495</v>
      </c>
      <c r="B403" s="35">
        <v>1292.31</v>
      </c>
      <c r="C403" s="22"/>
      <c r="D403" s="22"/>
      <c r="E403" s="26"/>
      <c r="F403" s="22"/>
      <c r="G403" s="22"/>
      <c r="H403" s="22" t="s">
        <v>516</v>
      </c>
      <c r="I403" s="11"/>
      <c r="J403" s="22"/>
      <c r="K403" s="22"/>
      <c r="L403" s="22"/>
      <c r="M403" s="22">
        <v>18841</v>
      </c>
      <c r="N403" s="22"/>
      <c r="O403" s="35">
        <f t="shared" si="6"/>
        <v>71.07705</v>
      </c>
      <c r="P403" s="22"/>
      <c r="Q403" s="22"/>
      <c r="R403" s="22"/>
      <c r="S403" s="22"/>
      <c r="T403" s="22"/>
      <c r="U403" s="35"/>
    </row>
    <row r="404" spans="1:21" ht="15" x14ac:dyDescent="0.25">
      <c r="A404" s="86" t="s">
        <v>495</v>
      </c>
      <c r="B404" s="35">
        <v>1485.48</v>
      </c>
      <c r="C404" s="22"/>
      <c r="D404" s="22"/>
      <c r="E404" s="26"/>
      <c r="F404" s="22"/>
      <c r="G404" s="22"/>
      <c r="H404" s="22" t="s">
        <v>516</v>
      </c>
      <c r="I404" s="11"/>
      <c r="J404" s="22"/>
      <c r="K404" s="22"/>
      <c r="L404" s="22"/>
      <c r="M404" s="22">
        <v>266</v>
      </c>
      <c r="N404" s="22"/>
      <c r="O404" s="35">
        <f t="shared" si="6"/>
        <v>81.701400000000007</v>
      </c>
      <c r="P404" s="22"/>
      <c r="Q404" s="22"/>
      <c r="R404" s="22"/>
      <c r="S404" s="22"/>
      <c r="T404" s="22"/>
      <c r="U404" s="35"/>
    </row>
    <row r="405" spans="1:21" ht="15" x14ac:dyDescent="0.25">
      <c r="A405" s="86" t="s">
        <v>496</v>
      </c>
      <c r="B405" s="35">
        <v>570.12599999999998</v>
      </c>
      <c r="C405" s="22"/>
      <c r="D405" s="22"/>
      <c r="E405" s="26"/>
      <c r="F405" s="22"/>
      <c r="G405" s="22"/>
      <c r="H405" s="22" t="s">
        <v>516</v>
      </c>
      <c r="I405" s="11"/>
      <c r="J405" s="22"/>
      <c r="K405" s="22"/>
      <c r="L405" s="22"/>
      <c r="M405" s="22">
        <v>134</v>
      </c>
      <c r="N405" s="22"/>
      <c r="O405" s="35">
        <f t="shared" si="6"/>
        <v>31.356929999999998</v>
      </c>
      <c r="P405" s="22"/>
      <c r="Q405" s="22"/>
      <c r="R405" s="22"/>
      <c r="S405" s="22"/>
      <c r="T405" s="22"/>
      <c r="U405" s="35"/>
    </row>
    <row r="406" spans="1:21" ht="15" x14ac:dyDescent="0.25">
      <c r="A406" s="86" t="s">
        <v>496</v>
      </c>
      <c r="B406" s="35">
        <v>941.01599999999985</v>
      </c>
      <c r="C406" s="22"/>
      <c r="D406" s="22"/>
      <c r="E406" s="26"/>
      <c r="F406" s="22"/>
      <c r="G406" s="22"/>
      <c r="H406" s="22" t="s">
        <v>516</v>
      </c>
      <c r="I406" s="11"/>
      <c r="J406" s="22"/>
      <c r="K406" s="22"/>
      <c r="L406" s="22"/>
      <c r="M406" s="22">
        <v>18918</v>
      </c>
      <c r="N406" s="22"/>
      <c r="O406" s="35">
        <f t="shared" si="6"/>
        <v>51.755879999999991</v>
      </c>
      <c r="P406" s="22"/>
      <c r="Q406" s="22"/>
      <c r="R406" s="22"/>
      <c r="S406" s="22"/>
      <c r="T406" s="22"/>
      <c r="U406" s="35"/>
    </row>
    <row r="407" spans="1:21" ht="15" x14ac:dyDescent="0.25">
      <c r="A407" s="86" t="s">
        <v>496</v>
      </c>
      <c r="B407" s="35">
        <v>1293.9000000000001</v>
      </c>
      <c r="C407" s="22"/>
      <c r="D407" s="22"/>
      <c r="E407" s="26"/>
      <c r="F407" s="22"/>
      <c r="G407" s="22"/>
      <c r="H407" s="22" t="s">
        <v>516</v>
      </c>
      <c r="I407" s="11"/>
      <c r="J407" s="22"/>
      <c r="K407" s="22"/>
      <c r="L407" s="22"/>
      <c r="M407" s="22">
        <v>18797</v>
      </c>
      <c r="N407" s="22"/>
      <c r="O407" s="35">
        <f t="shared" si="6"/>
        <v>71.164500000000004</v>
      </c>
      <c r="P407" s="22"/>
      <c r="Q407" s="22"/>
      <c r="R407" s="22"/>
      <c r="S407" s="22"/>
      <c r="T407" s="22"/>
      <c r="U407" s="35"/>
    </row>
    <row r="408" spans="1:21" ht="15" x14ac:dyDescent="0.25">
      <c r="A408" s="86" t="s">
        <v>496</v>
      </c>
      <c r="B408" s="35">
        <v>1055.0340000000001</v>
      </c>
      <c r="C408" s="22"/>
      <c r="D408" s="22"/>
      <c r="E408" s="26"/>
      <c r="F408" s="22"/>
      <c r="G408" s="22"/>
      <c r="H408" s="22" t="s">
        <v>516</v>
      </c>
      <c r="I408" s="11"/>
      <c r="J408" s="22"/>
      <c r="K408" s="22"/>
      <c r="L408" s="22"/>
      <c r="M408" s="22">
        <v>18822</v>
      </c>
      <c r="N408" s="22"/>
      <c r="O408" s="35">
        <f t="shared" si="6"/>
        <v>58.026870000000009</v>
      </c>
      <c r="P408" s="22"/>
      <c r="Q408" s="22"/>
      <c r="R408" s="22"/>
      <c r="S408" s="22"/>
      <c r="T408" s="22"/>
      <c r="U408" s="35"/>
    </row>
    <row r="409" spans="1:21" ht="15" x14ac:dyDescent="0.25">
      <c r="A409" s="86" t="s">
        <v>496</v>
      </c>
      <c r="B409" s="35">
        <v>1083.2400000000002</v>
      </c>
      <c r="C409" s="22"/>
      <c r="D409" s="22"/>
      <c r="E409" s="26"/>
      <c r="F409" s="22"/>
      <c r="G409" s="22"/>
      <c r="H409" s="22" t="s">
        <v>516</v>
      </c>
      <c r="I409" s="11"/>
      <c r="J409" s="22"/>
      <c r="K409" s="22"/>
      <c r="L409" s="22"/>
      <c r="M409" s="22">
        <v>18887</v>
      </c>
      <c r="N409" s="22"/>
      <c r="O409" s="35">
        <f t="shared" si="6"/>
        <v>59.578200000000017</v>
      </c>
      <c r="P409" s="22"/>
      <c r="Q409" s="22"/>
      <c r="R409" s="22"/>
      <c r="S409" s="22"/>
      <c r="T409" s="22"/>
      <c r="U409" s="35"/>
    </row>
    <row r="410" spans="1:21" ht="15" x14ac:dyDescent="0.25">
      <c r="A410" s="86" t="s">
        <v>496</v>
      </c>
      <c r="B410" s="35">
        <v>1080.864</v>
      </c>
      <c r="C410" s="22"/>
      <c r="D410" s="22"/>
      <c r="E410" s="26"/>
      <c r="F410" s="22"/>
      <c r="G410" s="22"/>
      <c r="H410" s="22" t="s">
        <v>516</v>
      </c>
      <c r="I410" s="11"/>
      <c r="J410" s="22"/>
      <c r="K410" s="22"/>
      <c r="L410" s="22"/>
      <c r="M410" s="22">
        <v>18949</v>
      </c>
      <c r="N410" s="22"/>
      <c r="O410" s="35">
        <f t="shared" si="6"/>
        <v>59.447520000000004</v>
      </c>
      <c r="P410" s="22"/>
      <c r="Q410" s="22"/>
      <c r="R410" s="22"/>
      <c r="S410" s="22"/>
      <c r="T410" s="22"/>
      <c r="U410" s="35"/>
    </row>
    <row r="411" spans="1:21" ht="15" x14ac:dyDescent="0.25">
      <c r="A411" s="86" t="s">
        <v>496</v>
      </c>
      <c r="B411" s="35">
        <v>943.82400000000007</v>
      </c>
      <c r="C411" s="22"/>
      <c r="D411" s="22"/>
      <c r="E411" s="26"/>
      <c r="F411" s="22"/>
      <c r="G411" s="22"/>
      <c r="H411" s="22" t="s">
        <v>516</v>
      </c>
      <c r="I411" s="11"/>
      <c r="J411" s="22"/>
      <c r="K411" s="22"/>
      <c r="L411" s="22"/>
      <c r="M411" s="22">
        <v>18979</v>
      </c>
      <c r="N411" s="22"/>
      <c r="O411" s="35">
        <f t="shared" si="6"/>
        <v>51.910320000000006</v>
      </c>
      <c r="P411" s="22"/>
      <c r="Q411" s="22"/>
      <c r="R411" s="22"/>
      <c r="S411" s="22"/>
      <c r="T411" s="22"/>
      <c r="U411" s="35"/>
    </row>
    <row r="412" spans="1:21" ht="15" x14ac:dyDescent="0.25">
      <c r="A412" s="86" t="s">
        <v>496</v>
      </c>
      <c r="B412" s="35">
        <v>552.15000000000009</v>
      </c>
      <c r="C412" s="22"/>
      <c r="D412" s="22"/>
      <c r="E412" s="26"/>
      <c r="F412" s="22"/>
      <c r="G412" s="22"/>
      <c r="H412" s="22" t="s">
        <v>516</v>
      </c>
      <c r="I412" s="11"/>
      <c r="J412" s="22"/>
      <c r="K412" s="22"/>
      <c r="L412" s="22"/>
      <c r="M412" s="22">
        <v>18929</v>
      </c>
      <c r="N412" s="22"/>
      <c r="O412" s="35">
        <f t="shared" si="6"/>
        <v>30.368250000000007</v>
      </c>
      <c r="P412" s="22"/>
      <c r="Q412" s="22"/>
      <c r="R412" s="22"/>
      <c r="S412" s="22"/>
      <c r="T412" s="22"/>
      <c r="U412" s="35"/>
    </row>
    <row r="413" spans="1:21" ht="15" x14ac:dyDescent="0.25">
      <c r="A413" s="86" t="s">
        <v>496</v>
      </c>
      <c r="B413" s="35">
        <v>1405.848</v>
      </c>
      <c r="C413" s="22"/>
      <c r="D413" s="22"/>
      <c r="E413" s="26"/>
      <c r="F413" s="22"/>
      <c r="G413" s="22"/>
      <c r="H413" s="22" t="s">
        <v>516</v>
      </c>
      <c r="I413" s="11"/>
      <c r="J413" s="22"/>
      <c r="K413" s="22"/>
      <c r="L413" s="22"/>
      <c r="M413" s="22">
        <v>18827</v>
      </c>
      <c r="N413" s="22"/>
      <c r="O413" s="35">
        <f t="shared" si="6"/>
        <v>77.321640000000002</v>
      </c>
      <c r="P413" s="22"/>
      <c r="Q413" s="22"/>
      <c r="R413" s="22"/>
      <c r="S413" s="22"/>
      <c r="T413" s="22"/>
      <c r="U413" s="35"/>
    </row>
    <row r="414" spans="1:21" ht="15" x14ac:dyDescent="0.25">
      <c r="A414" s="86" t="s">
        <v>496</v>
      </c>
      <c r="B414" s="35">
        <v>2076.924</v>
      </c>
      <c r="C414" s="22"/>
      <c r="D414" s="22"/>
      <c r="E414" s="26"/>
      <c r="F414" s="22"/>
      <c r="G414" s="22"/>
      <c r="H414" s="22" t="s">
        <v>516</v>
      </c>
      <c r="I414" s="11"/>
      <c r="J414" s="22"/>
      <c r="K414" s="22"/>
      <c r="L414" s="22"/>
      <c r="M414" s="22">
        <v>18626</v>
      </c>
      <c r="N414" s="22"/>
      <c r="O414" s="35">
        <f t="shared" si="6"/>
        <v>114.23081999999999</v>
      </c>
      <c r="P414" s="22"/>
      <c r="Q414" s="22"/>
      <c r="R414" s="22"/>
      <c r="S414" s="22"/>
      <c r="T414" s="22"/>
      <c r="U414" s="35"/>
    </row>
    <row r="415" spans="1:21" ht="15" x14ac:dyDescent="0.25">
      <c r="A415" s="86" t="s">
        <v>497</v>
      </c>
      <c r="B415" s="35">
        <v>257.286</v>
      </c>
      <c r="C415" s="22"/>
      <c r="D415" s="22"/>
      <c r="E415" s="26"/>
      <c r="F415" s="22"/>
      <c r="G415" s="22"/>
      <c r="H415" s="22" t="s">
        <v>516</v>
      </c>
      <c r="I415" s="11"/>
      <c r="J415" s="22"/>
      <c r="K415" s="22"/>
      <c r="L415" s="22"/>
      <c r="M415" s="22">
        <v>18793</v>
      </c>
      <c r="N415" s="22"/>
      <c r="O415" s="35">
        <f t="shared" si="6"/>
        <v>14.150729999999999</v>
      </c>
      <c r="P415" s="22"/>
      <c r="Q415" s="22"/>
      <c r="R415" s="22"/>
      <c r="S415" s="22"/>
      <c r="T415" s="22"/>
      <c r="U415" s="35"/>
    </row>
    <row r="416" spans="1:21" ht="15" x14ac:dyDescent="0.25">
      <c r="A416" s="86" t="s">
        <v>498</v>
      </c>
      <c r="B416" s="35">
        <v>1025.748</v>
      </c>
      <c r="C416" s="22"/>
      <c r="D416" s="22"/>
      <c r="E416" s="26"/>
      <c r="F416" s="22"/>
      <c r="G416" s="22"/>
      <c r="H416" s="22" t="s">
        <v>516</v>
      </c>
      <c r="I416" s="11"/>
      <c r="J416" s="22"/>
      <c r="K416" s="22"/>
      <c r="L416" s="22"/>
      <c r="M416" s="22">
        <v>18989</v>
      </c>
      <c r="N416" s="22"/>
      <c r="O416" s="35">
        <f t="shared" si="6"/>
        <v>56.416140000000006</v>
      </c>
      <c r="P416" s="22"/>
      <c r="Q416" s="22"/>
      <c r="R416" s="22"/>
      <c r="S416" s="22"/>
      <c r="T416" s="22"/>
      <c r="U416" s="35"/>
    </row>
    <row r="417" spans="1:21" ht="15" x14ac:dyDescent="0.25">
      <c r="A417" s="86" t="s">
        <v>499</v>
      </c>
      <c r="B417" s="35">
        <v>1000.242</v>
      </c>
      <c r="C417" s="22"/>
      <c r="D417" s="22"/>
      <c r="E417" s="26"/>
      <c r="F417" s="22"/>
      <c r="G417" s="22"/>
      <c r="H417" s="22" t="s">
        <v>516</v>
      </c>
      <c r="I417" s="11"/>
      <c r="J417" s="22"/>
      <c r="K417" s="22"/>
      <c r="L417" s="22"/>
      <c r="M417" s="22">
        <v>18736</v>
      </c>
      <c r="N417" s="22"/>
      <c r="O417" s="35">
        <f t="shared" si="6"/>
        <v>55.013309999999997</v>
      </c>
      <c r="P417" s="22"/>
      <c r="Q417" s="22"/>
      <c r="R417" s="22"/>
      <c r="S417" s="22"/>
      <c r="T417" s="22"/>
      <c r="U417" s="35"/>
    </row>
    <row r="418" spans="1:21" ht="15" x14ac:dyDescent="0.25">
      <c r="A418" s="86" t="s">
        <v>500</v>
      </c>
      <c r="B418" s="35">
        <v>1079.6759999999999</v>
      </c>
      <c r="C418" s="22"/>
      <c r="D418" s="22"/>
      <c r="E418" s="26"/>
      <c r="F418" s="22"/>
      <c r="G418" s="22"/>
      <c r="H418" s="22" t="s">
        <v>516</v>
      </c>
      <c r="I418" s="11"/>
      <c r="J418" s="22"/>
      <c r="K418" s="22"/>
      <c r="L418" s="22"/>
      <c r="M418" s="22">
        <v>19019</v>
      </c>
      <c r="N418" s="22"/>
      <c r="O418" s="35">
        <f t="shared" si="6"/>
        <v>59.382179999999998</v>
      </c>
      <c r="P418" s="22"/>
      <c r="Q418" s="22"/>
      <c r="R418" s="22"/>
      <c r="S418" s="22"/>
      <c r="T418" s="22"/>
      <c r="U418" s="35"/>
    </row>
    <row r="419" spans="1:21" ht="15" x14ac:dyDescent="0.25">
      <c r="A419" s="86" t="s">
        <v>500</v>
      </c>
      <c r="B419" s="35">
        <v>906.04200000000003</v>
      </c>
      <c r="C419" s="22"/>
      <c r="D419" s="22"/>
      <c r="E419" s="26"/>
      <c r="F419" s="22"/>
      <c r="G419" s="22"/>
      <c r="H419" s="22" t="s">
        <v>516</v>
      </c>
      <c r="I419" s="11"/>
      <c r="J419" s="22"/>
      <c r="K419" s="22"/>
      <c r="L419" s="22"/>
      <c r="M419" s="22">
        <v>19017</v>
      </c>
      <c r="N419" s="22"/>
      <c r="O419" s="35">
        <f t="shared" si="6"/>
        <v>49.83231</v>
      </c>
      <c r="P419" s="22"/>
      <c r="Q419" s="22"/>
      <c r="R419" s="22"/>
      <c r="S419" s="22"/>
      <c r="T419" s="22"/>
      <c r="U419" s="35"/>
    </row>
    <row r="420" spans="1:21" ht="15" x14ac:dyDescent="0.25">
      <c r="A420" s="86" t="s">
        <v>500</v>
      </c>
      <c r="B420" s="35">
        <v>1073.9760000000001</v>
      </c>
      <c r="C420" s="22"/>
      <c r="D420" s="22"/>
      <c r="E420" s="26"/>
      <c r="F420" s="22"/>
      <c r="G420" s="22"/>
      <c r="H420" s="22" t="s">
        <v>516</v>
      </c>
      <c r="I420" s="11"/>
      <c r="J420" s="22"/>
      <c r="K420" s="22"/>
      <c r="L420" s="22"/>
      <c r="M420" s="22">
        <v>19028</v>
      </c>
      <c r="N420" s="22"/>
      <c r="O420" s="35">
        <f t="shared" si="6"/>
        <v>59.068680000000008</v>
      </c>
      <c r="P420" s="22"/>
      <c r="Q420" s="22"/>
      <c r="R420" s="22"/>
      <c r="S420" s="22"/>
      <c r="T420" s="22"/>
      <c r="U420" s="35"/>
    </row>
    <row r="421" spans="1:21" ht="15" x14ac:dyDescent="0.25">
      <c r="A421" s="86" t="s">
        <v>500</v>
      </c>
      <c r="B421" s="35">
        <v>656.59199999999987</v>
      </c>
      <c r="C421" s="22"/>
      <c r="D421" s="22"/>
      <c r="E421" s="26"/>
      <c r="F421" s="22"/>
      <c r="G421" s="22"/>
      <c r="H421" s="22" t="s">
        <v>516</v>
      </c>
      <c r="I421" s="11"/>
      <c r="J421" s="22"/>
      <c r="K421" s="22"/>
      <c r="L421" s="22"/>
      <c r="M421" s="22">
        <v>18607</v>
      </c>
      <c r="N421" s="22"/>
      <c r="O421" s="35">
        <f t="shared" si="6"/>
        <v>36.112559999999995</v>
      </c>
      <c r="P421" s="22"/>
      <c r="Q421" s="22"/>
      <c r="R421" s="22"/>
      <c r="S421" s="22"/>
      <c r="T421" s="22"/>
      <c r="U421" s="35"/>
    </row>
    <row r="422" spans="1:21" ht="15" x14ac:dyDescent="0.25">
      <c r="A422" s="86" t="s">
        <v>500</v>
      </c>
      <c r="B422" s="35">
        <v>1082.7599999999998</v>
      </c>
      <c r="C422" s="22"/>
      <c r="D422" s="22"/>
      <c r="E422" s="26"/>
      <c r="F422" s="22"/>
      <c r="G422" s="22"/>
      <c r="H422" s="22" t="s">
        <v>516</v>
      </c>
      <c r="I422" s="11"/>
      <c r="J422" s="22"/>
      <c r="K422" s="22"/>
      <c r="L422" s="22"/>
      <c r="M422" s="22">
        <v>19011</v>
      </c>
      <c r="N422" s="22"/>
      <c r="O422" s="35">
        <f t="shared" si="6"/>
        <v>59.551799999999986</v>
      </c>
      <c r="P422" s="22"/>
      <c r="Q422" s="22"/>
      <c r="R422" s="22"/>
      <c r="S422" s="22"/>
      <c r="T422" s="22"/>
      <c r="U422" s="35"/>
    </row>
    <row r="423" spans="1:21" ht="15" x14ac:dyDescent="0.25">
      <c r="A423" s="86" t="s">
        <v>500</v>
      </c>
      <c r="B423" s="35">
        <v>1135.9740000000002</v>
      </c>
      <c r="C423" s="22"/>
      <c r="D423" s="22"/>
      <c r="E423" s="26"/>
      <c r="F423" s="22"/>
      <c r="G423" s="22"/>
      <c r="H423" s="22" t="s">
        <v>516</v>
      </c>
      <c r="I423" s="11"/>
      <c r="J423" s="22"/>
      <c r="K423" s="22"/>
      <c r="L423" s="22"/>
      <c r="M423" s="22">
        <v>19009</v>
      </c>
      <c r="N423" s="22"/>
      <c r="O423" s="35">
        <f t="shared" si="6"/>
        <v>62.478570000000012</v>
      </c>
      <c r="P423" s="22"/>
      <c r="Q423" s="22"/>
      <c r="R423" s="22"/>
      <c r="S423" s="22"/>
      <c r="T423" s="22"/>
      <c r="U423" s="35"/>
    </row>
    <row r="424" spans="1:21" ht="15" x14ac:dyDescent="0.25">
      <c r="A424" s="86" t="s">
        <v>500</v>
      </c>
      <c r="B424" s="35">
        <v>1153.566</v>
      </c>
      <c r="C424" s="22"/>
      <c r="D424" s="22"/>
      <c r="E424" s="26"/>
      <c r="F424" s="22"/>
      <c r="G424" s="22"/>
      <c r="H424" s="22" t="s">
        <v>516</v>
      </c>
      <c r="I424" s="11"/>
      <c r="J424" s="22"/>
      <c r="K424" s="22"/>
      <c r="L424" s="22"/>
      <c r="M424" s="22">
        <v>19012</v>
      </c>
      <c r="N424" s="22"/>
      <c r="O424" s="35">
        <f t="shared" si="6"/>
        <v>63.446130000000004</v>
      </c>
      <c r="P424" s="22"/>
      <c r="Q424" s="22"/>
      <c r="R424" s="22"/>
      <c r="S424" s="22"/>
      <c r="T424" s="22"/>
      <c r="U424" s="35"/>
    </row>
    <row r="425" spans="1:21" ht="15" x14ac:dyDescent="0.25">
      <c r="A425" s="86" t="s">
        <v>500</v>
      </c>
      <c r="B425" s="35">
        <v>1183.7219999999998</v>
      </c>
      <c r="C425" s="22"/>
      <c r="D425" s="22"/>
      <c r="E425" s="26"/>
      <c r="F425" s="22"/>
      <c r="G425" s="22"/>
      <c r="H425" s="22" t="s">
        <v>516</v>
      </c>
      <c r="I425" s="11"/>
      <c r="J425" s="22"/>
      <c r="K425" s="22"/>
      <c r="L425" s="22"/>
      <c r="M425" s="22">
        <v>18983</v>
      </c>
      <c r="N425" s="22"/>
      <c r="O425" s="35">
        <f t="shared" si="6"/>
        <v>65.104709999999983</v>
      </c>
      <c r="P425" s="22"/>
      <c r="Q425" s="22"/>
      <c r="R425" s="22"/>
      <c r="S425" s="22"/>
      <c r="T425" s="22"/>
      <c r="U425" s="35"/>
    </row>
    <row r="426" spans="1:21" ht="15" x14ac:dyDescent="0.25">
      <c r="A426" s="86" t="s">
        <v>500</v>
      </c>
      <c r="B426" s="35">
        <v>1332.9119999999998</v>
      </c>
      <c r="C426" s="22"/>
      <c r="D426" s="22"/>
      <c r="E426" s="26"/>
      <c r="F426" s="22"/>
      <c r="G426" s="22"/>
      <c r="H426" s="22" t="s">
        <v>516</v>
      </c>
      <c r="I426" s="11"/>
      <c r="J426" s="22"/>
      <c r="K426" s="22"/>
      <c r="L426" s="22"/>
      <c r="M426" s="22">
        <v>18829</v>
      </c>
      <c r="N426" s="22"/>
      <c r="O426" s="35">
        <f t="shared" si="6"/>
        <v>73.310159999999996</v>
      </c>
      <c r="P426" s="22"/>
      <c r="Q426" s="22"/>
      <c r="R426" s="22"/>
      <c r="S426" s="22"/>
      <c r="T426" s="22"/>
      <c r="U426" s="35"/>
    </row>
    <row r="427" spans="1:21" ht="15" x14ac:dyDescent="0.25">
      <c r="A427" s="86" t="s">
        <v>500</v>
      </c>
      <c r="B427" s="35">
        <v>1150.944</v>
      </c>
      <c r="C427" s="22"/>
      <c r="D427" s="22"/>
      <c r="E427" s="26"/>
      <c r="F427" s="22"/>
      <c r="G427" s="22"/>
      <c r="H427" s="22" t="s">
        <v>516</v>
      </c>
      <c r="I427" s="11"/>
      <c r="J427" s="22"/>
      <c r="K427" s="22"/>
      <c r="L427" s="22"/>
      <c r="M427" s="22">
        <v>19029</v>
      </c>
      <c r="N427" s="22"/>
      <c r="O427" s="35">
        <f t="shared" si="6"/>
        <v>63.301919999999996</v>
      </c>
      <c r="P427" s="22"/>
      <c r="Q427" s="22"/>
      <c r="R427" s="22"/>
      <c r="S427" s="22"/>
      <c r="T427" s="22"/>
      <c r="U427" s="35"/>
    </row>
    <row r="428" spans="1:21" ht="15" x14ac:dyDescent="0.25">
      <c r="A428" s="86" t="s">
        <v>500</v>
      </c>
      <c r="B428" s="35">
        <v>1334.2439999999997</v>
      </c>
      <c r="C428" s="22"/>
      <c r="D428" s="22"/>
      <c r="E428" s="26"/>
      <c r="F428" s="22"/>
      <c r="G428" s="22"/>
      <c r="H428" s="22" t="s">
        <v>516</v>
      </c>
      <c r="I428" s="11"/>
      <c r="J428" s="22"/>
      <c r="K428" s="22"/>
      <c r="L428" s="22"/>
      <c r="M428" s="22">
        <v>18932</v>
      </c>
      <c r="N428" s="22"/>
      <c r="O428" s="35">
        <f t="shared" si="6"/>
        <v>73.383419999999987</v>
      </c>
      <c r="P428" s="22"/>
      <c r="Q428" s="22"/>
      <c r="R428" s="22"/>
      <c r="S428" s="22"/>
      <c r="T428" s="22"/>
      <c r="U428" s="35"/>
    </row>
    <row r="429" spans="1:21" ht="15" x14ac:dyDescent="0.25">
      <c r="A429" s="86" t="s">
        <v>500</v>
      </c>
      <c r="B429" s="35">
        <v>734.08799999999997</v>
      </c>
      <c r="C429" s="22"/>
      <c r="D429" s="22"/>
      <c r="E429" s="26"/>
      <c r="F429" s="22"/>
      <c r="G429" s="22"/>
      <c r="H429" s="22" t="s">
        <v>516</v>
      </c>
      <c r="I429" s="11"/>
      <c r="J429" s="22"/>
      <c r="K429" s="22"/>
      <c r="L429" s="22"/>
      <c r="M429" s="22">
        <v>18923</v>
      </c>
      <c r="N429" s="22"/>
      <c r="O429" s="35">
        <f t="shared" si="6"/>
        <v>40.374839999999999</v>
      </c>
      <c r="P429" s="22"/>
      <c r="Q429" s="22"/>
      <c r="R429" s="22"/>
      <c r="S429" s="22"/>
      <c r="T429" s="22"/>
      <c r="U429" s="35"/>
    </row>
    <row r="430" spans="1:21" ht="15" x14ac:dyDescent="0.25">
      <c r="A430" s="86" t="s">
        <v>500</v>
      </c>
      <c r="B430" s="35">
        <v>1188</v>
      </c>
      <c r="C430" s="22"/>
      <c r="D430" s="22"/>
      <c r="E430" s="26"/>
      <c r="F430" s="22"/>
      <c r="G430" s="22"/>
      <c r="H430" s="22" t="s">
        <v>516</v>
      </c>
      <c r="I430" s="11"/>
      <c r="J430" s="22"/>
      <c r="K430" s="22"/>
      <c r="L430" s="22"/>
      <c r="M430" s="22">
        <v>19015</v>
      </c>
      <c r="N430" s="22"/>
      <c r="O430" s="35">
        <f t="shared" si="6"/>
        <v>65.34</v>
      </c>
      <c r="P430" s="22"/>
      <c r="Q430" s="22"/>
      <c r="R430" s="22"/>
      <c r="S430" s="22"/>
      <c r="T430" s="22"/>
      <c r="U430" s="35"/>
    </row>
    <row r="431" spans="1:21" ht="15" x14ac:dyDescent="0.25">
      <c r="A431" s="86" t="s">
        <v>500</v>
      </c>
      <c r="B431" s="35">
        <v>841.03199999999993</v>
      </c>
      <c r="C431" s="22"/>
      <c r="D431" s="22"/>
      <c r="E431" s="26"/>
      <c r="F431" s="22"/>
      <c r="G431" s="22"/>
      <c r="H431" s="22" t="s">
        <v>516</v>
      </c>
      <c r="I431" s="11"/>
      <c r="J431" s="22"/>
      <c r="K431" s="22"/>
      <c r="L431" s="22"/>
      <c r="M431" s="22">
        <v>19008</v>
      </c>
      <c r="N431" s="22"/>
      <c r="O431" s="35">
        <f t="shared" si="6"/>
        <v>46.256759999999993</v>
      </c>
      <c r="P431" s="22"/>
      <c r="Q431" s="22"/>
      <c r="R431" s="22"/>
      <c r="S431" s="22"/>
      <c r="T431" s="22"/>
      <c r="U431" s="35"/>
    </row>
    <row r="432" spans="1:21" ht="15" x14ac:dyDescent="0.25">
      <c r="A432" s="86" t="s">
        <v>500</v>
      </c>
      <c r="B432" s="35">
        <v>1042.0259999999998</v>
      </c>
      <c r="C432" s="22"/>
      <c r="D432" s="22"/>
      <c r="E432" s="26"/>
      <c r="F432" s="22"/>
      <c r="G432" s="22"/>
      <c r="H432" s="22" t="s">
        <v>516</v>
      </c>
      <c r="I432" s="11"/>
      <c r="J432" s="22"/>
      <c r="K432" s="22"/>
      <c r="L432" s="22"/>
      <c r="M432" s="22">
        <v>18679</v>
      </c>
      <c r="N432" s="22"/>
      <c r="O432" s="35">
        <f t="shared" si="6"/>
        <v>57.311429999999994</v>
      </c>
      <c r="P432" s="22"/>
      <c r="Q432" s="22"/>
      <c r="R432" s="22"/>
      <c r="S432" s="22"/>
      <c r="T432" s="22"/>
      <c r="U432" s="35"/>
    </row>
    <row r="433" spans="1:21" ht="15" x14ac:dyDescent="0.25">
      <c r="A433" s="86" t="s">
        <v>501</v>
      </c>
      <c r="B433" s="35">
        <v>1730.7719999999999</v>
      </c>
      <c r="C433" s="22"/>
      <c r="D433" s="22"/>
      <c r="E433" s="26"/>
      <c r="F433" s="22"/>
      <c r="G433" s="22"/>
      <c r="H433" s="22" t="s">
        <v>516</v>
      </c>
      <c r="I433" s="11"/>
      <c r="J433" s="22"/>
      <c r="K433" s="22"/>
      <c r="L433" s="22"/>
      <c r="M433" s="22">
        <v>18998</v>
      </c>
      <c r="N433" s="22"/>
      <c r="O433" s="35">
        <f t="shared" si="6"/>
        <v>95.192459999999997</v>
      </c>
      <c r="P433" s="22"/>
      <c r="Q433" s="22"/>
      <c r="R433" s="22"/>
      <c r="S433" s="22"/>
      <c r="T433" s="22"/>
      <c r="U433" s="35"/>
    </row>
    <row r="434" spans="1:21" ht="15" x14ac:dyDescent="0.25">
      <c r="A434" s="86" t="s">
        <v>502</v>
      </c>
      <c r="B434" s="35">
        <v>1775.7719999999999</v>
      </c>
      <c r="C434" s="22"/>
      <c r="D434" s="22"/>
      <c r="E434" s="26"/>
      <c r="F434" s="22"/>
      <c r="G434" s="22"/>
      <c r="H434" s="22" t="s">
        <v>516</v>
      </c>
      <c r="I434" s="11"/>
      <c r="J434" s="22"/>
      <c r="K434" s="22"/>
      <c r="L434" s="22"/>
      <c r="M434" s="22">
        <v>115</v>
      </c>
      <c r="N434" s="22"/>
      <c r="O434" s="35">
        <f t="shared" si="6"/>
        <v>97.667459999999991</v>
      </c>
      <c r="P434" s="22"/>
      <c r="Q434" s="22"/>
      <c r="R434" s="22"/>
      <c r="S434" s="22"/>
      <c r="T434" s="22"/>
      <c r="U434" s="35"/>
    </row>
    <row r="435" spans="1:21" ht="15" x14ac:dyDescent="0.25">
      <c r="A435" s="86" t="s">
        <v>503</v>
      </c>
      <c r="B435" s="35">
        <v>1225.386</v>
      </c>
      <c r="C435" s="22"/>
      <c r="D435" s="22"/>
      <c r="E435" s="26"/>
      <c r="F435" s="22"/>
      <c r="G435" s="22"/>
      <c r="H435" s="22" t="s">
        <v>516</v>
      </c>
      <c r="I435" s="11"/>
      <c r="J435" s="22"/>
      <c r="K435" s="22"/>
      <c r="L435" s="22"/>
      <c r="M435" s="22">
        <v>19020</v>
      </c>
      <c r="N435" s="22"/>
      <c r="O435" s="35">
        <f t="shared" si="6"/>
        <v>67.396230000000003</v>
      </c>
      <c r="P435" s="22"/>
      <c r="Q435" s="22"/>
      <c r="R435" s="22"/>
      <c r="S435" s="22"/>
      <c r="T435" s="22"/>
      <c r="U435" s="35"/>
    </row>
    <row r="436" spans="1:21" ht="15" x14ac:dyDescent="0.25">
      <c r="A436" s="86" t="s">
        <v>503</v>
      </c>
      <c r="B436" s="35">
        <v>1846.152</v>
      </c>
      <c r="C436" s="22"/>
      <c r="D436" s="22"/>
      <c r="E436" s="26"/>
      <c r="F436" s="22"/>
      <c r="G436" s="22"/>
      <c r="H436" s="22" t="s">
        <v>516</v>
      </c>
      <c r="I436" s="11"/>
      <c r="J436" s="22"/>
      <c r="K436" s="22"/>
      <c r="L436" s="22"/>
      <c r="M436" s="22">
        <v>18649</v>
      </c>
      <c r="N436" s="22"/>
      <c r="O436" s="35">
        <f t="shared" si="6"/>
        <v>101.53836</v>
      </c>
      <c r="P436" s="22"/>
      <c r="Q436" s="22"/>
      <c r="R436" s="22"/>
      <c r="S436" s="22"/>
      <c r="T436" s="22"/>
      <c r="U436" s="35"/>
    </row>
    <row r="437" spans="1:21" ht="15" x14ac:dyDescent="0.25">
      <c r="A437" s="86" t="s">
        <v>504</v>
      </c>
      <c r="B437" s="35">
        <v>717.47399999999993</v>
      </c>
      <c r="C437" s="22"/>
      <c r="D437" s="22"/>
      <c r="E437" s="26"/>
      <c r="F437" s="22"/>
      <c r="G437" s="22"/>
      <c r="H437" s="22" t="s">
        <v>516</v>
      </c>
      <c r="I437" s="11"/>
      <c r="J437" s="22"/>
      <c r="K437" s="22"/>
      <c r="L437" s="22"/>
      <c r="M437" s="22">
        <v>18839</v>
      </c>
      <c r="N437" s="22"/>
      <c r="O437" s="35">
        <f t="shared" si="6"/>
        <v>39.461069999999999</v>
      </c>
      <c r="P437" s="22"/>
      <c r="Q437" s="22"/>
      <c r="R437" s="22"/>
      <c r="S437" s="22"/>
      <c r="T437" s="22"/>
      <c r="U437" s="35"/>
    </row>
    <row r="438" spans="1:21" ht="15" x14ac:dyDescent="0.25">
      <c r="A438" s="86" t="s">
        <v>504</v>
      </c>
      <c r="B438" s="35">
        <v>1167.7560000000001</v>
      </c>
      <c r="C438" s="22"/>
      <c r="D438" s="22"/>
      <c r="E438" s="26"/>
      <c r="F438" s="22"/>
      <c r="G438" s="22"/>
      <c r="H438" s="22" t="s">
        <v>516</v>
      </c>
      <c r="I438" s="11"/>
      <c r="J438" s="22"/>
      <c r="K438" s="22"/>
      <c r="L438" s="22"/>
      <c r="M438" s="22">
        <v>18904</v>
      </c>
      <c r="N438" s="22"/>
      <c r="O438" s="35">
        <f t="shared" si="6"/>
        <v>64.226579999999998</v>
      </c>
      <c r="P438" s="22"/>
      <c r="Q438" s="22"/>
      <c r="R438" s="22"/>
      <c r="S438" s="22"/>
      <c r="T438" s="22"/>
      <c r="U438" s="35"/>
    </row>
    <row r="439" spans="1:21" ht="15" x14ac:dyDescent="0.25">
      <c r="A439" s="86" t="s">
        <v>505</v>
      </c>
      <c r="B439" s="35">
        <v>692.33400000000006</v>
      </c>
      <c r="C439" s="22"/>
      <c r="D439" s="22"/>
      <c r="E439" s="26"/>
      <c r="F439" s="22"/>
      <c r="G439" s="22"/>
      <c r="H439" s="22" t="s">
        <v>516</v>
      </c>
      <c r="I439" s="11"/>
      <c r="J439" s="22"/>
      <c r="K439" s="22"/>
      <c r="L439" s="22"/>
      <c r="M439" s="22">
        <v>18650</v>
      </c>
      <c r="N439" s="22"/>
      <c r="O439" s="35">
        <f t="shared" si="6"/>
        <v>38.078370000000007</v>
      </c>
      <c r="P439" s="22"/>
      <c r="Q439" s="22"/>
      <c r="R439" s="22"/>
      <c r="S439" s="22"/>
      <c r="T439" s="22"/>
      <c r="U439" s="35"/>
    </row>
    <row r="440" spans="1:21" ht="15" x14ac:dyDescent="0.25">
      <c r="A440" s="86" t="s">
        <v>506</v>
      </c>
      <c r="B440" s="35">
        <v>1071.3600000000001</v>
      </c>
      <c r="C440" s="22"/>
      <c r="D440" s="22"/>
      <c r="E440" s="26"/>
      <c r="F440" s="22"/>
      <c r="G440" s="22"/>
      <c r="H440" s="22" t="s">
        <v>516</v>
      </c>
      <c r="I440" s="11"/>
      <c r="J440" s="22"/>
      <c r="K440" s="22"/>
      <c r="L440" s="22"/>
      <c r="M440" s="22">
        <v>18986</v>
      </c>
      <c r="N440" s="22"/>
      <c r="O440" s="35">
        <f t="shared" si="6"/>
        <v>58.924800000000005</v>
      </c>
      <c r="P440" s="22"/>
      <c r="Q440" s="22"/>
      <c r="R440" s="22"/>
      <c r="S440" s="22"/>
      <c r="T440" s="22"/>
      <c r="U440" s="35"/>
    </row>
    <row r="441" spans="1:21" ht="15" x14ac:dyDescent="0.25">
      <c r="A441" s="86" t="s">
        <v>506</v>
      </c>
      <c r="B441" s="35">
        <v>570.12599999999998</v>
      </c>
      <c r="C441" s="22"/>
      <c r="D441" s="22"/>
      <c r="E441" s="26"/>
      <c r="F441" s="22"/>
      <c r="G441" s="22"/>
      <c r="H441" s="22" t="s">
        <v>516</v>
      </c>
      <c r="I441" s="11"/>
      <c r="J441" s="22"/>
      <c r="K441" s="22"/>
      <c r="L441" s="22"/>
      <c r="M441" s="22">
        <v>18924</v>
      </c>
      <c r="N441" s="22"/>
      <c r="O441" s="35">
        <f t="shared" si="6"/>
        <v>31.356929999999998</v>
      </c>
      <c r="P441" s="22"/>
      <c r="Q441" s="22"/>
      <c r="R441" s="22"/>
      <c r="S441" s="22"/>
      <c r="T441" s="22"/>
      <c r="U441" s="35"/>
    </row>
    <row r="442" spans="1:21" ht="15" x14ac:dyDescent="0.25">
      <c r="A442" s="86" t="s">
        <v>506</v>
      </c>
      <c r="B442" s="35">
        <v>1399.1459999999997</v>
      </c>
      <c r="C442" s="22"/>
      <c r="D442" s="22"/>
      <c r="E442" s="26"/>
      <c r="F442" s="22"/>
      <c r="G442" s="22"/>
      <c r="H442" s="22" t="s">
        <v>516</v>
      </c>
      <c r="I442" s="11"/>
      <c r="J442" s="22"/>
      <c r="K442" s="22"/>
      <c r="L442" s="22"/>
      <c r="M442" s="22">
        <v>18942</v>
      </c>
      <c r="N442" s="22"/>
      <c r="O442" s="35">
        <f t="shared" si="6"/>
        <v>76.953029999999984</v>
      </c>
      <c r="P442" s="22"/>
      <c r="Q442" s="22"/>
      <c r="R442" s="22"/>
      <c r="S442" s="22"/>
      <c r="T442" s="22"/>
      <c r="U442" s="35"/>
    </row>
    <row r="443" spans="1:21" ht="15" x14ac:dyDescent="0.25">
      <c r="A443" s="86" t="s">
        <v>506</v>
      </c>
      <c r="B443" s="35">
        <v>1049.742</v>
      </c>
      <c r="C443" s="22"/>
      <c r="D443" s="22"/>
      <c r="E443" s="26"/>
      <c r="F443" s="22"/>
      <c r="G443" s="22"/>
      <c r="H443" s="22" t="s">
        <v>516</v>
      </c>
      <c r="I443" s="11"/>
      <c r="J443" s="22"/>
      <c r="K443" s="22"/>
      <c r="L443" s="22"/>
      <c r="M443" s="22">
        <v>19039</v>
      </c>
      <c r="N443" s="22"/>
      <c r="O443" s="35">
        <f t="shared" si="6"/>
        <v>57.735810000000001</v>
      </c>
      <c r="P443" s="22"/>
      <c r="Q443" s="22"/>
      <c r="R443" s="22"/>
      <c r="S443" s="22"/>
      <c r="T443" s="22"/>
      <c r="U443" s="35"/>
    </row>
    <row r="444" spans="1:21" ht="15" x14ac:dyDescent="0.25">
      <c r="A444" s="86" t="s">
        <v>506</v>
      </c>
      <c r="B444" s="35">
        <v>1331.0459999999998</v>
      </c>
      <c r="C444" s="22"/>
      <c r="D444" s="22"/>
      <c r="E444" s="26"/>
      <c r="F444" s="22"/>
      <c r="G444" s="22"/>
      <c r="H444" s="22" t="s">
        <v>516</v>
      </c>
      <c r="I444" s="11"/>
      <c r="J444" s="22"/>
      <c r="K444" s="22"/>
      <c r="L444" s="22"/>
      <c r="M444" s="22">
        <v>18850</v>
      </c>
      <c r="N444" s="22"/>
      <c r="O444" s="35">
        <f t="shared" si="6"/>
        <v>73.207529999999991</v>
      </c>
      <c r="P444" s="22"/>
      <c r="Q444" s="22"/>
      <c r="R444" s="22"/>
      <c r="S444" s="22"/>
      <c r="T444" s="22"/>
      <c r="U444" s="35"/>
    </row>
    <row r="445" spans="1:21" ht="15" x14ac:dyDescent="0.25">
      <c r="A445" s="86" t="s">
        <v>506</v>
      </c>
      <c r="B445" s="35">
        <v>1144.704</v>
      </c>
      <c r="C445" s="22"/>
      <c r="D445" s="22"/>
      <c r="E445" s="26"/>
      <c r="F445" s="22"/>
      <c r="G445" s="22"/>
      <c r="H445" s="22" t="s">
        <v>516</v>
      </c>
      <c r="I445" s="11"/>
      <c r="J445" s="22"/>
      <c r="K445" s="22"/>
      <c r="L445" s="22"/>
      <c r="M445" s="22">
        <v>18703</v>
      </c>
      <c r="N445" s="22"/>
      <c r="O445" s="35">
        <f t="shared" si="6"/>
        <v>62.95872</v>
      </c>
      <c r="P445" s="22"/>
      <c r="Q445" s="22"/>
      <c r="R445" s="22"/>
      <c r="S445" s="22"/>
      <c r="T445" s="22"/>
      <c r="U445" s="35"/>
    </row>
    <row r="446" spans="1:21" ht="15" x14ac:dyDescent="0.25">
      <c r="A446" s="86" t="s">
        <v>506</v>
      </c>
      <c r="B446" s="35">
        <v>1405.7460000000001</v>
      </c>
      <c r="C446" s="22"/>
      <c r="D446" s="22"/>
      <c r="E446" s="26"/>
      <c r="F446" s="22"/>
      <c r="G446" s="22"/>
      <c r="H446" s="22" t="s">
        <v>516</v>
      </c>
      <c r="I446" s="11"/>
      <c r="J446" s="22"/>
      <c r="K446" s="22"/>
      <c r="L446" s="22"/>
      <c r="M446" s="22">
        <v>18646</v>
      </c>
      <c r="N446" s="22"/>
      <c r="O446" s="35">
        <f t="shared" si="6"/>
        <v>77.316030000000012</v>
      </c>
      <c r="P446" s="22"/>
      <c r="Q446" s="22"/>
      <c r="R446" s="22"/>
      <c r="S446" s="22"/>
      <c r="T446" s="22"/>
      <c r="U446" s="35"/>
    </row>
    <row r="447" spans="1:21" ht="15" x14ac:dyDescent="0.25">
      <c r="A447" s="86" t="s">
        <v>506</v>
      </c>
      <c r="B447" s="35">
        <v>1892.598</v>
      </c>
      <c r="C447" s="22"/>
      <c r="D447" s="22"/>
      <c r="E447" s="26"/>
      <c r="F447" s="22"/>
      <c r="G447" s="22"/>
      <c r="H447" s="22" t="s">
        <v>516</v>
      </c>
      <c r="I447" s="11"/>
      <c r="J447" s="22"/>
      <c r="K447" s="22"/>
      <c r="L447" s="22"/>
      <c r="M447" s="22">
        <v>18713</v>
      </c>
      <c r="N447" s="22"/>
      <c r="O447" s="35">
        <f t="shared" si="6"/>
        <v>104.09289</v>
      </c>
      <c r="P447" s="22"/>
      <c r="Q447" s="22"/>
      <c r="R447" s="22"/>
      <c r="S447" s="22"/>
      <c r="T447" s="22"/>
      <c r="U447" s="35"/>
    </row>
    <row r="448" spans="1:21" ht="15" x14ac:dyDescent="0.25">
      <c r="A448" s="86" t="s">
        <v>506</v>
      </c>
      <c r="B448" s="35">
        <v>1076.1120000000001</v>
      </c>
      <c r="C448" s="22"/>
      <c r="D448" s="22"/>
      <c r="E448" s="26"/>
      <c r="F448" s="22"/>
      <c r="G448" s="22"/>
      <c r="H448" s="22" t="s">
        <v>516</v>
      </c>
      <c r="I448" s="11"/>
      <c r="J448" s="22"/>
      <c r="K448" s="22"/>
      <c r="L448" s="22"/>
      <c r="M448" s="22">
        <v>18990</v>
      </c>
      <c r="N448" s="22"/>
      <c r="O448" s="35">
        <f t="shared" si="6"/>
        <v>59.186160000000008</v>
      </c>
      <c r="P448" s="22"/>
      <c r="Q448" s="22"/>
      <c r="R448" s="22"/>
      <c r="S448" s="22"/>
      <c r="T448" s="22"/>
      <c r="U448" s="35"/>
    </row>
    <row r="449" spans="1:21" ht="15" x14ac:dyDescent="0.25">
      <c r="A449" s="86" t="s">
        <v>507</v>
      </c>
      <c r="B449" s="35">
        <v>1049.0940000000001</v>
      </c>
      <c r="C449" s="22"/>
      <c r="D449" s="22"/>
      <c r="E449" s="26"/>
      <c r="F449" s="22"/>
      <c r="G449" s="22"/>
      <c r="H449" s="22" t="s">
        <v>516</v>
      </c>
      <c r="I449" s="11"/>
      <c r="J449" s="22"/>
      <c r="K449" s="22"/>
      <c r="L449" s="22"/>
      <c r="M449" s="22">
        <v>18970</v>
      </c>
      <c r="N449" s="22"/>
      <c r="O449" s="35">
        <f t="shared" si="6"/>
        <v>57.70017</v>
      </c>
      <c r="P449" s="22"/>
      <c r="Q449" s="22"/>
      <c r="R449" s="22"/>
      <c r="S449" s="22"/>
      <c r="T449" s="22"/>
      <c r="U449" s="35"/>
    </row>
    <row r="450" spans="1:21" ht="15" x14ac:dyDescent="0.25">
      <c r="A450" s="86" t="s">
        <v>508</v>
      </c>
      <c r="B450" s="35">
        <v>1315.386</v>
      </c>
      <c r="C450" s="22"/>
      <c r="D450" s="22"/>
      <c r="E450" s="26"/>
      <c r="F450" s="22"/>
      <c r="G450" s="22"/>
      <c r="H450" s="22" t="s">
        <v>516</v>
      </c>
      <c r="I450" s="11"/>
      <c r="J450" s="22"/>
      <c r="K450" s="22"/>
      <c r="L450" s="22"/>
      <c r="M450" s="22">
        <v>18976</v>
      </c>
      <c r="N450" s="22"/>
      <c r="O450" s="35">
        <f t="shared" si="6"/>
        <v>72.346230000000006</v>
      </c>
      <c r="P450" s="22"/>
      <c r="Q450" s="22"/>
      <c r="R450" s="22"/>
      <c r="S450" s="22"/>
      <c r="T450" s="22"/>
      <c r="U450" s="35"/>
    </row>
    <row r="451" spans="1:21" ht="15" x14ac:dyDescent="0.25">
      <c r="A451" s="86" t="s">
        <v>508</v>
      </c>
      <c r="B451" s="35">
        <v>1961.538</v>
      </c>
      <c r="C451" s="22"/>
      <c r="D451" s="22"/>
      <c r="E451" s="26"/>
      <c r="F451" s="22"/>
      <c r="G451" s="22"/>
      <c r="H451" s="22" t="s">
        <v>516</v>
      </c>
      <c r="I451" s="11"/>
      <c r="J451" s="22"/>
      <c r="K451" s="22"/>
      <c r="L451" s="22"/>
      <c r="M451" s="22">
        <v>19031</v>
      </c>
      <c r="N451" s="22"/>
      <c r="O451" s="35">
        <f t="shared" ref="O451:O468" si="7">B451*$O$1</f>
        <v>107.88459</v>
      </c>
      <c r="P451" s="22"/>
      <c r="Q451" s="22"/>
      <c r="R451" s="22"/>
      <c r="S451" s="22"/>
      <c r="T451" s="22"/>
      <c r="U451" s="35"/>
    </row>
    <row r="452" spans="1:21" ht="15" x14ac:dyDescent="0.25">
      <c r="A452" s="86" t="s">
        <v>509</v>
      </c>
      <c r="B452" s="35">
        <v>1523.076</v>
      </c>
      <c r="C452" s="22"/>
      <c r="D452" s="22"/>
      <c r="E452" s="26"/>
      <c r="F452" s="22"/>
      <c r="G452" s="22"/>
      <c r="H452" s="22" t="s">
        <v>516</v>
      </c>
      <c r="I452" s="11"/>
      <c r="J452" s="22"/>
      <c r="K452" s="22"/>
      <c r="L452" s="22"/>
      <c r="M452" s="22">
        <v>18442</v>
      </c>
      <c r="N452" s="22"/>
      <c r="O452" s="35">
        <f t="shared" si="7"/>
        <v>83.769180000000006</v>
      </c>
      <c r="P452" s="22"/>
      <c r="Q452" s="22"/>
      <c r="R452" s="22"/>
      <c r="S452" s="22"/>
      <c r="T452" s="22"/>
      <c r="U452" s="35"/>
    </row>
    <row r="453" spans="1:21" ht="15" x14ac:dyDescent="0.25">
      <c r="A453" s="86" t="s">
        <v>510</v>
      </c>
      <c r="B453" s="35">
        <v>1439.73</v>
      </c>
      <c r="C453" s="22"/>
      <c r="D453" s="22"/>
      <c r="E453" s="26"/>
      <c r="F453" s="22"/>
      <c r="G453" s="22"/>
      <c r="H453" s="22" t="s">
        <v>516</v>
      </c>
      <c r="I453" s="11"/>
      <c r="J453" s="22"/>
      <c r="K453" s="22"/>
      <c r="L453" s="22"/>
      <c r="M453" s="22">
        <v>18823</v>
      </c>
      <c r="N453" s="22"/>
      <c r="O453" s="35">
        <f t="shared" si="7"/>
        <v>79.185150000000007</v>
      </c>
      <c r="P453" s="22"/>
      <c r="Q453" s="22"/>
      <c r="R453" s="22"/>
      <c r="S453" s="22"/>
      <c r="T453" s="22"/>
      <c r="U453" s="35"/>
    </row>
    <row r="454" spans="1:21" ht="15" x14ac:dyDescent="0.25">
      <c r="A454" s="86" t="s">
        <v>510</v>
      </c>
      <c r="B454" s="35">
        <v>954.94799999999987</v>
      </c>
      <c r="C454" s="22"/>
      <c r="D454" s="22"/>
      <c r="E454" s="26"/>
      <c r="F454" s="22"/>
      <c r="G454" s="22"/>
      <c r="H454" s="22" t="s">
        <v>516</v>
      </c>
      <c r="I454" s="11"/>
      <c r="J454" s="22"/>
      <c r="K454" s="22"/>
      <c r="L454" s="22"/>
      <c r="M454" s="22">
        <v>18996</v>
      </c>
      <c r="N454" s="22"/>
      <c r="O454" s="35">
        <f t="shared" si="7"/>
        <v>52.522139999999993</v>
      </c>
      <c r="P454" s="22"/>
      <c r="Q454" s="22"/>
      <c r="R454" s="22"/>
      <c r="S454" s="22"/>
      <c r="T454" s="22"/>
      <c r="U454" s="35"/>
    </row>
    <row r="455" spans="1:21" ht="15" x14ac:dyDescent="0.25">
      <c r="A455" s="86" t="s">
        <v>510</v>
      </c>
      <c r="B455" s="35">
        <v>348.49800000000005</v>
      </c>
      <c r="C455" s="22"/>
      <c r="D455" s="22"/>
      <c r="E455" s="26"/>
      <c r="F455" s="22"/>
      <c r="G455" s="22"/>
      <c r="H455" s="22" t="s">
        <v>516</v>
      </c>
      <c r="I455" s="11"/>
      <c r="J455" s="22"/>
      <c r="K455" s="22"/>
      <c r="L455" s="22"/>
      <c r="M455" s="22">
        <v>18927</v>
      </c>
      <c r="N455" s="22"/>
      <c r="O455" s="35">
        <f t="shared" si="7"/>
        <v>19.167390000000001</v>
      </c>
      <c r="P455" s="22"/>
      <c r="Q455" s="22"/>
      <c r="R455" s="22"/>
      <c r="S455" s="22"/>
      <c r="T455" s="22"/>
      <c r="U455" s="35"/>
    </row>
    <row r="456" spans="1:21" ht="15" x14ac:dyDescent="0.25">
      <c r="A456" s="86" t="s">
        <v>510</v>
      </c>
      <c r="B456" s="35">
        <v>969.38400000000013</v>
      </c>
      <c r="C456" s="22"/>
      <c r="D456" s="22"/>
      <c r="E456" s="26"/>
      <c r="F456" s="22"/>
      <c r="G456" s="22"/>
      <c r="H456" s="22" t="s">
        <v>516</v>
      </c>
      <c r="I456" s="11"/>
      <c r="J456" s="22"/>
      <c r="K456" s="22"/>
      <c r="L456" s="22"/>
      <c r="M456" s="22">
        <v>18895</v>
      </c>
      <c r="N456" s="22"/>
      <c r="O456" s="35">
        <f t="shared" si="7"/>
        <v>53.316120000000005</v>
      </c>
      <c r="P456" s="22"/>
      <c r="Q456" s="22"/>
      <c r="R456" s="22"/>
      <c r="S456" s="22"/>
      <c r="T456" s="22"/>
      <c r="U456" s="35"/>
    </row>
    <row r="457" spans="1:21" ht="15" x14ac:dyDescent="0.25">
      <c r="A457" s="86" t="s">
        <v>510</v>
      </c>
      <c r="B457" s="35">
        <v>1756.152</v>
      </c>
      <c r="C457" s="22"/>
      <c r="D457" s="22"/>
      <c r="E457" s="26"/>
      <c r="F457" s="22"/>
      <c r="G457" s="22"/>
      <c r="H457" s="22" t="s">
        <v>516</v>
      </c>
      <c r="I457" s="11"/>
      <c r="J457" s="22"/>
      <c r="K457" s="22"/>
      <c r="L457" s="22"/>
      <c r="M457" s="22">
        <v>261</v>
      </c>
      <c r="N457" s="22"/>
      <c r="O457" s="35">
        <f t="shared" si="7"/>
        <v>96.588360000000009</v>
      </c>
      <c r="P457" s="22"/>
      <c r="Q457" s="22"/>
      <c r="R457" s="22"/>
      <c r="S457" s="22"/>
      <c r="T457" s="22"/>
      <c r="U457" s="35"/>
    </row>
    <row r="458" spans="1:21" ht="15" x14ac:dyDescent="0.25">
      <c r="A458" s="86" t="s">
        <v>510</v>
      </c>
      <c r="B458" s="35">
        <v>1058.646</v>
      </c>
      <c r="C458" s="22"/>
      <c r="D458" s="22"/>
      <c r="E458" s="26"/>
      <c r="F458" s="22"/>
      <c r="G458" s="22"/>
      <c r="H458" s="22" t="s">
        <v>516</v>
      </c>
      <c r="I458" s="11"/>
      <c r="J458" s="22"/>
      <c r="K458" s="22"/>
      <c r="L458" s="22"/>
      <c r="M458" s="22">
        <v>18898</v>
      </c>
      <c r="N458" s="22"/>
      <c r="O458" s="35">
        <f t="shared" si="7"/>
        <v>58.225529999999999</v>
      </c>
      <c r="P458" s="22"/>
      <c r="Q458" s="22"/>
      <c r="R458" s="22"/>
      <c r="S458" s="22"/>
      <c r="T458" s="22"/>
      <c r="U458" s="35"/>
    </row>
    <row r="459" spans="1:21" ht="15" x14ac:dyDescent="0.25">
      <c r="A459" s="86" t="s">
        <v>510</v>
      </c>
      <c r="B459" s="35">
        <v>781.54200000000003</v>
      </c>
      <c r="C459" s="22"/>
      <c r="D459" s="22"/>
      <c r="E459" s="26"/>
      <c r="F459" s="22"/>
      <c r="G459" s="22"/>
      <c r="H459" s="22" t="s">
        <v>516</v>
      </c>
      <c r="I459" s="11"/>
      <c r="J459" s="22"/>
      <c r="K459" s="22"/>
      <c r="L459" s="22"/>
      <c r="M459" s="22">
        <v>18634</v>
      </c>
      <c r="N459" s="22"/>
      <c r="O459" s="35">
        <f t="shared" si="7"/>
        <v>42.984810000000003</v>
      </c>
      <c r="P459" s="22"/>
      <c r="Q459" s="22"/>
      <c r="R459" s="22"/>
      <c r="S459" s="22"/>
      <c r="T459" s="22"/>
      <c r="U459" s="35"/>
    </row>
    <row r="460" spans="1:21" ht="15" x14ac:dyDescent="0.25">
      <c r="A460" s="86" t="s">
        <v>511</v>
      </c>
      <c r="B460" s="35">
        <v>144.15600000000001</v>
      </c>
      <c r="C460" s="22"/>
      <c r="D460" s="22"/>
      <c r="E460" s="26"/>
      <c r="F460" s="22"/>
      <c r="G460" s="22"/>
      <c r="H460" s="22" t="s">
        <v>516</v>
      </c>
      <c r="I460" s="11"/>
      <c r="J460" s="22"/>
      <c r="K460" s="22"/>
      <c r="L460" s="22"/>
      <c r="M460" s="22">
        <v>18791</v>
      </c>
      <c r="N460" s="22"/>
      <c r="O460" s="35">
        <f t="shared" si="7"/>
        <v>7.9285800000000002</v>
      </c>
      <c r="P460" s="22"/>
      <c r="Q460" s="22"/>
      <c r="R460" s="22"/>
      <c r="S460" s="22"/>
      <c r="T460" s="22"/>
      <c r="U460" s="35"/>
    </row>
    <row r="461" spans="1:21" ht="15" x14ac:dyDescent="0.25">
      <c r="A461" s="86" t="s">
        <v>512</v>
      </c>
      <c r="B461" s="35">
        <v>758.02800000000002</v>
      </c>
      <c r="C461" s="22"/>
      <c r="D461" s="22"/>
      <c r="E461" s="26"/>
      <c r="F461" s="22"/>
      <c r="G461" s="22"/>
      <c r="H461" s="22" t="s">
        <v>516</v>
      </c>
      <c r="I461" s="11"/>
      <c r="J461" s="22"/>
      <c r="K461" s="22"/>
      <c r="L461" s="22"/>
      <c r="M461" s="22">
        <v>18953</v>
      </c>
      <c r="N461" s="22"/>
      <c r="O461" s="35">
        <f t="shared" si="7"/>
        <v>41.691540000000003</v>
      </c>
      <c r="P461" s="22"/>
      <c r="Q461" s="22"/>
      <c r="R461" s="22"/>
      <c r="S461" s="22"/>
      <c r="T461" s="22"/>
      <c r="U461" s="35"/>
    </row>
    <row r="462" spans="1:21" ht="15" x14ac:dyDescent="0.25">
      <c r="A462" s="86" t="s">
        <v>512</v>
      </c>
      <c r="B462" s="35">
        <v>1509.3240000000001</v>
      </c>
      <c r="C462" s="22"/>
      <c r="D462" s="22"/>
      <c r="E462" s="26"/>
      <c r="F462" s="22"/>
      <c r="G462" s="22"/>
      <c r="H462" s="22" t="s">
        <v>516</v>
      </c>
      <c r="I462" s="11"/>
      <c r="J462" s="22"/>
      <c r="K462" s="22"/>
      <c r="L462" s="22"/>
      <c r="M462" s="22">
        <v>18561</v>
      </c>
      <c r="N462" s="22"/>
      <c r="O462" s="35">
        <f t="shared" si="7"/>
        <v>83.012820000000005</v>
      </c>
      <c r="P462" s="22"/>
      <c r="Q462" s="22"/>
      <c r="R462" s="22"/>
      <c r="S462" s="22"/>
      <c r="T462" s="22"/>
      <c r="U462" s="35"/>
    </row>
    <row r="463" spans="1:21" ht="15" x14ac:dyDescent="0.25">
      <c r="A463" s="86" t="s">
        <v>513</v>
      </c>
      <c r="B463" s="35">
        <v>421.33799999999997</v>
      </c>
      <c r="C463" s="22"/>
      <c r="D463" s="22"/>
      <c r="E463" s="26"/>
      <c r="F463" s="22"/>
      <c r="G463" s="22"/>
      <c r="H463" s="22" t="s">
        <v>516</v>
      </c>
      <c r="I463" s="11"/>
      <c r="J463" s="22"/>
      <c r="K463" s="22"/>
      <c r="L463" s="22"/>
      <c r="M463" s="22">
        <v>18506</v>
      </c>
      <c r="N463" s="22"/>
      <c r="O463" s="35">
        <f t="shared" si="7"/>
        <v>23.173589999999997</v>
      </c>
      <c r="P463" s="22"/>
      <c r="Q463" s="22"/>
      <c r="R463" s="22"/>
      <c r="S463" s="22"/>
      <c r="T463" s="22"/>
      <c r="U463" s="35"/>
    </row>
    <row r="464" spans="1:21" ht="15" x14ac:dyDescent="0.25">
      <c r="A464" s="86" t="s">
        <v>513</v>
      </c>
      <c r="B464" s="35">
        <v>331.16399999999999</v>
      </c>
      <c r="C464" s="22"/>
      <c r="D464" s="22"/>
      <c r="E464" s="26"/>
      <c r="F464" s="22"/>
      <c r="G464" s="22"/>
      <c r="H464" s="22" t="s">
        <v>516</v>
      </c>
      <c r="I464" s="11"/>
      <c r="J464" s="22"/>
      <c r="K464" s="22"/>
      <c r="L464" s="22"/>
      <c r="M464" s="22">
        <v>156</v>
      </c>
      <c r="N464" s="22"/>
      <c r="O464" s="35">
        <f t="shared" si="7"/>
        <v>18.214019999999998</v>
      </c>
      <c r="P464" s="22"/>
      <c r="Q464" s="22"/>
      <c r="R464" s="22"/>
      <c r="S464" s="22"/>
      <c r="T464" s="22"/>
      <c r="U464" s="35"/>
    </row>
    <row r="465" spans="1:21" ht="15" x14ac:dyDescent="0.25">
      <c r="A465" s="103" t="s">
        <v>513</v>
      </c>
      <c r="B465" s="35">
        <v>1052.712</v>
      </c>
      <c r="C465" s="35"/>
      <c r="D465" s="22"/>
      <c r="E465" s="26"/>
      <c r="F465" s="22"/>
      <c r="G465" s="22"/>
      <c r="H465" s="22" t="s">
        <v>516</v>
      </c>
      <c r="I465" s="11"/>
      <c r="J465" s="22"/>
      <c r="K465" s="22"/>
      <c r="L465" s="22"/>
      <c r="M465" s="22">
        <v>18792</v>
      </c>
      <c r="N465" s="22"/>
      <c r="O465" s="35">
        <f t="shared" si="7"/>
        <v>57.899160000000002</v>
      </c>
      <c r="P465" s="22"/>
      <c r="Q465" s="22"/>
      <c r="R465" s="22"/>
      <c r="S465" s="22"/>
      <c r="T465" s="22"/>
      <c r="U465" s="35"/>
    </row>
    <row r="466" spans="1:21" ht="15" x14ac:dyDescent="0.25">
      <c r="A466" s="86" t="s">
        <v>514</v>
      </c>
      <c r="B466" s="35">
        <v>216.64799999999997</v>
      </c>
      <c r="C466" s="22"/>
      <c r="D466" s="22"/>
      <c r="E466" s="26"/>
      <c r="F466" s="22"/>
      <c r="G466" s="22"/>
      <c r="H466" s="22" t="s">
        <v>516</v>
      </c>
      <c r="I466" s="11"/>
      <c r="J466" s="22"/>
      <c r="K466" s="22"/>
      <c r="L466" s="22"/>
      <c r="M466" s="22">
        <v>19043</v>
      </c>
      <c r="N466" s="22"/>
      <c r="O466" s="35">
        <f t="shared" si="7"/>
        <v>11.915639999999998</v>
      </c>
      <c r="P466" s="22"/>
      <c r="Q466" s="22"/>
      <c r="R466" s="22"/>
      <c r="S466" s="22"/>
      <c r="T466" s="22"/>
      <c r="U466" s="35"/>
    </row>
    <row r="467" spans="1:21" ht="15" x14ac:dyDescent="0.25">
      <c r="A467" s="103" t="s">
        <v>514</v>
      </c>
      <c r="B467" s="35">
        <v>376.28399999999999</v>
      </c>
      <c r="C467" s="35"/>
      <c r="D467" s="22"/>
      <c r="E467" s="26"/>
      <c r="F467" s="22"/>
      <c r="G467" s="22"/>
      <c r="H467" s="22" t="s">
        <v>516</v>
      </c>
      <c r="I467" s="11"/>
      <c r="J467" s="22"/>
      <c r="K467" s="22"/>
      <c r="L467" s="22"/>
      <c r="M467" s="22">
        <v>19037</v>
      </c>
      <c r="N467" s="22"/>
      <c r="O467" s="35">
        <f t="shared" si="7"/>
        <v>20.695619999999998</v>
      </c>
      <c r="P467" s="22"/>
      <c r="Q467" s="22"/>
      <c r="R467" s="22"/>
      <c r="S467" s="22"/>
      <c r="T467" s="22"/>
      <c r="U467" s="35"/>
    </row>
    <row r="468" spans="1:21" ht="15" x14ac:dyDescent="0.25">
      <c r="A468" s="86" t="s">
        <v>515</v>
      </c>
      <c r="B468" s="35">
        <v>1730.7719999999999</v>
      </c>
      <c r="C468" s="22"/>
      <c r="D468" s="22"/>
      <c r="E468" s="26"/>
      <c r="F468" s="22"/>
      <c r="G468" s="22"/>
      <c r="H468" s="22" t="s">
        <v>516</v>
      </c>
      <c r="I468" s="11"/>
      <c r="J468" s="22"/>
      <c r="K468" s="22"/>
      <c r="L468" s="22"/>
      <c r="M468" s="22">
        <v>18876</v>
      </c>
      <c r="N468" s="22"/>
      <c r="O468" s="35">
        <f t="shared" si="7"/>
        <v>95.192459999999997</v>
      </c>
      <c r="P468" s="22"/>
      <c r="Q468" s="22"/>
      <c r="R468" s="22"/>
      <c r="S468" s="22"/>
      <c r="T468" s="22"/>
      <c r="U468" s="35"/>
    </row>
    <row r="469" spans="1:21" ht="15" x14ac:dyDescent="0.25">
      <c r="A469" s="103" t="s">
        <v>429</v>
      </c>
      <c r="B469" s="35"/>
      <c r="C469" s="35">
        <f>SUM(B3:B468)</f>
        <v>237097.74599999975</v>
      </c>
      <c r="D469" s="22"/>
      <c r="E469" s="26"/>
      <c r="F469" s="22"/>
      <c r="G469" s="22"/>
      <c r="H469" s="22" t="s">
        <v>516</v>
      </c>
      <c r="I469" s="11"/>
      <c r="J469" s="22"/>
      <c r="K469" s="22"/>
      <c r="L469" s="22"/>
      <c r="M469" s="22"/>
      <c r="N469" s="22"/>
      <c r="O469" s="35"/>
      <c r="P469" s="22"/>
      <c r="Q469" s="22"/>
      <c r="R469" s="22"/>
      <c r="S469" s="22"/>
      <c r="T469" s="22"/>
      <c r="U469" s="35"/>
    </row>
    <row r="470" spans="1:21" ht="15" x14ac:dyDescent="0.25">
      <c r="A470" s="86"/>
      <c r="B470" s="35"/>
      <c r="C470" s="22"/>
      <c r="D470" s="22"/>
      <c r="E470" s="26"/>
      <c r="F470" s="22"/>
      <c r="G470" s="22"/>
      <c r="H470" s="22"/>
      <c r="I470" s="11"/>
      <c r="J470" s="22"/>
      <c r="K470" s="22"/>
      <c r="L470" s="22"/>
      <c r="M470" s="22"/>
      <c r="N470" s="22"/>
      <c r="O470" s="35"/>
      <c r="P470" s="22"/>
      <c r="Q470" s="22"/>
      <c r="R470" s="22"/>
      <c r="S470" s="22"/>
      <c r="T470" s="22"/>
      <c r="U470" s="35"/>
    </row>
    <row r="471" spans="1:21" ht="15" x14ac:dyDescent="0.25">
      <c r="A471" s="86"/>
      <c r="B471" s="35"/>
      <c r="C471" s="22"/>
      <c r="D471" s="22"/>
      <c r="E471" s="26"/>
      <c r="F471" s="22"/>
      <c r="G471" s="22"/>
      <c r="H471" s="22"/>
      <c r="I471" s="11"/>
      <c r="J471" s="22"/>
      <c r="K471" s="22"/>
      <c r="L471" s="22"/>
      <c r="M471" s="22"/>
      <c r="N471" s="22"/>
      <c r="O471" s="35"/>
      <c r="P471" s="22"/>
      <c r="Q471" s="22"/>
      <c r="R471" s="22"/>
      <c r="S471" s="22"/>
      <c r="T471" s="22"/>
      <c r="U471" s="35"/>
    </row>
    <row r="472" spans="1:21" ht="15" x14ac:dyDescent="0.25">
      <c r="A472" s="86"/>
      <c r="B472" s="35"/>
      <c r="C472" s="22"/>
      <c r="D472" s="22"/>
      <c r="E472" s="26"/>
      <c r="F472" s="22"/>
      <c r="G472" s="22"/>
      <c r="H472" s="22"/>
      <c r="I472" s="11"/>
      <c r="J472" s="22"/>
      <c r="K472" s="22"/>
      <c r="L472" s="22"/>
      <c r="M472" s="22"/>
      <c r="N472" s="22"/>
      <c r="O472" s="35"/>
      <c r="P472" s="22"/>
      <c r="Q472" s="22"/>
      <c r="R472" s="22"/>
      <c r="S472" s="22"/>
      <c r="T472" s="22"/>
      <c r="U472" s="35"/>
    </row>
    <row r="473" spans="1:21" ht="15" x14ac:dyDescent="0.25">
      <c r="A473" s="86"/>
      <c r="B473" s="35"/>
      <c r="C473" s="22"/>
      <c r="D473" s="22"/>
      <c r="E473" s="26"/>
      <c r="F473" s="22"/>
      <c r="G473" s="22"/>
      <c r="H473" s="22"/>
      <c r="I473" s="11"/>
      <c r="J473" s="22"/>
      <c r="K473" s="22"/>
      <c r="L473" s="22"/>
      <c r="M473" s="22"/>
      <c r="N473" s="22"/>
      <c r="O473" s="35"/>
      <c r="P473" s="22"/>
      <c r="Q473" s="22"/>
      <c r="R473" s="22"/>
      <c r="S473" s="22"/>
      <c r="T473" s="22"/>
      <c r="U473" s="35"/>
    </row>
    <row r="474" spans="1:21" ht="15" x14ac:dyDescent="0.25">
      <c r="A474" s="86"/>
      <c r="B474" s="35"/>
      <c r="C474" s="22"/>
      <c r="D474" s="22"/>
      <c r="E474" s="26"/>
      <c r="F474" s="22"/>
      <c r="G474" s="22"/>
      <c r="H474" s="22"/>
      <c r="I474" s="11"/>
      <c r="J474" s="22"/>
      <c r="K474" s="22"/>
      <c r="L474" s="22"/>
      <c r="M474" s="22"/>
      <c r="N474" s="22"/>
      <c r="O474" s="35"/>
      <c r="P474" s="22"/>
      <c r="Q474" s="22"/>
      <c r="R474" s="22"/>
      <c r="S474" s="22"/>
      <c r="T474" s="22"/>
      <c r="U474" s="35"/>
    </row>
    <row r="475" spans="1:21" ht="15" x14ac:dyDescent="0.25">
      <c r="A475" s="86"/>
      <c r="B475" s="35"/>
      <c r="C475" s="22"/>
      <c r="D475" s="22"/>
      <c r="E475" s="26"/>
      <c r="F475" s="22"/>
      <c r="G475" s="22"/>
      <c r="H475" s="22"/>
      <c r="I475" s="11"/>
      <c r="J475" s="22"/>
      <c r="K475" s="22"/>
      <c r="L475" s="22"/>
      <c r="M475" s="22"/>
      <c r="N475" s="22"/>
      <c r="O475" s="35"/>
      <c r="P475" s="22"/>
      <c r="Q475" s="22"/>
      <c r="R475" s="22"/>
      <c r="S475" s="22"/>
      <c r="T475" s="22"/>
      <c r="U475" s="35"/>
    </row>
    <row r="476" spans="1:21" ht="15" x14ac:dyDescent="0.25">
      <c r="A476" s="86"/>
      <c r="B476" s="35"/>
      <c r="C476" s="22"/>
      <c r="D476" s="22"/>
      <c r="E476" s="26"/>
      <c r="F476" s="22"/>
      <c r="G476" s="22"/>
      <c r="H476" s="22"/>
      <c r="I476" s="11"/>
      <c r="J476" s="22"/>
      <c r="K476" s="22"/>
      <c r="L476" s="22"/>
      <c r="M476" s="22"/>
      <c r="N476" s="22"/>
      <c r="O476" s="35"/>
      <c r="P476" s="22"/>
      <c r="Q476" s="22"/>
      <c r="R476" s="22"/>
      <c r="S476" s="22"/>
      <c r="T476" s="22"/>
      <c r="U476" s="35"/>
    </row>
    <row r="477" spans="1:21" ht="15" x14ac:dyDescent="0.25">
      <c r="A477" s="86"/>
      <c r="B477" s="35"/>
      <c r="C477" s="22"/>
      <c r="D477" s="22"/>
      <c r="E477" s="26"/>
      <c r="F477" s="22"/>
      <c r="G477" s="22"/>
      <c r="H477" s="22"/>
      <c r="I477" s="11"/>
      <c r="J477" s="22"/>
      <c r="K477" s="22"/>
      <c r="L477" s="22"/>
      <c r="M477" s="22"/>
      <c r="N477" s="22"/>
      <c r="O477" s="35"/>
      <c r="P477" s="22"/>
      <c r="Q477" s="22"/>
      <c r="R477" s="22"/>
      <c r="S477" s="22"/>
      <c r="T477" s="22"/>
      <c r="U477" s="35"/>
    </row>
    <row r="478" spans="1:21" ht="15" x14ac:dyDescent="0.25">
      <c r="A478" s="86"/>
      <c r="B478" s="35"/>
      <c r="C478" s="22"/>
      <c r="D478" s="22"/>
      <c r="E478" s="26"/>
      <c r="F478" s="22"/>
      <c r="G478" s="22"/>
      <c r="H478" s="22"/>
      <c r="I478" s="11"/>
      <c r="J478" s="22"/>
      <c r="K478" s="22"/>
      <c r="L478" s="22"/>
      <c r="M478" s="22"/>
      <c r="N478" s="22"/>
      <c r="O478" s="35"/>
      <c r="P478" s="22"/>
      <c r="Q478" s="22"/>
      <c r="R478" s="22"/>
      <c r="S478" s="22"/>
      <c r="T478" s="22"/>
      <c r="U478" s="35"/>
    </row>
    <row r="479" spans="1:21" ht="15" x14ac:dyDescent="0.25">
      <c r="A479" s="89"/>
      <c r="B479" s="35"/>
      <c r="C479" s="35"/>
      <c r="D479" s="22"/>
      <c r="E479" s="26"/>
      <c r="F479" s="22"/>
      <c r="G479" s="22"/>
      <c r="H479" s="22"/>
      <c r="I479" s="11"/>
      <c r="J479" s="22"/>
      <c r="K479" s="22"/>
      <c r="L479" s="22"/>
      <c r="M479" s="22"/>
      <c r="N479" s="22"/>
      <c r="O479" s="38"/>
      <c r="P479" s="22"/>
      <c r="Q479" s="22"/>
      <c r="R479" s="22"/>
      <c r="S479" s="22"/>
      <c r="T479" s="22"/>
      <c r="U479" s="35"/>
    </row>
    <row r="480" spans="1:21" ht="15" x14ac:dyDescent="0.25">
      <c r="A480" s="86"/>
      <c r="B480" s="35"/>
      <c r="C480" s="22"/>
      <c r="D480" s="22"/>
      <c r="E480" s="26"/>
      <c r="F480" s="22"/>
      <c r="G480" s="22"/>
      <c r="H480" s="22"/>
      <c r="I480" s="11"/>
      <c r="J480" s="22"/>
      <c r="K480" s="22"/>
      <c r="L480" s="22"/>
      <c r="M480" s="22"/>
      <c r="N480" s="22"/>
      <c r="O480" s="35"/>
      <c r="P480" s="22"/>
      <c r="Q480" s="22"/>
      <c r="R480" s="22"/>
      <c r="S480" s="22"/>
      <c r="T480" s="22"/>
      <c r="U480" s="35"/>
    </row>
    <row r="481" spans="1:21" ht="15" outlineLevel="1" x14ac:dyDescent="0.25">
      <c r="A481" s="85"/>
      <c r="B481" s="35"/>
      <c r="C481" s="30"/>
      <c r="D481" s="30"/>
      <c r="E481" s="26"/>
      <c r="F481" s="22"/>
      <c r="G481" s="22"/>
      <c r="H481" s="22"/>
      <c r="I481" s="11"/>
      <c r="J481" s="22"/>
      <c r="K481" s="22"/>
      <c r="L481" s="22"/>
      <c r="M481" s="30"/>
      <c r="N481" s="30"/>
      <c r="O481" s="35"/>
      <c r="P481" s="22"/>
      <c r="Q481" s="22"/>
      <c r="R481" s="22"/>
      <c r="S481" s="22"/>
      <c r="T481" s="22"/>
      <c r="U481" s="35"/>
    </row>
    <row r="482" spans="1:21" ht="15" outlineLevel="1" x14ac:dyDescent="0.25">
      <c r="A482" s="85"/>
      <c r="B482" s="35"/>
      <c r="C482" s="30"/>
      <c r="D482" s="30"/>
      <c r="E482" s="26"/>
      <c r="F482" s="22"/>
      <c r="G482" s="22"/>
      <c r="H482" s="22"/>
      <c r="I482" s="11"/>
      <c r="J482" s="22"/>
      <c r="K482" s="22"/>
      <c r="L482" s="22"/>
      <c r="M482" s="30"/>
      <c r="N482" s="30"/>
      <c r="O482" s="35"/>
      <c r="P482" s="22"/>
      <c r="Q482" s="22"/>
      <c r="R482" s="22"/>
      <c r="S482" s="22"/>
      <c r="T482" s="22"/>
      <c r="U482" s="35"/>
    </row>
    <row r="483" spans="1:21" ht="15" outlineLevel="1" x14ac:dyDescent="0.25">
      <c r="A483" s="85"/>
      <c r="B483" s="35"/>
      <c r="C483" s="30"/>
      <c r="D483" s="30"/>
      <c r="E483" s="26"/>
      <c r="F483" s="22"/>
      <c r="G483" s="22"/>
      <c r="H483" s="22"/>
      <c r="I483" s="11"/>
      <c r="J483" s="22"/>
      <c r="K483" s="22"/>
      <c r="L483" s="22"/>
      <c r="M483" s="30"/>
      <c r="N483" s="30"/>
      <c r="O483" s="35"/>
      <c r="P483" s="22"/>
      <c r="Q483" s="22"/>
      <c r="R483" s="22"/>
      <c r="S483" s="22"/>
      <c r="T483" s="22"/>
      <c r="U483" s="35"/>
    </row>
    <row r="484" spans="1:21" ht="15" outlineLevel="1" x14ac:dyDescent="0.25">
      <c r="A484" s="85"/>
      <c r="B484" s="35"/>
      <c r="C484" s="30"/>
      <c r="D484" s="30"/>
      <c r="E484" s="26"/>
      <c r="F484" s="22"/>
      <c r="G484" s="22"/>
      <c r="H484" s="22"/>
      <c r="I484" s="11"/>
      <c r="J484" s="22"/>
      <c r="K484" s="22"/>
      <c r="L484" s="22"/>
      <c r="M484" s="30"/>
      <c r="N484" s="30"/>
      <c r="O484" s="35"/>
      <c r="P484" s="22"/>
      <c r="Q484" s="22"/>
      <c r="R484" s="22"/>
      <c r="S484" s="22"/>
      <c r="T484" s="22"/>
      <c r="U484" s="35"/>
    </row>
    <row r="485" spans="1:21" ht="15" outlineLevel="1" x14ac:dyDescent="0.25">
      <c r="A485" s="85"/>
      <c r="B485" s="35"/>
      <c r="C485" s="30"/>
      <c r="D485" s="30"/>
      <c r="E485" s="26"/>
      <c r="F485" s="22"/>
      <c r="G485" s="22"/>
      <c r="H485" s="22"/>
      <c r="I485" s="11"/>
      <c r="J485" s="22"/>
      <c r="K485" s="22"/>
      <c r="L485" s="22"/>
      <c r="M485" s="30"/>
      <c r="N485" s="30"/>
      <c r="O485" s="35"/>
      <c r="P485" s="22"/>
      <c r="Q485" s="22"/>
      <c r="R485" s="22"/>
      <c r="S485" s="22"/>
      <c r="T485" s="22"/>
      <c r="U485" s="35"/>
    </row>
    <row r="486" spans="1:21" ht="15" x14ac:dyDescent="0.25">
      <c r="B486" s="35"/>
      <c r="C486" s="22"/>
      <c r="D486" s="22"/>
      <c r="E486" s="26"/>
      <c r="F486" s="22"/>
      <c r="G486" s="22"/>
      <c r="H486" s="22"/>
      <c r="I486" s="11"/>
      <c r="J486" s="22"/>
      <c r="K486" s="22"/>
      <c r="L486" s="22"/>
      <c r="M486" s="22"/>
      <c r="N486" s="22"/>
      <c r="O486" s="38"/>
      <c r="P486" s="22"/>
      <c r="Q486" s="22"/>
      <c r="R486" s="22"/>
      <c r="S486" s="22"/>
      <c r="T486" s="22"/>
      <c r="U486" s="35"/>
    </row>
    <row r="487" spans="1:21" ht="15" x14ac:dyDescent="0.25">
      <c r="B487" s="35"/>
      <c r="C487" s="22"/>
      <c r="D487" s="22"/>
      <c r="E487" s="26"/>
      <c r="F487" s="22"/>
      <c r="G487" s="22"/>
      <c r="H487" s="22"/>
      <c r="I487" s="11"/>
      <c r="J487" s="22"/>
      <c r="K487" s="22"/>
      <c r="L487" s="22"/>
      <c r="M487" s="22"/>
      <c r="N487" s="22"/>
      <c r="O487" s="38"/>
      <c r="P487" s="22"/>
      <c r="Q487" s="22"/>
      <c r="R487" s="22"/>
      <c r="S487" s="22"/>
      <c r="T487" s="22"/>
      <c r="U487" s="35"/>
    </row>
    <row r="488" spans="1:21" ht="15" x14ac:dyDescent="0.25">
      <c r="B488" s="35"/>
      <c r="C488" s="22"/>
      <c r="D488" s="22"/>
      <c r="E488" s="26"/>
      <c r="F488" s="22"/>
      <c r="G488" s="22"/>
      <c r="H488" s="22"/>
      <c r="I488" s="11"/>
      <c r="J488" s="22"/>
      <c r="K488" s="22"/>
      <c r="L488" s="22"/>
      <c r="M488" s="22"/>
      <c r="N488" s="22"/>
      <c r="O488" s="38"/>
      <c r="P488" s="22"/>
      <c r="Q488" s="22"/>
      <c r="R488" s="22"/>
      <c r="S488" s="22"/>
      <c r="T488" s="22"/>
      <c r="U488" s="35"/>
    </row>
    <row r="489" spans="1:21" ht="15" x14ac:dyDescent="0.25">
      <c r="B489" s="35"/>
      <c r="C489" s="22"/>
      <c r="D489" s="22"/>
      <c r="E489" s="26"/>
      <c r="F489" s="22"/>
      <c r="G489" s="22"/>
      <c r="H489" s="22"/>
      <c r="I489" s="11"/>
      <c r="J489" s="22"/>
      <c r="K489" s="22"/>
      <c r="L489" s="22"/>
      <c r="M489" s="22"/>
      <c r="N489" s="22"/>
      <c r="O489" s="38"/>
      <c r="P489" s="22"/>
      <c r="Q489" s="22"/>
      <c r="R489" s="22"/>
      <c r="S489" s="22"/>
      <c r="T489" s="22"/>
      <c r="U489" s="35"/>
    </row>
    <row r="490" spans="1:21" ht="15" x14ac:dyDescent="0.25">
      <c r="B490" s="35"/>
      <c r="C490" s="22"/>
      <c r="D490" s="22"/>
      <c r="E490" s="26"/>
      <c r="F490" s="22"/>
      <c r="G490" s="22"/>
      <c r="H490" s="22"/>
      <c r="I490" s="11"/>
      <c r="J490" s="22"/>
      <c r="K490" s="22"/>
      <c r="L490" s="22"/>
      <c r="M490" s="22"/>
      <c r="N490" s="22"/>
      <c r="O490" s="38"/>
      <c r="P490" s="22"/>
      <c r="Q490" s="22"/>
      <c r="R490" s="22"/>
      <c r="S490" s="22"/>
      <c r="T490" s="22"/>
      <c r="U490" s="35"/>
    </row>
    <row r="491" spans="1:21" ht="15" x14ac:dyDescent="0.25">
      <c r="B491" s="35"/>
      <c r="C491" s="22"/>
      <c r="D491" s="22"/>
      <c r="E491" s="26"/>
      <c r="F491" s="22"/>
      <c r="G491" s="22"/>
      <c r="H491" s="22"/>
      <c r="I491" s="11"/>
      <c r="J491" s="22"/>
      <c r="K491" s="22"/>
      <c r="L491" s="22"/>
      <c r="M491" s="22"/>
      <c r="N491" s="22"/>
      <c r="O491" s="38"/>
      <c r="P491" s="22"/>
      <c r="Q491" s="22"/>
      <c r="R491" s="22"/>
      <c r="S491" s="22"/>
      <c r="T491" s="22"/>
      <c r="U491" s="35"/>
    </row>
    <row r="492" spans="1:21" ht="15" x14ac:dyDescent="0.25">
      <c r="B492" s="35"/>
      <c r="C492" s="22"/>
      <c r="D492" s="22"/>
      <c r="E492" s="26"/>
      <c r="F492" s="22"/>
      <c r="G492" s="22"/>
      <c r="H492" s="22"/>
      <c r="I492" s="11"/>
      <c r="J492" s="22"/>
      <c r="K492" s="22"/>
      <c r="L492" s="22"/>
      <c r="M492" s="22"/>
      <c r="N492" s="22"/>
      <c r="O492" s="38"/>
      <c r="P492" s="22"/>
      <c r="Q492" s="22"/>
      <c r="R492" s="22"/>
      <c r="S492" s="22"/>
      <c r="T492" s="22"/>
      <c r="U492" s="35"/>
    </row>
    <row r="493" spans="1:21" ht="15" x14ac:dyDescent="0.25">
      <c r="B493" s="35"/>
      <c r="C493" s="22"/>
      <c r="D493" s="22"/>
      <c r="E493" s="26"/>
      <c r="F493" s="22"/>
      <c r="G493" s="22"/>
      <c r="H493" s="22"/>
      <c r="I493" s="11"/>
      <c r="J493" s="22"/>
      <c r="K493" s="22"/>
      <c r="L493" s="22"/>
      <c r="M493" s="22"/>
      <c r="N493" s="22"/>
      <c r="O493" s="38"/>
      <c r="P493" s="22"/>
      <c r="Q493" s="22"/>
      <c r="R493" s="22"/>
      <c r="S493" s="22"/>
      <c r="T493" s="22"/>
      <c r="U493" s="35"/>
    </row>
    <row r="494" spans="1:21" ht="15" x14ac:dyDescent="0.25">
      <c r="B494" s="35"/>
      <c r="C494" s="22"/>
      <c r="D494" s="22"/>
      <c r="E494" s="26"/>
      <c r="F494" s="22"/>
      <c r="G494" s="22"/>
      <c r="H494" s="22"/>
      <c r="I494" s="11"/>
      <c r="J494" s="22"/>
      <c r="K494" s="22"/>
      <c r="L494" s="22"/>
      <c r="M494" s="22"/>
      <c r="N494" s="22"/>
      <c r="O494" s="38"/>
      <c r="P494" s="22"/>
      <c r="Q494" s="22"/>
      <c r="R494" s="22"/>
      <c r="S494" s="22"/>
      <c r="T494" s="22"/>
      <c r="U494" s="35"/>
    </row>
  </sheetData>
  <pageMargins left="0.75" right="0.75" top="1" bottom="1" header="0.5" footer="0.5"/>
  <pageSetup paperSize="9" scale="83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FillPayrollPtaxAccrual">
                <anchor moveWithCells="1" sizeWithCells="1">
                  <from>
                    <xdr:col>16</xdr:col>
                    <xdr:colOff>142875</xdr:colOff>
                    <xdr:row>0</xdr:row>
                    <xdr:rowOff>57150</xdr:rowOff>
                  </from>
                  <to>
                    <xdr:col>18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N1319"/>
  <sheetViews>
    <sheetView topLeftCell="A447" workbookViewId="0">
      <selection activeCell="E467" sqref="E467"/>
    </sheetView>
  </sheetViews>
  <sheetFormatPr defaultColWidth="8.85546875" defaultRowHeight="12.75" outlineLevelRow="1" x14ac:dyDescent="0.2"/>
  <cols>
    <col min="1" max="1" width="23.85546875" style="47" customWidth="1"/>
    <col min="2" max="2" width="11.42578125" style="57" customWidth="1"/>
    <col min="3" max="3" width="9.5703125" style="47" customWidth="1"/>
    <col min="4" max="4" width="8.5703125" style="47" customWidth="1"/>
    <col min="5" max="7" width="5.5703125" style="47" customWidth="1"/>
    <col min="8" max="8" width="31.42578125" style="47" customWidth="1"/>
    <col min="9" max="9" width="4.5703125" style="47" customWidth="1"/>
    <col min="10" max="10" width="9.5703125" style="47" customWidth="1"/>
    <col min="11" max="11" width="15.5703125" style="47" customWidth="1"/>
    <col min="12" max="12" width="4.140625" style="47" customWidth="1"/>
    <col min="13" max="13" width="9.140625" style="48" customWidth="1"/>
    <col min="14" max="16384" width="8.85546875" style="47"/>
  </cols>
  <sheetData>
    <row r="1" spans="1:14" x14ac:dyDescent="0.2">
      <c r="A1" s="46"/>
      <c r="D1" s="49">
        <v>4020.3</v>
      </c>
      <c r="J1" s="54" t="s">
        <v>377</v>
      </c>
      <c r="M1" s="108" t="s">
        <v>463</v>
      </c>
      <c r="N1" s="55"/>
    </row>
    <row r="2" spans="1:14" s="46" customFormat="1" x14ac:dyDescent="0.2">
      <c r="A2" s="91" t="s">
        <v>214</v>
      </c>
      <c r="B2" s="91" t="s">
        <v>215</v>
      </c>
      <c r="C2" s="94" t="s">
        <v>216</v>
      </c>
      <c r="D2" s="90" t="s">
        <v>217</v>
      </c>
      <c r="E2" s="90"/>
      <c r="F2" s="90"/>
      <c r="G2" s="90" t="s">
        <v>218</v>
      </c>
      <c r="H2" s="90" t="s">
        <v>462</v>
      </c>
      <c r="I2" s="90"/>
      <c r="J2" s="90"/>
      <c r="K2" s="92"/>
      <c r="L2" s="90"/>
      <c r="M2" s="95" t="s">
        <v>0</v>
      </c>
    </row>
    <row r="3" spans="1:14" outlineLevel="1" x14ac:dyDescent="0.2">
      <c r="A3" s="50" t="str">
        <f>LEFT('Payroll Accrual'!A3,9)&amp;"4020.300"</f>
        <v>12019199.4020.300</v>
      </c>
      <c r="B3" s="51">
        <f>('Payroll Accrual'!O3)</f>
        <v>7.7490600000000001</v>
      </c>
      <c r="C3" s="52"/>
      <c r="D3" s="53"/>
      <c r="H3" s="47" t="s">
        <v>517</v>
      </c>
      <c r="M3" s="56">
        <f>('Payroll Accrual'!M3)</f>
        <v>19022</v>
      </c>
    </row>
    <row r="4" spans="1:14" outlineLevel="1" x14ac:dyDescent="0.2">
      <c r="A4" s="50" t="str">
        <f>LEFT('Payroll Accrual'!A4,9)&amp;"4020.300"</f>
        <v>12020611.4020.300</v>
      </c>
      <c r="B4" s="51">
        <f>('Payroll Accrual'!O4)</f>
        <v>7.5332399999999993</v>
      </c>
      <c r="C4" s="52"/>
      <c r="D4" s="53"/>
      <c r="H4" s="47" t="s">
        <v>517</v>
      </c>
      <c r="M4" s="56">
        <f>('Payroll Accrual'!M4)</f>
        <v>18891</v>
      </c>
    </row>
    <row r="5" spans="1:14" outlineLevel="1" x14ac:dyDescent="0.2">
      <c r="A5" s="50" t="str">
        <f>LEFT('Payroll Accrual'!A5,9)&amp;"4020.300"</f>
        <v>12020611.4020.300</v>
      </c>
      <c r="B5" s="51">
        <f>('Payroll Accrual'!O5)</f>
        <v>14.676420000000002</v>
      </c>
      <c r="C5" s="52"/>
      <c r="D5" s="53"/>
      <c r="H5" s="47" t="s">
        <v>517</v>
      </c>
      <c r="M5" s="56">
        <f>('Payroll Accrual'!M5)</f>
        <v>18589</v>
      </c>
    </row>
    <row r="6" spans="1:14" outlineLevel="1" x14ac:dyDescent="0.2">
      <c r="A6" s="50" t="str">
        <f>LEFT('Payroll Accrual'!A6,9)&amp;"4020.300"</f>
        <v>12020611.4020.300</v>
      </c>
      <c r="B6" s="51">
        <f>('Payroll Accrual'!O6)</f>
        <v>6.4696499999999997</v>
      </c>
      <c r="C6" s="52"/>
      <c r="D6" s="53"/>
      <c r="H6" s="47" t="s">
        <v>517</v>
      </c>
      <c r="M6" s="56">
        <f>('Payroll Accrual'!M6)</f>
        <v>18831</v>
      </c>
    </row>
    <row r="7" spans="1:14" outlineLevel="1" x14ac:dyDescent="0.2">
      <c r="A7" s="50" t="str">
        <f>LEFT('Payroll Accrual'!A7,9)&amp;"4020.300"</f>
        <v>12020611.4020.300</v>
      </c>
      <c r="B7" s="51">
        <f>('Payroll Accrual'!O7)</f>
        <v>19.994040000000002</v>
      </c>
      <c r="C7" s="52"/>
      <c r="D7" s="53"/>
      <c r="H7" s="47" t="s">
        <v>517</v>
      </c>
      <c r="M7" s="56">
        <f>('Payroll Accrual'!M7)</f>
        <v>18903</v>
      </c>
    </row>
    <row r="8" spans="1:14" outlineLevel="1" x14ac:dyDescent="0.2">
      <c r="A8" s="50" t="str">
        <f>LEFT('Payroll Accrual'!A8,9)&amp;"4020.300"</f>
        <v>12020711.4020.300</v>
      </c>
      <c r="B8" s="51">
        <f>('Payroll Accrual'!O8)</f>
        <v>6.6646800000000006</v>
      </c>
      <c r="C8" s="52"/>
      <c r="D8" s="53"/>
      <c r="H8" s="47" t="s">
        <v>517</v>
      </c>
      <c r="M8" s="56">
        <f>('Payroll Accrual'!M8)</f>
        <v>18631</v>
      </c>
    </row>
    <row r="9" spans="1:14" outlineLevel="1" x14ac:dyDescent="0.2">
      <c r="A9" s="50" t="str">
        <f>LEFT('Payroll Accrual'!A9,9)&amp;"4020.300"</f>
        <v>12021021.4020.300</v>
      </c>
      <c r="B9" s="51">
        <f>('Payroll Accrual'!O9)</f>
        <v>7.4853900000000007</v>
      </c>
      <c r="C9" s="52"/>
      <c r="D9" s="53"/>
      <c r="H9" s="47" t="s">
        <v>517</v>
      </c>
      <c r="M9" s="56">
        <f>('Payroll Accrual'!M9)</f>
        <v>18687</v>
      </c>
    </row>
    <row r="10" spans="1:14" outlineLevel="1" x14ac:dyDescent="0.2">
      <c r="A10" s="50" t="str">
        <f>LEFT('Payroll Accrual'!A10,9)&amp;"4020.300"</f>
        <v>12021021.4020.300</v>
      </c>
      <c r="B10" s="51">
        <f>('Payroll Accrual'!O10)</f>
        <v>16.936260000000001</v>
      </c>
      <c r="C10" s="52"/>
      <c r="D10" s="53"/>
      <c r="H10" s="47" t="s">
        <v>517</v>
      </c>
      <c r="M10" s="56">
        <f>('Payroll Accrual'!M10)</f>
        <v>18781</v>
      </c>
    </row>
    <row r="11" spans="1:14" outlineLevel="1" x14ac:dyDescent="0.2">
      <c r="A11" s="50" t="str">
        <f>LEFT('Payroll Accrual'!A11,9)&amp;"4020.300"</f>
        <v>12021021.4020.300</v>
      </c>
      <c r="B11" s="51">
        <f>('Payroll Accrual'!O11)</f>
        <v>6.6646800000000006</v>
      </c>
      <c r="C11" s="52"/>
      <c r="D11" s="53"/>
      <c r="H11" s="47" t="s">
        <v>517</v>
      </c>
      <c r="M11" s="56">
        <f>('Payroll Accrual'!M11)</f>
        <v>18894</v>
      </c>
    </row>
    <row r="12" spans="1:14" outlineLevel="1" x14ac:dyDescent="0.2">
      <c r="A12" s="50" t="str">
        <f>LEFT('Payroll Accrual'!A12,9)&amp;"4020.300"</f>
        <v>12021021.4020.300</v>
      </c>
      <c r="B12" s="51">
        <f>('Payroll Accrual'!O12)</f>
        <v>8.4681300000000004</v>
      </c>
      <c r="C12" s="52"/>
      <c r="D12" s="53"/>
      <c r="H12" s="47" t="s">
        <v>517</v>
      </c>
      <c r="M12" s="56">
        <f>('Payroll Accrual'!M12)</f>
        <v>18967</v>
      </c>
    </row>
    <row r="13" spans="1:14" outlineLevel="1" x14ac:dyDescent="0.2">
      <c r="A13" s="50" t="str">
        <f>LEFT('Payroll Accrual'!A13,9)&amp;"4020.300"</f>
        <v>12022511.4020.300</v>
      </c>
      <c r="B13" s="51">
        <f>('Payroll Accrual'!O13)</f>
        <v>6.8445299999999998</v>
      </c>
      <c r="C13" s="52"/>
      <c r="D13" s="53"/>
      <c r="H13" s="47" t="s">
        <v>517</v>
      </c>
      <c r="M13" s="56">
        <f>('Payroll Accrual'!M13)</f>
        <v>145</v>
      </c>
    </row>
    <row r="14" spans="1:14" outlineLevel="1" x14ac:dyDescent="0.2">
      <c r="A14" s="50" t="str">
        <f>LEFT('Payroll Accrual'!A14,9)&amp;"4020.300"</f>
        <v>12022511.4020.300</v>
      </c>
      <c r="B14" s="51">
        <f>('Payroll Accrual'!O14)</f>
        <v>5.957819999999999</v>
      </c>
      <c r="C14" s="52"/>
      <c r="D14" s="53"/>
      <c r="H14" s="47" t="s">
        <v>517</v>
      </c>
      <c r="M14" s="56">
        <f>('Payroll Accrual'!M14)</f>
        <v>141</v>
      </c>
    </row>
    <row r="15" spans="1:14" outlineLevel="1" x14ac:dyDescent="0.2">
      <c r="A15" s="50" t="str">
        <f>LEFT('Payroll Accrual'!A15,9)&amp;"4020.300"</f>
        <v>12023011.4020.300</v>
      </c>
      <c r="B15" s="51">
        <f>('Payroll Accrual'!O15)</f>
        <v>2.5538699999999999</v>
      </c>
      <c r="C15" s="52"/>
      <c r="D15" s="53"/>
      <c r="H15" s="47" t="s">
        <v>517</v>
      </c>
      <c r="M15" s="56">
        <f>('Payroll Accrual'!M15)</f>
        <v>19007</v>
      </c>
    </row>
    <row r="16" spans="1:14" outlineLevel="1" x14ac:dyDescent="0.2">
      <c r="A16" s="50" t="str">
        <f>LEFT('Payroll Accrual'!A16,9)&amp;"4020.300"</f>
        <v>12024021.4020.300</v>
      </c>
      <c r="B16" s="51">
        <f>('Payroll Accrual'!O16)</f>
        <v>10.436579999999999</v>
      </c>
      <c r="C16" s="52"/>
      <c r="D16" s="53"/>
      <c r="H16" s="47" t="s">
        <v>517</v>
      </c>
      <c r="M16" s="56">
        <f>('Payroll Accrual'!M16)</f>
        <v>18581</v>
      </c>
    </row>
    <row r="17" spans="1:13" outlineLevel="1" x14ac:dyDescent="0.2">
      <c r="A17" s="50" t="str">
        <f>LEFT('Payroll Accrual'!A17,9)&amp;"4020.300"</f>
        <v>12030611.4020.300</v>
      </c>
      <c r="B17" s="51">
        <f>('Payroll Accrual'!O17)</f>
        <v>5.7677400000000008</v>
      </c>
      <c r="C17" s="52"/>
      <c r="D17" s="53"/>
      <c r="H17" s="47" t="s">
        <v>517</v>
      </c>
      <c r="M17" s="56">
        <f>('Payroll Accrual'!M17)</f>
        <v>18979</v>
      </c>
    </row>
    <row r="18" spans="1:13" outlineLevel="1" x14ac:dyDescent="0.2">
      <c r="A18" s="50" t="str">
        <f>LEFT('Payroll Accrual'!A18,9)&amp;"4020.300"</f>
        <v>12030611.4020.300</v>
      </c>
      <c r="B18" s="51">
        <f>('Payroll Accrual'!O18)</f>
        <v>6.4696499999999997</v>
      </c>
      <c r="C18" s="52"/>
      <c r="D18" s="53"/>
      <c r="H18" s="47" t="s">
        <v>517</v>
      </c>
      <c r="M18" s="56">
        <f>('Payroll Accrual'!M18)</f>
        <v>18822</v>
      </c>
    </row>
    <row r="19" spans="1:13" outlineLevel="1" x14ac:dyDescent="0.2">
      <c r="A19" s="50" t="str">
        <f>LEFT('Payroll Accrual'!A19,9)&amp;"4020.300"</f>
        <v>12033011.4020.300</v>
      </c>
      <c r="B19" s="51">
        <f>('Payroll Accrual'!O19)</f>
        <v>17.303220000000003</v>
      </c>
      <c r="C19" s="52"/>
      <c r="D19" s="53"/>
      <c r="H19" s="47" t="s">
        <v>517</v>
      </c>
      <c r="M19" s="56">
        <f>('Payroll Accrual'!M19)</f>
        <v>18923</v>
      </c>
    </row>
    <row r="20" spans="1:13" outlineLevel="1" x14ac:dyDescent="0.2">
      <c r="A20" s="50" t="str">
        <f>LEFT('Payroll Accrual'!A20,9)&amp;"4020.300"</f>
        <v>12033011.4020.300</v>
      </c>
      <c r="B20" s="51">
        <f>('Payroll Accrual'!O20)</f>
        <v>5.957819999999999</v>
      </c>
      <c r="C20" s="52"/>
      <c r="D20" s="53"/>
      <c r="H20" s="47" t="s">
        <v>517</v>
      </c>
      <c r="M20" s="56">
        <f>('Payroll Accrual'!M20)</f>
        <v>19019</v>
      </c>
    </row>
    <row r="21" spans="1:13" outlineLevel="1" x14ac:dyDescent="0.2">
      <c r="A21" s="50" t="str">
        <f>LEFT('Payroll Accrual'!A21,9)&amp;"4020.300"</f>
        <v>12033011.4020.300</v>
      </c>
      <c r="B21" s="51">
        <f>('Payroll Accrual'!O21)</f>
        <v>29.352840000000004</v>
      </c>
      <c r="C21" s="52"/>
      <c r="D21" s="53"/>
      <c r="H21" s="47" t="s">
        <v>517</v>
      </c>
      <c r="M21" s="56">
        <f>('Payroll Accrual'!M21)</f>
        <v>18607</v>
      </c>
    </row>
    <row r="22" spans="1:13" outlineLevel="1" x14ac:dyDescent="0.2">
      <c r="A22" s="50" t="str">
        <f>LEFT('Payroll Accrual'!A22,9)&amp;"4020.300"</f>
        <v>12042511.4020.300</v>
      </c>
      <c r="B22" s="51">
        <f>('Payroll Accrual'!O22)</f>
        <v>23.018490000000003</v>
      </c>
      <c r="C22" s="52"/>
      <c r="D22" s="53"/>
      <c r="H22" s="47" t="s">
        <v>517</v>
      </c>
      <c r="M22" s="56">
        <f>('Payroll Accrual'!M22)</f>
        <v>18650</v>
      </c>
    </row>
    <row r="23" spans="1:13" outlineLevel="1" x14ac:dyDescent="0.2">
      <c r="A23" s="50" t="str">
        <f>LEFT('Payroll Accrual'!A23,9)&amp;"4020.300"</f>
        <v>12043011.4020.300</v>
      </c>
      <c r="B23" s="51">
        <f>('Payroll Accrual'!O23)</f>
        <v>15.85716</v>
      </c>
      <c r="C23" s="52"/>
      <c r="D23" s="53"/>
      <c r="H23" s="47" t="s">
        <v>517</v>
      </c>
      <c r="M23" s="56">
        <f>('Payroll Accrual'!M23)</f>
        <v>18703</v>
      </c>
    </row>
    <row r="24" spans="1:13" outlineLevel="1" x14ac:dyDescent="0.2">
      <c r="A24" s="50" t="str">
        <f>LEFT('Payroll Accrual'!A24,9)&amp;"4020.300"</f>
        <v>12043011.4020.300</v>
      </c>
      <c r="B24" s="51">
        <f>('Payroll Accrual'!O24)</f>
        <v>11.915639999999998</v>
      </c>
      <c r="C24" s="52"/>
      <c r="D24" s="53"/>
      <c r="H24" s="47" t="s">
        <v>517</v>
      </c>
      <c r="M24" s="56">
        <f>('Payroll Accrual'!M24)</f>
        <v>18924</v>
      </c>
    </row>
    <row r="25" spans="1:13" outlineLevel="1" x14ac:dyDescent="0.2">
      <c r="A25" s="50" t="str">
        <f>LEFT('Payroll Accrual'!A25,9)&amp;"4020.300"</f>
        <v>12060611.4020.300</v>
      </c>
      <c r="B25" s="51">
        <f>('Payroll Accrual'!O25)</f>
        <v>3.4049400000000003</v>
      </c>
      <c r="C25" s="52"/>
      <c r="D25" s="53"/>
      <c r="H25" s="47" t="s">
        <v>517</v>
      </c>
      <c r="M25" s="56">
        <f>('Payroll Accrual'!M25)</f>
        <v>18927</v>
      </c>
    </row>
    <row r="26" spans="1:13" outlineLevel="1" x14ac:dyDescent="0.2">
      <c r="A26" s="50" t="str">
        <f>LEFT('Payroll Accrual'!A26,9)&amp;"4020.300"</f>
        <v>12060711.4020.300</v>
      </c>
      <c r="B26" s="51">
        <f>('Payroll Accrual'!O26)</f>
        <v>7.9285800000000002</v>
      </c>
      <c r="C26" s="52"/>
      <c r="D26" s="53"/>
      <c r="H26" s="47" t="s">
        <v>517</v>
      </c>
      <c r="M26" s="56">
        <f>('Payroll Accrual'!M26)</f>
        <v>18791</v>
      </c>
    </row>
    <row r="27" spans="1:13" outlineLevel="1" x14ac:dyDescent="0.2">
      <c r="A27" s="50" t="str">
        <f>LEFT('Payroll Accrual'!A27,9)&amp;"4020.300"</f>
        <v>12060800.4020.300</v>
      </c>
      <c r="B27" s="51">
        <f>('Payroll Accrual'!O27)</f>
        <v>17.873459999999998</v>
      </c>
      <c r="C27" s="52"/>
      <c r="D27" s="53"/>
      <c r="H27" s="47" t="s">
        <v>517</v>
      </c>
      <c r="M27" s="56">
        <f>('Payroll Accrual'!M27)</f>
        <v>18953</v>
      </c>
    </row>
    <row r="28" spans="1:13" outlineLevel="1" x14ac:dyDescent="0.2">
      <c r="A28" s="50" t="str">
        <f>LEFT('Payroll Accrual'!A28,9)&amp;"4020.300"</f>
        <v>12062511.4020.300</v>
      </c>
      <c r="B28" s="51">
        <f>('Payroll Accrual'!O28)</f>
        <v>6.4696499999999997</v>
      </c>
      <c r="C28" s="52"/>
      <c r="D28" s="53"/>
      <c r="H28" s="47" t="s">
        <v>517</v>
      </c>
      <c r="M28" s="56">
        <f>('Payroll Accrual'!M28)</f>
        <v>18792</v>
      </c>
    </row>
    <row r="29" spans="1:13" outlineLevel="1" x14ac:dyDescent="0.2">
      <c r="A29" s="50" t="str">
        <f>LEFT('Payroll Accrual'!A29,9)&amp;"4020.300"</f>
        <v>12023011.4020.300</v>
      </c>
      <c r="B29" s="51">
        <f>('Payroll Accrual'!O29)</f>
        <v>53.807820000000007</v>
      </c>
      <c r="C29" s="52"/>
      <c r="D29" s="53"/>
      <c r="H29" s="47" t="s">
        <v>517</v>
      </c>
      <c r="M29" s="56">
        <f>('Payroll Accrual'!M29)</f>
        <v>19041</v>
      </c>
    </row>
    <row r="30" spans="1:13" outlineLevel="1" x14ac:dyDescent="0.2">
      <c r="A30" s="50" t="str">
        <f>LEFT('Payroll Accrual'!A30,9)&amp;"4020.300"</f>
        <v>12033011.4020.300</v>
      </c>
      <c r="B30" s="51">
        <f>('Payroll Accrual'!O30)</f>
        <v>55.971960000000003</v>
      </c>
      <c r="C30" s="52"/>
      <c r="D30" s="53"/>
      <c r="H30" s="47" t="s">
        <v>517</v>
      </c>
      <c r="M30" s="56">
        <f>('Payroll Accrual'!M30)</f>
        <v>19030</v>
      </c>
    </row>
    <row r="31" spans="1:13" outlineLevel="1" x14ac:dyDescent="0.2">
      <c r="A31" s="50" t="str">
        <f>LEFT('Payroll Accrual'!A31,9)&amp;"4020.300"</f>
        <v>12043011.4020.300</v>
      </c>
      <c r="B31" s="51">
        <f>('Payroll Accrual'!O31)</f>
        <v>12.542639999999999</v>
      </c>
      <c r="C31" s="52"/>
      <c r="D31" s="53"/>
      <c r="H31" s="47" t="s">
        <v>517</v>
      </c>
      <c r="M31" s="56">
        <f>('Payroll Accrual'!M31)</f>
        <v>18917</v>
      </c>
    </row>
    <row r="32" spans="1:13" outlineLevel="1" x14ac:dyDescent="0.2">
      <c r="A32" s="50" t="str">
        <f>LEFT('Payroll Accrual'!A32,9)&amp;"4020.300"</f>
        <v>12043011.4020.300</v>
      </c>
      <c r="B32" s="51">
        <f>('Payroll Accrual'!O32)</f>
        <v>24.977369999999997</v>
      </c>
      <c r="C32" s="52"/>
      <c r="D32" s="53"/>
      <c r="H32" s="47" t="s">
        <v>517</v>
      </c>
      <c r="M32" s="56">
        <f>('Payroll Accrual'!M32)</f>
        <v>19023</v>
      </c>
    </row>
    <row r="33" spans="1:13" outlineLevel="1" x14ac:dyDescent="0.2">
      <c r="A33" s="50" t="str">
        <f>LEFT('Payroll Accrual'!A33,9)&amp;"4020.300"</f>
        <v>12013012.4020.300</v>
      </c>
      <c r="B33" s="51">
        <f>('Payroll Accrual'!O33)</f>
        <v>8.1774000000000004</v>
      </c>
      <c r="C33" s="52"/>
      <c r="D33" s="53"/>
      <c r="H33" s="47" t="s">
        <v>517</v>
      </c>
      <c r="M33" s="56">
        <f>('Payroll Accrual'!M33)</f>
        <v>18736</v>
      </c>
    </row>
    <row r="34" spans="1:13" outlineLevel="1" x14ac:dyDescent="0.2">
      <c r="A34" s="50" t="str">
        <f>LEFT('Payroll Accrual'!A34,9)&amp;"4020.300"</f>
        <v>12020611.4020.300</v>
      </c>
      <c r="B34" s="51">
        <f>('Payroll Accrual'!O34)</f>
        <v>12.157859999999999</v>
      </c>
      <c r="C34" s="52"/>
      <c r="D34" s="53"/>
      <c r="H34" s="47" t="s">
        <v>517</v>
      </c>
      <c r="M34" s="56">
        <f>('Payroll Accrual'!M34)</f>
        <v>18866</v>
      </c>
    </row>
    <row r="35" spans="1:13" outlineLevel="1" x14ac:dyDescent="0.2">
      <c r="A35" s="50" t="str">
        <f>LEFT('Payroll Accrual'!A35,9)&amp;"4020.300"</f>
        <v>12020611.4020.300</v>
      </c>
      <c r="B35" s="51">
        <f>('Payroll Accrual'!O35)</f>
        <v>11.10417</v>
      </c>
      <c r="C35" s="52"/>
      <c r="D35" s="53"/>
      <c r="H35" s="47" t="s">
        <v>517</v>
      </c>
      <c r="M35" s="56">
        <f>('Payroll Accrual'!M35)</f>
        <v>18589</v>
      </c>
    </row>
    <row r="36" spans="1:13" outlineLevel="1" x14ac:dyDescent="0.2">
      <c r="A36" s="50" t="str">
        <f>LEFT('Payroll Accrual'!A36,9)&amp;"4020.300"</f>
        <v>12020611.4020.300</v>
      </c>
      <c r="B36" s="51">
        <f>('Payroll Accrual'!O36)</f>
        <v>3.3425700000000003</v>
      </c>
      <c r="C36" s="52"/>
      <c r="D36" s="53"/>
      <c r="H36" s="47" t="s">
        <v>517</v>
      </c>
      <c r="M36" s="56">
        <f>('Payroll Accrual'!M36)</f>
        <v>18957</v>
      </c>
    </row>
    <row r="37" spans="1:13" outlineLevel="1" x14ac:dyDescent="0.2">
      <c r="A37" s="50" t="str">
        <f>LEFT('Payroll Accrual'!A37,9)&amp;"4020.300"</f>
        <v>12020611.4020.300</v>
      </c>
      <c r="B37" s="51">
        <f>('Payroll Accrual'!O37)</f>
        <v>1.3153799999999998</v>
      </c>
      <c r="C37" s="52"/>
      <c r="D37" s="53"/>
      <c r="H37" s="47" t="s">
        <v>517</v>
      </c>
      <c r="M37" s="56">
        <f>('Payroll Accrual'!M37)</f>
        <v>18903</v>
      </c>
    </row>
    <row r="38" spans="1:13" outlineLevel="1" x14ac:dyDescent="0.2">
      <c r="A38" s="50" t="str">
        <f>LEFT('Payroll Accrual'!A38,9)&amp;"4020.300"</f>
        <v>12020711.4020.300</v>
      </c>
      <c r="B38" s="51">
        <f>('Payroll Accrual'!O38)</f>
        <v>1.3153799999999998</v>
      </c>
      <c r="C38" s="52"/>
      <c r="D38" s="53"/>
      <c r="H38" s="47" t="s">
        <v>517</v>
      </c>
      <c r="M38" s="56">
        <f>('Payroll Accrual'!M38)</f>
        <v>18631</v>
      </c>
    </row>
    <row r="39" spans="1:13" outlineLevel="1" x14ac:dyDescent="0.2">
      <c r="A39" s="50" t="str">
        <f>LEFT('Payroll Accrual'!A39,9)&amp;"4020.300"</f>
        <v>12020711.4020.300</v>
      </c>
      <c r="B39" s="51">
        <f>('Payroll Accrual'!O39)</f>
        <v>0.80619000000000007</v>
      </c>
      <c r="C39" s="52"/>
      <c r="D39" s="53"/>
      <c r="H39" s="47" t="s">
        <v>517</v>
      </c>
      <c r="M39" s="56">
        <f>('Payroll Accrual'!M39)</f>
        <v>18</v>
      </c>
    </row>
    <row r="40" spans="1:13" outlineLevel="1" x14ac:dyDescent="0.2">
      <c r="A40" s="50" t="str">
        <f>LEFT('Payroll Accrual'!A40,9)&amp;"4020.300"</f>
        <v>12020711.4020.300</v>
      </c>
      <c r="B40" s="51">
        <f>('Payroll Accrual'!O40)</f>
        <v>9.6643800000000013</v>
      </c>
      <c r="C40" s="52"/>
      <c r="D40" s="53"/>
      <c r="H40" s="47" t="s">
        <v>517</v>
      </c>
      <c r="M40" s="56">
        <f>('Payroll Accrual'!M40)</f>
        <v>18879</v>
      </c>
    </row>
    <row r="41" spans="1:13" outlineLevel="1" x14ac:dyDescent="0.2">
      <c r="A41" s="50" t="str">
        <f>LEFT('Payroll Accrual'!A41,9)&amp;"4020.300"</f>
        <v>12020800.4020.300</v>
      </c>
      <c r="B41" s="51">
        <f>('Payroll Accrual'!O41)</f>
        <v>5.7934800000000006</v>
      </c>
      <c r="C41" s="52"/>
      <c r="D41" s="53"/>
      <c r="H41" s="47" t="s">
        <v>517</v>
      </c>
      <c r="M41" s="56">
        <f>('Payroll Accrual'!M41)</f>
        <v>18630</v>
      </c>
    </row>
    <row r="42" spans="1:13" outlineLevel="1" x14ac:dyDescent="0.2">
      <c r="A42" s="50" t="str">
        <f>LEFT('Payroll Accrual'!A42,9)&amp;"4020.300"</f>
        <v>12020800.4020.300</v>
      </c>
      <c r="B42" s="51">
        <f>('Payroll Accrual'!O42)</f>
        <v>21.299520000000005</v>
      </c>
      <c r="C42" s="52"/>
      <c r="D42" s="53"/>
      <c r="H42" s="47" t="s">
        <v>517</v>
      </c>
      <c r="M42" s="56">
        <f>('Payroll Accrual'!M42)</f>
        <v>19013</v>
      </c>
    </row>
    <row r="43" spans="1:13" outlineLevel="1" x14ac:dyDescent="0.2">
      <c r="A43" s="50" t="str">
        <f>LEFT('Payroll Accrual'!A43,9)&amp;"4020.300"</f>
        <v>12021021.4020.300</v>
      </c>
      <c r="B43" s="51">
        <f>('Payroll Accrual'!O43)</f>
        <v>4.4879999999999995</v>
      </c>
      <c r="C43" s="52"/>
      <c r="D43" s="53"/>
      <c r="H43" s="47" t="s">
        <v>517</v>
      </c>
      <c r="M43" s="56">
        <f>('Payroll Accrual'!M43)</f>
        <v>19033</v>
      </c>
    </row>
    <row r="44" spans="1:13" outlineLevel="1" x14ac:dyDescent="0.2">
      <c r="A44" s="50" t="str">
        <f>LEFT('Payroll Accrual'!A44,9)&amp;"4020.300"</f>
        <v>12021021.4020.300</v>
      </c>
      <c r="B44" s="51">
        <f>('Payroll Accrual'!O44)</f>
        <v>7.9530000000000012</v>
      </c>
      <c r="C44" s="52"/>
      <c r="D44" s="53"/>
      <c r="H44" s="47" t="s">
        <v>517</v>
      </c>
      <c r="M44" s="56">
        <f>('Payroll Accrual'!M44)</f>
        <v>18687</v>
      </c>
    </row>
    <row r="45" spans="1:13" outlineLevel="1" x14ac:dyDescent="0.2">
      <c r="A45" s="50" t="str">
        <f>LEFT('Payroll Accrual'!A45,9)&amp;"4020.300"</f>
        <v>12021021.4020.300</v>
      </c>
      <c r="B45" s="51">
        <f>('Payroll Accrual'!O45)</f>
        <v>0.48246</v>
      </c>
      <c r="C45" s="52"/>
      <c r="D45" s="53"/>
      <c r="H45" s="47" t="s">
        <v>517</v>
      </c>
      <c r="M45" s="56">
        <f>('Payroll Accrual'!M45)</f>
        <v>18894</v>
      </c>
    </row>
    <row r="46" spans="1:13" outlineLevel="1" x14ac:dyDescent="0.2">
      <c r="A46" s="50" t="str">
        <f>LEFT('Payroll Accrual'!A46,9)&amp;"4020.300"</f>
        <v>12021021.4020.300</v>
      </c>
      <c r="B46" s="51">
        <f>('Payroll Accrual'!O46)</f>
        <v>10.11153</v>
      </c>
      <c r="C46" s="52"/>
      <c r="D46" s="53"/>
      <c r="H46" s="47" t="s">
        <v>517</v>
      </c>
      <c r="M46" s="56">
        <f>('Payroll Accrual'!M46)</f>
        <v>18967</v>
      </c>
    </row>
    <row r="47" spans="1:13" outlineLevel="1" x14ac:dyDescent="0.2">
      <c r="A47" s="50" t="str">
        <f>LEFT('Payroll Accrual'!A47,9)&amp;"4020.300"</f>
        <v>12021021.4020.300</v>
      </c>
      <c r="B47" s="51">
        <f>('Payroll Accrual'!O47)</f>
        <v>4.4417999999999997</v>
      </c>
      <c r="C47" s="52"/>
      <c r="D47" s="53"/>
      <c r="H47" s="47" t="s">
        <v>517</v>
      </c>
      <c r="M47" s="56">
        <f>('Payroll Accrual'!M47)</f>
        <v>18733</v>
      </c>
    </row>
    <row r="48" spans="1:13" outlineLevel="1" x14ac:dyDescent="0.2">
      <c r="A48" s="50" t="str">
        <f>LEFT('Payroll Accrual'!A48,9)&amp;"4020.300"</f>
        <v>12021021.4020.300</v>
      </c>
      <c r="B48" s="51">
        <f>('Payroll Accrual'!O48)</f>
        <v>1.0771200000000001</v>
      </c>
      <c r="C48" s="52"/>
      <c r="D48" s="53"/>
      <c r="H48" s="47" t="s">
        <v>517</v>
      </c>
      <c r="M48" s="56">
        <f>('Payroll Accrual'!M48)</f>
        <v>18659</v>
      </c>
    </row>
    <row r="49" spans="1:13" outlineLevel="1" x14ac:dyDescent="0.2">
      <c r="A49" s="50" t="str">
        <f>LEFT('Payroll Accrual'!A49,9)&amp;"4020.300"</f>
        <v>12021021.4020.300</v>
      </c>
      <c r="B49" s="51">
        <f>('Payroll Accrual'!O49)</f>
        <v>9.557459999999999</v>
      </c>
      <c r="C49" s="52"/>
      <c r="D49" s="53"/>
      <c r="H49" s="47" t="s">
        <v>517</v>
      </c>
      <c r="M49" s="56">
        <f>('Payroll Accrual'!M49)</f>
        <v>18911</v>
      </c>
    </row>
    <row r="50" spans="1:13" outlineLevel="1" x14ac:dyDescent="0.2">
      <c r="A50" s="50" t="str">
        <f>LEFT('Payroll Accrual'!A50,9)&amp;"4020.300"</f>
        <v>12021021.4020.300</v>
      </c>
      <c r="B50" s="51">
        <f>('Payroll Accrual'!O50)</f>
        <v>2.6261400000000004</v>
      </c>
      <c r="C50" s="52"/>
      <c r="D50" s="53"/>
      <c r="H50" s="47" t="s">
        <v>517</v>
      </c>
      <c r="M50" s="56">
        <f>('Payroll Accrual'!M50)</f>
        <v>18960</v>
      </c>
    </row>
    <row r="51" spans="1:13" outlineLevel="1" x14ac:dyDescent="0.2">
      <c r="A51" s="50" t="str">
        <f>LEFT('Payroll Accrual'!A51,9)&amp;"4020.300"</f>
        <v>12021021.4020.300</v>
      </c>
      <c r="B51" s="51">
        <f>('Payroll Accrual'!O51)</f>
        <v>6.07233</v>
      </c>
      <c r="C51" s="52"/>
      <c r="D51" s="53"/>
      <c r="H51" s="47" t="s">
        <v>517</v>
      </c>
      <c r="M51" s="56">
        <f>('Payroll Accrual'!M51)</f>
        <v>18781</v>
      </c>
    </row>
    <row r="52" spans="1:13" outlineLevel="1" x14ac:dyDescent="0.2">
      <c r="A52" s="50" t="str">
        <f>LEFT('Payroll Accrual'!A52,9)&amp;"4020.300"</f>
        <v>12022511.4020.300</v>
      </c>
      <c r="B52" s="51">
        <f>('Payroll Accrual'!O52)</f>
        <v>1.9153199999999999</v>
      </c>
      <c r="C52" s="52"/>
      <c r="D52" s="53"/>
      <c r="H52" s="47" t="s">
        <v>517</v>
      </c>
      <c r="M52" s="56">
        <f>('Payroll Accrual'!M52)</f>
        <v>18961</v>
      </c>
    </row>
    <row r="53" spans="1:13" outlineLevel="1" x14ac:dyDescent="0.2">
      <c r="A53" s="50" t="str">
        <f>LEFT('Payroll Accrual'!A53,9)&amp;"4020.300"</f>
        <v>12022511.4020.300</v>
      </c>
      <c r="B53" s="51">
        <f>('Payroll Accrual'!O53)</f>
        <v>2.9396399999999998</v>
      </c>
      <c r="C53" s="52"/>
      <c r="D53" s="53"/>
      <c r="H53" s="47" t="s">
        <v>517</v>
      </c>
      <c r="M53" s="56">
        <f>('Payroll Accrual'!M53)</f>
        <v>141</v>
      </c>
    </row>
    <row r="54" spans="1:13" outlineLevel="1" x14ac:dyDescent="0.2">
      <c r="A54" s="50" t="str">
        <f>LEFT('Payroll Accrual'!A54,9)&amp;"4020.300"</f>
        <v>12023011.4020.300</v>
      </c>
      <c r="B54" s="51">
        <f>('Payroll Accrual'!O54)</f>
        <v>1.9153199999999999</v>
      </c>
      <c r="C54" s="52"/>
      <c r="D54" s="53"/>
      <c r="H54" s="47" t="s">
        <v>517</v>
      </c>
      <c r="M54" s="56">
        <f>('Payroll Accrual'!M54)</f>
        <v>19007</v>
      </c>
    </row>
    <row r="55" spans="1:13" outlineLevel="1" x14ac:dyDescent="0.2">
      <c r="A55" s="50" t="str">
        <f>LEFT('Payroll Accrual'!A55,9)&amp;"4020.300"</f>
        <v>12023011.4020.300</v>
      </c>
      <c r="B55" s="51">
        <f>('Payroll Accrual'!O55)</f>
        <v>6.7590599999999998</v>
      </c>
      <c r="C55" s="52"/>
      <c r="D55" s="53"/>
      <c r="H55" s="47" t="s">
        <v>517</v>
      </c>
      <c r="M55" s="56">
        <f>('Payroll Accrual'!M55)</f>
        <v>18974</v>
      </c>
    </row>
    <row r="56" spans="1:13" outlineLevel="1" x14ac:dyDescent="0.2">
      <c r="A56" s="50" t="str">
        <f>LEFT('Payroll Accrual'!A56,9)&amp;"4020.300"</f>
        <v>12023011.4020.300</v>
      </c>
      <c r="B56" s="51">
        <f>('Payroll Accrual'!O56)</f>
        <v>5.2615199999999991</v>
      </c>
      <c r="C56" s="52"/>
      <c r="D56" s="53"/>
      <c r="H56" s="47" t="s">
        <v>517</v>
      </c>
      <c r="M56" s="56">
        <f>('Payroll Accrual'!M56)</f>
        <v>18999</v>
      </c>
    </row>
    <row r="57" spans="1:13" outlineLevel="1" x14ac:dyDescent="0.2">
      <c r="A57" s="50" t="str">
        <f>LEFT('Payroll Accrual'!A57,9)&amp;"4020.300"</f>
        <v>12023011.4020.300</v>
      </c>
      <c r="B57" s="51">
        <f>('Payroll Accrual'!O57)</f>
        <v>1.9153199999999999</v>
      </c>
      <c r="C57" s="52"/>
      <c r="D57" s="53"/>
      <c r="H57" s="47" t="s">
        <v>517</v>
      </c>
      <c r="M57" s="56">
        <f>('Payroll Accrual'!M57)</f>
        <v>19026</v>
      </c>
    </row>
    <row r="58" spans="1:13" outlineLevel="1" x14ac:dyDescent="0.2">
      <c r="A58" s="50" t="str">
        <f>LEFT('Payroll Accrual'!A58,9)&amp;"4020.300"</f>
        <v>12023011.4020.300</v>
      </c>
      <c r="B58" s="51">
        <f>('Payroll Accrual'!O58)</f>
        <v>5.7459599999999993</v>
      </c>
      <c r="C58" s="52"/>
      <c r="D58" s="53"/>
      <c r="H58" s="47" t="s">
        <v>517</v>
      </c>
      <c r="M58" s="56">
        <f>('Payroll Accrual'!M58)</f>
        <v>19006</v>
      </c>
    </row>
    <row r="59" spans="1:13" outlineLevel="1" x14ac:dyDescent="0.2">
      <c r="A59" s="50" t="str">
        <f>LEFT('Payroll Accrual'!A59,9)&amp;"4020.300"</f>
        <v>12023021.4020.300</v>
      </c>
      <c r="B59" s="51">
        <f>('Payroll Accrual'!O59)</f>
        <v>0.82994999999999985</v>
      </c>
      <c r="C59" s="52"/>
      <c r="D59" s="53"/>
      <c r="H59" s="47" t="s">
        <v>517</v>
      </c>
      <c r="M59" s="56">
        <f>('Payroll Accrual'!M59)</f>
        <v>19027</v>
      </c>
    </row>
    <row r="60" spans="1:13" outlineLevel="1" x14ac:dyDescent="0.2">
      <c r="A60" s="50" t="str">
        <f>LEFT('Payroll Accrual'!A60,9)&amp;"4020.300"</f>
        <v>12023021.4020.300</v>
      </c>
      <c r="B60" s="51">
        <f>('Payroll Accrual'!O60)</f>
        <v>4.49031</v>
      </c>
      <c r="C60" s="52"/>
      <c r="D60" s="53"/>
      <c r="H60" s="47" t="s">
        <v>517</v>
      </c>
      <c r="M60" s="56">
        <f>('Payroll Accrual'!M60)</f>
        <v>18980</v>
      </c>
    </row>
    <row r="61" spans="1:13" outlineLevel="1" x14ac:dyDescent="0.2">
      <c r="A61" s="50" t="str">
        <f>LEFT('Payroll Accrual'!A61,9)&amp;"4020.300"</f>
        <v>12023021.4020.300</v>
      </c>
      <c r="B61" s="51">
        <f>('Payroll Accrual'!O61)</f>
        <v>2.7238200000000004</v>
      </c>
      <c r="C61" s="52"/>
      <c r="D61" s="53"/>
      <c r="H61" s="47" t="s">
        <v>517</v>
      </c>
      <c r="M61" s="56">
        <f>('Payroll Accrual'!M61)</f>
        <v>19021</v>
      </c>
    </row>
    <row r="62" spans="1:13" outlineLevel="1" x14ac:dyDescent="0.2">
      <c r="A62" s="50" t="str">
        <f>LEFT('Payroll Accrual'!A62,9)&amp;"4020.300"</f>
        <v>12030611.4020.300</v>
      </c>
      <c r="B62" s="51">
        <f>('Payroll Accrual'!O62)</f>
        <v>18.370109999999997</v>
      </c>
      <c r="C62" s="52"/>
      <c r="D62" s="53"/>
      <c r="H62" s="47" t="s">
        <v>517</v>
      </c>
      <c r="M62" s="56">
        <f>('Payroll Accrual'!M62)</f>
        <v>18887</v>
      </c>
    </row>
    <row r="63" spans="1:13" outlineLevel="1" x14ac:dyDescent="0.2">
      <c r="A63" s="50" t="str">
        <f>LEFT('Payroll Accrual'!A63,9)&amp;"4020.300"</f>
        <v>12030611.4020.300</v>
      </c>
      <c r="B63" s="51">
        <f>('Payroll Accrual'!O63)</f>
        <v>8.6615100000000016</v>
      </c>
      <c r="C63" s="52"/>
      <c r="D63" s="53"/>
      <c r="H63" s="47" t="s">
        <v>517</v>
      </c>
      <c r="M63" s="56">
        <f>('Payroll Accrual'!M63)</f>
        <v>18827</v>
      </c>
    </row>
    <row r="64" spans="1:13" outlineLevel="1" x14ac:dyDescent="0.2">
      <c r="A64" s="50" t="str">
        <f>LEFT('Payroll Accrual'!A64,9)&amp;"4020.300"</f>
        <v>12030611.4020.300</v>
      </c>
      <c r="B64" s="51">
        <f>('Payroll Accrual'!O64)</f>
        <v>46.698299999999996</v>
      </c>
      <c r="C64" s="52"/>
      <c r="D64" s="53"/>
      <c r="H64" s="47" t="s">
        <v>517</v>
      </c>
      <c r="M64" s="56">
        <f>('Payroll Accrual'!M64)</f>
        <v>18918</v>
      </c>
    </row>
    <row r="65" spans="1:13" outlineLevel="1" x14ac:dyDescent="0.2">
      <c r="A65" s="50" t="str">
        <f>LEFT('Payroll Accrual'!A65,9)&amp;"4020.300"</f>
        <v>12030611.4020.300</v>
      </c>
      <c r="B65" s="51">
        <f>('Payroll Accrual'!O65)</f>
        <v>22.041360000000001</v>
      </c>
      <c r="C65" s="52"/>
      <c r="D65" s="53"/>
      <c r="H65" s="47" t="s">
        <v>517</v>
      </c>
      <c r="M65" s="56">
        <f>('Payroll Accrual'!M65)</f>
        <v>18949</v>
      </c>
    </row>
    <row r="66" spans="1:13" outlineLevel="1" x14ac:dyDescent="0.2">
      <c r="A66" s="50" t="str">
        <f>LEFT('Payroll Accrual'!A66,9)&amp;"4020.300"</f>
        <v>12030611.4020.300</v>
      </c>
      <c r="B66" s="51">
        <f>('Payroll Accrual'!O66)</f>
        <v>3.6059099999999997</v>
      </c>
      <c r="C66" s="52"/>
      <c r="D66" s="53"/>
      <c r="H66" s="47" t="s">
        <v>517</v>
      </c>
      <c r="M66" s="56">
        <f>('Payroll Accrual'!M66)</f>
        <v>134</v>
      </c>
    </row>
    <row r="67" spans="1:13" outlineLevel="1" x14ac:dyDescent="0.2">
      <c r="A67" s="50" t="str">
        <f>LEFT('Payroll Accrual'!A67,9)&amp;"4020.300"</f>
        <v>12030611.4020.300</v>
      </c>
      <c r="B67" s="51">
        <f>('Payroll Accrual'!O67)</f>
        <v>2.9366699999999994</v>
      </c>
      <c r="C67" s="52"/>
      <c r="D67" s="53"/>
      <c r="H67" s="47" t="s">
        <v>517</v>
      </c>
      <c r="M67" s="56">
        <f>('Payroll Accrual'!M67)</f>
        <v>18822</v>
      </c>
    </row>
    <row r="68" spans="1:13" outlineLevel="1" x14ac:dyDescent="0.2">
      <c r="A68" s="50" t="str">
        <f>LEFT('Payroll Accrual'!A68,9)&amp;"4020.300"</f>
        <v>12030611.4020.300</v>
      </c>
      <c r="B68" s="51">
        <f>('Payroll Accrual'!O68)</f>
        <v>8.5763699999999989</v>
      </c>
      <c r="C68" s="52"/>
      <c r="D68" s="53"/>
      <c r="H68" s="47" t="s">
        <v>517</v>
      </c>
      <c r="M68" s="56">
        <f>('Payroll Accrual'!M68)</f>
        <v>18797</v>
      </c>
    </row>
    <row r="69" spans="1:13" outlineLevel="1" x14ac:dyDescent="0.2">
      <c r="A69" s="50" t="str">
        <f>LEFT('Payroll Accrual'!A69,9)&amp;"4020.300"</f>
        <v>12030611.4020.300</v>
      </c>
      <c r="B69" s="51">
        <f>('Payroll Accrual'!O69)</f>
        <v>12.740309999999999</v>
      </c>
      <c r="C69" s="52"/>
      <c r="D69" s="53"/>
      <c r="H69" s="47" t="s">
        <v>517</v>
      </c>
      <c r="M69" s="56">
        <f>('Payroll Accrual'!M69)</f>
        <v>18929</v>
      </c>
    </row>
    <row r="70" spans="1:13" outlineLevel="1" x14ac:dyDescent="0.2">
      <c r="A70" s="50" t="str">
        <f>LEFT('Payroll Accrual'!A70,9)&amp;"4020.300"</f>
        <v>12030611.4020.300</v>
      </c>
      <c r="B70" s="51">
        <f>('Payroll Accrual'!O70)</f>
        <v>15.539040000000002</v>
      </c>
      <c r="C70" s="52"/>
      <c r="D70" s="53"/>
      <c r="H70" s="47" t="s">
        <v>517</v>
      </c>
      <c r="M70" s="56">
        <f>('Payroll Accrual'!M70)</f>
        <v>18979</v>
      </c>
    </row>
    <row r="71" spans="1:13" outlineLevel="1" x14ac:dyDescent="0.2">
      <c r="A71" s="50" t="str">
        <f>LEFT('Payroll Accrual'!A71,9)&amp;"4020.300"</f>
        <v>12030800.4020.300</v>
      </c>
      <c r="B71" s="51">
        <f>('Payroll Accrual'!O71)</f>
        <v>4.9384499999999996</v>
      </c>
      <c r="C71" s="52"/>
      <c r="D71" s="53"/>
      <c r="H71" s="47" t="s">
        <v>517</v>
      </c>
      <c r="M71" s="56">
        <f>('Payroll Accrual'!M71)</f>
        <v>18989</v>
      </c>
    </row>
    <row r="72" spans="1:13" outlineLevel="1" x14ac:dyDescent="0.2">
      <c r="A72" s="50" t="str">
        <f>LEFT('Payroll Accrual'!A72,9)&amp;"4020.300"</f>
        <v>12032511.4020.300</v>
      </c>
      <c r="B72" s="51">
        <f>('Payroll Accrual'!O72)</f>
        <v>24.53154</v>
      </c>
      <c r="C72" s="52"/>
      <c r="D72" s="53"/>
      <c r="H72" s="47" t="s">
        <v>517</v>
      </c>
      <c r="M72" s="56">
        <f>('Payroll Accrual'!M72)</f>
        <v>18736</v>
      </c>
    </row>
    <row r="73" spans="1:13" outlineLevel="1" x14ac:dyDescent="0.2">
      <c r="A73" s="50" t="str">
        <f>LEFT('Payroll Accrual'!A73,9)&amp;"4020.300"</f>
        <v>12033011.4020.300</v>
      </c>
      <c r="B73" s="51">
        <f>('Payroll Accrual'!O73)</f>
        <v>20.013179999999998</v>
      </c>
      <c r="C73" s="52"/>
      <c r="D73" s="53"/>
      <c r="H73" s="47" t="s">
        <v>517</v>
      </c>
      <c r="M73" s="56">
        <f>('Payroll Accrual'!M73)</f>
        <v>19028</v>
      </c>
    </row>
    <row r="74" spans="1:13" outlineLevel="1" x14ac:dyDescent="0.2">
      <c r="A74" s="50" t="str">
        <f>LEFT('Payroll Accrual'!A74,9)&amp;"4020.300"</f>
        <v>12033011.4020.300</v>
      </c>
      <c r="B74" s="51">
        <f>('Payroll Accrual'!O74)</f>
        <v>18.433140000000002</v>
      </c>
      <c r="C74" s="52"/>
      <c r="D74" s="53"/>
      <c r="H74" s="47" t="s">
        <v>517</v>
      </c>
      <c r="M74" s="56">
        <f>('Payroll Accrual'!M74)</f>
        <v>19017</v>
      </c>
    </row>
    <row r="75" spans="1:13" outlineLevel="1" x14ac:dyDescent="0.2">
      <c r="A75" s="50" t="str">
        <f>LEFT('Payroll Accrual'!A75,9)&amp;"4020.300"</f>
        <v>12033011.4020.300</v>
      </c>
      <c r="B75" s="51">
        <f>('Payroll Accrual'!O75)</f>
        <v>13.189770000000001</v>
      </c>
      <c r="C75" s="52"/>
      <c r="D75" s="53"/>
      <c r="H75" s="47" t="s">
        <v>517</v>
      </c>
      <c r="M75" s="56">
        <f>('Payroll Accrual'!M75)</f>
        <v>19019</v>
      </c>
    </row>
    <row r="76" spans="1:13" outlineLevel="1" x14ac:dyDescent="0.2">
      <c r="A76" s="50" t="str">
        <f>LEFT('Payroll Accrual'!A76,9)&amp;"4020.300"</f>
        <v>12033011.4020.300</v>
      </c>
      <c r="B76" s="51">
        <f>('Payroll Accrual'!O76)</f>
        <v>8.4077400000000004</v>
      </c>
      <c r="C76" s="52"/>
      <c r="D76" s="53"/>
      <c r="H76" s="47" t="s">
        <v>517</v>
      </c>
      <c r="M76" s="56">
        <f>('Payroll Accrual'!M76)</f>
        <v>19011</v>
      </c>
    </row>
    <row r="77" spans="1:13" outlineLevel="1" x14ac:dyDescent="0.2">
      <c r="A77" s="50" t="str">
        <f>LEFT('Payroll Accrual'!A77,9)&amp;"4020.300"</f>
        <v>12033011.4020.300</v>
      </c>
      <c r="B77" s="51">
        <f>('Payroll Accrual'!O77)</f>
        <v>17.657969999999999</v>
      </c>
      <c r="C77" s="52"/>
      <c r="D77" s="53"/>
      <c r="H77" s="47" t="s">
        <v>517</v>
      </c>
      <c r="M77" s="56">
        <f>('Payroll Accrual'!M77)</f>
        <v>19015</v>
      </c>
    </row>
    <row r="78" spans="1:13" outlineLevel="1" x14ac:dyDescent="0.2">
      <c r="A78" s="50" t="str">
        <f>LEFT('Payroll Accrual'!A78,9)&amp;"4020.300"</f>
        <v>12033011.4020.300</v>
      </c>
      <c r="B78" s="51">
        <f>('Payroll Accrual'!O78)</f>
        <v>24.284369999999999</v>
      </c>
      <c r="C78" s="52"/>
      <c r="D78" s="53"/>
      <c r="H78" s="47" t="s">
        <v>517</v>
      </c>
      <c r="M78" s="56">
        <f>('Payroll Accrual'!M78)</f>
        <v>18932</v>
      </c>
    </row>
    <row r="79" spans="1:13" outlineLevel="1" x14ac:dyDescent="0.2">
      <c r="A79" s="50" t="str">
        <f>LEFT('Payroll Accrual'!A79,9)&amp;"4020.300"</f>
        <v>12033011.4020.300</v>
      </c>
      <c r="B79" s="51">
        <f>('Payroll Accrual'!O79)</f>
        <v>0.9655800000000001</v>
      </c>
      <c r="C79" s="52"/>
      <c r="D79" s="53"/>
      <c r="H79" s="47" t="s">
        <v>517</v>
      </c>
      <c r="M79" s="56">
        <f>('Payroll Accrual'!M79)</f>
        <v>18607</v>
      </c>
    </row>
    <row r="80" spans="1:13" outlineLevel="1" x14ac:dyDescent="0.2">
      <c r="A80" s="50" t="str">
        <f>LEFT('Payroll Accrual'!A80,9)&amp;"4020.300"</f>
        <v>12033011.4020.300</v>
      </c>
      <c r="B80" s="51">
        <f>('Payroll Accrual'!O80)</f>
        <v>28.208399999999994</v>
      </c>
      <c r="C80" s="52"/>
      <c r="D80" s="53"/>
      <c r="H80" s="47" t="s">
        <v>517</v>
      </c>
      <c r="M80" s="56">
        <f>('Payroll Accrual'!M80)</f>
        <v>18983</v>
      </c>
    </row>
    <row r="81" spans="1:13" outlineLevel="1" x14ac:dyDescent="0.2">
      <c r="A81" s="50" t="str">
        <f>LEFT('Payroll Accrual'!A81,9)&amp;"4020.300"</f>
        <v>12033011.4020.300</v>
      </c>
      <c r="B81" s="51">
        <f>('Payroll Accrual'!O81)</f>
        <v>3.1554600000000006</v>
      </c>
      <c r="C81" s="52"/>
      <c r="D81" s="53"/>
      <c r="H81" s="47" t="s">
        <v>517</v>
      </c>
      <c r="M81" s="56">
        <f>('Payroll Accrual'!M81)</f>
        <v>19009</v>
      </c>
    </row>
    <row r="82" spans="1:13" outlineLevel="1" x14ac:dyDescent="0.2">
      <c r="A82" s="50" t="str">
        <f>LEFT('Payroll Accrual'!A82,9)&amp;"4020.300"</f>
        <v>12033011.4020.300</v>
      </c>
      <c r="B82" s="51">
        <f>('Payroll Accrual'!O82)</f>
        <v>0.28445999999999994</v>
      </c>
      <c r="C82" s="52"/>
      <c r="D82" s="53"/>
      <c r="H82" s="47" t="s">
        <v>517</v>
      </c>
      <c r="M82" s="56">
        <f>('Payroll Accrual'!M82)</f>
        <v>18679</v>
      </c>
    </row>
    <row r="83" spans="1:13" outlineLevel="1" x14ac:dyDescent="0.2">
      <c r="A83" s="50" t="str">
        <f>LEFT('Payroll Accrual'!A83,9)&amp;"4020.300"</f>
        <v>12033011.4020.300</v>
      </c>
      <c r="B83" s="51">
        <f>('Payroll Accrual'!O83)</f>
        <v>20.29335</v>
      </c>
      <c r="C83" s="52"/>
      <c r="D83" s="53"/>
      <c r="H83" s="47" t="s">
        <v>517</v>
      </c>
      <c r="M83" s="56">
        <f>('Payroll Accrual'!M83)</f>
        <v>18829</v>
      </c>
    </row>
    <row r="84" spans="1:13" outlineLevel="1" x14ac:dyDescent="0.2">
      <c r="A84" s="50" t="str">
        <f>LEFT('Payroll Accrual'!A84,9)&amp;"4020.300"</f>
        <v>12033011.4020.300</v>
      </c>
      <c r="B84" s="51">
        <f>('Payroll Accrual'!O84)</f>
        <v>16.816469999999999</v>
      </c>
      <c r="C84" s="52"/>
      <c r="D84" s="53"/>
      <c r="H84" s="47" t="s">
        <v>517</v>
      </c>
      <c r="M84" s="56">
        <f>('Payroll Accrual'!M84)</f>
        <v>19012</v>
      </c>
    </row>
    <row r="85" spans="1:13" outlineLevel="1" x14ac:dyDescent="0.2">
      <c r="A85" s="50" t="str">
        <f>LEFT('Payroll Accrual'!A85,9)&amp;"4020.300"</f>
        <v>12033011.4020.300</v>
      </c>
      <c r="B85" s="51">
        <f>('Payroll Accrual'!O85)</f>
        <v>2.3149500000000001</v>
      </c>
      <c r="C85" s="52"/>
      <c r="D85" s="53"/>
      <c r="H85" s="47" t="s">
        <v>517</v>
      </c>
      <c r="M85" s="56">
        <f>('Payroll Accrual'!M85)</f>
        <v>19008</v>
      </c>
    </row>
    <row r="86" spans="1:13" outlineLevel="1" x14ac:dyDescent="0.2">
      <c r="A86" s="50" t="str">
        <f>LEFT('Payroll Accrual'!A86,9)&amp;"4020.300"</f>
        <v>12033011.4020.300</v>
      </c>
      <c r="B86" s="51">
        <f>('Payroll Accrual'!O86)</f>
        <v>15.077040000000002</v>
      </c>
      <c r="C86" s="52"/>
      <c r="D86" s="53"/>
      <c r="H86" s="47" t="s">
        <v>517</v>
      </c>
      <c r="M86" s="56">
        <f>('Payroll Accrual'!M86)</f>
        <v>19029</v>
      </c>
    </row>
    <row r="87" spans="1:13" outlineLevel="1" x14ac:dyDescent="0.2">
      <c r="A87" s="50" t="str">
        <f>LEFT('Payroll Accrual'!A87,9)&amp;"4020.300"</f>
        <v>12033011.4020.300</v>
      </c>
      <c r="B87" s="51">
        <f>('Payroll Accrual'!O87)</f>
        <v>1.89717</v>
      </c>
      <c r="C87" s="52"/>
      <c r="D87" s="53"/>
      <c r="H87" s="47" t="s">
        <v>517</v>
      </c>
      <c r="M87" s="56">
        <f>('Payroll Accrual'!M87)</f>
        <v>18923</v>
      </c>
    </row>
    <row r="88" spans="1:13" outlineLevel="1" x14ac:dyDescent="0.2">
      <c r="A88" s="50" t="str">
        <f>LEFT('Payroll Accrual'!A88,9)&amp;"4020.300"</f>
        <v>12040800.4020.300</v>
      </c>
      <c r="B88" s="51">
        <f>('Payroll Accrual'!O88)</f>
        <v>1.5747600000000002</v>
      </c>
      <c r="C88" s="52"/>
      <c r="D88" s="53"/>
      <c r="H88" s="47" t="s">
        <v>517</v>
      </c>
      <c r="M88" s="56">
        <f>('Payroll Accrual'!M88)</f>
        <v>18904</v>
      </c>
    </row>
    <row r="89" spans="1:13" outlineLevel="1" x14ac:dyDescent="0.2">
      <c r="A89" s="50" t="str">
        <f>LEFT('Payroll Accrual'!A89,9)&amp;"4020.300"</f>
        <v>12043011.4020.300</v>
      </c>
      <c r="B89" s="51">
        <f>('Payroll Accrual'!O89)</f>
        <v>8.2311900000000016</v>
      </c>
      <c r="C89" s="52"/>
      <c r="D89" s="53"/>
      <c r="H89" s="47" t="s">
        <v>517</v>
      </c>
      <c r="M89" s="56">
        <f>('Payroll Accrual'!M89)</f>
        <v>18924</v>
      </c>
    </row>
    <row r="90" spans="1:13" outlineLevel="1" x14ac:dyDescent="0.2">
      <c r="A90" s="50" t="str">
        <f>LEFT('Payroll Accrual'!A90,9)&amp;"4020.300"</f>
        <v>12043011.4020.300</v>
      </c>
      <c r="B90" s="51">
        <f>('Payroll Accrual'!O90)</f>
        <v>4.2018899999999997</v>
      </c>
      <c r="C90" s="52"/>
      <c r="D90" s="53"/>
      <c r="H90" s="47" t="s">
        <v>517</v>
      </c>
      <c r="M90" s="56">
        <f>('Payroll Accrual'!M90)</f>
        <v>18850</v>
      </c>
    </row>
    <row r="91" spans="1:13" outlineLevel="1" x14ac:dyDescent="0.2">
      <c r="A91" s="50" t="str">
        <f>LEFT('Payroll Accrual'!A91,9)&amp;"4020.300"</f>
        <v>12043011.4020.300</v>
      </c>
      <c r="B91" s="51">
        <f>('Payroll Accrual'!O91)</f>
        <v>0.5745300000000001</v>
      </c>
      <c r="C91" s="52"/>
      <c r="D91" s="53"/>
      <c r="H91" s="47" t="s">
        <v>517</v>
      </c>
      <c r="M91" s="56">
        <f>('Payroll Accrual'!M91)</f>
        <v>18942</v>
      </c>
    </row>
    <row r="92" spans="1:13" outlineLevel="1" x14ac:dyDescent="0.2">
      <c r="A92" s="50" t="str">
        <f>LEFT('Payroll Accrual'!A92,9)&amp;"4020.300"</f>
        <v>12043011.4020.300</v>
      </c>
      <c r="B92" s="51">
        <f>('Payroll Accrual'!O92)</f>
        <v>6.1208399999999994</v>
      </c>
      <c r="C92" s="52"/>
      <c r="D92" s="53"/>
      <c r="H92" s="47" t="s">
        <v>517</v>
      </c>
      <c r="M92" s="56">
        <f>('Payroll Accrual'!M92)</f>
        <v>18646</v>
      </c>
    </row>
    <row r="93" spans="1:13" outlineLevel="1" x14ac:dyDescent="0.2">
      <c r="A93" s="50" t="str">
        <f>LEFT('Payroll Accrual'!A93,9)&amp;"4020.300"</f>
        <v>12043011.4020.300</v>
      </c>
      <c r="B93" s="51">
        <f>('Payroll Accrual'!O93)</f>
        <v>1.0583099999999999</v>
      </c>
      <c r="C93" s="52"/>
      <c r="D93" s="53"/>
      <c r="H93" s="47" t="s">
        <v>517</v>
      </c>
      <c r="M93" s="56">
        <f>('Payroll Accrual'!M93)</f>
        <v>18986</v>
      </c>
    </row>
    <row r="94" spans="1:13" outlineLevel="1" x14ac:dyDescent="0.2">
      <c r="A94" s="50" t="str">
        <f>LEFT('Payroll Accrual'!A94,9)&amp;"4020.300"</f>
        <v>12043011.4020.300</v>
      </c>
      <c r="B94" s="51">
        <f>('Payroll Accrual'!O94)</f>
        <v>1.5285599999999999</v>
      </c>
      <c r="C94" s="52"/>
      <c r="D94" s="53"/>
      <c r="H94" s="47" t="s">
        <v>517</v>
      </c>
      <c r="M94" s="56">
        <f>('Payroll Accrual'!M94)</f>
        <v>18990</v>
      </c>
    </row>
    <row r="95" spans="1:13" outlineLevel="1" x14ac:dyDescent="0.2">
      <c r="A95" s="50" t="str">
        <f>LEFT('Payroll Accrual'!A95,9)&amp;"4020.300"</f>
        <v>12043011.4020.300</v>
      </c>
      <c r="B95" s="51">
        <f>('Payroll Accrual'!O95)</f>
        <v>5.2139999999999999E-2</v>
      </c>
      <c r="C95" s="52"/>
      <c r="D95" s="53"/>
      <c r="H95" s="47" t="s">
        <v>517</v>
      </c>
      <c r="M95" s="56">
        <f>('Payroll Accrual'!M95)</f>
        <v>18703</v>
      </c>
    </row>
    <row r="96" spans="1:13" outlineLevel="1" x14ac:dyDescent="0.2">
      <c r="A96" s="50" t="str">
        <f>LEFT('Payroll Accrual'!A96,9)&amp;"4020.300"</f>
        <v>12043011.4020.300</v>
      </c>
      <c r="B96" s="51">
        <f>('Payroll Accrual'!O96)</f>
        <v>1.2543299999999999</v>
      </c>
      <c r="C96" s="52"/>
      <c r="D96" s="53"/>
      <c r="H96" s="47" t="s">
        <v>517</v>
      </c>
      <c r="M96" s="56">
        <f>('Payroll Accrual'!M96)</f>
        <v>19039</v>
      </c>
    </row>
    <row r="97" spans="1:13" outlineLevel="1" x14ac:dyDescent="0.2">
      <c r="A97" s="50" t="str">
        <f>LEFT('Payroll Accrual'!A97,9)&amp;"4020.300"</f>
        <v>12060611.4020.300</v>
      </c>
      <c r="B97" s="51">
        <f>('Payroll Accrual'!O97)</f>
        <v>1.2982199999999999</v>
      </c>
      <c r="C97" s="52"/>
      <c r="D97" s="53"/>
      <c r="H97" s="47" t="s">
        <v>517</v>
      </c>
      <c r="M97" s="56">
        <f>('Payroll Accrual'!M97)</f>
        <v>18927</v>
      </c>
    </row>
    <row r="98" spans="1:13" outlineLevel="1" x14ac:dyDescent="0.2">
      <c r="A98" s="50" t="str">
        <f>LEFT('Payroll Accrual'!A98,9)&amp;"4020.300"</f>
        <v>12060611.4020.300</v>
      </c>
      <c r="B98" s="51">
        <f>('Payroll Accrual'!O98)</f>
        <v>6.3937499999999998</v>
      </c>
      <c r="C98" s="52"/>
      <c r="D98" s="53"/>
      <c r="H98" s="47" t="s">
        <v>517</v>
      </c>
      <c r="M98" s="56">
        <f>('Payroll Accrual'!M98)</f>
        <v>18823</v>
      </c>
    </row>
    <row r="99" spans="1:13" outlineLevel="1" x14ac:dyDescent="0.2">
      <c r="A99" s="50" t="str">
        <f>LEFT('Payroll Accrual'!A99,9)&amp;"4020.300"</f>
        <v>12060611.4020.300</v>
      </c>
      <c r="B99" s="51">
        <f>('Payroll Accrual'!O99)</f>
        <v>1.6160100000000002</v>
      </c>
      <c r="C99" s="52"/>
      <c r="D99" s="53"/>
      <c r="H99" s="47" t="s">
        <v>517</v>
      </c>
      <c r="M99" s="56">
        <f>('Payroll Accrual'!M99)</f>
        <v>18634</v>
      </c>
    </row>
    <row r="100" spans="1:13" outlineLevel="1" x14ac:dyDescent="0.2">
      <c r="A100" s="50" t="str">
        <f>LEFT('Payroll Accrual'!A100,9)&amp;"4020.300"</f>
        <v>12060611.4020.300</v>
      </c>
      <c r="B100" s="51">
        <f>('Payroll Accrual'!O100)</f>
        <v>7.703520000000001</v>
      </c>
      <c r="C100" s="52"/>
      <c r="D100" s="53"/>
      <c r="H100" s="47" t="s">
        <v>517</v>
      </c>
      <c r="M100" s="56">
        <f>('Payroll Accrual'!M100)</f>
        <v>18996</v>
      </c>
    </row>
    <row r="101" spans="1:13" outlineLevel="1" x14ac:dyDescent="0.2">
      <c r="A101" s="50" t="str">
        <f>LEFT('Payroll Accrual'!A101,9)&amp;"4020.300"</f>
        <v>12060611.4020.300</v>
      </c>
      <c r="B101" s="51">
        <f>('Payroll Accrual'!O101)</f>
        <v>4.9691400000000003</v>
      </c>
      <c r="C101" s="52"/>
      <c r="D101" s="53"/>
      <c r="H101" s="47" t="s">
        <v>517</v>
      </c>
      <c r="M101" s="56">
        <f>('Payroll Accrual'!M101)</f>
        <v>18895</v>
      </c>
    </row>
    <row r="102" spans="1:13" outlineLevel="1" x14ac:dyDescent="0.2">
      <c r="A102" s="50" t="str">
        <f>LEFT('Payroll Accrual'!A102,9)&amp;"4020.300"</f>
        <v>12060611.4020.300</v>
      </c>
      <c r="B102" s="51">
        <f>('Payroll Accrual'!O102)</f>
        <v>16.067699999999999</v>
      </c>
      <c r="C102" s="52"/>
      <c r="D102" s="53"/>
      <c r="H102" s="47" t="s">
        <v>517</v>
      </c>
      <c r="M102" s="56">
        <f>('Payroll Accrual'!M102)</f>
        <v>18898</v>
      </c>
    </row>
    <row r="103" spans="1:13" outlineLevel="1" x14ac:dyDescent="0.2">
      <c r="A103" s="50" t="str">
        <f>LEFT('Payroll Accrual'!A103,9)&amp;"4020.300"</f>
        <v>12060800.4020.300</v>
      </c>
      <c r="B103" s="51">
        <f>('Payroll Accrual'!O103)</f>
        <v>9.2842199999999995</v>
      </c>
      <c r="C103" s="52"/>
      <c r="D103" s="53"/>
      <c r="H103" s="47" t="s">
        <v>517</v>
      </c>
      <c r="M103" s="56">
        <f>('Payroll Accrual'!M103)</f>
        <v>18561</v>
      </c>
    </row>
    <row r="104" spans="1:13" outlineLevel="1" x14ac:dyDescent="0.2">
      <c r="A104" s="50" t="str">
        <f>LEFT('Payroll Accrual'!A104,9)&amp;"4020.300"</f>
        <v>12060800.4020.300</v>
      </c>
      <c r="B104" s="51">
        <f>('Payroll Accrual'!O104)</f>
        <v>1.9011300000000002</v>
      </c>
      <c r="C104" s="52"/>
      <c r="D104" s="53"/>
      <c r="H104" s="47" t="s">
        <v>517</v>
      </c>
      <c r="M104" s="56">
        <f>('Payroll Accrual'!M104)</f>
        <v>18953</v>
      </c>
    </row>
    <row r="105" spans="1:13" outlineLevel="1" x14ac:dyDescent="0.2">
      <c r="A105" s="50" t="str">
        <f>LEFT('Payroll Accrual'!A105,9)&amp;"4020.300"</f>
        <v>12062511.4020.300</v>
      </c>
      <c r="B105" s="51">
        <f>('Payroll Accrual'!O105)</f>
        <v>0.26565</v>
      </c>
      <c r="C105" s="52"/>
      <c r="D105" s="53"/>
      <c r="H105" s="47" t="s">
        <v>517</v>
      </c>
      <c r="M105" s="56">
        <f>('Payroll Accrual'!M105)</f>
        <v>156</v>
      </c>
    </row>
    <row r="106" spans="1:13" outlineLevel="1" x14ac:dyDescent="0.2">
      <c r="A106" s="50" t="str">
        <f>LEFT('Payroll Accrual'!A106,9)&amp;"4020.300"</f>
        <v>12062511.4020.300</v>
      </c>
      <c r="B106" s="51">
        <f>('Payroll Accrual'!O106)</f>
        <v>1.8727499999999999</v>
      </c>
      <c r="C106" s="52"/>
      <c r="D106" s="53"/>
      <c r="H106" s="47" t="s">
        <v>517</v>
      </c>
      <c r="M106" s="56">
        <f>('Payroll Accrual'!M106)</f>
        <v>18792</v>
      </c>
    </row>
    <row r="107" spans="1:13" outlineLevel="1" x14ac:dyDescent="0.2">
      <c r="A107" s="50" t="str">
        <f>LEFT('Payroll Accrual'!A107,9)&amp;"4020.300"</f>
        <v>12062511.4020.300</v>
      </c>
      <c r="B107" s="51">
        <f>('Payroll Accrual'!O107)</f>
        <v>1.4483700000000002</v>
      </c>
      <c r="C107" s="52"/>
      <c r="D107" s="53"/>
      <c r="H107" s="47" t="s">
        <v>517</v>
      </c>
      <c r="M107" s="56">
        <f>('Payroll Accrual'!M107)</f>
        <v>18506</v>
      </c>
    </row>
    <row r="108" spans="1:13" outlineLevel="1" x14ac:dyDescent="0.2">
      <c r="A108" s="50" t="str">
        <f>LEFT('Payroll Accrual'!A108,9)&amp;"4020.300"</f>
        <v>12063011.4020.300</v>
      </c>
      <c r="B108" s="51">
        <f>('Payroll Accrual'!O108)</f>
        <v>10.95534</v>
      </c>
      <c r="C108" s="52"/>
      <c r="D108" s="53"/>
      <c r="H108" s="47" t="s">
        <v>517</v>
      </c>
      <c r="M108" s="56">
        <f>('Payroll Accrual'!M108)</f>
        <v>19037</v>
      </c>
    </row>
    <row r="109" spans="1:13" outlineLevel="1" x14ac:dyDescent="0.2">
      <c r="A109" s="50" t="str">
        <f>LEFT('Payroll Accrual'!A109,9)&amp;"4020.300"</f>
        <v>12010500.4020.300</v>
      </c>
      <c r="B109" s="51">
        <f>('Payroll Accrual'!O109)</f>
        <v>7.6154100000000007</v>
      </c>
      <c r="C109" s="52"/>
      <c r="D109" s="53"/>
      <c r="H109" s="47" t="s">
        <v>517</v>
      </c>
      <c r="M109" s="56">
        <f>('Payroll Accrual'!M109)</f>
        <v>18517</v>
      </c>
    </row>
    <row r="110" spans="1:13" outlineLevel="1" x14ac:dyDescent="0.2">
      <c r="A110" s="50" t="str">
        <f>LEFT('Payroll Accrual'!A110,9)&amp;"4020.300"</f>
        <v>12013012.4020.300</v>
      </c>
      <c r="B110" s="51">
        <f>('Payroll Accrual'!O110)</f>
        <v>0.79695000000000005</v>
      </c>
      <c r="C110" s="52"/>
      <c r="D110" s="53"/>
      <c r="H110" s="47" t="s">
        <v>517</v>
      </c>
      <c r="M110" s="56">
        <f>('Payroll Accrual'!M110)</f>
        <v>18736</v>
      </c>
    </row>
    <row r="111" spans="1:13" outlineLevel="1" x14ac:dyDescent="0.2">
      <c r="A111" s="50" t="str">
        <f>LEFT('Payroll Accrual'!A111,9)&amp;"4020.300"</f>
        <v>12013250.4020.300</v>
      </c>
      <c r="B111" s="51">
        <f>('Payroll Accrual'!O111)</f>
        <v>22.846229999999998</v>
      </c>
      <c r="C111" s="52"/>
      <c r="D111" s="53"/>
      <c r="H111" s="47" t="s">
        <v>517</v>
      </c>
      <c r="M111" s="56">
        <f>('Payroll Accrual'!M111)</f>
        <v>18920</v>
      </c>
    </row>
    <row r="112" spans="1:13" outlineLevel="1" x14ac:dyDescent="0.2">
      <c r="A112" s="50" t="str">
        <f>LEFT('Payroll Accrual'!A112,9)&amp;"4020.300"</f>
        <v>12018099.4020.300</v>
      </c>
      <c r="B112" s="51">
        <f>('Payroll Accrual'!O112)</f>
        <v>22.846229999999998</v>
      </c>
      <c r="C112" s="52"/>
      <c r="D112" s="53"/>
      <c r="H112" s="47" t="s">
        <v>517</v>
      </c>
      <c r="M112" s="56">
        <f>('Payroll Accrual'!M112)</f>
        <v>18948</v>
      </c>
    </row>
    <row r="113" spans="1:13" outlineLevel="1" x14ac:dyDescent="0.2">
      <c r="A113" s="50" t="str">
        <f>LEFT('Payroll Accrual'!A113,9)&amp;"4020.300"</f>
        <v>12018099.4020.300</v>
      </c>
      <c r="B113" s="51">
        <f>('Payroll Accrual'!O113)</f>
        <v>22.846229999999998</v>
      </c>
      <c r="C113" s="52"/>
      <c r="D113" s="53"/>
      <c r="H113" s="47" t="s">
        <v>517</v>
      </c>
      <c r="M113" s="56">
        <f>('Payroll Accrual'!M113)</f>
        <v>18716</v>
      </c>
    </row>
    <row r="114" spans="1:13" outlineLevel="1" x14ac:dyDescent="0.2">
      <c r="A114" s="50" t="str">
        <f>LEFT('Payroll Accrual'!A114,9)&amp;"4020.300"</f>
        <v>12018599.4020.300</v>
      </c>
      <c r="B114" s="51">
        <f>('Payroll Accrual'!O114)</f>
        <v>8.8185900000000021</v>
      </c>
      <c r="C114" s="52"/>
      <c r="D114" s="53"/>
      <c r="H114" s="47" t="s">
        <v>517</v>
      </c>
      <c r="M114" s="56">
        <f>('Payroll Accrual'!M114)</f>
        <v>18969</v>
      </c>
    </row>
    <row r="115" spans="1:13" outlineLevel="1" x14ac:dyDescent="0.2">
      <c r="A115" s="50" t="str">
        <f>LEFT('Payroll Accrual'!A115,9)&amp;"4020.300"</f>
        <v>12018599.4020.300</v>
      </c>
      <c r="B115" s="51">
        <f>('Payroll Accrual'!O115)</f>
        <v>1.2031799999999999</v>
      </c>
      <c r="C115" s="52"/>
      <c r="D115" s="53"/>
      <c r="H115" s="47" t="s">
        <v>517</v>
      </c>
      <c r="M115" s="56">
        <f>('Payroll Accrual'!M115)</f>
        <v>18862</v>
      </c>
    </row>
    <row r="116" spans="1:13" outlineLevel="1" x14ac:dyDescent="0.2">
      <c r="A116" s="50" t="str">
        <f>LEFT('Payroll Accrual'!A116,9)&amp;"4020.300"</f>
        <v>12019099.4020.300</v>
      </c>
      <c r="B116" s="51">
        <f>('Payroll Accrual'!O116)</f>
        <v>22.846229999999998</v>
      </c>
      <c r="C116" s="52"/>
      <c r="D116" s="53"/>
      <c r="H116" s="47" t="s">
        <v>517</v>
      </c>
      <c r="M116" s="56">
        <f>('Payroll Accrual'!M116)</f>
        <v>18886</v>
      </c>
    </row>
    <row r="117" spans="1:13" outlineLevel="1" x14ac:dyDescent="0.2">
      <c r="A117" s="50" t="str">
        <f>LEFT('Payroll Accrual'!A117,9)&amp;"4020.300"</f>
        <v>12019199.4020.300</v>
      </c>
      <c r="B117" s="51">
        <f>('Payroll Accrual'!O117)</f>
        <v>22.846229999999998</v>
      </c>
      <c r="C117" s="52"/>
      <c r="D117" s="53"/>
      <c r="H117" s="47" t="s">
        <v>517</v>
      </c>
      <c r="M117" s="56">
        <f>('Payroll Accrual'!M117)</f>
        <v>18853</v>
      </c>
    </row>
    <row r="118" spans="1:13" outlineLevel="1" x14ac:dyDescent="0.2">
      <c r="A118" s="50" t="str">
        <f>LEFT('Payroll Accrual'!A118,9)&amp;"4020.300"</f>
        <v>12020611.4020.300</v>
      </c>
      <c r="B118" s="51">
        <f>('Payroll Accrual'!O118)</f>
        <v>1.2031799999999999</v>
      </c>
      <c r="C118" s="52"/>
      <c r="D118" s="53"/>
      <c r="H118" s="47" t="s">
        <v>517</v>
      </c>
      <c r="M118" s="56">
        <f>('Payroll Accrual'!M118)</f>
        <v>18866</v>
      </c>
    </row>
    <row r="119" spans="1:13" outlineLevel="1" x14ac:dyDescent="0.2">
      <c r="A119" s="50" t="str">
        <f>LEFT('Payroll Accrual'!A119,9)&amp;"4020.300"</f>
        <v>12020611.4020.300</v>
      </c>
      <c r="B119" s="51">
        <f>('Payroll Accrual'!O119)</f>
        <v>3.8817900000000001</v>
      </c>
      <c r="C119" s="52"/>
      <c r="D119" s="53"/>
      <c r="H119" s="47" t="s">
        <v>517</v>
      </c>
      <c r="M119" s="56">
        <f>('Payroll Accrual'!M119)</f>
        <v>18831</v>
      </c>
    </row>
    <row r="120" spans="1:13" outlineLevel="1" x14ac:dyDescent="0.2">
      <c r="A120" s="50" t="str">
        <f>LEFT('Payroll Accrual'!A120,9)&amp;"4020.300"</f>
        <v>12020611.4020.300</v>
      </c>
      <c r="B120" s="51">
        <f>('Payroll Accrual'!O120)</f>
        <v>5.998079999999999</v>
      </c>
      <c r="C120" s="52"/>
      <c r="D120" s="53"/>
      <c r="H120" s="47" t="s">
        <v>517</v>
      </c>
      <c r="M120" s="56">
        <f>('Payroll Accrual'!M120)</f>
        <v>18903</v>
      </c>
    </row>
    <row r="121" spans="1:13" outlineLevel="1" x14ac:dyDescent="0.2">
      <c r="A121" s="50" t="str">
        <f>LEFT('Payroll Accrual'!A121,9)&amp;"4020.300"</f>
        <v>12020711.4020.300</v>
      </c>
      <c r="B121" s="51">
        <f>('Payroll Accrual'!O121)</f>
        <v>11.361239999999999</v>
      </c>
      <c r="C121" s="52"/>
      <c r="D121" s="53"/>
      <c r="H121" s="47" t="s">
        <v>517</v>
      </c>
      <c r="M121" s="56">
        <f>('Payroll Accrual'!M121)</f>
        <v>18879</v>
      </c>
    </row>
    <row r="122" spans="1:13" outlineLevel="1" x14ac:dyDescent="0.2">
      <c r="A122" s="50" t="str">
        <f>LEFT('Payroll Accrual'!A122,9)&amp;"4020.300"</f>
        <v>12020711.4020.300</v>
      </c>
      <c r="B122" s="51">
        <f>('Payroll Accrual'!O122)</f>
        <v>1.2031799999999999</v>
      </c>
      <c r="C122" s="52"/>
      <c r="D122" s="53"/>
      <c r="H122" s="47" t="s">
        <v>517</v>
      </c>
      <c r="M122" s="56">
        <f>('Payroll Accrual'!M122)</f>
        <v>18631</v>
      </c>
    </row>
    <row r="123" spans="1:13" outlineLevel="1" x14ac:dyDescent="0.2">
      <c r="A123" s="50" t="str">
        <f>LEFT('Payroll Accrual'!A123,9)&amp;"4020.300"</f>
        <v>12020800.4020.300</v>
      </c>
      <c r="B123" s="51">
        <f>('Payroll Accrual'!O123)</f>
        <v>11.738100000000001</v>
      </c>
      <c r="C123" s="52"/>
      <c r="D123" s="53"/>
      <c r="H123" s="47" t="s">
        <v>517</v>
      </c>
      <c r="M123" s="56">
        <f>('Payroll Accrual'!M123)</f>
        <v>19013</v>
      </c>
    </row>
    <row r="124" spans="1:13" outlineLevel="1" x14ac:dyDescent="0.2">
      <c r="A124" s="50" t="str">
        <f>LEFT('Payroll Accrual'!A124,9)&amp;"4020.300"</f>
        <v>12021021.4020.300</v>
      </c>
      <c r="B124" s="51">
        <f>('Payroll Accrual'!O124)</f>
        <v>1.2031799999999999</v>
      </c>
      <c r="C124" s="52"/>
      <c r="D124" s="53"/>
      <c r="H124" s="47" t="s">
        <v>517</v>
      </c>
      <c r="M124" s="56">
        <f>('Payroll Accrual'!M124)</f>
        <v>18911</v>
      </c>
    </row>
    <row r="125" spans="1:13" outlineLevel="1" x14ac:dyDescent="0.2">
      <c r="A125" s="50" t="str">
        <f>LEFT('Payroll Accrual'!A125,9)&amp;"4020.300"</f>
        <v>12021021.4020.300</v>
      </c>
      <c r="B125" s="51">
        <f>('Payroll Accrual'!O125)</f>
        <v>0.53129999999999999</v>
      </c>
      <c r="C125" s="52"/>
      <c r="D125" s="53"/>
      <c r="H125" s="47" t="s">
        <v>517</v>
      </c>
      <c r="M125" s="56">
        <f>('Payroll Accrual'!M125)</f>
        <v>18967</v>
      </c>
    </row>
    <row r="126" spans="1:13" outlineLevel="1" x14ac:dyDescent="0.2">
      <c r="A126" s="50" t="str">
        <f>LEFT('Payroll Accrual'!A126,9)&amp;"4020.300"</f>
        <v>12021021.4020.300</v>
      </c>
      <c r="B126" s="51">
        <f>('Payroll Accrual'!O126)</f>
        <v>1.36389</v>
      </c>
      <c r="C126" s="52"/>
      <c r="D126" s="53"/>
      <c r="H126" s="47" t="s">
        <v>517</v>
      </c>
      <c r="M126" s="56">
        <f>('Payroll Accrual'!M126)</f>
        <v>18960</v>
      </c>
    </row>
    <row r="127" spans="1:13" outlineLevel="1" x14ac:dyDescent="0.2">
      <c r="A127" s="50" t="str">
        <f>LEFT('Payroll Accrual'!A127,9)&amp;"4020.300"</f>
        <v>12021021.4020.300</v>
      </c>
      <c r="B127" s="51">
        <f>('Payroll Accrual'!O127)</f>
        <v>0.53129999999999999</v>
      </c>
      <c r="C127" s="52"/>
      <c r="D127" s="53"/>
      <c r="H127" s="47" t="s">
        <v>517</v>
      </c>
      <c r="M127" s="56">
        <f>('Payroll Accrual'!M127)</f>
        <v>18687</v>
      </c>
    </row>
    <row r="128" spans="1:13" outlineLevel="1" x14ac:dyDescent="0.2">
      <c r="A128" s="50" t="str">
        <f>LEFT('Payroll Accrual'!A128,9)&amp;"4020.300"</f>
        <v>12022511.4020.300</v>
      </c>
      <c r="B128" s="51">
        <f>('Payroll Accrual'!O128)</f>
        <v>7.7632499999999984</v>
      </c>
      <c r="C128" s="52"/>
      <c r="D128" s="53"/>
      <c r="H128" s="47" t="s">
        <v>517</v>
      </c>
      <c r="M128" s="56">
        <f>('Payroll Accrual'!M128)</f>
        <v>18961</v>
      </c>
    </row>
    <row r="129" spans="1:13" outlineLevel="1" x14ac:dyDescent="0.2">
      <c r="A129" s="50" t="str">
        <f>LEFT('Payroll Accrual'!A129,9)&amp;"4020.300"</f>
        <v>12022511.4020.300</v>
      </c>
      <c r="B129" s="51">
        <f>('Payroll Accrual'!O129)</f>
        <v>8.2133699999999994</v>
      </c>
      <c r="C129" s="52"/>
      <c r="D129" s="53"/>
      <c r="H129" s="47" t="s">
        <v>517</v>
      </c>
      <c r="M129" s="56">
        <f>('Payroll Accrual'!M129)</f>
        <v>145</v>
      </c>
    </row>
    <row r="130" spans="1:13" outlineLevel="1" x14ac:dyDescent="0.2">
      <c r="A130" s="50" t="str">
        <f>LEFT('Payroll Accrual'!A130,9)&amp;"4020.300"</f>
        <v>12023011.4020.300</v>
      </c>
      <c r="B130" s="51">
        <f>('Payroll Accrual'!O130)</f>
        <v>0.97053</v>
      </c>
      <c r="C130" s="52"/>
      <c r="D130" s="53"/>
      <c r="H130" s="47" t="s">
        <v>517</v>
      </c>
      <c r="M130" s="56">
        <f>('Payroll Accrual'!M130)</f>
        <v>19007</v>
      </c>
    </row>
    <row r="131" spans="1:13" outlineLevel="1" x14ac:dyDescent="0.2">
      <c r="A131" s="50" t="str">
        <f>LEFT('Payroll Accrual'!A131,9)&amp;"4020.300"</f>
        <v>12023011.4020.300</v>
      </c>
      <c r="B131" s="51">
        <f>('Payroll Accrual'!O131)</f>
        <v>1.73448</v>
      </c>
      <c r="C131" s="52"/>
      <c r="D131" s="53"/>
      <c r="H131" s="47" t="s">
        <v>517</v>
      </c>
      <c r="M131" s="56">
        <f>('Payroll Accrual'!M131)</f>
        <v>18974</v>
      </c>
    </row>
    <row r="132" spans="1:13" outlineLevel="1" x14ac:dyDescent="0.2">
      <c r="A132" s="50" t="str">
        <f>LEFT('Payroll Accrual'!A132,9)&amp;"4020.300"</f>
        <v>12023011.4020.300</v>
      </c>
      <c r="B132" s="51">
        <f>('Payroll Accrual'!O132)</f>
        <v>9.7043100000000013</v>
      </c>
      <c r="C132" s="52"/>
      <c r="D132" s="53"/>
      <c r="H132" s="47" t="s">
        <v>517</v>
      </c>
      <c r="M132" s="56">
        <f>('Payroll Accrual'!M132)</f>
        <v>19006</v>
      </c>
    </row>
    <row r="133" spans="1:13" outlineLevel="1" x14ac:dyDescent="0.2">
      <c r="A133" s="50" t="str">
        <f>LEFT('Payroll Accrual'!A133,9)&amp;"4020.300"</f>
        <v>12023011.4020.300</v>
      </c>
      <c r="B133" s="51">
        <f>('Payroll Accrual'!O133)</f>
        <v>13.452119999999999</v>
      </c>
      <c r="C133" s="52"/>
      <c r="D133" s="53"/>
      <c r="H133" s="47" t="s">
        <v>517</v>
      </c>
      <c r="M133" s="56">
        <f>('Payroll Accrual'!M133)</f>
        <v>19041</v>
      </c>
    </row>
    <row r="134" spans="1:13" outlineLevel="1" x14ac:dyDescent="0.2">
      <c r="A134" s="50" t="str">
        <f>LEFT('Payroll Accrual'!A134,9)&amp;"4020.300"</f>
        <v>12023011.4020.300</v>
      </c>
      <c r="B134" s="51">
        <f>('Payroll Accrual'!O134)</f>
        <v>7.6154100000000007</v>
      </c>
      <c r="C134" s="52"/>
      <c r="D134" s="53"/>
      <c r="H134" s="47" t="s">
        <v>517</v>
      </c>
      <c r="M134" s="56">
        <f>('Payroll Accrual'!M134)</f>
        <v>18962</v>
      </c>
    </row>
    <row r="135" spans="1:13" outlineLevel="1" x14ac:dyDescent="0.2">
      <c r="A135" s="50" t="str">
        <f>LEFT('Payroll Accrual'!A135,9)&amp;"4020.300"</f>
        <v>12023011.4020.300</v>
      </c>
      <c r="B135" s="51">
        <f>('Payroll Accrual'!O135)</f>
        <v>1.0266299999999999</v>
      </c>
      <c r="C135" s="52"/>
      <c r="D135" s="53"/>
      <c r="H135" s="47" t="s">
        <v>517</v>
      </c>
      <c r="M135" s="56">
        <f>('Payroll Accrual'!M135)</f>
        <v>19042</v>
      </c>
    </row>
    <row r="136" spans="1:13" outlineLevel="1" x14ac:dyDescent="0.2">
      <c r="A136" s="50" t="str">
        <f>LEFT('Payroll Accrual'!A136,9)&amp;"4020.300"</f>
        <v>12028099.4020.300</v>
      </c>
      <c r="B136" s="51">
        <f>('Payroll Accrual'!O136)</f>
        <v>19.038359999999997</v>
      </c>
      <c r="C136" s="52"/>
      <c r="D136" s="53"/>
      <c r="H136" s="47" t="s">
        <v>517</v>
      </c>
      <c r="M136" s="56">
        <f>('Payroll Accrual'!M136)</f>
        <v>19034</v>
      </c>
    </row>
    <row r="137" spans="1:13" outlineLevel="1" x14ac:dyDescent="0.2">
      <c r="A137" s="50" t="str">
        <f>LEFT('Payroll Accrual'!A137,9)&amp;"4020.300"</f>
        <v>12028099.4020.300</v>
      </c>
      <c r="B137" s="51">
        <f>('Payroll Accrual'!O137)</f>
        <v>27.922949999999997</v>
      </c>
      <c r="C137" s="52"/>
      <c r="D137" s="53"/>
      <c r="H137" s="47" t="s">
        <v>517</v>
      </c>
      <c r="M137" s="56">
        <f>('Payroll Accrual'!M137)</f>
        <v>44705</v>
      </c>
    </row>
    <row r="138" spans="1:13" outlineLevel="1" x14ac:dyDescent="0.2">
      <c r="A138" s="50" t="str">
        <f>LEFT('Payroll Accrual'!A138,9)&amp;"4020.300"</f>
        <v>12030611.4020.300</v>
      </c>
      <c r="B138" s="51">
        <f>('Payroll Accrual'!O138)</f>
        <v>0.53129999999999999</v>
      </c>
      <c r="C138" s="52"/>
      <c r="D138" s="53"/>
      <c r="H138" s="47" t="s">
        <v>517</v>
      </c>
      <c r="M138" s="56">
        <f>('Payroll Accrual'!M138)</f>
        <v>18797</v>
      </c>
    </row>
    <row r="139" spans="1:13" outlineLevel="1" x14ac:dyDescent="0.2">
      <c r="A139" s="50" t="str">
        <f>LEFT('Payroll Accrual'!A139,9)&amp;"4020.300"</f>
        <v>12030611.4020.300</v>
      </c>
      <c r="B139" s="51">
        <f>('Payroll Accrual'!O139)</f>
        <v>3.1878000000000002</v>
      </c>
      <c r="C139" s="52"/>
      <c r="D139" s="53"/>
      <c r="H139" s="47" t="s">
        <v>517</v>
      </c>
      <c r="M139" s="56">
        <f>('Payroll Accrual'!M139)</f>
        <v>18887</v>
      </c>
    </row>
    <row r="140" spans="1:13" outlineLevel="1" x14ac:dyDescent="0.2">
      <c r="A140" s="50" t="str">
        <f>LEFT('Payroll Accrual'!A140,9)&amp;"4020.300"</f>
        <v>12030611.4020.300</v>
      </c>
      <c r="B140" s="51">
        <f>('Payroll Accrual'!O140)</f>
        <v>1.0626</v>
      </c>
      <c r="C140" s="52"/>
      <c r="D140" s="53"/>
      <c r="H140" s="47" t="s">
        <v>517</v>
      </c>
      <c r="M140" s="56">
        <f>('Payroll Accrual'!M140)</f>
        <v>18827</v>
      </c>
    </row>
    <row r="141" spans="1:13" outlineLevel="1" x14ac:dyDescent="0.2">
      <c r="A141" s="50" t="str">
        <f>LEFT('Payroll Accrual'!A141,9)&amp;"4020.300"</f>
        <v>12030611.4020.300</v>
      </c>
      <c r="B141" s="51">
        <f>('Payroll Accrual'!O141)</f>
        <v>11.418000000000001</v>
      </c>
      <c r="C141" s="52"/>
      <c r="D141" s="53"/>
      <c r="H141" s="47" t="s">
        <v>517</v>
      </c>
      <c r="M141" s="56">
        <f>('Payroll Accrual'!M141)</f>
        <v>18626</v>
      </c>
    </row>
    <row r="142" spans="1:13" outlineLevel="1" x14ac:dyDescent="0.2">
      <c r="A142" s="50" t="str">
        <f>LEFT('Payroll Accrual'!A142,9)&amp;"4020.300"</f>
        <v>12030611.4020.300</v>
      </c>
      <c r="B142" s="51">
        <f>('Payroll Accrual'!O142)</f>
        <v>3.7191000000000001</v>
      </c>
      <c r="C142" s="52"/>
      <c r="D142" s="53"/>
      <c r="H142" s="47" t="s">
        <v>517</v>
      </c>
      <c r="M142" s="56">
        <f>('Payroll Accrual'!M142)</f>
        <v>18949</v>
      </c>
    </row>
    <row r="143" spans="1:13" outlineLevel="1" x14ac:dyDescent="0.2">
      <c r="A143" s="50" t="str">
        <f>LEFT('Payroll Accrual'!A143,9)&amp;"4020.300"</f>
        <v>12030611.4020.300</v>
      </c>
      <c r="B143" s="51">
        <f>('Payroll Accrual'!O143)</f>
        <v>10.419749999999999</v>
      </c>
      <c r="C143" s="52"/>
      <c r="D143" s="53"/>
      <c r="H143" s="47" t="s">
        <v>517</v>
      </c>
      <c r="M143" s="56">
        <f>('Payroll Accrual'!M143)</f>
        <v>18918</v>
      </c>
    </row>
    <row r="144" spans="1:13" outlineLevel="1" x14ac:dyDescent="0.2">
      <c r="A144" s="50" t="str">
        <f>LEFT('Payroll Accrual'!A144,9)&amp;"4020.300"</f>
        <v>12030611.4020.300</v>
      </c>
      <c r="B144" s="51">
        <f>('Payroll Accrual'!O144)</f>
        <v>11.418000000000001</v>
      </c>
      <c r="C144" s="52"/>
      <c r="D144" s="53"/>
      <c r="H144" s="47" t="s">
        <v>517</v>
      </c>
      <c r="M144" s="56">
        <f>('Payroll Accrual'!M144)</f>
        <v>18822</v>
      </c>
    </row>
    <row r="145" spans="1:13" outlineLevel="1" x14ac:dyDescent="0.2">
      <c r="A145" s="50" t="str">
        <f>LEFT('Payroll Accrual'!A145,9)&amp;"4020.300"</f>
        <v>12030611.4020.300</v>
      </c>
      <c r="B145" s="51">
        <f>('Payroll Accrual'!O145)</f>
        <v>7.4527199999999993</v>
      </c>
      <c r="C145" s="52"/>
      <c r="D145" s="53"/>
      <c r="H145" s="47" t="s">
        <v>517</v>
      </c>
      <c r="M145" s="56">
        <f>('Payroll Accrual'!M145)</f>
        <v>18979</v>
      </c>
    </row>
    <row r="146" spans="1:13" outlineLevel="1" x14ac:dyDescent="0.2">
      <c r="A146" s="50" t="str">
        <f>LEFT('Payroll Accrual'!A146,9)&amp;"4020.300"</f>
        <v>12030800.4020.300</v>
      </c>
      <c r="B146" s="51">
        <f>('Payroll Accrual'!O146)</f>
        <v>0.53129999999999999</v>
      </c>
      <c r="C146" s="52"/>
      <c r="D146" s="53"/>
      <c r="H146" s="47" t="s">
        <v>517</v>
      </c>
      <c r="M146" s="56">
        <f>('Payroll Accrual'!M146)</f>
        <v>18989</v>
      </c>
    </row>
    <row r="147" spans="1:13" outlineLevel="1" x14ac:dyDescent="0.2">
      <c r="A147" s="50" t="str">
        <f>LEFT('Payroll Accrual'!A147,9)&amp;"4020.300"</f>
        <v>12032511.4020.300</v>
      </c>
      <c r="B147" s="51">
        <f>('Payroll Accrual'!O147)</f>
        <v>2.3908499999999999</v>
      </c>
      <c r="C147" s="52"/>
      <c r="D147" s="53"/>
      <c r="H147" s="47" t="s">
        <v>517</v>
      </c>
      <c r="M147" s="56">
        <f>('Payroll Accrual'!M147)</f>
        <v>18736</v>
      </c>
    </row>
    <row r="148" spans="1:13" outlineLevel="1" x14ac:dyDescent="0.2">
      <c r="A148" s="50" t="str">
        <f>LEFT('Payroll Accrual'!A148,9)&amp;"4020.300"</f>
        <v>12033011.4020.300</v>
      </c>
      <c r="B148" s="51">
        <f>('Payroll Accrual'!O148)</f>
        <v>3.1878000000000002</v>
      </c>
      <c r="C148" s="52"/>
      <c r="D148" s="53"/>
      <c r="H148" s="47" t="s">
        <v>517</v>
      </c>
      <c r="M148" s="56">
        <f>('Payroll Accrual'!M148)</f>
        <v>19028</v>
      </c>
    </row>
    <row r="149" spans="1:13" outlineLevel="1" x14ac:dyDescent="0.2">
      <c r="A149" s="50" t="str">
        <f>LEFT('Payroll Accrual'!A149,9)&amp;"4020.300"</f>
        <v>12033011.4020.300</v>
      </c>
      <c r="B149" s="51">
        <f>('Payroll Accrual'!O149)</f>
        <v>8.2364699999999988</v>
      </c>
      <c r="C149" s="52"/>
      <c r="D149" s="53"/>
      <c r="H149" s="47" t="s">
        <v>517</v>
      </c>
      <c r="M149" s="56">
        <f>('Payroll Accrual'!M149)</f>
        <v>18932</v>
      </c>
    </row>
    <row r="150" spans="1:13" outlineLevel="1" x14ac:dyDescent="0.2">
      <c r="A150" s="50" t="str">
        <f>LEFT('Payroll Accrual'!A150,9)&amp;"4020.300"</f>
        <v>12033011.4020.300</v>
      </c>
      <c r="B150" s="51">
        <f>('Payroll Accrual'!O150)</f>
        <v>3.1878000000000002</v>
      </c>
      <c r="C150" s="52"/>
      <c r="D150" s="53"/>
      <c r="H150" s="47" t="s">
        <v>517</v>
      </c>
      <c r="M150" s="56">
        <f>('Payroll Accrual'!M150)</f>
        <v>18983</v>
      </c>
    </row>
    <row r="151" spans="1:13" outlineLevel="1" x14ac:dyDescent="0.2">
      <c r="A151" s="50" t="str">
        <f>LEFT('Payroll Accrual'!A151,9)&amp;"4020.300"</f>
        <v>12033011.4020.300</v>
      </c>
      <c r="B151" s="51">
        <f>('Payroll Accrual'!O151)</f>
        <v>14.605800000000004</v>
      </c>
      <c r="C151" s="52"/>
      <c r="D151" s="53"/>
      <c r="H151" s="47" t="s">
        <v>517</v>
      </c>
      <c r="M151" s="56">
        <f>('Payroll Accrual'!M151)</f>
        <v>18829</v>
      </c>
    </row>
    <row r="152" spans="1:13" outlineLevel="1" x14ac:dyDescent="0.2">
      <c r="A152" s="50" t="str">
        <f>LEFT('Payroll Accrual'!A152,9)&amp;"4020.300"</f>
        <v>12033011.4020.300</v>
      </c>
      <c r="B152" s="51">
        <f>('Payroll Accrual'!O152)</f>
        <v>13.992990000000001</v>
      </c>
      <c r="C152" s="52"/>
      <c r="D152" s="53"/>
      <c r="H152" s="47" t="s">
        <v>517</v>
      </c>
      <c r="M152" s="56">
        <f>('Payroll Accrual'!M152)</f>
        <v>19030</v>
      </c>
    </row>
    <row r="153" spans="1:13" outlineLevel="1" x14ac:dyDescent="0.2">
      <c r="A153" s="50" t="str">
        <f>LEFT('Payroll Accrual'!A153,9)&amp;"4020.300"</f>
        <v>12033011.4020.300</v>
      </c>
      <c r="B153" s="51">
        <f>('Payroll Accrual'!O153)</f>
        <v>2.6565000000000003</v>
      </c>
      <c r="C153" s="52"/>
      <c r="D153" s="53"/>
      <c r="H153" s="47" t="s">
        <v>517</v>
      </c>
      <c r="M153" s="56">
        <f>('Payroll Accrual'!M153)</f>
        <v>19029</v>
      </c>
    </row>
    <row r="154" spans="1:13" outlineLevel="1" x14ac:dyDescent="0.2">
      <c r="A154" s="50" t="str">
        <f>LEFT('Payroll Accrual'!A154,9)&amp;"4020.300"</f>
        <v>12033011.4020.300</v>
      </c>
      <c r="B154" s="51">
        <f>('Payroll Accrual'!O154)</f>
        <v>0.53129999999999999</v>
      </c>
      <c r="C154" s="52"/>
      <c r="D154" s="53"/>
      <c r="H154" s="47" t="s">
        <v>517</v>
      </c>
      <c r="M154" s="56">
        <f>('Payroll Accrual'!M154)</f>
        <v>19011</v>
      </c>
    </row>
    <row r="155" spans="1:13" outlineLevel="1" x14ac:dyDescent="0.2">
      <c r="A155" s="50" t="str">
        <f>LEFT('Payroll Accrual'!A155,9)&amp;"4020.300"</f>
        <v>12033011.4020.300</v>
      </c>
      <c r="B155" s="51">
        <f>('Payroll Accrual'!O155)</f>
        <v>3.1878000000000002</v>
      </c>
      <c r="C155" s="52"/>
      <c r="D155" s="53"/>
      <c r="H155" s="47" t="s">
        <v>517</v>
      </c>
      <c r="M155" s="56">
        <f>('Payroll Accrual'!M155)</f>
        <v>19015</v>
      </c>
    </row>
    <row r="156" spans="1:13" outlineLevel="1" x14ac:dyDescent="0.2">
      <c r="A156" s="50" t="str">
        <f>LEFT('Payroll Accrual'!A156,9)&amp;"4020.300"</f>
        <v>12033011.4020.300</v>
      </c>
      <c r="B156" s="51">
        <f>('Payroll Accrual'!O156)</f>
        <v>2.6565000000000003</v>
      </c>
      <c r="C156" s="52"/>
      <c r="D156" s="53"/>
      <c r="H156" s="47" t="s">
        <v>517</v>
      </c>
      <c r="M156" s="56">
        <f>('Payroll Accrual'!M156)</f>
        <v>19012</v>
      </c>
    </row>
    <row r="157" spans="1:13" outlineLevel="1" x14ac:dyDescent="0.2">
      <c r="A157" s="50" t="str">
        <f>LEFT('Payroll Accrual'!A157,9)&amp;"4020.300"</f>
        <v>12033011.4020.300</v>
      </c>
      <c r="B157" s="51">
        <f>('Payroll Accrual'!O157)</f>
        <v>2.6565000000000003</v>
      </c>
      <c r="C157" s="52"/>
      <c r="D157" s="53"/>
      <c r="H157" s="47" t="s">
        <v>517</v>
      </c>
      <c r="M157" s="56">
        <f>('Payroll Accrual'!M157)</f>
        <v>19019</v>
      </c>
    </row>
    <row r="158" spans="1:13" outlineLevel="1" x14ac:dyDescent="0.2">
      <c r="A158" s="50" t="str">
        <f>LEFT('Payroll Accrual'!A158,9)&amp;"4020.300"</f>
        <v>12033011.4020.300</v>
      </c>
      <c r="B158" s="51">
        <f>('Payroll Accrual'!O158)</f>
        <v>0.53129999999999999</v>
      </c>
      <c r="C158" s="52"/>
      <c r="D158" s="53"/>
      <c r="H158" s="47" t="s">
        <v>517</v>
      </c>
      <c r="M158" s="56">
        <f>('Payroll Accrual'!M158)</f>
        <v>19017</v>
      </c>
    </row>
    <row r="159" spans="1:13" outlineLevel="1" x14ac:dyDescent="0.2">
      <c r="A159" s="50" t="str">
        <f>LEFT('Payroll Accrual'!A159,9)&amp;"4020.300"</f>
        <v>12038099.4020.300</v>
      </c>
      <c r="B159" s="51">
        <f>('Payroll Accrual'!O159)</f>
        <v>22.846229999999998</v>
      </c>
      <c r="C159" s="52"/>
      <c r="D159" s="53"/>
      <c r="H159" s="47" t="s">
        <v>517</v>
      </c>
      <c r="M159" s="56">
        <f>('Payroll Accrual'!M159)</f>
        <v>18998</v>
      </c>
    </row>
    <row r="160" spans="1:13" outlineLevel="1" x14ac:dyDescent="0.2">
      <c r="A160" s="50" t="str">
        <f>LEFT('Payroll Accrual'!A160,9)&amp;"4020.300"</f>
        <v>12040500.4020.300</v>
      </c>
      <c r="B160" s="51">
        <f>('Payroll Accrual'!O160)</f>
        <v>1.2031799999999999</v>
      </c>
      <c r="C160" s="52"/>
      <c r="D160" s="53"/>
      <c r="H160" s="47" t="s">
        <v>517</v>
      </c>
      <c r="M160" s="56">
        <f>('Payroll Accrual'!M160)</f>
        <v>18649</v>
      </c>
    </row>
    <row r="161" spans="1:13" outlineLevel="1" x14ac:dyDescent="0.2">
      <c r="A161" s="50" t="str">
        <f>LEFT('Payroll Accrual'!A161,9)&amp;"4020.300"</f>
        <v>12043011.4020.300</v>
      </c>
      <c r="B161" s="51">
        <f>('Payroll Accrual'!O161)</f>
        <v>8.8182600000000004</v>
      </c>
      <c r="C161" s="52"/>
      <c r="D161" s="53"/>
      <c r="H161" s="47" t="s">
        <v>517</v>
      </c>
      <c r="M161" s="56">
        <f>('Payroll Accrual'!M161)</f>
        <v>18713</v>
      </c>
    </row>
    <row r="162" spans="1:13" outlineLevel="1" x14ac:dyDescent="0.2">
      <c r="A162" s="50" t="str">
        <f>LEFT('Payroll Accrual'!A162,9)&amp;"4020.300"</f>
        <v>12043011.4020.300</v>
      </c>
      <c r="B162" s="51">
        <f>('Payroll Accrual'!O162)</f>
        <v>1.2031799999999999</v>
      </c>
      <c r="C162" s="52"/>
      <c r="D162" s="53"/>
      <c r="H162" s="47" t="s">
        <v>517</v>
      </c>
      <c r="M162" s="56">
        <f>('Payroll Accrual'!M162)</f>
        <v>18858</v>
      </c>
    </row>
    <row r="163" spans="1:13" outlineLevel="1" x14ac:dyDescent="0.2">
      <c r="A163" s="50" t="str">
        <f>LEFT('Payroll Accrual'!A163,9)&amp;"4020.300"</f>
        <v>12043011.4020.300</v>
      </c>
      <c r="B163" s="51">
        <f>('Payroll Accrual'!O163)</f>
        <v>3.1356599999999997</v>
      </c>
      <c r="C163" s="52"/>
      <c r="D163" s="53"/>
      <c r="H163" s="47" t="s">
        <v>517</v>
      </c>
      <c r="M163" s="56">
        <f>('Payroll Accrual'!M163)</f>
        <v>18917</v>
      </c>
    </row>
    <row r="164" spans="1:13" outlineLevel="1" x14ac:dyDescent="0.2">
      <c r="A164" s="50" t="str">
        <f>LEFT('Payroll Accrual'!A164,9)&amp;"4020.300"</f>
        <v>12043011.4020.300</v>
      </c>
      <c r="B164" s="51">
        <f>('Payroll Accrual'!O164)</f>
        <v>1.2031799999999999</v>
      </c>
      <c r="C164" s="52"/>
      <c r="D164" s="53"/>
      <c r="H164" s="47" t="s">
        <v>517</v>
      </c>
      <c r="M164" s="56">
        <f>('Payroll Accrual'!M164)</f>
        <v>18850</v>
      </c>
    </row>
    <row r="165" spans="1:13" outlineLevel="1" x14ac:dyDescent="0.2">
      <c r="A165" s="50" t="str">
        <f>LEFT('Payroll Accrual'!A165,9)&amp;"4020.300"</f>
        <v>12043011.4020.300</v>
      </c>
      <c r="B165" s="51">
        <f>('Payroll Accrual'!O165)</f>
        <v>5.3621700000000008</v>
      </c>
      <c r="C165" s="52"/>
      <c r="D165" s="53"/>
      <c r="H165" s="47" t="s">
        <v>517</v>
      </c>
      <c r="M165" s="56">
        <f>('Payroll Accrual'!M165)</f>
        <v>19039</v>
      </c>
    </row>
    <row r="166" spans="1:13" outlineLevel="1" x14ac:dyDescent="0.2">
      <c r="A166" s="50" t="str">
        <f>LEFT('Payroll Accrual'!A166,9)&amp;"4020.300"</f>
        <v>12043011.4020.300</v>
      </c>
      <c r="B166" s="51">
        <f>('Payroll Accrual'!O166)</f>
        <v>2.91126</v>
      </c>
      <c r="C166" s="52"/>
      <c r="D166" s="53"/>
      <c r="H166" s="47" t="s">
        <v>517</v>
      </c>
      <c r="M166" s="56">
        <f>('Payroll Accrual'!M166)</f>
        <v>18942</v>
      </c>
    </row>
    <row r="167" spans="1:13" outlineLevel="1" x14ac:dyDescent="0.2">
      <c r="A167" s="50" t="str">
        <f>LEFT('Payroll Accrual'!A167,9)&amp;"4020.300"</f>
        <v>12043011.4020.300</v>
      </c>
      <c r="B167" s="51">
        <f>('Payroll Accrual'!O167)</f>
        <v>6.2442600000000006</v>
      </c>
      <c r="C167" s="52"/>
      <c r="D167" s="53"/>
      <c r="H167" s="47" t="s">
        <v>517</v>
      </c>
      <c r="M167" s="56">
        <f>('Payroll Accrual'!M167)</f>
        <v>19023</v>
      </c>
    </row>
    <row r="168" spans="1:13" outlineLevel="1" x14ac:dyDescent="0.2">
      <c r="A168" s="50" t="str">
        <f>LEFT('Payroll Accrual'!A168,9)&amp;"4020.300"</f>
        <v>12043011.4020.300</v>
      </c>
      <c r="B168" s="51">
        <f>('Payroll Accrual'!O168)</f>
        <v>8.0430899999999994</v>
      </c>
      <c r="C168" s="52"/>
      <c r="D168" s="53"/>
      <c r="H168" s="47" t="s">
        <v>517</v>
      </c>
      <c r="M168" s="56">
        <f>('Payroll Accrual'!M168)</f>
        <v>18986</v>
      </c>
    </row>
    <row r="169" spans="1:13" outlineLevel="1" x14ac:dyDescent="0.2">
      <c r="A169" s="50" t="str">
        <f>LEFT('Payroll Accrual'!A169,9)&amp;"4020.300"</f>
        <v>12048099.4020.300</v>
      </c>
      <c r="B169" s="51">
        <f>('Payroll Accrual'!O169)</f>
        <v>22.846229999999998</v>
      </c>
      <c r="C169" s="52"/>
      <c r="D169" s="53"/>
      <c r="H169" s="47" t="s">
        <v>517</v>
      </c>
      <c r="M169" s="56">
        <f>('Payroll Accrual'!M169)</f>
        <v>19031</v>
      </c>
    </row>
    <row r="170" spans="1:13" outlineLevel="1" x14ac:dyDescent="0.2">
      <c r="A170" s="50" t="str">
        <f>LEFT('Payroll Accrual'!A170,9)&amp;"4020.300"</f>
        <v>12060400.4020.300</v>
      </c>
      <c r="B170" s="51">
        <f>('Payroll Accrual'!O170)</f>
        <v>1.2031799999999999</v>
      </c>
      <c r="C170" s="52"/>
      <c r="D170" s="53"/>
      <c r="H170" s="47" t="s">
        <v>517</v>
      </c>
      <c r="M170" s="56">
        <f>('Payroll Accrual'!M170)</f>
        <v>18442</v>
      </c>
    </row>
    <row r="171" spans="1:13" outlineLevel="1" x14ac:dyDescent="0.2">
      <c r="A171" s="50" t="str">
        <f>LEFT('Payroll Accrual'!A171,9)&amp;"4020.300"</f>
        <v>12060611.4020.300</v>
      </c>
      <c r="B171" s="51">
        <f>('Payroll Accrual'!O171)</f>
        <v>1.2031799999999999</v>
      </c>
      <c r="C171" s="52"/>
      <c r="D171" s="53"/>
      <c r="H171" s="47" t="s">
        <v>517</v>
      </c>
      <c r="M171" s="56">
        <f>('Payroll Accrual'!M171)</f>
        <v>18823</v>
      </c>
    </row>
    <row r="172" spans="1:13" outlineLevel="1" x14ac:dyDescent="0.2">
      <c r="A172" s="50" t="str">
        <f>LEFT('Payroll Accrual'!A172,9)&amp;"4020.300"</f>
        <v>12060611.4020.300</v>
      </c>
      <c r="B172" s="51">
        <f>('Payroll Accrual'!O172)</f>
        <v>1.2031799999999999</v>
      </c>
      <c r="C172" s="52"/>
      <c r="D172" s="53"/>
      <c r="H172" s="47" t="s">
        <v>517</v>
      </c>
      <c r="M172" s="56">
        <f>('Payroll Accrual'!M172)</f>
        <v>261</v>
      </c>
    </row>
    <row r="173" spans="1:13" outlineLevel="1" x14ac:dyDescent="0.2">
      <c r="A173" s="50" t="str">
        <f>LEFT('Payroll Accrual'!A173,9)&amp;"4020.300"</f>
        <v>12060611.4020.300</v>
      </c>
      <c r="B173" s="51">
        <f>('Payroll Accrual'!O173)</f>
        <v>0.53129999999999999</v>
      </c>
      <c r="C173" s="52"/>
      <c r="D173" s="53"/>
      <c r="H173" s="47" t="s">
        <v>517</v>
      </c>
      <c r="M173" s="56">
        <f>('Payroll Accrual'!M173)</f>
        <v>18895</v>
      </c>
    </row>
    <row r="174" spans="1:13" outlineLevel="1" x14ac:dyDescent="0.2">
      <c r="A174" s="50" t="str">
        <f>LEFT('Payroll Accrual'!A174,9)&amp;"4020.300"</f>
        <v>12060800.4020.300</v>
      </c>
      <c r="B174" s="51">
        <f>('Payroll Accrual'!O174)</f>
        <v>0.53129999999999999</v>
      </c>
      <c r="C174" s="52"/>
      <c r="D174" s="53"/>
      <c r="H174" s="47" t="s">
        <v>517</v>
      </c>
      <c r="M174" s="56">
        <f>('Payroll Accrual'!M174)</f>
        <v>18561</v>
      </c>
    </row>
    <row r="175" spans="1:13" outlineLevel="1" x14ac:dyDescent="0.2">
      <c r="A175" s="50" t="str">
        <f>LEFT('Payroll Accrual'!A175,9)&amp;"4020.300"</f>
        <v>12068099.4020.300</v>
      </c>
      <c r="B175" s="51">
        <f>('Payroll Accrual'!O175)</f>
        <v>22.846229999999998</v>
      </c>
      <c r="C175" s="52"/>
      <c r="D175" s="53"/>
      <c r="H175" s="47" t="s">
        <v>517</v>
      </c>
      <c r="M175" s="56">
        <f>('Payroll Accrual'!M175)</f>
        <v>18876</v>
      </c>
    </row>
    <row r="176" spans="1:13" outlineLevel="1" x14ac:dyDescent="0.2">
      <c r="A176" s="50" t="str">
        <f>LEFT('Payroll Accrual'!A176,9)&amp;"4020.300"</f>
        <v>12010500.4020.300</v>
      </c>
      <c r="B176" s="51">
        <f>('Payroll Accrual'!O176)</f>
        <v>5.4450000000000003</v>
      </c>
      <c r="C176" s="52"/>
      <c r="D176" s="53"/>
      <c r="H176" s="47" t="s">
        <v>517</v>
      </c>
      <c r="M176" s="56">
        <f>('Payroll Accrual'!M176)</f>
        <v>18726</v>
      </c>
    </row>
    <row r="177" spans="1:13" outlineLevel="1" x14ac:dyDescent="0.2">
      <c r="A177" s="50" t="str">
        <f>LEFT('Payroll Accrual'!A177,9)&amp;"4020.300"</f>
        <v>12013250.4020.300</v>
      </c>
      <c r="B177" s="51">
        <f>('Payroll Accrual'!O177)</f>
        <v>9.9</v>
      </c>
      <c r="C177" s="52"/>
      <c r="D177" s="53"/>
      <c r="H177" s="47" t="s">
        <v>517</v>
      </c>
      <c r="M177" s="56">
        <f>('Payroll Accrual'!M177)</f>
        <v>18946</v>
      </c>
    </row>
    <row r="178" spans="1:13" outlineLevel="1" x14ac:dyDescent="0.2">
      <c r="A178" s="50" t="str">
        <f>LEFT('Payroll Accrual'!A178,9)&amp;"4020.300"</f>
        <v>12013300.4020.300</v>
      </c>
      <c r="B178" s="51">
        <f>('Payroll Accrual'!O178)</f>
        <v>2.4750000000000001</v>
      </c>
      <c r="C178" s="52"/>
      <c r="D178" s="53"/>
      <c r="H178" s="47" t="s">
        <v>517</v>
      </c>
      <c r="M178" s="56">
        <f>('Payroll Accrual'!M178)</f>
        <v>220</v>
      </c>
    </row>
    <row r="179" spans="1:13" outlineLevel="1" x14ac:dyDescent="0.2">
      <c r="A179" s="50" t="str">
        <f>LEFT('Payroll Accrual'!A179,9)&amp;"4020.300"</f>
        <v>12019199.4020.300</v>
      </c>
      <c r="B179" s="51">
        <f>('Payroll Accrual'!O179)</f>
        <v>13.2</v>
      </c>
      <c r="C179" s="52"/>
      <c r="D179" s="53"/>
      <c r="H179" s="47" t="s">
        <v>517</v>
      </c>
      <c r="M179" s="56">
        <f>('Payroll Accrual'!M179)</f>
        <v>18968</v>
      </c>
    </row>
    <row r="180" spans="1:13" outlineLevel="1" x14ac:dyDescent="0.2">
      <c r="A180" s="50" t="str">
        <f>LEFT('Payroll Accrual'!A180,9)&amp;"4020.300"</f>
        <v>12019199.4020.300</v>
      </c>
      <c r="B180" s="51">
        <f>('Payroll Accrual'!O180)</f>
        <v>25.74</v>
      </c>
      <c r="C180" s="52"/>
      <c r="D180" s="53"/>
      <c r="H180" s="47" t="s">
        <v>517</v>
      </c>
      <c r="M180" s="56">
        <f>('Payroll Accrual'!M180)</f>
        <v>18550</v>
      </c>
    </row>
    <row r="181" spans="1:13" outlineLevel="1" x14ac:dyDescent="0.2">
      <c r="A181" s="50" t="str">
        <f>LEFT('Payroll Accrual'!A181,9)&amp;"4020.300"</f>
        <v>12020611.4020.300</v>
      </c>
      <c r="B181" s="51">
        <f>('Payroll Accrual'!O181)</f>
        <v>28.38</v>
      </c>
      <c r="C181" s="52"/>
      <c r="D181" s="53"/>
      <c r="H181" s="47" t="s">
        <v>517</v>
      </c>
      <c r="M181" s="56">
        <f>('Payroll Accrual'!M181)</f>
        <v>18957</v>
      </c>
    </row>
    <row r="182" spans="1:13" outlineLevel="1" x14ac:dyDescent="0.2">
      <c r="A182" s="50" t="str">
        <f>LEFT('Payroll Accrual'!A182,9)&amp;"4020.300"</f>
        <v>12060611.4020.300</v>
      </c>
      <c r="B182" s="51">
        <f>('Payroll Accrual'!O182)</f>
        <v>4.95</v>
      </c>
      <c r="C182" s="52"/>
      <c r="D182" s="53"/>
      <c r="H182" s="47" t="s">
        <v>517</v>
      </c>
      <c r="M182" s="56">
        <f>('Payroll Accrual'!M182)</f>
        <v>261</v>
      </c>
    </row>
    <row r="183" spans="1:13" outlineLevel="1" x14ac:dyDescent="0.2">
      <c r="A183" s="50" t="str">
        <f>LEFT('Payroll Accrual'!A183,9)&amp;"4020.300"</f>
        <v>12010500.4020.300</v>
      </c>
      <c r="B183" s="51">
        <f>('Payroll Accrual'!O183)</f>
        <v>14.439150000000001</v>
      </c>
      <c r="C183" s="52"/>
      <c r="D183" s="53"/>
      <c r="H183" s="47" t="s">
        <v>517</v>
      </c>
      <c r="M183" s="56">
        <f>('Payroll Accrual'!M183)</f>
        <v>18647</v>
      </c>
    </row>
    <row r="184" spans="1:13" outlineLevel="1" x14ac:dyDescent="0.2">
      <c r="A184" s="50" t="str">
        <f>LEFT('Payroll Accrual'!A184,9)&amp;"4020.300"</f>
        <v>12010500.4020.300</v>
      </c>
      <c r="B184" s="51">
        <f>('Payroll Accrual'!O184)</f>
        <v>14.659590000000001</v>
      </c>
      <c r="C184" s="52"/>
      <c r="D184" s="53"/>
      <c r="H184" s="47" t="s">
        <v>517</v>
      </c>
      <c r="M184" s="56">
        <f>('Payroll Accrual'!M184)</f>
        <v>18871</v>
      </c>
    </row>
    <row r="185" spans="1:13" outlineLevel="1" x14ac:dyDescent="0.2">
      <c r="A185" s="50" t="str">
        <f>LEFT('Payroll Accrual'!A185,9)&amp;"4020.300"</f>
        <v>12010500.4020.300</v>
      </c>
      <c r="B185" s="51">
        <f>('Payroll Accrual'!O185)</f>
        <v>18.657870000000003</v>
      </c>
      <c r="C185" s="52"/>
      <c r="D185" s="53"/>
      <c r="H185" s="47" t="s">
        <v>517</v>
      </c>
      <c r="M185" s="56">
        <f>('Payroll Accrual'!M185)</f>
        <v>18517</v>
      </c>
    </row>
    <row r="186" spans="1:13" outlineLevel="1" x14ac:dyDescent="0.2">
      <c r="A186" s="50" t="str">
        <f>LEFT('Payroll Accrual'!A186,9)&amp;"4020.300"</f>
        <v>12010500.4020.300</v>
      </c>
      <c r="B186" s="51">
        <f>('Payroll Accrual'!O186)</f>
        <v>3.3983399999999997</v>
      </c>
      <c r="C186" s="52"/>
      <c r="D186" s="53"/>
      <c r="H186" s="47" t="s">
        <v>517</v>
      </c>
      <c r="M186" s="56">
        <f>('Payroll Accrual'!M186)</f>
        <v>18726</v>
      </c>
    </row>
    <row r="187" spans="1:13" outlineLevel="1" x14ac:dyDescent="0.2">
      <c r="A187" s="50" t="str">
        <f>LEFT('Payroll Accrual'!A187,9)&amp;"4020.300"</f>
        <v>12010700.4020.300</v>
      </c>
      <c r="B187" s="51">
        <f>('Payroll Accrual'!O187)</f>
        <v>13.327050000000002</v>
      </c>
      <c r="C187" s="52"/>
      <c r="D187" s="53"/>
      <c r="H187" s="47" t="s">
        <v>517</v>
      </c>
      <c r="M187" s="56">
        <f>('Payroll Accrual'!M187)</f>
        <v>152</v>
      </c>
    </row>
    <row r="188" spans="1:13" outlineLevel="1" x14ac:dyDescent="0.2">
      <c r="A188" s="50" t="str">
        <f>LEFT('Payroll Accrual'!A188,9)&amp;"4020.300"</f>
        <v>12013012.4020.300</v>
      </c>
      <c r="B188" s="51">
        <f>('Payroll Accrual'!O188)</f>
        <v>8.6624999999999996</v>
      </c>
      <c r="C188" s="52"/>
      <c r="D188" s="53"/>
      <c r="H188" s="47" t="s">
        <v>517</v>
      </c>
      <c r="M188" s="56">
        <f>('Payroll Accrual'!M188)</f>
        <v>19014</v>
      </c>
    </row>
    <row r="189" spans="1:13" outlineLevel="1" x14ac:dyDescent="0.2">
      <c r="A189" s="50" t="str">
        <f>LEFT('Payroll Accrual'!A189,9)&amp;"4020.300"</f>
        <v>12013012.4020.300</v>
      </c>
      <c r="B189" s="51">
        <f>('Payroll Accrual'!O189)</f>
        <v>2.0275200000000004</v>
      </c>
      <c r="C189" s="52"/>
      <c r="D189" s="53"/>
      <c r="H189" s="47" t="s">
        <v>517</v>
      </c>
      <c r="M189" s="56">
        <f>('Payroll Accrual'!M189)</f>
        <v>18736</v>
      </c>
    </row>
    <row r="190" spans="1:13" outlineLevel="1" x14ac:dyDescent="0.2">
      <c r="A190" s="50" t="str">
        <f>LEFT('Payroll Accrual'!A190,9)&amp;"4020.300"</f>
        <v>12013250.4020.300</v>
      </c>
      <c r="B190" s="51">
        <f>('Payroll Accrual'!O190)</f>
        <v>16.525410000000001</v>
      </c>
      <c r="C190" s="52"/>
      <c r="D190" s="53"/>
      <c r="H190" s="47" t="s">
        <v>517</v>
      </c>
      <c r="M190" s="56">
        <f>('Payroll Accrual'!M190)</f>
        <v>18920</v>
      </c>
    </row>
    <row r="191" spans="1:13" outlineLevel="1" x14ac:dyDescent="0.2">
      <c r="A191" s="50" t="str">
        <f>LEFT('Payroll Accrual'!A191,9)&amp;"4020.300"</f>
        <v>12013250.4020.300</v>
      </c>
      <c r="B191" s="51">
        <f>('Payroll Accrual'!O191)</f>
        <v>9.3287699999999987</v>
      </c>
      <c r="C191" s="52"/>
      <c r="D191" s="53"/>
      <c r="H191" s="47" t="s">
        <v>517</v>
      </c>
      <c r="M191" s="56">
        <f>('Payroll Accrual'!M191)</f>
        <v>18988</v>
      </c>
    </row>
    <row r="192" spans="1:13" outlineLevel="1" x14ac:dyDescent="0.2">
      <c r="A192" s="50" t="str">
        <f>LEFT('Payroll Accrual'!A192,9)&amp;"4020.300"</f>
        <v>12013250.4020.300</v>
      </c>
      <c r="B192" s="51">
        <f>('Payroll Accrual'!O192)</f>
        <v>9.7287300000000005</v>
      </c>
      <c r="C192" s="52"/>
      <c r="D192" s="53"/>
      <c r="H192" s="47" t="s">
        <v>517</v>
      </c>
      <c r="M192" s="56">
        <f>('Payroll Accrual'!M192)</f>
        <v>18721</v>
      </c>
    </row>
    <row r="193" spans="1:13" outlineLevel="1" x14ac:dyDescent="0.2">
      <c r="A193" s="50" t="str">
        <f>LEFT('Payroll Accrual'!A193,9)&amp;"4020.300"</f>
        <v>12013250.4020.300</v>
      </c>
      <c r="B193" s="51">
        <f>('Payroll Accrual'!O193)</f>
        <v>7.9962300000000015</v>
      </c>
      <c r="C193" s="52"/>
      <c r="D193" s="53"/>
      <c r="H193" s="47" t="s">
        <v>517</v>
      </c>
      <c r="M193" s="56">
        <f>('Payroll Accrual'!M193)</f>
        <v>18995</v>
      </c>
    </row>
    <row r="194" spans="1:13" outlineLevel="1" x14ac:dyDescent="0.2">
      <c r="A194" s="50" t="str">
        <f>LEFT('Payroll Accrual'!A194,9)&amp;"4020.300"</f>
        <v>12013250.4020.300</v>
      </c>
      <c r="B194" s="51">
        <f>('Payroll Accrual'!O194)</f>
        <v>8.365829999999999</v>
      </c>
      <c r="C194" s="52"/>
      <c r="D194" s="53"/>
      <c r="H194" s="47" t="s">
        <v>517</v>
      </c>
      <c r="M194" s="56">
        <f>('Payroll Accrual'!M194)</f>
        <v>18946</v>
      </c>
    </row>
    <row r="195" spans="1:13" outlineLevel="1" x14ac:dyDescent="0.2">
      <c r="A195" s="50" t="str">
        <f>LEFT('Payroll Accrual'!A195,9)&amp;"4020.300"</f>
        <v>12013250.4020.300</v>
      </c>
      <c r="B195" s="51">
        <f>('Payroll Accrual'!O195)</f>
        <v>10.66164</v>
      </c>
      <c r="C195" s="52"/>
      <c r="D195" s="53"/>
      <c r="H195" s="47" t="s">
        <v>517</v>
      </c>
      <c r="M195" s="56">
        <f>('Payroll Accrual'!M195)</f>
        <v>18987</v>
      </c>
    </row>
    <row r="196" spans="1:13" outlineLevel="1" x14ac:dyDescent="0.2">
      <c r="A196" s="50" t="str">
        <f>LEFT('Payroll Accrual'!A196,9)&amp;"4020.300"</f>
        <v>12013300.4020.300</v>
      </c>
      <c r="B196" s="51">
        <f>('Payroll Accrual'!O196)</f>
        <v>11.150700000000001</v>
      </c>
      <c r="C196" s="52"/>
      <c r="D196" s="53"/>
      <c r="H196" s="47" t="s">
        <v>517</v>
      </c>
      <c r="M196" s="56">
        <f>('Payroll Accrual'!M196)</f>
        <v>220</v>
      </c>
    </row>
    <row r="197" spans="1:13" outlineLevel="1" x14ac:dyDescent="0.2">
      <c r="A197" s="50" t="str">
        <f>LEFT('Payroll Accrual'!A197,9)&amp;"4020.300"</f>
        <v>12018099.4020.300</v>
      </c>
      <c r="B197" s="51">
        <f>('Payroll Accrual'!O197)</f>
        <v>18.657870000000003</v>
      </c>
      <c r="C197" s="52"/>
      <c r="D197" s="53"/>
      <c r="H197" s="47" t="s">
        <v>517</v>
      </c>
      <c r="M197" s="56">
        <f>('Payroll Accrual'!M197)</f>
        <v>18716</v>
      </c>
    </row>
    <row r="198" spans="1:13" outlineLevel="1" x14ac:dyDescent="0.2">
      <c r="A198" s="50" t="str">
        <f>LEFT('Payroll Accrual'!A198,9)&amp;"4020.300"</f>
        <v>12018099.4020.300</v>
      </c>
      <c r="B198" s="51">
        <f>('Payroll Accrual'!O198)</f>
        <v>9.0624599999999997</v>
      </c>
      <c r="C198" s="52"/>
      <c r="D198" s="53"/>
      <c r="H198" s="47" t="s">
        <v>517</v>
      </c>
      <c r="M198" s="56">
        <f>('Payroll Accrual'!M198)</f>
        <v>18948</v>
      </c>
    </row>
    <row r="199" spans="1:13" outlineLevel="1" x14ac:dyDescent="0.2">
      <c r="A199" s="50" t="str">
        <f>LEFT('Payroll Accrual'!A199,9)&amp;"4020.300"</f>
        <v>12018599.4020.300</v>
      </c>
      <c r="B199" s="51">
        <f>('Payroll Accrual'!O199)</f>
        <v>9.0624599999999997</v>
      </c>
      <c r="C199" s="52"/>
      <c r="D199" s="53"/>
      <c r="H199" s="47" t="s">
        <v>517</v>
      </c>
      <c r="M199" s="56">
        <f>('Payroll Accrual'!M199)</f>
        <v>18862</v>
      </c>
    </row>
    <row r="200" spans="1:13" outlineLevel="1" x14ac:dyDescent="0.2">
      <c r="A200" s="50" t="str">
        <f>LEFT('Payroll Accrual'!A200,9)&amp;"4020.300"</f>
        <v>12018599.4020.300</v>
      </c>
      <c r="B200" s="51">
        <f>('Payroll Accrual'!O200)</f>
        <v>18.657870000000003</v>
      </c>
      <c r="C200" s="52"/>
      <c r="D200" s="53"/>
      <c r="H200" s="47" t="s">
        <v>517</v>
      </c>
      <c r="M200" s="56">
        <f>('Payroll Accrual'!M200)</f>
        <v>18969</v>
      </c>
    </row>
    <row r="201" spans="1:13" outlineLevel="1" x14ac:dyDescent="0.2">
      <c r="A201" s="50" t="str">
        <f>LEFT('Payroll Accrual'!A201,9)&amp;"4020.300"</f>
        <v>12019099.4020.300</v>
      </c>
      <c r="B201" s="51">
        <f>('Payroll Accrual'!O201)</f>
        <v>28.29486</v>
      </c>
      <c r="C201" s="52"/>
      <c r="D201" s="53"/>
      <c r="H201" s="47" t="s">
        <v>517</v>
      </c>
      <c r="M201" s="56">
        <f>('Payroll Accrual'!M201)</f>
        <v>18886</v>
      </c>
    </row>
    <row r="202" spans="1:13" outlineLevel="1" x14ac:dyDescent="0.2">
      <c r="A202" s="50" t="str">
        <f>LEFT('Payroll Accrual'!A202,9)&amp;"4020.300"</f>
        <v>12019199.4020.300</v>
      </c>
      <c r="B202" s="51">
        <f>('Payroll Accrual'!O202)</f>
        <v>9.3287699999999987</v>
      </c>
      <c r="C202" s="52"/>
      <c r="D202" s="53"/>
      <c r="H202" s="47" t="s">
        <v>517</v>
      </c>
      <c r="M202" s="56">
        <f>('Payroll Accrual'!M202)</f>
        <v>18968</v>
      </c>
    </row>
    <row r="203" spans="1:13" outlineLevel="1" x14ac:dyDescent="0.2">
      <c r="A203" s="50" t="str">
        <f>LEFT('Payroll Accrual'!A203,9)&amp;"4020.300"</f>
        <v>12019199.4020.300</v>
      </c>
      <c r="B203" s="51">
        <f>('Payroll Accrual'!O203)</f>
        <v>7.3227000000000011</v>
      </c>
      <c r="C203" s="52"/>
      <c r="D203" s="53"/>
      <c r="H203" s="47" t="s">
        <v>517</v>
      </c>
      <c r="M203" s="56">
        <f>('Payroll Accrual'!M203)</f>
        <v>19022</v>
      </c>
    </row>
    <row r="204" spans="1:13" outlineLevel="1" x14ac:dyDescent="0.2">
      <c r="A204" s="50" t="str">
        <f>LEFT('Payroll Accrual'!A204,9)&amp;"4020.300"</f>
        <v>12019199.4020.300</v>
      </c>
      <c r="B204" s="51">
        <f>('Payroll Accrual'!O204)</f>
        <v>22.366739999999997</v>
      </c>
      <c r="C204" s="52"/>
      <c r="D204" s="53"/>
      <c r="H204" s="47" t="s">
        <v>517</v>
      </c>
      <c r="M204" s="56">
        <f>('Payroll Accrual'!M204)</f>
        <v>18853</v>
      </c>
    </row>
    <row r="205" spans="1:13" outlineLevel="1" x14ac:dyDescent="0.2">
      <c r="A205" s="50" t="str">
        <f>LEFT('Payroll Accrual'!A205,9)&amp;"4020.300"</f>
        <v>12019199.4020.300</v>
      </c>
      <c r="B205" s="51">
        <f>('Payroll Accrual'!O205)</f>
        <v>8.9944799999999994</v>
      </c>
      <c r="C205" s="52"/>
      <c r="D205" s="53"/>
      <c r="H205" s="47" t="s">
        <v>517</v>
      </c>
      <c r="M205" s="56">
        <f>('Payroll Accrual'!M205)</f>
        <v>18550</v>
      </c>
    </row>
    <row r="206" spans="1:13" outlineLevel="1" x14ac:dyDescent="0.2">
      <c r="A206" s="50" t="str">
        <f>LEFT('Payroll Accrual'!A206,9)&amp;"4020.300"</f>
        <v>12019199.4020.300</v>
      </c>
      <c r="B206" s="51">
        <f>('Payroll Accrual'!O206)</f>
        <v>11.327909999999999</v>
      </c>
      <c r="C206" s="52"/>
      <c r="D206" s="53"/>
      <c r="H206" s="47" t="s">
        <v>517</v>
      </c>
      <c r="M206" s="56">
        <f>('Payroll Accrual'!M206)</f>
        <v>18741</v>
      </c>
    </row>
    <row r="207" spans="1:13" outlineLevel="1" x14ac:dyDescent="0.2">
      <c r="A207" s="50" t="str">
        <f>LEFT('Payroll Accrual'!A207,9)&amp;"4020.300"</f>
        <v>12019199.4020.300</v>
      </c>
      <c r="B207" s="51">
        <f>('Payroll Accrual'!O207)</f>
        <v>10.79463</v>
      </c>
      <c r="C207" s="52"/>
      <c r="D207" s="53"/>
      <c r="H207" s="47" t="s">
        <v>517</v>
      </c>
      <c r="M207" s="56">
        <f>('Payroll Accrual'!M207)</f>
        <v>19003</v>
      </c>
    </row>
    <row r="208" spans="1:13" outlineLevel="1" x14ac:dyDescent="0.2">
      <c r="A208" s="50" t="str">
        <f>LEFT('Payroll Accrual'!A208,9)&amp;"4020.300"</f>
        <v>12019199.4020.300</v>
      </c>
      <c r="B208" s="51">
        <f>('Payroll Accrual'!O208)</f>
        <v>8.6624999999999996</v>
      </c>
      <c r="C208" s="52"/>
      <c r="D208" s="53"/>
      <c r="H208" s="47" t="s">
        <v>517</v>
      </c>
      <c r="M208" s="56">
        <f>('Payroll Accrual'!M208)</f>
        <v>19025</v>
      </c>
    </row>
    <row r="209" spans="1:13" outlineLevel="1" x14ac:dyDescent="0.2">
      <c r="A209" s="50" t="str">
        <f>LEFT('Payroll Accrual'!A209,9)&amp;"4020.300"</f>
        <v>12020400.4020.300</v>
      </c>
      <c r="B209" s="51">
        <f>('Payroll Accrual'!O209)</f>
        <v>8.8832700000000013</v>
      </c>
      <c r="C209" s="52"/>
      <c r="D209" s="53"/>
      <c r="H209" s="47" t="s">
        <v>517</v>
      </c>
      <c r="M209" s="56">
        <f>('Payroll Accrual'!M209)</f>
        <v>18836</v>
      </c>
    </row>
    <row r="210" spans="1:13" outlineLevel="1" x14ac:dyDescent="0.2">
      <c r="A210" s="50" t="str">
        <f>LEFT('Payroll Accrual'!A210,9)&amp;"4020.300"</f>
        <v>12020400.4020.300</v>
      </c>
      <c r="B210" s="51">
        <f>('Payroll Accrual'!O210)</f>
        <v>8.7826199999999979</v>
      </c>
      <c r="C210" s="52"/>
      <c r="D210" s="53"/>
      <c r="H210" s="47" t="s">
        <v>517</v>
      </c>
      <c r="M210" s="56">
        <f>('Payroll Accrual'!M210)</f>
        <v>18619</v>
      </c>
    </row>
    <row r="211" spans="1:13" outlineLevel="1" x14ac:dyDescent="0.2">
      <c r="A211" s="50" t="str">
        <f>LEFT('Payroll Accrual'!A211,9)&amp;"4020.300"</f>
        <v>12020500.4020.300</v>
      </c>
      <c r="B211" s="51">
        <f>('Payroll Accrual'!O211)</f>
        <v>4.3979100000000013</v>
      </c>
      <c r="C211" s="52"/>
      <c r="D211" s="53"/>
      <c r="H211" s="47" t="s">
        <v>517</v>
      </c>
      <c r="M211" s="56">
        <f>('Payroll Accrual'!M211)</f>
        <v>18893</v>
      </c>
    </row>
    <row r="212" spans="1:13" outlineLevel="1" x14ac:dyDescent="0.2">
      <c r="A212" s="50" t="str">
        <f>LEFT('Payroll Accrual'!A212,9)&amp;"4020.300"</f>
        <v>12020500.4020.300</v>
      </c>
      <c r="B212" s="51">
        <f>('Payroll Accrual'!O212)</f>
        <v>4.3487400000000003</v>
      </c>
      <c r="C212" s="52"/>
      <c r="D212" s="53"/>
      <c r="H212" s="47" t="s">
        <v>517</v>
      </c>
      <c r="M212" s="56">
        <f>('Payroll Accrual'!M212)</f>
        <v>19040</v>
      </c>
    </row>
    <row r="213" spans="1:13" outlineLevel="1" x14ac:dyDescent="0.2">
      <c r="A213" s="50" t="str">
        <f>LEFT('Payroll Accrual'!A213,9)&amp;"4020.300"</f>
        <v>12020611.4020.300</v>
      </c>
      <c r="B213" s="51">
        <f>('Payroll Accrual'!O213)</f>
        <v>8.9763300000000008</v>
      </c>
      <c r="C213" s="52"/>
      <c r="D213" s="53"/>
      <c r="H213" s="47" t="s">
        <v>517</v>
      </c>
      <c r="M213" s="56">
        <f>('Payroll Accrual'!M213)</f>
        <v>18957</v>
      </c>
    </row>
    <row r="214" spans="1:13" outlineLevel="1" x14ac:dyDescent="0.2">
      <c r="A214" s="50" t="str">
        <f>LEFT('Payroll Accrual'!A214,9)&amp;"4020.300"</f>
        <v>12020611.4020.300</v>
      </c>
      <c r="B214" s="51">
        <f>('Payroll Accrual'!O214)</f>
        <v>8.0533200000000011</v>
      </c>
      <c r="C214" s="52"/>
      <c r="D214" s="53"/>
      <c r="H214" s="47" t="s">
        <v>517</v>
      </c>
      <c r="M214" s="56">
        <f>('Payroll Accrual'!M214)</f>
        <v>18903</v>
      </c>
    </row>
    <row r="215" spans="1:13" outlineLevel="1" x14ac:dyDescent="0.2">
      <c r="A215" s="50" t="str">
        <f>LEFT('Payroll Accrual'!A215,9)&amp;"4020.300"</f>
        <v>12020611.4020.300</v>
      </c>
      <c r="B215" s="51">
        <f>('Payroll Accrual'!O215)</f>
        <v>5.2116900000000008</v>
      </c>
      <c r="C215" s="52"/>
      <c r="D215" s="53"/>
      <c r="H215" s="47" t="s">
        <v>517</v>
      </c>
      <c r="M215" s="56">
        <f>('Payroll Accrual'!M215)</f>
        <v>18831</v>
      </c>
    </row>
    <row r="216" spans="1:13" outlineLevel="1" x14ac:dyDescent="0.2">
      <c r="A216" s="50" t="str">
        <f>LEFT('Payroll Accrual'!A216,9)&amp;"4020.300"</f>
        <v>12020611.4020.300</v>
      </c>
      <c r="B216" s="51">
        <f>('Payroll Accrual'!O216)</f>
        <v>9.3343800000000012</v>
      </c>
      <c r="C216" s="52"/>
      <c r="D216" s="53"/>
      <c r="H216" s="47" t="s">
        <v>517</v>
      </c>
      <c r="M216" s="56">
        <f>('Payroll Accrual'!M216)</f>
        <v>18589</v>
      </c>
    </row>
    <row r="217" spans="1:13" outlineLevel="1" x14ac:dyDescent="0.2">
      <c r="A217" s="50" t="str">
        <f>LEFT('Payroll Accrual'!A217,9)&amp;"4020.300"</f>
        <v>12020611.4020.300</v>
      </c>
      <c r="B217" s="51">
        <f>('Payroll Accrual'!O217)</f>
        <v>6.3884700000000008</v>
      </c>
      <c r="C217" s="52"/>
      <c r="D217" s="53"/>
      <c r="H217" s="47" t="s">
        <v>517</v>
      </c>
      <c r="M217" s="56">
        <f>('Payroll Accrual'!M217)</f>
        <v>18891</v>
      </c>
    </row>
    <row r="218" spans="1:13" outlineLevel="1" x14ac:dyDescent="0.2">
      <c r="A218" s="50" t="str">
        <f>LEFT('Payroll Accrual'!A218,9)&amp;"4020.300"</f>
        <v>12020611.4020.300</v>
      </c>
      <c r="B218" s="51">
        <f>('Payroll Accrual'!O218)</f>
        <v>8.706059999999999</v>
      </c>
      <c r="C218" s="52"/>
      <c r="D218" s="53"/>
      <c r="H218" s="47" t="s">
        <v>517</v>
      </c>
      <c r="M218" s="56">
        <f>('Payroll Accrual'!M218)</f>
        <v>18866</v>
      </c>
    </row>
    <row r="219" spans="1:13" outlineLevel="1" x14ac:dyDescent="0.2">
      <c r="A219" s="50" t="str">
        <f>LEFT('Payroll Accrual'!A219,9)&amp;"4020.300"</f>
        <v>12020711.4020.300</v>
      </c>
      <c r="B219" s="51">
        <f>('Payroll Accrual'!O219)</f>
        <v>4.5916199999999989</v>
      </c>
      <c r="C219" s="52"/>
      <c r="D219" s="53"/>
      <c r="H219" s="47" t="s">
        <v>517</v>
      </c>
      <c r="M219" s="56">
        <f>('Payroll Accrual'!M219)</f>
        <v>18631</v>
      </c>
    </row>
    <row r="220" spans="1:13" outlineLevel="1" x14ac:dyDescent="0.2">
      <c r="A220" s="50" t="str">
        <f>LEFT('Payroll Accrual'!A220,9)&amp;"4020.300"</f>
        <v>12020711.4020.300</v>
      </c>
      <c r="B220" s="51">
        <f>('Payroll Accrual'!O220)</f>
        <v>9.0634499999999978</v>
      </c>
      <c r="C220" s="52"/>
      <c r="D220" s="53"/>
      <c r="H220" s="47" t="s">
        <v>517</v>
      </c>
      <c r="M220" s="56">
        <f>('Payroll Accrual'!M220)</f>
        <v>18879</v>
      </c>
    </row>
    <row r="221" spans="1:13" outlineLevel="1" x14ac:dyDescent="0.2">
      <c r="A221" s="50" t="str">
        <f>LEFT('Payroll Accrual'!A221,9)&amp;"4020.300"</f>
        <v>12020711.4020.300</v>
      </c>
      <c r="B221" s="51">
        <f>('Payroll Accrual'!O221)</f>
        <v>10.66164</v>
      </c>
      <c r="C221" s="52"/>
      <c r="D221" s="53"/>
      <c r="H221" s="47" t="s">
        <v>517</v>
      </c>
      <c r="M221" s="56">
        <f>('Payroll Accrual'!M221)</f>
        <v>18954</v>
      </c>
    </row>
    <row r="222" spans="1:13" outlineLevel="1" x14ac:dyDescent="0.2">
      <c r="A222" s="50" t="str">
        <f>LEFT('Payroll Accrual'!A222,9)&amp;"4020.300"</f>
        <v>12020711.4020.300</v>
      </c>
      <c r="B222" s="51">
        <f>('Payroll Accrual'!O222)</f>
        <v>3.7596900000000004</v>
      </c>
      <c r="C222" s="52"/>
      <c r="D222" s="53"/>
      <c r="H222" s="47" t="s">
        <v>517</v>
      </c>
      <c r="M222" s="56">
        <f>('Payroll Accrual'!M222)</f>
        <v>18</v>
      </c>
    </row>
    <row r="223" spans="1:13" outlineLevel="1" x14ac:dyDescent="0.2">
      <c r="A223" s="50" t="str">
        <f>LEFT('Payroll Accrual'!A223,9)&amp;"4020.300"</f>
        <v>12020800.4020.300</v>
      </c>
      <c r="B223" s="51">
        <f>('Payroll Accrual'!O223)</f>
        <v>10.04322</v>
      </c>
      <c r="C223" s="52"/>
      <c r="D223" s="53"/>
      <c r="H223" s="47" t="s">
        <v>517</v>
      </c>
      <c r="M223" s="56">
        <f>('Payroll Accrual'!M223)</f>
        <v>19013</v>
      </c>
    </row>
    <row r="224" spans="1:13" outlineLevel="1" x14ac:dyDescent="0.2">
      <c r="A224" s="50" t="str">
        <f>LEFT('Payroll Accrual'!A224,9)&amp;"4020.300"</f>
        <v>12020800.4020.300</v>
      </c>
      <c r="B224" s="51">
        <f>('Payroll Accrual'!O224)</f>
        <v>7.7784300000000011</v>
      </c>
      <c r="C224" s="52"/>
      <c r="D224" s="53"/>
      <c r="H224" s="47" t="s">
        <v>517</v>
      </c>
      <c r="M224" s="56">
        <f>('Payroll Accrual'!M224)</f>
        <v>18630</v>
      </c>
    </row>
    <row r="225" spans="1:13" outlineLevel="1" x14ac:dyDescent="0.2">
      <c r="A225" s="50" t="str">
        <f>LEFT('Payroll Accrual'!A225,9)&amp;"4020.300"</f>
        <v>12021021.4020.300</v>
      </c>
      <c r="B225" s="51">
        <f>('Payroll Accrual'!O225)</f>
        <v>7.9902900000000008</v>
      </c>
      <c r="C225" s="52"/>
      <c r="D225" s="53"/>
      <c r="H225" s="47" t="s">
        <v>517</v>
      </c>
      <c r="M225" s="56">
        <f>('Payroll Accrual'!M225)</f>
        <v>18687</v>
      </c>
    </row>
    <row r="226" spans="1:13" outlineLevel="1" x14ac:dyDescent="0.2">
      <c r="A226" s="50" t="str">
        <f>LEFT('Payroll Accrual'!A226,9)&amp;"4020.300"</f>
        <v>12021021.4020.300</v>
      </c>
      <c r="B226" s="51">
        <f>('Payroll Accrual'!O226)</f>
        <v>8.9763300000000008</v>
      </c>
      <c r="C226" s="52"/>
      <c r="D226" s="53"/>
      <c r="H226" s="47" t="s">
        <v>517</v>
      </c>
      <c r="M226" s="56">
        <f>('Payroll Accrual'!M226)</f>
        <v>18781</v>
      </c>
    </row>
    <row r="227" spans="1:13" outlineLevel="1" x14ac:dyDescent="0.2">
      <c r="A227" s="50" t="str">
        <f>LEFT('Payroll Accrual'!A227,9)&amp;"4020.300"</f>
        <v>12021021.4020.300</v>
      </c>
      <c r="B227" s="51">
        <f>('Payroll Accrual'!O227)</f>
        <v>7.6559999999999997</v>
      </c>
      <c r="C227" s="52"/>
      <c r="D227" s="53"/>
      <c r="H227" s="47" t="s">
        <v>517</v>
      </c>
      <c r="M227" s="56">
        <f>('Payroll Accrual'!M227)</f>
        <v>18733</v>
      </c>
    </row>
    <row r="228" spans="1:13" outlineLevel="1" x14ac:dyDescent="0.2">
      <c r="A228" s="50" t="str">
        <f>LEFT('Payroll Accrual'!A228,9)&amp;"4020.300"</f>
        <v>12021021.4020.300</v>
      </c>
      <c r="B228" s="51">
        <f>('Payroll Accrual'!O228)</f>
        <v>8.264520000000001</v>
      </c>
      <c r="C228" s="52"/>
      <c r="D228" s="53"/>
      <c r="H228" s="47" t="s">
        <v>517</v>
      </c>
      <c r="M228" s="56">
        <f>('Payroll Accrual'!M228)</f>
        <v>18659</v>
      </c>
    </row>
    <row r="229" spans="1:13" outlineLevel="1" x14ac:dyDescent="0.2">
      <c r="A229" s="50" t="str">
        <f>LEFT('Payroll Accrual'!A229,9)&amp;"4020.300"</f>
        <v>12021021.4020.300</v>
      </c>
      <c r="B229" s="51">
        <f>('Payroll Accrual'!O229)</f>
        <v>3.2732700000000001</v>
      </c>
      <c r="C229" s="52"/>
      <c r="D229" s="53"/>
      <c r="H229" s="47" t="s">
        <v>517</v>
      </c>
      <c r="M229" s="56">
        <f>('Payroll Accrual'!M229)</f>
        <v>18960</v>
      </c>
    </row>
    <row r="230" spans="1:13" outlineLevel="1" x14ac:dyDescent="0.2">
      <c r="A230" s="50" t="str">
        <f>LEFT('Payroll Accrual'!A230,9)&amp;"4020.300"</f>
        <v>12021021.4020.300</v>
      </c>
      <c r="B230" s="51">
        <f>('Payroll Accrual'!O230)</f>
        <v>8.7994500000000002</v>
      </c>
      <c r="C230" s="52"/>
      <c r="D230" s="53"/>
      <c r="H230" s="47" t="s">
        <v>517</v>
      </c>
      <c r="M230" s="56">
        <f>('Payroll Accrual'!M230)</f>
        <v>18911</v>
      </c>
    </row>
    <row r="231" spans="1:13" outlineLevel="1" x14ac:dyDescent="0.2">
      <c r="A231" s="50" t="str">
        <f>LEFT('Payroll Accrual'!A231,9)&amp;"4020.300"</f>
        <v>12021021.4020.300</v>
      </c>
      <c r="B231" s="51">
        <f>('Payroll Accrual'!O231)</f>
        <v>9.032099999999998</v>
      </c>
      <c r="C231" s="52"/>
      <c r="D231" s="53"/>
      <c r="H231" s="47" t="s">
        <v>517</v>
      </c>
      <c r="M231" s="56">
        <f>('Payroll Accrual'!M231)</f>
        <v>18967</v>
      </c>
    </row>
    <row r="232" spans="1:13" outlineLevel="1" x14ac:dyDescent="0.2">
      <c r="A232" s="50" t="str">
        <f>LEFT('Payroll Accrual'!A232,9)&amp;"4020.300"</f>
        <v>12021021.4020.300</v>
      </c>
      <c r="B232" s="51">
        <f>('Payroll Accrual'!O232)</f>
        <v>6.1891500000000006</v>
      </c>
      <c r="C232" s="52"/>
      <c r="D232" s="53"/>
      <c r="H232" s="47" t="s">
        <v>517</v>
      </c>
      <c r="M232" s="56">
        <f>('Payroll Accrual'!M232)</f>
        <v>19033</v>
      </c>
    </row>
    <row r="233" spans="1:13" outlineLevel="1" x14ac:dyDescent="0.2">
      <c r="A233" s="50" t="str">
        <f>LEFT('Payroll Accrual'!A233,9)&amp;"4020.300"</f>
        <v>12021021.4020.300</v>
      </c>
      <c r="B233" s="51">
        <f>('Payroll Accrual'!O233)</f>
        <v>7.3062000000000005</v>
      </c>
      <c r="C233" s="52"/>
      <c r="D233" s="53"/>
      <c r="H233" s="47" t="s">
        <v>517</v>
      </c>
      <c r="M233" s="56">
        <f>('Payroll Accrual'!M233)</f>
        <v>18892</v>
      </c>
    </row>
    <row r="234" spans="1:13" outlineLevel="1" x14ac:dyDescent="0.2">
      <c r="A234" s="50" t="str">
        <f>LEFT('Payroll Accrual'!A234,9)&amp;"4020.300"</f>
        <v>12021021.4020.300</v>
      </c>
      <c r="B234" s="51">
        <f>('Payroll Accrual'!O234)</f>
        <v>4.78104</v>
      </c>
      <c r="C234" s="52"/>
      <c r="D234" s="53"/>
      <c r="H234" s="47" t="s">
        <v>517</v>
      </c>
      <c r="M234" s="56">
        <f>('Payroll Accrual'!M234)</f>
        <v>18894</v>
      </c>
    </row>
    <row r="235" spans="1:13" outlineLevel="1" x14ac:dyDescent="0.2">
      <c r="A235" s="50" t="str">
        <f>LEFT('Payroll Accrual'!A235,9)&amp;"4020.300"</f>
        <v>12021021.4020.300</v>
      </c>
      <c r="B235" s="51">
        <f>('Payroll Accrual'!O235)</f>
        <v>13.993320000000002</v>
      </c>
      <c r="C235" s="52"/>
      <c r="D235" s="53"/>
      <c r="H235" s="47" t="s">
        <v>517</v>
      </c>
      <c r="M235" s="56">
        <f>('Payroll Accrual'!M235)</f>
        <v>18559</v>
      </c>
    </row>
    <row r="236" spans="1:13" outlineLevel="1" x14ac:dyDescent="0.2">
      <c r="A236" s="50" t="str">
        <f>LEFT('Payroll Accrual'!A236,9)&amp;"4020.300"</f>
        <v>12022511.4020.300</v>
      </c>
      <c r="B236" s="51">
        <f>('Payroll Accrual'!O236)</f>
        <v>3.7890599999999997</v>
      </c>
      <c r="C236" s="52"/>
      <c r="D236" s="53"/>
      <c r="H236" s="47" t="s">
        <v>517</v>
      </c>
      <c r="M236" s="56">
        <f>('Payroll Accrual'!M236)</f>
        <v>141</v>
      </c>
    </row>
    <row r="237" spans="1:13" outlineLevel="1" x14ac:dyDescent="0.2">
      <c r="A237" s="50" t="str">
        <f>LEFT('Payroll Accrual'!A237,9)&amp;"4020.300"</f>
        <v>12022511.4020.300</v>
      </c>
      <c r="B237" s="51">
        <f>('Payroll Accrual'!O237)</f>
        <v>8.1255900000000008</v>
      </c>
      <c r="C237" s="52"/>
      <c r="D237" s="53"/>
      <c r="H237" s="47" t="s">
        <v>517</v>
      </c>
      <c r="M237" s="56">
        <f>('Payroll Accrual'!M237)</f>
        <v>145</v>
      </c>
    </row>
    <row r="238" spans="1:13" outlineLevel="1" x14ac:dyDescent="0.2">
      <c r="A238" s="50" t="str">
        <f>LEFT('Payroll Accrual'!A238,9)&amp;"4020.300"</f>
        <v>12022511.4020.300</v>
      </c>
      <c r="B238" s="51">
        <f>('Payroll Accrual'!O238)</f>
        <v>8.3661599999999989</v>
      </c>
      <c r="C238" s="52"/>
      <c r="D238" s="53"/>
      <c r="H238" s="47" t="s">
        <v>517</v>
      </c>
      <c r="M238" s="56">
        <f>('Payroll Accrual'!M238)</f>
        <v>18961</v>
      </c>
    </row>
    <row r="239" spans="1:13" outlineLevel="1" x14ac:dyDescent="0.2">
      <c r="A239" s="50" t="str">
        <f>LEFT('Payroll Accrual'!A239,9)&amp;"4020.300"</f>
        <v>12023011.4020.300</v>
      </c>
      <c r="B239" s="51">
        <f>('Payroll Accrual'!O239)</f>
        <v>5.757509999999999</v>
      </c>
      <c r="C239" s="52"/>
      <c r="D239" s="53"/>
      <c r="H239" s="47" t="s">
        <v>517</v>
      </c>
      <c r="M239" s="56">
        <f>('Payroll Accrual'!M239)</f>
        <v>18973</v>
      </c>
    </row>
    <row r="240" spans="1:13" outlineLevel="1" x14ac:dyDescent="0.2">
      <c r="A240" s="50" t="str">
        <f>LEFT('Payroll Accrual'!A240,9)&amp;"4020.300"</f>
        <v>12023011.4020.300</v>
      </c>
      <c r="B240" s="51">
        <f>('Payroll Accrual'!O240)</f>
        <v>10.167960000000001</v>
      </c>
      <c r="C240" s="52"/>
      <c r="D240" s="53"/>
      <c r="H240" s="47" t="s">
        <v>517</v>
      </c>
      <c r="M240" s="56">
        <f>('Payroll Accrual'!M240)</f>
        <v>18974</v>
      </c>
    </row>
    <row r="241" spans="1:13" outlineLevel="1" x14ac:dyDescent="0.2">
      <c r="A241" s="50" t="str">
        <f>LEFT('Payroll Accrual'!A241,9)&amp;"4020.300"</f>
        <v>12023011.4020.300</v>
      </c>
      <c r="B241" s="51">
        <f>('Payroll Accrual'!O241)</f>
        <v>6.5297099999999997</v>
      </c>
      <c r="C241" s="52"/>
      <c r="D241" s="53"/>
      <c r="H241" s="47" t="s">
        <v>517</v>
      </c>
      <c r="M241" s="56">
        <f>('Payroll Accrual'!M241)</f>
        <v>19035</v>
      </c>
    </row>
    <row r="242" spans="1:13" outlineLevel="1" x14ac:dyDescent="0.2">
      <c r="A242" s="50" t="str">
        <f>LEFT('Payroll Accrual'!A242,9)&amp;"4020.300"</f>
        <v>12023011.4020.300</v>
      </c>
      <c r="B242" s="51">
        <f>('Payroll Accrual'!O242)</f>
        <v>0.83423999999999998</v>
      </c>
      <c r="C242" s="52"/>
      <c r="D242" s="53"/>
      <c r="H242" s="47" t="s">
        <v>517</v>
      </c>
      <c r="M242" s="56">
        <f>('Payroll Accrual'!M242)</f>
        <v>19042</v>
      </c>
    </row>
    <row r="243" spans="1:13" outlineLevel="1" x14ac:dyDescent="0.2">
      <c r="A243" s="50" t="str">
        <f>LEFT('Payroll Accrual'!A243,9)&amp;"4020.300"</f>
        <v>12023011.4020.300</v>
      </c>
      <c r="B243" s="51">
        <f>('Payroll Accrual'!O243)</f>
        <v>4.11477</v>
      </c>
      <c r="C243" s="52"/>
      <c r="D243" s="53"/>
      <c r="H243" s="47" t="s">
        <v>517</v>
      </c>
      <c r="M243" s="56">
        <f>('Payroll Accrual'!M243)</f>
        <v>19026</v>
      </c>
    </row>
    <row r="244" spans="1:13" outlineLevel="1" x14ac:dyDescent="0.2">
      <c r="A244" s="50" t="str">
        <f>LEFT('Payroll Accrual'!A244,9)&amp;"4020.300"</f>
        <v>12023011.4020.300</v>
      </c>
      <c r="B244" s="51">
        <f>('Payroll Accrual'!O244)</f>
        <v>8.3321700000000014</v>
      </c>
      <c r="C244" s="52"/>
      <c r="D244" s="53"/>
      <c r="H244" s="47" t="s">
        <v>517</v>
      </c>
      <c r="M244" s="56">
        <f>('Payroll Accrual'!M244)</f>
        <v>19007</v>
      </c>
    </row>
    <row r="245" spans="1:13" outlineLevel="1" x14ac:dyDescent="0.2">
      <c r="A245" s="50" t="str">
        <f>LEFT('Payroll Accrual'!A245,9)&amp;"4020.300"</f>
        <v>12023011.4020.300</v>
      </c>
      <c r="B245" s="51">
        <f>('Payroll Accrual'!O245)</f>
        <v>4.11477</v>
      </c>
      <c r="C245" s="52"/>
      <c r="D245" s="53"/>
      <c r="H245" s="47" t="s">
        <v>517</v>
      </c>
      <c r="M245" s="56">
        <f>('Payroll Accrual'!M245)</f>
        <v>19032</v>
      </c>
    </row>
    <row r="246" spans="1:13" outlineLevel="1" x14ac:dyDescent="0.2">
      <c r="A246" s="50" t="str">
        <f>LEFT('Payroll Accrual'!A246,9)&amp;"4020.300"</f>
        <v>12023011.4020.300</v>
      </c>
      <c r="B246" s="51">
        <f>('Payroll Accrual'!O246)</f>
        <v>7.1296499999999998</v>
      </c>
      <c r="C246" s="52"/>
      <c r="D246" s="53"/>
      <c r="H246" s="47" t="s">
        <v>517</v>
      </c>
      <c r="M246" s="56">
        <f>('Payroll Accrual'!M246)</f>
        <v>19041</v>
      </c>
    </row>
    <row r="247" spans="1:13" outlineLevel="1" x14ac:dyDescent="0.2">
      <c r="A247" s="50" t="str">
        <f>LEFT('Payroll Accrual'!A247,9)&amp;"4020.300"</f>
        <v>12023011.4020.300</v>
      </c>
      <c r="B247" s="51">
        <f>('Payroll Accrual'!O247)</f>
        <v>7.8860100000000006</v>
      </c>
      <c r="C247" s="52"/>
      <c r="D247" s="53"/>
      <c r="H247" s="47" t="s">
        <v>517</v>
      </c>
      <c r="M247" s="56">
        <f>('Payroll Accrual'!M247)</f>
        <v>19006</v>
      </c>
    </row>
    <row r="248" spans="1:13" outlineLevel="1" x14ac:dyDescent="0.2">
      <c r="A248" s="50" t="str">
        <f>LEFT('Payroll Accrual'!A248,9)&amp;"4020.300"</f>
        <v>12023011.4020.300</v>
      </c>
      <c r="B248" s="51">
        <f>('Payroll Accrual'!O248)</f>
        <v>7.7708399999999989</v>
      </c>
      <c r="C248" s="52"/>
      <c r="D248" s="53"/>
      <c r="H248" s="47" t="s">
        <v>517</v>
      </c>
      <c r="M248" s="56">
        <f>('Payroll Accrual'!M248)</f>
        <v>18999</v>
      </c>
    </row>
    <row r="249" spans="1:13" outlineLevel="1" x14ac:dyDescent="0.2">
      <c r="A249" s="50" t="str">
        <f>LEFT('Payroll Accrual'!A249,9)&amp;"4020.300"</f>
        <v>12023011.4020.300</v>
      </c>
      <c r="B249" s="51">
        <f>('Payroll Accrual'!O249)</f>
        <v>17.324999999999999</v>
      </c>
      <c r="C249" s="52"/>
      <c r="D249" s="53"/>
      <c r="H249" s="47" t="s">
        <v>517</v>
      </c>
      <c r="M249" s="56">
        <f>('Payroll Accrual'!M249)</f>
        <v>18962</v>
      </c>
    </row>
    <row r="250" spans="1:13" outlineLevel="1" x14ac:dyDescent="0.2">
      <c r="A250" s="50" t="str">
        <f>LEFT('Payroll Accrual'!A250,9)&amp;"4020.300"</f>
        <v>12023021.4020.300</v>
      </c>
      <c r="B250" s="51">
        <f>('Payroll Accrual'!O250)</f>
        <v>6.8501400000000006</v>
      </c>
      <c r="C250" s="52"/>
      <c r="D250" s="53"/>
      <c r="H250" s="47" t="s">
        <v>517</v>
      </c>
      <c r="M250" s="56">
        <f>('Payroll Accrual'!M250)</f>
        <v>18980</v>
      </c>
    </row>
    <row r="251" spans="1:13" outlineLevel="1" x14ac:dyDescent="0.2">
      <c r="A251" s="50" t="str">
        <f>LEFT('Payroll Accrual'!A251,9)&amp;"4020.300"</f>
        <v>12023021.4020.300</v>
      </c>
      <c r="B251" s="51">
        <f>('Payroll Accrual'!O251)</f>
        <v>11.327909999999999</v>
      </c>
      <c r="C251" s="52"/>
      <c r="D251" s="53"/>
      <c r="H251" s="47" t="s">
        <v>517</v>
      </c>
      <c r="M251" s="56">
        <f>('Payroll Accrual'!M251)</f>
        <v>19038</v>
      </c>
    </row>
    <row r="252" spans="1:13" outlineLevel="1" x14ac:dyDescent="0.2">
      <c r="A252" s="50" t="str">
        <f>LEFT('Payroll Accrual'!A252,9)&amp;"4020.300"</f>
        <v>12023021.4020.300</v>
      </c>
      <c r="B252" s="51">
        <f>('Payroll Accrual'!O252)</f>
        <v>6.6861300000000012</v>
      </c>
      <c r="C252" s="52"/>
      <c r="D252" s="53"/>
      <c r="H252" s="47" t="s">
        <v>517</v>
      </c>
      <c r="M252" s="56">
        <f>('Payroll Accrual'!M252)</f>
        <v>19027</v>
      </c>
    </row>
    <row r="253" spans="1:13" outlineLevel="1" x14ac:dyDescent="0.2">
      <c r="A253" s="50" t="str">
        <f>LEFT('Payroll Accrual'!A253,9)&amp;"4020.300"</f>
        <v>12023021.4020.300</v>
      </c>
      <c r="B253" s="51">
        <f>('Payroll Accrual'!O253)</f>
        <v>6.8577299999999992</v>
      </c>
      <c r="C253" s="52"/>
      <c r="D253" s="53"/>
      <c r="H253" s="47" t="s">
        <v>517</v>
      </c>
      <c r="M253" s="56">
        <f>('Payroll Accrual'!M253)</f>
        <v>19021</v>
      </c>
    </row>
    <row r="254" spans="1:13" outlineLevel="1" x14ac:dyDescent="0.2">
      <c r="A254" s="50" t="str">
        <f>LEFT('Payroll Accrual'!A254,9)&amp;"4020.300"</f>
        <v>12024021.4020.300</v>
      </c>
      <c r="B254" s="51">
        <f>('Payroll Accrual'!O254)</f>
        <v>10.958310000000001</v>
      </c>
      <c r="C254" s="52"/>
      <c r="D254" s="53"/>
      <c r="H254" s="47" t="s">
        <v>517</v>
      </c>
      <c r="M254" s="56">
        <f>('Payroll Accrual'!M254)</f>
        <v>18581</v>
      </c>
    </row>
    <row r="255" spans="1:13" outlineLevel="1" x14ac:dyDescent="0.2">
      <c r="A255" s="50" t="str">
        <f>LEFT('Payroll Accrual'!A255,9)&amp;"4020.300"</f>
        <v>12028099.4020.300</v>
      </c>
      <c r="B255" s="51">
        <f>('Payroll Accrual'!O255)</f>
        <v>18.657870000000003</v>
      </c>
      <c r="C255" s="52"/>
      <c r="D255" s="53"/>
      <c r="H255" s="47" t="s">
        <v>517</v>
      </c>
      <c r="M255" s="56">
        <f>('Payroll Accrual'!M255)</f>
        <v>44705</v>
      </c>
    </row>
    <row r="256" spans="1:13" outlineLevel="1" x14ac:dyDescent="0.2">
      <c r="A256" s="50" t="str">
        <f>LEFT('Payroll Accrual'!A256,9)&amp;"4020.300"</f>
        <v>12028099.4020.300</v>
      </c>
      <c r="B256" s="51">
        <f>('Payroll Accrual'!O256)</f>
        <v>8.6624999999999996</v>
      </c>
      <c r="C256" s="52"/>
      <c r="D256" s="53"/>
      <c r="H256" s="47" t="s">
        <v>517</v>
      </c>
      <c r="M256" s="56">
        <f>('Payroll Accrual'!M256)</f>
        <v>19034</v>
      </c>
    </row>
    <row r="257" spans="1:13" outlineLevel="1" x14ac:dyDescent="0.2">
      <c r="A257" s="50" t="str">
        <f>LEFT('Payroll Accrual'!A257,9)&amp;"4020.300"</f>
        <v>12030400.4020.300</v>
      </c>
      <c r="B257" s="51">
        <f>('Payroll Accrual'!O257)</f>
        <v>7.9962300000000015</v>
      </c>
      <c r="C257" s="52"/>
      <c r="D257" s="53"/>
      <c r="H257" s="47" t="s">
        <v>517</v>
      </c>
      <c r="M257" s="56">
        <f>('Payroll Accrual'!M257)</f>
        <v>18805</v>
      </c>
    </row>
    <row r="258" spans="1:13" outlineLevel="1" x14ac:dyDescent="0.2">
      <c r="A258" s="50" t="str">
        <f>LEFT('Payroll Accrual'!A258,9)&amp;"4020.300"</f>
        <v>12030400.4020.300</v>
      </c>
      <c r="B258" s="51">
        <f>('Payroll Accrual'!O258)</f>
        <v>7.9962300000000015</v>
      </c>
      <c r="C258" s="52"/>
      <c r="D258" s="53"/>
      <c r="H258" s="47" t="s">
        <v>517</v>
      </c>
      <c r="M258" s="56">
        <f>('Payroll Accrual'!M258)</f>
        <v>18982</v>
      </c>
    </row>
    <row r="259" spans="1:13" outlineLevel="1" x14ac:dyDescent="0.2">
      <c r="A259" s="50" t="str">
        <f>LEFT('Payroll Accrual'!A259,9)&amp;"4020.300"</f>
        <v>12030500.4020.300</v>
      </c>
      <c r="B259" s="51">
        <f>('Payroll Accrual'!O259)</f>
        <v>8.5786800000000003</v>
      </c>
      <c r="C259" s="52"/>
      <c r="D259" s="53"/>
      <c r="H259" s="47" t="s">
        <v>517</v>
      </c>
      <c r="M259" s="56">
        <f>('Payroll Accrual'!M259)</f>
        <v>266</v>
      </c>
    </row>
    <row r="260" spans="1:13" outlineLevel="1" x14ac:dyDescent="0.2">
      <c r="A260" s="50" t="str">
        <f>LEFT('Payroll Accrual'!A260,9)&amp;"4020.300"</f>
        <v>12030500.4020.300</v>
      </c>
      <c r="B260" s="51">
        <f>('Payroll Accrual'!O260)</f>
        <v>7.4629500000000002</v>
      </c>
      <c r="C260" s="52"/>
      <c r="D260" s="53"/>
      <c r="H260" s="47" t="s">
        <v>517</v>
      </c>
      <c r="M260" s="56">
        <f>('Payroll Accrual'!M260)</f>
        <v>18841</v>
      </c>
    </row>
    <row r="261" spans="1:13" outlineLevel="1" x14ac:dyDescent="0.2">
      <c r="A261" s="50" t="str">
        <f>LEFT('Payroll Accrual'!A261,9)&amp;"4020.300"</f>
        <v>12030611.4020.300</v>
      </c>
      <c r="B261" s="51">
        <f>('Payroll Accrual'!O261)</f>
        <v>6.58779</v>
      </c>
      <c r="C261" s="52"/>
      <c r="D261" s="53"/>
      <c r="H261" s="47" t="s">
        <v>517</v>
      </c>
      <c r="M261" s="56">
        <f>('Payroll Accrual'!M261)</f>
        <v>18918</v>
      </c>
    </row>
    <row r="262" spans="1:13" outlineLevel="1" x14ac:dyDescent="0.2">
      <c r="A262" s="50" t="str">
        <f>LEFT('Payroll Accrual'!A262,9)&amp;"4020.300"</f>
        <v>12030611.4020.300</v>
      </c>
      <c r="B262" s="51">
        <f>('Payroll Accrual'!O262)</f>
        <v>6.6917399999999994</v>
      </c>
      <c r="C262" s="52"/>
      <c r="D262" s="53"/>
      <c r="H262" s="47" t="s">
        <v>517</v>
      </c>
      <c r="M262" s="56">
        <f>('Payroll Accrual'!M262)</f>
        <v>18949</v>
      </c>
    </row>
    <row r="263" spans="1:13" outlineLevel="1" x14ac:dyDescent="0.2">
      <c r="A263" s="50" t="str">
        <f>LEFT('Payroll Accrual'!A263,9)&amp;"4020.300"</f>
        <v>12030611.4020.300</v>
      </c>
      <c r="B263" s="51">
        <f>('Payroll Accrual'!O263)</f>
        <v>8.3074199999999987</v>
      </c>
      <c r="C263" s="52"/>
      <c r="D263" s="53"/>
      <c r="H263" s="47" t="s">
        <v>517</v>
      </c>
      <c r="M263" s="56">
        <f>('Payroll Accrual'!M263)</f>
        <v>18827</v>
      </c>
    </row>
    <row r="264" spans="1:13" outlineLevel="1" x14ac:dyDescent="0.2">
      <c r="A264" s="50" t="str">
        <f>LEFT('Payroll Accrual'!A264,9)&amp;"4020.300"</f>
        <v>12030611.4020.300</v>
      </c>
      <c r="B264" s="51">
        <f>('Payroll Accrual'!O264)</f>
        <v>6.9032700000000009</v>
      </c>
      <c r="C264" s="52"/>
      <c r="D264" s="53"/>
      <c r="H264" s="47" t="s">
        <v>517</v>
      </c>
      <c r="M264" s="56">
        <f>('Payroll Accrual'!M264)</f>
        <v>18979</v>
      </c>
    </row>
    <row r="265" spans="1:13" outlineLevel="1" x14ac:dyDescent="0.2">
      <c r="A265" s="50" t="str">
        <f>LEFT('Payroll Accrual'!A265,9)&amp;"4020.300"</f>
        <v>12030611.4020.300</v>
      </c>
      <c r="B265" s="51">
        <f>('Payroll Accrual'!O265)</f>
        <v>11.994179999999998</v>
      </c>
      <c r="C265" s="52"/>
      <c r="D265" s="53"/>
      <c r="H265" s="47" t="s">
        <v>517</v>
      </c>
      <c r="M265" s="56">
        <f>('Payroll Accrual'!M265)</f>
        <v>18626</v>
      </c>
    </row>
    <row r="266" spans="1:13" outlineLevel="1" x14ac:dyDescent="0.2">
      <c r="A266" s="50" t="str">
        <f>LEFT('Payroll Accrual'!A266,9)&amp;"4020.300"</f>
        <v>12030611.4020.300</v>
      </c>
      <c r="B266" s="51">
        <f>('Payroll Accrual'!O266)</f>
        <v>6.8366099999999994</v>
      </c>
      <c r="C266" s="52"/>
      <c r="D266" s="53"/>
      <c r="H266" s="47" t="s">
        <v>517</v>
      </c>
      <c r="M266" s="56">
        <f>('Payroll Accrual'!M266)</f>
        <v>18822</v>
      </c>
    </row>
    <row r="267" spans="1:13" outlineLevel="1" x14ac:dyDescent="0.2">
      <c r="A267" s="50" t="str">
        <f>LEFT('Payroll Accrual'!A267,9)&amp;"4020.300"</f>
        <v>12030611.4020.300</v>
      </c>
      <c r="B267" s="51">
        <f>('Payroll Accrual'!O267)</f>
        <v>3.2191499999999995</v>
      </c>
      <c r="C267" s="52"/>
      <c r="D267" s="53"/>
      <c r="H267" s="47" t="s">
        <v>517</v>
      </c>
      <c r="M267" s="56">
        <f>('Payroll Accrual'!M267)</f>
        <v>18929</v>
      </c>
    </row>
    <row r="268" spans="1:13" outlineLevel="1" x14ac:dyDescent="0.2">
      <c r="A268" s="50" t="str">
        <f>LEFT('Payroll Accrual'!A268,9)&amp;"4020.300"</f>
        <v>12030611.4020.300</v>
      </c>
      <c r="B268" s="51">
        <f>('Payroll Accrual'!O268)</f>
        <v>3.3237599999999996</v>
      </c>
      <c r="C268" s="52"/>
      <c r="D268" s="53"/>
      <c r="H268" s="47" t="s">
        <v>517</v>
      </c>
      <c r="M268" s="56">
        <f>('Payroll Accrual'!M268)</f>
        <v>134</v>
      </c>
    </row>
    <row r="269" spans="1:13" outlineLevel="1" x14ac:dyDescent="0.2">
      <c r="A269" s="50" t="str">
        <f>LEFT('Payroll Accrual'!A269,9)&amp;"4020.300"</f>
        <v>12030611.4020.300</v>
      </c>
      <c r="B269" s="51">
        <f>('Payroll Accrual'!O269)</f>
        <v>7.59924</v>
      </c>
      <c r="C269" s="52"/>
      <c r="D269" s="53"/>
      <c r="H269" s="47" t="s">
        <v>517</v>
      </c>
      <c r="M269" s="56">
        <f>('Payroll Accrual'!M269)</f>
        <v>18797</v>
      </c>
    </row>
    <row r="270" spans="1:13" outlineLevel="1" x14ac:dyDescent="0.2">
      <c r="A270" s="50" t="str">
        <f>LEFT('Payroll Accrual'!A270,9)&amp;"4020.300"</f>
        <v>12030611.4020.300</v>
      </c>
      <c r="B270" s="51">
        <f>('Payroll Accrual'!O270)</f>
        <v>6.6501600000000005</v>
      </c>
      <c r="C270" s="52"/>
      <c r="D270" s="53"/>
      <c r="H270" s="47" t="s">
        <v>517</v>
      </c>
      <c r="M270" s="56">
        <f>('Payroll Accrual'!M270)</f>
        <v>18887</v>
      </c>
    </row>
    <row r="271" spans="1:13" outlineLevel="1" x14ac:dyDescent="0.2">
      <c r="A271" s="50" t="str">
        <f>LEFT('Payroll Accrual'!A271,9)&amp;"4020.300"</f>
        <v>12030711.4020.300</v>
      </c>
      <c r="B271" s="51">
        <f>('Payroll Accrual'!O271)</f>
        <v>1.5001800000000003</v>
      </c>
      <c r="C271" s="52"/>
      <c r="D271" s="53"/>
      <c r="H271" s="47" t="s">
        <v>517</v>
      </c>
      <c r="M271" s="56">
        <f>('Payroll Accrual'!M271)</f>
        <v>18793</v>
      </c>
    </row>
    <row r="272" spans="1:13" outlineLevel="1" x14ac:dyDescent="0.2">
      <c r="A272" s="50" t="str">
        <f>LEFT('Payroll Accrual'!A272,9)&amp;"4020.300"</f>
        <v>12030800.4020.300</v>
      </c>
      <c r="B272" s="51">
        <f>('Payroll Accrual'!O272)</f>
        <v>6.0360300000000002</v>
      </c>
      <c r="C272" s="52"/>
      <c r="D272" s="53"/>
      <c r="H272" s="47" t="s">
        <v>517</v>
      </c>
      <c r="M272" s="56">
        <f>('Payroll Accrual'!M272)</f>
        <v>18989</v>
      </c>
    </row>
    <row r="273" spans="1:13" outlineLevel="1" x14ac:dyDescent="0.2">
      <c r="A273" s="50" t="str">
        <f>LEFT('Payroll Accrual'!A273,9)&amp;"4020.300"</f>
        <v>12032511.4020.300</v>
      </c>
      <c r="B273" s="51">
        <f>('Payroll Accrual'!O273)</f>
        <v>6.0822300000000009</v>
      </c>
      <c r="C273" s="52"/>
      <c r="D273" s="53"/>
      <c r="H273" s="47" t="s">
        <v>517</v>
      </c>
      <c r="M273" s="56">
        <f>('Payroll Accrual'!M273)</f>
        <v>18736</v>
      </c>
    </row>
    <row r="274" spans="1:13" outlineLevel="1" x14ac:dyDescent="0.2">
      <c r="A274" s="50" t="str">
        <f>LEFT('Payroll Accrual'!A274,9)&amp;"4020.300"</f>
        <v>12033011.4020.300</v>
      </c>
      <c r="B274" s="51">
        <f>('Payroll Accrual'!O274)</f>
        <v>6.6227699999999992</v>
      </c>
      <c r="C274" s="52"/>
      <c r="D274" s="53"/>
      <c r="H274" s="47" t="s">
        <v>517</v>
      </c>
      <c r="M274" s="56">
        <f>('Payroll Accrual'!M274)</f>
        <v>19009</v>
      </c>
    </row>
    <row r="275" spans="1:13" outlineLevel="1" x14ac:dyDescent="0.2">
      <c r="A275" s="50" t="str">
        <f>LEFT('Payroll Accrual'!A275,9)&amp;"4020.300"</f>
        <v>12033011.4020.300</v>
      </c>
      <c r="B275" s="51">
        <f>('Payroll Accrual'!O275)</f>
        <v>6.5960399999999995</v>
      </c>
      <c r="C275" s="52"/>
      <c r="D275" s="53"/>
      <c r="H275" s="47" t="s">
        <v>517</v>
      </c>
      <c r="M275" s="56">
        <f>('Payroll Accrual'!M275)</f>
        <v>19028</v>
      </c>
    </row>
    <row r="276" spans="1:13" outlineLevel="1" x14ac:dyDescent="0.2">
      <c r="A276" s="50" t="str">
        <f>LEFT('Payroll Accrual'!A276,9)&amp;"4020.300"</f>
        <v>12033011.4020.300</v>
      </c>
      <c r="B276" s="51">
        <f>('Payroll Accrual'!O276)</f>
        <v>8.1054600000000008</v>
      </c>
      <c r="C276" s="52"/>
      <c r="D276" s="53"/>
      <c r="H276" s="47" t="s">
        <v>517</v>
      </c>
      <c r="M276" s="56">
        <f>('Payroll Accrual'!M276)</f>
        <v>18829</v>
      </c>
    </row>
    <row r="277" spans="1:13" outlineLevel="1" x14ac:dyDescent="0.2">
      <c r="A277" s="50" t="str">
        <f>LEFT('Payroll Accrual'!A277,9)&amp;"4020.300"</f>
        <v>12033011.4020.300</v>
      </c>
      <c r="B277" s="51">
        <f>('Payroll Accrual'!O277)</f>
        <v>7.2606599999999997</v>
      </c>
      <c r="C277" s="52"/>
      <c r="D277" s="53"/>
      <c r="H277" s="47" t="s">
        <v>517</v>
      </c>
      <c r="M277" s="56">
        <f>('Payroll Accrual'!M277)</f>
        <v>19015</v>
      </c>
    </row>
    <row r="278" spans="1:13" outlineLevel="1" x14ac:dyDescent="0.2">
      <c r="A278" s="50" t="str">
        <f>LEFT('Payroll Accrual'!A278,9)&amp;"4020.300"</f>
        <v>12033011.4020.300</v>
      </c>
      <c r="B278" s="51">
        <f>('Payroll Accrual'!O278)</f>
        <v>6.3680100000000008</v>
      </c>
      <c r="C278" s="52"/>
      <c r="D278" s="53"/>
      <c r="H278" s="47" t="s">
        <v>517</v>
      </c>
      <c r="M278" s="56">
        <f>('Payroll Accrual'!M278)</f>
        <v>19011</v>
      </c>
    </row>
    <row r="279" spans="1:13" outlineLevel="1" x14ac:dyDescent="0.2">
      <c r="A279" s="50" t="str">
        <f>LEFT('Payroll Accrual'!A279,9)&amp;"4020.300"</f>
        <v>12033011.4020.300</v>
      </c>
      <c r="B279" s="51">
        <f>('Payroll Accrual'!O279)</f>
        <v>5.3380799999999988</v>
      </c>
      <c r="C279" s="52"/>
      <c r="D279" s="53"/>
      <c r="H279" s="47" t="s">
        <v>517</v>
      </c>
      <c r="M279" s="56">
        <f>('Payroll Accrual'!M279)</f>
        <v>19017</v>
      </c>
    </row>
    <row r="280" spans="1:13" outlineLevel="1" x14ac:dyDescent="0.2">
      <c r="A280" s="50" t="str">
        <f>LEFT('Payroll Accrual'!A280,9)&amp;"4020.300"</f>
        <v>12033011.4020.300</v>
      </c>
      <c r="B280" s="51">
        <f>('Payroll Accrual'!O280)</f>
        <v>7.0042500000000008</v>
      </c>
      <c r="C280" s="52"/>
      <c r="D280" s="53"/>
      <c r="H280" s="47" t="s">
        <v>517</v>
      </c>
      <c r="M280" s="56">
        <f>('Payroll Accrual'!M280)</f>
        <v>19012</v>
      </c>
    </row>
    <row r="281" spans="1:13" outlineLevel="1" x14ac:dyDescent="0.2">
      <c r="A281" s="50" t="str">
        <f>LEFT('Payroll Accrual'!A281,9)&amp;"4020.300"</f>
        <v>12033011.4020.300</v>
      </c>
      <c r="B281" s="51">
        <f>('Payroll Accrual'!O281)</f>
        <v>6.9392399999999999</v>
      </c>
      <c r="C281" s="52"/>
      <c r="D281" s="53"/>
      <c r="H281" s="47" t="s">
        <v>517</v>
      </c>
      <c r="M281" s="56">
        <f>('Payroll Accrual'!M281)</f>
        <v>18607</v>
      </c>
    </row>
    <row r="282" spans="1:13" outlineLevel="1" x14ac:dyDescent="0.2">
      <c r="A282" s="50" t="str">
        <f>LEFT('Payroll Accrual'!A282,9)&amp;"4020.300"</f>
        <v>12033011.4020.300</v>
      </c>
      <c r="B282" s="51">
        <f>('Payroll Accrual'!O282)</f>
        <v>8.6512799999999999</v>
      </c>
      <c r="C282" s="52"/>
      <c r="D282" s="53"/>
      <c r="H282" s="47" t="s">
        <v>517</v>
      </c>
      <c r="M282" s="56">
        <f>('Payroll Accrual'!M282)</f>
        <v>18932</v>
      </c>
    </row>
    <row r="283" spans="1:13" outlineLevel="1" x14ac:dyDescent="0.2">
      <c r="A283" s="50" t="str">
        <f>LEFT('Payroll Accrual'!A283,9)&amp;"4020.300"</f>
        <v>12033011.4020.300</v>
      </c>
      <c r="B283" s="51">
        <f>('Payroll Accrual'!O283)</f>
        <v>6.1139100000000006</v>
      </c>
      <c r="C283" s="52"/>
      <c r="D283" s="53"/>
      <c r="H283" s="47" t="s">
        <v>517</v>
      </c>
      <c r="M283" s="56">
        <f>('Payroll Accrual'!M283)</f>
        <v>18923</v>
      </c>
    </row>
    <row r="284" spans="1:13" outlineLevel="1" x14ac:dyDescent="0.2">
      <c r="A284" s="50" t="str">
        <f>LEFT('Payroll Accrual'!A284,9)&amp;"4020.300"</f>
        <v>12033011.4020.300</v>
      </c>
      <c r="B284" s="51">
        <f>('Payroll Accrual'!O284)</f>
        <v>7.2355799999999988</v>
      </c>
      <c r="C284" s="52"/>
      <c r="D284" s="53"/>
      <c r="H284" s="47" t="s">
        <v>517</v>
      </c>
      <c r="M284" s="56">
        <f>('Payroll Accrual'!M284)</f>
        <v>18983</v>
      </c>
    </row>
    <row r="285" spans="1:13" outlineLevel="1" x14ac:dyDescent="0.2">
      <c r="A285" s="50" t="str">
        <f>LEFT('Payroll Accrual'!A285,9)&amp;"4020.300"</f>
        <v>12033011.4020.300</v>
      </c>
      <c r="B285" s="51">
        <f>('Payroll Accrual'!O285)</f>
        <v>6.0749699999999995</v>
      </c>
      <c r="C285" s="52"/>
      <c r="D285" s="53"/>
      <c r="H285" s="47" t="s">
        <v>517</v>
      </c>
      <c r="M285" s="56">
        <f>('Payroll Accrual'!M285)</f>
        <v>18679</v>
      </c>
    </row>
    <row r="286" spans="1:13" outlineLevel="1" x14ac:dyDescent="0.2">
      <c r="A286" s="50" t="str">
        <f>LEFT('Payroll Accrual'!A286,9)&amp;"4020.300"</f>
        <v>12033011.4020.300</v>
      </c>
      <c r="B286" s="51">
        <f>('Payroll Accrual'!O286)</f>
        <v>7.4164199999999996</v>
      </c>
      <c r="C286" s="52"/>
      <c r="D286" s="53"/>
      <c r="H286" s="47" t="s">
        <v>517</v>
      </c>
      <c r="M286" s="56">
        <f>('Payroll Accrual'!M286)</f>
        <v>19030</v>
      </c>
    </row>
    <row r="287" spans="1:13" outlineLevel="1" x14ac:dyDescent="0.2">
      <c r="A287" s="50" t="str">
        <f>LEFT('Payroll Accrual'!A287,9)&amp;"4020.300"</f>
        <v>12033011.4020.300</v>
      </c>
      <c r="B287" s="51">
        <f>('Payroll Accrual'!O287)</f>
        <v>6.989069999999999</v>
      </c>
      <c r="C287" s="52"/>
      <c r="D287" s="53"/>
      <c r="H287" s="47" t="s">
        <v>517</v>
      </c>
      <c r="M287" s="56">
        <f>('Payroll Accrual'!M287)</f>
        <v>19029</v>
      </c>
    </row>
    <row r="288" spans="1:13" outlineLevel="1" x14ac:dyDescent="0.2">
      <c r="A288" s="50" t="str">
        <f>LEFT('Payroll Accrual'!A288,9)&amp;"4020.300"</f>
        <v>12033011.4020.300</v>
      </c>
      <c r="B288" s="51">
        <f>('Payroll Accrual'!O288)</f>
        <v>7.2048900000000007</v>
      </c>
      <c r="C288" s="52"/>
      <c r="D288" s="53"/>
      <c r="H288" s="47" t="s">
        <v>517</v>
      </c>
      <c r="M288" s="56">
        <f>('Payroll Accrual'!M288)</f>
        <v>19019</v>
      </c>
    </row>
    <row r="289" spans="1:13" outlineLevel="1" x14ac:dyDescent="0.2">
      <c r="A289" s="50" t="str">
        <f>LEFT('Payroll Accrual'!A289,9)&amp;"4020.300"</f>
        <v>12033011.4020.300</v>
      </c>
      <c r="B289" s="51">
        <f>('Payroll Accrual'!O289)</f>
        <v>4.9031399999999996</v>
      </c>
      <c r="C289" s="52"/>
      <c r="D289" s="53"/>
      <c r="H289" s="47" t="s">
        <v>517</v>
      </c>
      <c r="M289" s="56">
        <f>('Payroll Accrual'!M289)</f>
        <v>19008</v>
      </c>
    </row>
    <row r="290" spans="1:13" outlineLevel="1" x14ac:dyDescent="0.2">
      <c r="A290" s="50" t="str">
        <f>LEFT('Payroll Accrual'!A290,9)&amp;"4020.300"</f>
        <v>12038099.4020.300</v>
      </c>
      <c r="B290" s="51">
        <f>('Payroll Accrual'!O290)</f>
        <v>9.9953699999999994</v>
      </c>
      <c r="C290" s="52"/>
      <c r="D290" s="53"/>
      <c r="H290" s="47" t="s">
        <v>517</v>
      </c>
      <c r="M290" s="56">
        <f>('Payroll Accrual'!M290)</f>
        <v>18998</v>
      </c>
    </row>
    <row r="291" spans="1:13" outlineLevel="1" x14ac:dyDescent="0.2">
      <c r="A291" s="50" t="str">
        <f>LEFT('Payroll Accrual'!A291,9)&amp;"4020.300"</f>
        <v>12040400.4020.300</v>
      </c>
      <c r="B291" s="51">
        <f>('Payroll Accrual'!O291)</f>
        <v>10.255080000000001</v>
      </c>
      <c r="C291" s="52"/>
      <c r="D291" s="53"/>
      <c r="H291" s="47" t="s">
        <v>517</v>
      </c>
      <c r="M291" s="56">
        <f>('Payroll Accrual'!M291)</f>
        <v>115</v>
      </c>
    </row>
    <row r="292" spans="1:13" outlineLevel="1" x14ac:dyDescent="0.2">
      <c r="A292" s="50" t="str">
        <f>LEFT('Payroll Accrual'!A292,9)&amp;"4020.300"</f>
        <v>12040500.4020.300</v>
      </c>
      <c r="B292" s="51">
        <f>('Payroll Accrual'!O292)</f>
        <v>7.0765199999999995</v>
      </c>
      <c r="C292" s="52"/>
      <c r="D292" s="53"/>
      <c r="H292" s="47" t="s">
        <v>517</v>
      </c>
      <c r="M292" s="56">
        <f>('Payroll Accrual'!M292)</f>
        <v>19020</v>
      </c>
    </row>
    <row r="293" spans="1:13" outlineLevel="1" x14ac:dyDescent="0.2">
      <c r="A293" s="50" t="str">
        <f>LEFT('Payroll Accrual'!A293,9)&amp;"4020.300"</f>
        <v>12040500.4020.300</v>
      </c>
      <c r="B293" s="51">
        <f>('Payroll Accrual'!O293)</f>
        <v>10.66164</v>
      </c>
      <c r="C293" s="52"/>
      <c r="D293" s="53"/>
      <c r="H293" s="47" t="s">
        <v>517</v>
      </c>
      <c r="M293" s="56">
        <f>('Payroll Accrual'!M293)</f>
        <v>18649</v>
      </c>
    </row>
    <row r="294" spans="1:13" outlineLevel="1" x14ac:dyDescent="0.2">
      <c r="A294" s="50" t="str">
        <f>LEFT('Payroll Accrual'!A294,9)&amp;"4020.300"</f>
        <v>12040800.4020.300</v>
      </c>
      <c r="B294" s="51">
        <f>('Payroll Accrual'!O294)</f>
        <v>4.1830799999999995</v>
      </c>
      <c r="C294" s="52"/>
      <c r="D294" s="53"/>
      <c r="H294" s="47" t="s">
        <v>517</v>
      </c>
      <c r="M294" s="56">
        <f>('Payroll Accrual'!M294)</f>
        <v>18839</v>
      </c>
    </row>
    <row r="295" spans="1:13" outlineLevel="1" x14ac:dyDescent="0.2">
      <c r="A295" s="50" t="str">
        <f>LEFT('Payroll Accrual'!A295,9)&amp;"4020.300"</f>
        <v>12040800.4020.300</v>
      </c>
      <c r="B295" s="51">
        <f>('Payroll Accrual'!O295)</f>
        <v>6.80823</v>
      </c>
      <c r="C295" s="52"/>
      <c r="D295" s="53"/>
      <c r="H295" s="47" t="s">
        <v>517</v>
      </c>
      <c r="M295" s="56">
        <f>('Payroll Accrual'!M295)</f>
        <v>18904</v>
      </c>
    </row>
    <row r="296" spans="1:13" outlineLevel="1" x14ac:dyDescent="0.2">
      <c r="A296" s="50" t="str">
        <f>LEFT('Payroll Accrual'!A296,9)&amp;"4020.300"</f>
        <v>12042511.4020.300</v>
      </c>
      <c r="B296" s="51">
        <f>('Payroll Accrual'!O296)</f>
        <v>6.4762500000000003</v>
      </c>
      <c r="C296" s="52"/>
      <c r="D296" s="53"/>
      <c r="H296" s="47" t="s">
        <v>517</v>
      </c>
      <c r="M296" s="56">
        <f>('Payroll Accrual'!M296)</f>
        <v>18650</v>
      </c>
    </row>
    <row r="297" spans="1:13" outlineLevel="1" x14ac:dyDescent="0.2">
      <c r="A297" s="50" t="str">
        <f>LEFT('Payroll Accrual'!A297,9)&amp;"4020.300"</f>
        <v>12043011.4020.300</v>
      </c>
      <c r="B297" s="51">
        <f>('Payroll Accrual'!O297)</f>
        <v>4.5870000000000006</v>
      </c>
      <c r="C297" s="52"/>
      <c r="D297" s="53"/>
      <c r="H297" s="47" t="s">
        <v>517</v>
      </c>
      <c r="M297" s="56">
        <f>('Payroll Accrual'!M297)</f>
        <v>18924</v>
      </c>
    </row>
    <row r="298" spans="1:13" outlineLevel="1" x14ac:dyDescent="0.2">
      <c r="A298" s="50" t="str">
        <f>LEFT('Payroll Accrual'!A298,9)&amp;"4020.300"</f>
        <v>12043011.4020.300</v>
      </c>
      <c r="B298" s="51">
        <f>('Payroll Accrual'!O298)</f>
        <v>10.929599999999999</v>
      </c>
      <c r="C298" s="52"/>
      <c r="D298" s="53"/>
      <c r="H298" s="47" t="s">
        <v>517</v>
      </c>
      <c r="M298" s="56">
        <f>('Payroll Accrual'!M298)</f>
        <v>18713</v>
      </c>
    </row>
    <row r="299" spans="1:13" outlineLevel="1" x14ac:dyDescent="0.2">
      <c r="A299" s="50" t="str">
        <f>LEFT('Payroll Accrual'!A299,9)&amp;"4020.300"</f>
        <v>12043011.4020.300</v>
      </c>
      <c r="B299" s="51">
        <f>('Payroll Accrual'!O299)</f>
        <v>1.6622100000000002</v>
      </c>
      <c r="C299" s="52"/>
      <c r="D299" s="53"/>
      <c r="H299" s="47" t="s">
        <v>517</v>
      </c>
      <c r="M299" s="56">
        <f>('Payroll Accrual'!M299)</f>
        <v>18917</v>
      </c>
    </row>
    <row r="300" spans="1:13" outlineLevel="1" x14ac:dyDescent="0.2">
      <c r="A300" s="50" t="str">
        <f>LEFT('Payroll Accrual'!A300,9)&amp;"4020.300"</f>
        <v>12043011.4020.300</v>
      </c>
      <c r="B300" s="51">
        <f>('Payroll Accrual'!O300)</f>
        <v>8.4654900000000008</v>
      </c>
      <c r="C300" s="52"/>
      <c r="D300" s="53"/>
      <c r="H300" s="47" t="s">
        <v>517</v>
      </c>
      <c r="M300" s="56">
        <f>('Payroll Accrual'!M300)</f>
        <v>18942</v>
      </c>
    </row>
    <row r="301" spans="1:13" outlineLevel="1" x14ac:dyDescent="0.2">
      <c r="A301" s="50" t="str">
        <f>LEFT('Payroll Accrual'!A301,9)&amp;"4020.300"</f>
        <v>12043011.4020.300</v>
      </c>
      <c r="B301" s="51">
        <f>('Payroll Accrual'!O301)</f>
        <v>6.2736300000000007</v>
      </c>
      <c r="C301" s="52"/>
      <c r="D301" s="53"/>
      <c r="H301" s="47" t="s">
        <v>517</v>
      </c>
      <c r="M301" s="56">
        <f>('Payroll Accrual'!M301)</f>
        <v>18990</v>
      </c>
    </row>
    <row r="302" spans="1:13" outlineLevel="1" x14ac:dyDescent="0.2">
      <c r="A302" s="50" t="str">
        <f>LEFT('Payroll Accrual'!A302,9)&amp;"4020.300"</f>
        <v>12043011.4020.300</v>
      </c>
      <c r="B302" s="51">
        <f>('Payroll Accrual'!O302)</f>
        <v>8.3546099999999992</v>
      </c>
      <c r="C302" s="52"/>
      <c r="D302" s="53"/>
      <c r="H302" s="47" t="s">
        <v>517</v>
      </c>
      <c r="M302" s="56">
        <f>('Payroll Accrual'!M302)</f>
        <v>18703</v>
      </c>
    </row>
    <row r="303" spans="1:13" outlineLevel="1" x14ac:dyDescent="0.2">
      <c r="A303" s="50" t="str">
        <f>LEFT('Payroll Accrual'!A303,9)&amp;"4020.300"</f>
        <v>12043011.4020.300</v>
      </c>
      <c r="B303" s="51">
        <f>('Payroll Accrual'!O303)</f>
        <v>3.3095699999999999</v>
      </c>
      <c r="C303" s="52"/>
      <c r="D303" s="53"/>
      <c r="H303" s="47" t="s">
        <v>517</v>
      </c>
      <c r="M303" s="56">
        <f>('Payroll Accrual'!M303)</f>
        <v>19023</v>
      </c>
    </row>
    <row r="304" spans="1:13" outlineLevel="1" x14ac:dyDescent="0.2">
      <c r="A304" s="50" t="str">
        <f>LEFT('Payroll Accrual'!A304,9)&amp;"4020.300"</f>
        <v>12043011.4020.300</v>
      </c>
      <c r="B304" s="51">
        <f>('Payroll Accrual'!O304)</f>
        <v>7.7599499999999999</v>
      </c>
      <c r="C304" s="52"/>
      <c r="D304" s="53"/>
      <c r="H304" s="47" t="s">
        <v>517</v>
      </c>
      <c r="M304" s="56">
        <f>('Payroll Accrual'!M304)</f>
        <v>18850</v>
      </c>
    </row>
    <row r="305" spans="1:13" outlineLevel="1" x14ac:dyDescent="0.2">
      <c r="A305" s="50" t="str">
        <f>LEFT('Payroll Accrual'!A305,9)&amp;"4020.300"</f>
        <v>12043011.4020.300</v>
      </c>
      <c r="B305" s="51">
        <f>('Payroll Accrual'!O305)</f>
        <v>7.0986300000000018</v>
      </c>
      <c r="C305" s="52"/>
      <c r="D305" s="53"/>
      <c r="H305" s="47" t="s">
        <v>517</v>
      </c>
      <c r="M305" s="56">
        <f>('Payroll Accrual'!M305)</f>
        <v>18986</v>
      </c>
    </row>
    <row r="306" spans="1:13" outlineLevel="1" x14ac:dyDescent="0.2">
      <c r="A306" s="50" t="str">
        <f>LEFT('Payroll Accrual'!A306,9)&amp;"4020.300"</f>
        <v>12043011.4020.300</v>
      </c>
      <c r="B306" s="51">
        <f>('Payroll Accrual'!O306)</f>
        <v>8.195549999999999</v>
      </c>
      <c r="C306" s="52"/>
      <c r="D306" s="53"/>
      <c r="H306" s="47" t="s">
        <v>517</v>
      </c>
      <c r="M306" s="56">
        <f>('Payroll Accrual'!M306)</f>
        <v>18646</v>
      </c>
    </row>
    <row r="307" spans="1:13" outlineLevel="1" x14ac:dyDescent="0.2">
      <c r="A307" s="50" t="str">
        <f>LEFT('Payroll Accrual'!A307,9)&amp;"4020.300"</f>
        <v>12043011.4020.300</v>
      </c>
      <c r="B307" s="51">
        <f>('Payroll Accrual'!O307)</f>
        <v>6.6884399999999999</v>
      </c>
      <c r="C307" s="52"/>
      <c r="D307" s="53"/>
      <c r="H307" s="47" t="s">
        <v>517</v>
      </c>
      <c r="M307" s="56">
        <f>('Payroll Accrual'!M307)</f>
        <v>19039</v>
      </c>
    </row>
    <row r="308" spans="1:13" outlineLevel="1" x14ac:dyDescent="0.2">
      <c r="A308" s="50" t="str">
        <f>LEFT('Payroll Accrual'!A308,9)&amp;"4020.300"</f>
        <v>12043123.4020.300</v>
      </c>
      <c r="B308" s="51">
        <f>('Payroll Accrual'!O308)</f>
        <v>6.1162199999999993</v>
      </c>
      <c r="C308" s="52"/>
      <c r="D308" s="53"/>
      <c r="H308" s="47" t="s">
        <v>517</v>
      </c>
      <c r="M308" s="56">
        <f>('Payroll Accrual'!M308)</f>
        <v>18970</v>
      </c>
    </row>
    <row r="309" spans="1:13" outlineLevel="1" x14ac:dyDescent="0.2">
      <c r="A309" s="50" t="str">
        <f>LEFT('Payroll Accrual'!A309,9)&amp;"4020.300"</f>
        <v>12048099.4020.300</v>
      </c>
      <c r="B309" s="51">
        <f>('Payroll Accrual'!O309)</f>
        <v>7.5962699999999987</v>
      </c>
      <c r="C309" s="52"/>
      <c r="D309" s="53"/>
      <c r="H309" s="47" t="s">
        <v>517</v>
      </c>
      <c r="M309" s="56">
        <f>('Payroll Accrual'!M309)</f>
        <v>18976</v>
      </c>
    </row>
    <row r="310" spans="1:13" outlineLevel="1" x14ac:dyDescent="0.2">
      <c r="A310" s="50" t="str">
        <f>LEFT('Payroll Accrual'!A310,9)&amp;"4020.300"</f>
        <v>12048099.4020.300</v>
      </c>
      <c r="B310" s="51">
        <f>('Payroll Accrual'!O310)</f>
        <v>11.327909999999999</v>
      </c>
      <c r="C310" s="52"/>
      <c r="D310" s="53"/>
      <c r="H310" s="47" t="s">
        <v>517</v>
      </c>
      <c r="M310" s="56">
        <f>('Payroll Accrual'!M310)</f>
        <v>19031</v>
      </c>
    </row>
    <row r="311" spans="1:13" outlineLevel="1" x14ac:dyDescent="0.2">
      <c r="A311" s="50" t="str">
        <f>LEFT('Payroll Accrual'!A311,9)&amp;"4020.300"</f>
        <v>12060400.4020.300</v>
      </c>
      <c r="B311" s="51">
        <f>('Payroll Accrual'!O311)</f>
        <v>8.7958200000000026</v>
      </c>
      <c r="C311" s="52"/>
      <c r="D311" s="53"/>
      <c r="H311" s="47" t="s">
        <v>517</v>
      </c>
      <c r="M311" s="56">
        <f>('Payroll Accrual'!M311)</f>
        <v>18442</v>
      </c>
    </row>
    <row r="312" spans="1:13" outlineLevel="1" x14ac:dyDescent="0.2">
      <c r="A312" s="50" t="str">
        <f>LEFT('Payroll Accrual'!A312,9)&amp;"4020.300"</f>
        <v>12060611.4020.300</v>
      </c>
      <c r="B312" s="51">
        <f>('Payroll Accrual'!O312)</f>
        <v>4.556309999999999</v>
      </c>
      <c r="C312" s="52"/>
      <c r="D312" s="53"/>
      <c r="H312" s="47" t="s">
        <v>517</v>
      </c>
      <c r="M312" s="56">
        <f>('Payroll Accrual'!M312)</f>
        <v>18634</v>
      </c>
    </row>
    <row r="313" spans="1:13" outlineLevel="1" x14ac:dyDescent="0.2">
      <c r="A313" s="50" t="str">
        <f>LEFT('Payroll Accrual'!A313,9)&amp;"4020.300"</f>
        <v>12060611.4020.300</v>
      </c>
      <c r="B313" s="51">
        <f>('Payroll Accrual'!O313)</f>
        <v>5.5674300000000008</v>
      </c>
      <c r="C313" s="52"/>
      <c r="D313" s="53"/>
      <c r="H313" s="47" t="s">
        <v>517</v>
      </c>
      <c r="M313" s="56">
        <f>('Payroll Accrual'!M313)</f>
        <v>18996</v>
      </c>
    </row>
    <row r="314" spans="1:13" outlineLevel="1" x14ac:dyDescent="0.2">
      <c r="A314" s="50" t="str">
        <f>LEFT('Payroll Accrual'!A314,9)&amp;"4020.300"</f>
        <v>12060611.4020.300</v>
      </c>
      <c r="B314" s="51">
        <f>('Payroll Accrual'!O314)</f>
        <v>6.171660000000001</v>
      </c>
      <c r="C314" s="52"/>
      <c r="D314" s="53"/>
      <c r="H314" s="47" t="s">
        <v>517</v>
      </c>
      <c r="M314" s="56">
        <f>('Payroll Accrual'!M314)</f>
        <v>18898</v>
      </c>
    </row>
    <row r="315" spans="1:13" outlineLevel="1" x14ac:dyDescent="0.2">
      <c r="A315" s="50" t="str">
        <f>LEFT('Payroll Accrual'!A315,9)&amp;"4020.300"</f>
        <v>12060611.4020.300</v>
      </c>
      <c r="B315" s="51">
        <f>('Payroll Accrual'!O315)</f>
        <v>2.3925000000000001</v>
      </c>
      <c r="C315" s="52"/>
      <c r="D315" s="53"/>
      <c r="H315" s="47" t="s">
        <v>517</v>
      </c>
      <c r="M315" s="56">
        <f>('Payroll Accrual'!M315)</f>
        <v>18927</v>
      </c>
    </row>
    <row r="316" spans="1:13" outlineLevel="1" x14ac:dyDescent="0.2">
      <c r="A316" s="50" t="str">
        <f>LEFT('Payroll Accrual'!A316,9)&amp;"4020.300"</f>
        <v>12060611.4020.300</v>
      </c>
      <c r="B316" s="51">
        <f>('Payroll Accrual'!O316)</f>
        <v>10.66164</v>
      </c>
      <c r="C316" s="52"/>
      <c r="D316" s="53"/>
      <c r="H316" s="47" t="s">
        <v>517</v>
      </c>
      <c r="M316" s="56">
        <f>('Payroll Accrual'!M316)</f>
        <v>261</v>
      </c>
    </row>
    <row r="317" spans="1:13" outlineLevel="1" x14ac:dyDescent="0.2">
      <c r="A317" s="50" t="str">
        <f>LEFT('Payroll Accrual'!A317,9)&amp;"4020.300"</f>
        <v>12060611.4020.300</v>
      </c>
      <c r="B317" s="51">
        <f>('Payroll Accrual'!O317)</f>
        <v>5.707349999999999</v>
      </c>
      <c r="C317" s="52"/>
      <c r="D317" s="53"/>
      <c r="H317" s="47" t="s">
        <v>517</v>
      </c>
      <c r="M317" s="56">
        <f>('Payroll Accrual'!M317)</f>
        <v>18895</v>
      </c>
    </row>
    <row r="318" spans="1:13" outlineLevel="1" x14ac:dyDescent="0.2">
      <c r="A318" s="50" t="str">
        <f>LEFT('Payroll Accrual'!A318,9)&amp;"4020.300"</f>
        <v>12060611.4020.300</v>
      </c>
      <c r="B318" s="51">
        <f>('Payroll Accrual'!O318)</f>
        <v>8.3935499999999994</v>
      </c>
      <c r="C318" s="52"/>
      <c r="D318" s="53"/>
      <c r="H318" s="47" t="s">
        <v>517</v>
      </c>
      <c r="M318" s="56">
        <f>('Payroll Accrual'!M318)</f>
        <v>18823</v>
      </c>
    </row>
    <row r="319" spans="1:13" outlineLevel="1" x14ac:dyDescent="0.2">
      <c r="A319" s="50" t="str">
        <f>LEFT('Payroll Accrual'!A319,9)&amp;"4020.300"</f>
        <v>12060711.4020.300</v>
      </c>
      <c r="B319" s="51">
        <f>('Payroll Accrual'!O319)</f>
        <v>1.68069</v>
      </c>
      <c r="C319" s="52"/>
      <c r="D319" s="53"/>
      <c r="H319" s="47" t="s">
        <v>517</v>
      </c>
      <c r="M319" s="56">
        <f>('Payroll Accrual'!M319)</f>
        <v>18791</v>
      </c>
    </row>
    <row r="320" spans="1:13" outlineLevel="1" x14ac:dyDescent="0.2">
      <c r="A320" s="50" t="str">
        <f>LEFT('Payroll Accrual'!A320,9)&amp;"4020.300"</f>
        <v>12060800.4020.300</v>
      </c>
      <c r="B320" s="51">
        <f>('Payroll Accrual'!O320)</f>
        <v>8.8552199999999974</v>
      </c>
      <c r="C320" s="52"/>
      <c r="D320" s="53"/>
      <c r="H320" s="47" t="s">
        <v>517</v>
      </c>
      <c r="M320" s="56">
        <f>('Payroll Accrual'!M320)</f>
        <v>18561</v>
      </c>
    </row>
    <row r="321" spans="1:13" outlineLevel="1" x14ac:dyDescent="0.2">
      <c r="A321" s="50" t="str">
        <f>LEFT('Payroll Accrual'!A321,9)&amp;"4020.300"</f>
        <v>12060800.4020.300</v>
      </c>
      <c r="B321" s="51">
        <f>('Payroll Accrual'!O321)</f>
        <v>6.3142199999999997</v>
      </c>
      <c r="C321" s="52"/>
      <c r="D321" s="53"/>
      <c r="H321" s="47" t="s">
        <v>517</v>
      </c>
      <c r="M321" s="56">
        <f>('Payroll Accrual'!M321)</f>
        <v>18953</v>
      </c>
    </row>
    <row r="322" spans="1:13" outlineLevel="1" x14ac:dyDescent="0.2">
      <c r="A322" s="50" t="str">
        <f>LEFT('Payroll Accrual'!A322,9)&amp;"4020.300"</f>
        <v>12062511.4020.300</v>
      </c>
      <c r="B322" s="51">
        <f>('Payroll Accrual'!O322)</f>
        <v>1.9304999999999997</v>
      </c>
      <c r="C322" s="52"/>
      <c r="D322" s="53"/>
      <c r="H322" s="47" t="s">
        <v>517</v>
      </c>
      <c r="M322" s="56">
        <f>('Payroll Accrual'!M322)</f>
        <v>156</v>
      </c>
    </row>
    <row r="323" spans="1:13" outlineLevel="1" x14ac:dyDescent="0.2">
      <c r="A323" s="50" t="str">
        <f>LEFT('Payroll Accrual'!A323,9)&amp;"4020.300"</f>
        <v>12062511.4020.300</v>
      </c>
      <c r="B323" s="51">
        <f>('Payroll Accrual'!O323)</f>
        <v>6.8230799999999991</v>
      </c>
      <c r="C323" s="52"/>
      <c r="D323" s="53"/>
      <c r="H323" s="47" t="s">
        <v>517</v>
      </c>
      <c r="M323" s="56">
        <f>('Payroll Accrual'!M323)</f>
        <v>18792</v>
      </c>
    </row>
    <row r="324" spans="1:13" outlineLevel="1" x14ac:dyDescent="0.2">
      <c r="A324" s="50" t="str">
        <f>LEFT('Payroll Accrual'!A324,9)&amp;"4020.300"</f>
        <v>12062511.4020.300</v>
      </c>
      <c r="B324" s="51">
        <f>('Payroll Accrual'!O324)</f>
        <v>2.4561899999999999</v>
      </c>
      <c r="C324" s="52"/>
      <c r="D324" s="53"/>
      <c r="H324" s="47" t="s">
        <v>517</v>
      </c>
      <c r="M324" s="56">
        <f>('Payroll Accrual'!M324)</f>
        <v>18506</v>
      </c>
    </row>
    <row r="325" spans="1:13" outlineLevel="1" x14ac:dyDescent="0.2">
      <c r="A325" s="50" t="str">
        <f>LEFT('Payroll Accrual'!A325,9)&amp;"4020.300"</f>
        <v>12063011.4020.300</v>
      </c>
      <c r="B325" s="51">
        <f>('Payroll Accrual'!O325)</f>
        <v>2.1938400000000002</v>
      </c>
      <c r="C325" s="52"/>
      <c r="D325" s="53"/>
      <c r="H325" s="47" t="s">
        <v>517</v>
      </c>
      <c r="M325" s="56">
        <f>('Payroll Accrual'!M325)</f>
        <v>19037</v>
      </c>
    </row>
    <row r="326" spans="1:13" outlineLevel="1" x14ac:dyDescent="0.2">
      <c r="A326" s="50" t="str">
        <f>LEFT('Payroll Accrual'!A326,9)&amp;"4020.300"</f>
        <v>12063011.4020.300</v>
      </c>
      <c r="B326" s="51">
        <f>('Payroll Accrual'!O326)</f>
        <v>1.2629100000000002</v>
      </c>
      <c r="C326" s="52"/>
      <c r="D326" s="53"/>
      <c r="H326" s="47" t="s">
        <v>517</v>
      </c>
      <c r="M326" s="56">
        <f>('Payroll Accrual'!M326)</f>
        <v>19043</v>
      </c>
    </row>
    <row r="327" spans="1:13" outlineLevel="1" x14ac:dyDescent="0.2">
      <c r="A327" s="50" t="str">
        <f>LEFT('Payroll Accrual'!A327,9)&amp;"4020.300"</f>
        <v>12068099.4020.300</v>
      </c>
      <c r="B327" s="51">
        <f>('Payroll Accrual'!O327)</f>
        <v>9.9953699999999994</v>
      </c>
      <c r="C327" s="52"/>
      <c r="D327" s="53"/>
      <c r="H327" s="47" t="s">
        <v>517</v>
      </c>
      <c r="M327" s="56">
        <f>('Payroll Accrual'!M327)</f>
        <v>18876</v>
      </c>
    </row>
    <row r="328" spans="1:13" outlineLevel="1" x14ac:dyDescent="0.2">
      <c r="A328" s="50" t="str">
        <f>LEFT('Payroll Accrual'!A328,9)&amp;"4020.300"</f>
        <v>12010500.4020.300</v>
      </c>
      <c r="B328" s="51">
        <f>('Payroll Accrual'!O328)</f>
        <v>139.61573999999999</v>
      </c>
      <c r="C328" s="52"/>
      <c r="D328" s="53"/>
      <c r="H328" s="47" t="s">
        <v>517</v>
      </c>
      <c r="M328" s="56">
        <f>('Payroll Accrual'!M328)</f>
        <v>18871</v>
      </c>
    </row>
    <row r="329" spans="1:13" outlineLevel="1" x14ac:dyDescent="0.2">
      <c r="A329" s="50" t="str">
        <f>LEFT('Payroll Accrual'!A329,9)&amp;"4020.300"</f>
        <v>12010500.4020.300</v>
      </c>
      <c r="B329" s="51">
        <f>('Payroll Accrual'!O329)</f>
        <v>137.51496</v>
      </c>
      <c r="C329" s="52"/>
      <c r="D329" s="53"/>
      <c r="H329" s="47" t="s">
        <v>517</v>
      </c>
      <c r="M329" s="56">
        <f>('Payroll Accrual'!M329)</f>
        <v>18647</v>
      </c>
    </row>
    <row r="330" spans="1:13" outlineLevel="1" x14ac:dyDescent="0.2">
      <c r="A330" s="50" t="str">
        <f>LEFT('Payroll Accrual'!A330,9)&amp;"4020.300"</f>
        <v>12010500.4020.300</v>
      </c>
      <c r="B330" s="51">
        <f>('Payroll Accrual'!O330)</f>
        <v>177.69246000000001</v>
      </c>
      <c r="C330" s="52"/>
      <c r="D330" s="53"/>
      <c r="H330" s="47" t="s">
        <v>517</v>
      </c>
      <c r="M330" s="56">
        <f>('Payroll Accrual'!M330)</f>
        <v>18517</v>
      </c>
    </row>
    <row r="331" spans="1:13" outlineLevel="1" x14ac:dyDescent="0.2">
      <c r="A331" s="50" t="str">
        <f>LEFT('Payroll Accrual'!A331,9)&amp;"4020.300"</f>
        <v>12010500.4020.300</v>
      </c>
      <c r="B331" s="51">
        <f>('Payroll Accrual'!O331)</f>
        <v>26.92041</v>
      </c>
      <c r="C331" s="52"/>
      <c r="D331" s="53"/>
      <c r="H331" s="47" t="s">
        <v>517</v>
      </c>
      <c r="M331" s="56">
        <f>('Payroll Accrual'!M331)</f>
        <v>18726</v>
      </c>
    </row>
    <row r="332" spans="1:13" outlineLevel="1" x14ac:dyDescent="0.2">
      <c r="A332" s="50" t="str">
        <f>LEFT('Payroll Accrual'!A332,9)&amp;"4020.300"</f>
        <v>12010700.4020.300</v>
      </c>
      <c r="B332" s="51">
        <f>('Payroll Accrual'!O332)</f>
        <v>126.92295</v>
      </c>
      <c r="C332" s="52"/>
      <c r="D332" s="53"/>
      <c r="H332" s="47" t="s">
        <v>517</v>
      </c>
      <c r="M332" s="56">
        <f>('Payroll Accrual'!M332)</f>
        <v>152</v>
      </c>
    </row>
    <row r="333" spans="1:13" outlineLevel="1" x14ac:dyDescent="0.2">
      <c r="A333" s="50" t="str">
        <f>LEFT('Payroll Accrual'!A333,9)&amp;"4020.300"</f>
        <v>12013012.4020.300</v>
      </c>
      <c r="B333" s="51">
        <f>('Payroll Accrual'!O333)</f>
        <v>82.5</v>
      </c>
      <c r="C333" s="52"/>
      <c r="D333" s="53"/>
      <c r="H333" s="47" t="s">
        <v>517</v>
      </c>
      <c r="M333" s="56">
        <f>('Payroll Accrual'!M333)</f>
        <v>19014</v>
      </c>
    </row>
    <row r="334" spans="1:13" outlineLevel="1" x14ac:dyDescent="0.2">
      <c r="A334" s="50" t="str">
        <f>LEFT('Payroll Accrual'!A334,9)&amp;"4020.300"</f>
        <v>12013012.4020.300</v>
      </c>
      <c r="B334" s="51">
        <f>('Payroll Accrual'!O334)</f>
        <v>18.337769999999999</v>
      </c>
      <c r="C334" s="52"/>
      <c r="D334" s="53"/>
      <c r="H334" s="47" t="s">
        <v>517</v>
      </c>
      <c r="M334" s="56">
        <f>('Payroll Accrual'!M334)</f>
        <v>18736</v>
      </c>
    </row>
    <row r="335" spans="1:13" outlineLevel="1" x14ac:dyDescent="0.2">
      <c r="A335" s="50" t="str">
        <f>LEFT('Payroll Accrual'!A335,9)&amp;"4020.300"</f>
        <v>12013250.4020.300</v>
      </c>
      <c r="B335" s="51">
        <f>('Payroll Accrual'!O335)</f>
        <v>101.53868999999999</v>
      </c>
      <c r="C335" s="52"/>
      <c r="D335" s="53"/>
      <c r="H335" s="47" t="s">
        <v>517</v>
      </c>
      <c r="M335" s="56">
        <f>('Payroll Accrual'!M335)</f>
        <v>18987</v>
      </c>
    </row>
    <row r="336" spans="1:13" outlineLevel="1" x14ac:dyDescent="0.2">
      <c r="A336" s="50" t="str">
        <f>LEFT('Payroll Accrual'!A336,9)&amp;"4020.300"</f>
        <v>12013250.4020.300</v>
      </c>
      <c r="B336" s="51">
        <f>('Payroll Accrual'!O336)</f>
        <v>88.846230000000006</v>
      </c>
      <c r="C336" s="52"/>
      <c r="D336" s="53"/>
      <c r="H336" s="47" t="s">
        <v>517</v>
      </c>
      <c r="M336" s="56">
        <f>('Payroll Accrual'!M336)</f>
        <v>18988</v>
      </c>
    </row>
    <row r="337" spans="1:13" outlineLevel="1" x14ac:dyDescent="0.2">
      <c r="A337" s="50" t="str">
        <f>LEFT('Payroll Accrual'!A337,9)&amp;"4020.300"</f>
        <v>12013250.4020.300</v>
      </c>
      <c r="B337" s="51">
        <f>('Payroll Accrual'!O337)</f>
        <v>76.153770000000009</v>
      </c>
      <c r="C337" s="52"/>
      <c r="D337" s="53"/>
      <c r="H337" s="47" t="s">
        <v>517</v>
      </c>
      <c r="M337" s="56">
        <f>('Payroll Accrual'!M337)</f>
        <v>18995</v>
      </c>
    </row>
    <row r="338" spans="1:13" outlineLevel="1" x14ac:dyDescent="0.2">
      <c r="A338" s="50" t="str">
        <f>LEFT('Payroll Accrual'!A338,9)&amp;"4020.300"</f>
        <v>12013250.4020.300</v>
      </c>
      <c r="B338" s="51">
        <f>('Payroll Accrual'!O338)</f>
        <v>157.38458999999997</v>
      </c>
      <c r="C338" s="52"/>
      <c r="D338" s="53"/>
      <c r="H338" s="47" t="s">
        <v>517</v>
      </c>
      <c r="M338" s="56">
        <f>('Payroll Accrual'!M338)</f>
        <v>18920</v>
      </c>
    </row>
    <row r="339" spans="1:13" outlineLevel="1" x14ac:dyDescent="0.2">
      <c r="A339" s="50" t="str">
        <f>LEFT('Payroll Accrual'!A339,9)&amp;"4020.300"</f>
        <v>12013250.4020.300</v>
      </c>
      <c r="B339" s="51">
        <f>('Payroll Accrual'!O339)</f>
        <v>69.775860000000009</v>
      </c>
      <c r="C339" s="52"/>
      <c r="D339" s="53"/>
      <c r="H339" s="47" t="s">
        <v>517</v>
      </c>
      <c r="M339" s="56">
        <f>('Payroll Accrual'!M339)</f>
        <v>18946</v>
      </c>
    </row>
    <row r="340" spans="1:13" outlineLevel="1" x14ac:dyDescent="0.2">
      <c r="A340" s="50" t="str">
        <f>LEFT('Payroll Accrual'!A340,9)&amp;"4020.300"</f>
        <v>12013250.4020.300</v>
      </c>
      <c r="B340" s="51">
        <f>('Payroll Accrual'!O340)</f>
        <v>92.6541</v>
      </c>
      <c r="C340" s="52"/>
      <c r="D340" s="53"/>
      <c r="H340" s="47" t="s">
        <v>517</v>
      </c>
      <c r="M340" s="56">
        <f>('Payroll Accrual'!M340)</f>
        <v>18721</v>
      </c>
    </row>
    <row r="341" spans="1:13" outlineLevel="1" x14ac:dyDescent="0.2">
      <c r="A341" s="50" t="str">
        <f>LEFT('Payroll Accrual'!A341,9)&amp;"4020.300"</f>
        <v>12013300.4020.300</v>
      </c>
      <c r="B341" s="51">
        <f>('Payroll Accrual'!O341)</f>
        <v>103.7223</v>
      </c>
      <c r="C341" s="52"/>
      <c r="D341" s="53"/>
      <c r="H341" s="47" t="s">
        <v>517</v>
      </c>
      <c r="M341" s="56">
        <f>('Payroll Accrual'!M341)</f>
        <v>220</v>
      </c>
    </row>
    <row r="342" spans="1:13" outlineLevel="1" x14ac:dyDescent="0.2">
      <c r="A342" s="50" t="str">
        <f>LEFT('Payroll Accrual'!A342,9)&amp;"4020.300"</f>
        <v>12018099.4020.300</v>
      </c>
      <c r="B342" s="51">
        <f>('Payroll Accrual'!O342)</f>
        <v>177.69246000000001</v>
      </c>
      <c r="C342" s="52"/>
      <c r="D342" s="53"/>
      <c r="H342" s="47" t="s">
        <v>517</v>
      </c>
      <c r="M342" s="56">
        <f>('Payroll Accrual'!M342)</f>
        <v>18716</v>
      </c>
    </row>
    <row r="343" spans="1:13" outlineLevel="1" x14ac:dyDescent="0.2">
      <c r="A343" s="50" t="str">
        <f>LEFT('Payroll Accrual'!A343,9)&amp;"4020.300"</f>
        <v>12018099.4020.300</v>
      </c>
      <c r="B343" s="51">
        <f>('Payroll Accrual'!O343)</f>
        <v>86.307869999999994</v>
      </c>
      <c r="C343" s="52"/>
      <c r="D343" s="53"/>
      <c r="H343" s="47" t="s">
        <v>517</v>
      </c>
      <c r="M343" s="56">
        <f>('Payroll Accrual'!M343)</f>
        <v>18948</v>
      </c>
    </row>
    <row r="344" spans="1:13" outlineLevel="1" x14ac:dyDescent="0.2">
      <c r="A344" s="50" t="str">
        <f>LEFT('Payroll Accrual'!A344,9)&amp;"4020.300"</f>
        <v>12018599.4020.300</v>
      </c>
      <c r="B344" s="51">
        <f>('Payroll Accrual'!O344)</f>
        <v>177.69246000000001</v>
      </c>
      <c r="C344" s="52"/>
      <c r="D344" s="53"/>
      <c r="H344" s="47" t="s">
        <v>517</v>
      </c>
      <c r="M344" s="56">
        <f>('Payroll Accrual'!M344)</f>
        <v>18969</v>
      </c>
    </row>
    <row r="345" spans="1:13" outlineLevel="1" x14ac:dyDescent="0.2">
      <c r="A345" s="50" t="str">
        <f>LEFT('Payroll Accrual'!A345,9)&amp;"4020.300"</f>
        <v>12018599.4020.300</v>
      </c>
      <c r="B345" s="51">
        <f>('Payroll Accrual'!O345)</f>
        <v>86.307869999999994</v>
      </c>
      <c r="C345" s="52"/>
      <c r="D345" s="53"/>
      <c r="H345" s="47" t="s">
        <v>517</v>
      </c>
      <c r="M345" s="56">
        <f>('Payroll Accrual'!M345)</f>
        <v>18862</v>
      </c>
    </row>
    <row r="346" spans="1:13" outlineLevel="1" x14ac:dyDescent="0.2">
      <c r="A346" s="50" t="str">
        <f>LEFT('Payroll Accrual'!A346,9)&amp;"4020.300"</f>
        <v>12019099.4020.300</v>
      </c>
      <c r="B346" s="51">
        <f>('Payroll Accrual'!O346)</f>
        <v>269.47437000000002</v>
      </c>
      <c r="C346" s="52"/>
      <c r="D346" s="53"/>
      <c r="H346" s="47" t="s">
        <v>517</v>
      </c>
      <c r="M346" s="56">
        <f>('Payroll Accrual'!M346)</f>
        <v>18886</v>
      </c>
    </row>
    <row r="347" spans="1:13" outlineLevel="1" x14ac:dyDescent="0.2">
      <c r="A347" s="50" t="str">
        <f>LEFT('Payroll Accrual'!A347,9)&amp;"4020.300"</f>
        <v>12019199.4020.300</v>
      </c>
      <c r="B347" s="51">
        <f>('Payroll Accrual'!O347)</f>
        <v>213.01764</v>
      </c>
      <c r="C347" s="52"/>
      <c r="D347" s="53"/>
      <c r="H347" s="47" t="s">
        <v>517</v>
      </c>
      <c r="M347" s="56">
        <f>('Payroll Accrual'!M347)</f>
        <v>18853</v>
      </c>
    </row>
    <row r="348" spans="1:13" outlineLevel="1" x14ac:dyDescent="0.2">
      <c r="A348" s="50" t="str">
        <f>LEFT('Payroll Accrual'!A348,9)&amp;"4020.300"</f>
        <v>12019199.4020.300</v>
      </c>
      <c r="B348" s="51">
        <f>('Payroll Accrual'!O348)</f>
        <v>59.923049999999989</v>
      </c>
      <c r="C348" s="52"/>
      <c r="D348" s="53"/>
      <c r="H348" s="47" t="s">
        <v>517</v>
      </c>
      <c r="M348" s="56">
        <f>('Payroll Accrual'!M348)</f>
        <v>18550</v>
      </c>
    </row>
    <row r="349" spans="1:13" outlineLevel="1" x14ac:dyDescent="0.2">
      <c r="A349" s="50" t="str">
        <f>LEFT('Payroll Accrual'!A349,9)&amp;"4020.300"</f>
        <v>12019199.4020.300</v>
      </c>
      <c r="B349" s="51">
        <f>('Payroll Accrual'!O349)</f>
        <v>82.5</v>
      </c>
      <c r="C349" s="52"/>
      <c r="D349" s="53"/>
      <c r="H349" s="47" t="s">
        <v>517</v>
      </c>
      <c r="M349" s="56">
        <f>('Payroll Accrual'!M349)</f>
        <v>19025</v>
      </c>
    </row>
    <row r="350" spans="1:13" outlineLevel="1" x14ac:dyDescent="0.2">
      <c r="A350" s="50" t="str">
        <f>LEFT('Payroll Accrual'!A350,9)&amp;"4020.300"</f>
        <v>12019199.4020.300</v>
      </c>
      <c r="B350" s="51">
        <f>('Payroll Accrual'!O350)</f>
        <v>102.80754</v>
      </c>
      <c r="C350" s="52"/>
      <c r="D350" s="53"/>
      <c r="H350" s="47" t="s">
        <v>517</v>
      </c>
      <c r="M350" s="56">
        <f>('Payroll Accrual'!M350)</f>
        <v>19003</v>
      </c>
    </row>
    <row r="351" spans="1:13" outlineLevel="1" x14ac:dyDescent="0.2">
      <c r="A351" s="50" t="str">
        <f>LEFT('Payroll Accrual'!A351,9)&amp;"4020.300"</f>
        <v>12019199.4020.300</v>
      </c>
      <c r="B351" s="51">
        <f>('Payroll Accrual'!O351)</f>
        <v>107.88459</v>
      </c>
      <c r="C351" s="52"/>
      <c r="D351" s="53"/>
      <c r="H351" s="47" t="s">
        <v>517</v>
      </c>
      <c r="M351" s="56">
        <f>('Payroll Accrual'!M351)</f>
        <v>18741</v>
      </c>
    </row>
    <row r="352" spans="1:13" outlineLevel="1" x14ac:dyDescent="0.2">
      <c r="A352" s="50" t="str">
        <f>LEFT('Payroll Accrual'!A352,9)&amp;"4020.300"</f>
        <v>12019199.4020.300</v>
      </c>
      <c r="B352" s="51">
        <f>('Payroll Accrual'!O352)</f>
        <v>75.646230000000003</v>
      </c>
      <c r="C352" s="52"/>
      <c r="D352" s="53"/>
      <c r="H352" s="47" t="s">
        <v>517</v>
      </c>
      <c r="M352" s="56">
        <f>('Payroll Accrual'!M352)</f>
        <v>18968</v>
      </c>
    </row>
    <row r="353" spans="1:13" outlineLevel="1" x14ac:dyDescent="0.2">
      <c r="A353" s="50" t="str">
        <f>LEFT('Payroll Accrual'!A353,9)&amp;"4020.300"</f>
        <v>12019199.4020.300</v>
      </c>
      <c r="B353" s="51">
        <f>('Payroll Accrual'!O353)</f>
        <v>61.99181999999999</v>
      </c>
      <c r="C353" s="52"/>
      <c r="D353" s="53"/>
      <c r="H353" s="47" t="s">
        <v>517</v>
      </c>
      <c r="M353" s="56">
        <f>('Payroll Accrual'!M353)</f>
        <v>19022</v>
      </c>
    </row>
    <row r="354" spans="1:13" outlineLevel="1" x14ac:dyDescent="0.2">
      <c r="A354" s="50" t="str">
        <f>LEFT('Payroll Accrual'!A354,9)&amp;"4020.300"</f>
        <v>12020400.4020.300</v>
      </c>
      <c r="B354" s="51">
        <f>('Payroll Accrual'!O354)</f>
        <v>83.64246</v>
      </c>
      <c r="C354" s="52"/>
      <c r="D354" s="53"/>
      <c r="H354" s="47" t="s">
        <v>517</v>
      </c>
      <c r="M354" s="56">
        <f>('Payroll Accrual'!M354)</f>
        <v>18619</v>
      </c>
    </row>
    <row r="355" spans="1:13" outlineLevel="1" x14ac:dyDescent="0.2">
      <c r="A355" s="50" t="str">
        <f>LEFT('Payroll Accrual'!A355,9)&amp;"4020.300"</f>
        <v>12020400.4020.300</v>
      </c>
      <c r="B355" s="51">
        <f>('Payroll Accrual'!O355)</f>
        <v>84.602100000000007</v>
      </c>
      <c r="C355" s="52"/>
      <c r="D355" s="53"/>
      <c r="H355" s="47" t="s">
        <v>517</v>
      </c>
      <c r="M355" s="56">
        <f>('Payroll Accrual'!M355)</f>
        <v>18836</v>
      </c>
    </row>
    <row r="356" spans="1:13" outlineLevel="1" x14ac:dyDescent="0.2">
      <c r="A356" s="50" t="str">
        <f>LEFT('Payroll Accrual'!A356,9)&amp;"4020.300"</f>
        <v>12020500.4020.300</v>
      </c>
      <c r="B356" s="51">
        <f>('Payroll Accrual'!O356)</f>
        <v>41.884590000000003</v>
      </c>
      <c r="C356" s="52"/>
      <c r="D356" s="53"/>
      <c r="H356" s="47" t="s">
        <v>517</v>
      </c>
      <c r="M356" s="56">
        <f>('Payroll Accrual'!M356)</f>
        <v>18893</v>
      </c>
    </row>
    <row r="357" spans="1:13" outlineLevel="1" x14ac:dyDescent="0.2">
      <c r="A357" s="50" t="str">
        <f>LEFT('Payroll Accrual'!A357,9)&amp;"4020.300"</f>
        <v>12020500.4020.300</v>
      </c>
      <c r="B357" s="51">
        <f>('Payroll Accrual'!O357)</f>
        <v>41.416980000000002</v>
      </c>
      <c r="C357" s="52"/>
      <c r="D357" s="53"/>
      <c r="H357" s="47" t="s">
        <v>517</v>
      </c>
      <c r="M357" s="56">
        <f>('Payroll Accrual'!M357)</f>
        <v>19040</v>
      </c>
    </row>
    <row r="358" spans="1:13" outlineLevel="1" x14ac:dyDescent="0.2">
      <c r="A358" s="50" t="str">
        <f>LEFT('Payroll Accrual'!A358,9)&amp;"4020.300"</f>
        <v>12020611.4020.300</v>
      </c>
      <c r="B358" s="51">
        <f>('Payroll Accrual'!O358)</f>
        <v>82.132710000000003</v>
      </c>
      <c r="C358" s="52"/>
      <c r="D358" s="53"/>
      <c r="H358" s="47" t="s">
        <v>517</v>
      </c>
      <c r="M358" s="56">
        <f>('Payroll Accrual'!M358)</f>
        <v>18866</v>
      </c>
    </row>
    <row r="359" spans="1:13" outlineLevel="1" x14ac:dyDescent="0.2">
      <c r="A359" s="50" t="str">
        <f>LEFT('Payroll Accrual'!A359,9)&amp;"4020.300"</f>
        <v>12020611.4020.300</v>
      </c>
      <c r="B359" s="51">
        <f>('Payroll Accrual'!O359)</f>
        <v>56.300969999999992</v>
      </c>
      <c r="C359" s="52"/>
      <c r="D359" s="53"/>
      <c r="H359" s="47" t="s">
        <v>517</v>
      </c>
      <c r="M359" s="56">
        <f>('Payroll Accrual'!M359)</f>
        <v>18957</v>
      </c>
    </row>
    <row r="360" spans="1:13" outlineLevel="1" x14ac:dyDescent="0.2">
      <c r="A360" s="50" t="str">
        <f>LEFT('Payroll Accrual'!A360,9)&amp;"4020.300"</f>
        <v>12020611.4020.300</v>
      </c>
      <c r="B360" s="51">
        <f>('Payroll Accrual'!O360)</f>
        <v>49.983780000000003</v>
      </c>
      <c r="C360" s="52"/>
      <c r="D360" s="53"/>
      <c r="H360" s="47" t="s">
        <v>517</v>
      </c>
      <c r="M360" s="56">
        <f>('Payroll Accrual'!M360)</f>
        <v>18903</v>
      </c>
    </row>
    <row r="361" spans="1:13" outlineLevel="1" x14ac:dyDescent="0.2">
      <c r="A361" s="50" t="str">
        <f>LEFT('Payroll Accrual'!A361,9)&amp;"4020.300"</f>
        <v>12020611.4020.300</v>
      </c>
      <c r="B361" s="51">
        <f>('Payroll Accrual'!O361)</f>
        <v>38.81691</v>
      </c>
      <c r="C361" s="52"/>
      <c r="D361" s="53"/>
      <c r="H361" s="47" t="s">
        <v>517</v>
      </c>
      <c r="M361" s="56">
        <f>('Payroll Accrual'!M361)</f>
        <v>18831</v>
      </c>
    </row>
    <row r="362" spans="1:13" outlineLevel="1" x14ac:dyDescent="0.2">
      <c r="A362" s="50" t="str">
        <f>LEFT('Payroll Accrual'!A362,9)&amp;"4020.300"</f>
        <v>12020611.4020.300</v>
      </c>
      <c r="B362" s="51">
        <f>('Payroll Accrual'!O362)</f>
        <v>73.383089999999996</v>
      </c>
      <c r="C362" s="52"/>
      <c r="D362" s="53"/>
      <c r="H362" s="47" t="s">
        <v>517</v>
      </c>
      <c r="M362" s="56">
        <f>('Payroll Accrual'!M362)</f>
        <v>18589</v>
      </c>
    </row>
    <row r="363" spans="1:13" outlineLevel="1" x14ac:dyDescent="0.2">
      <c r="A363" s="50" t="str">
        <f>LEFT('Payroll Accrual'!A363,9)&amp;"4020.300"</f>
        <v>12020611.4020.300</v>
      </c>
      <c r="B363" s="51">
        <f>('Payroll Accrual'!O363)</f>
        <v>52.733670000000004</v>
      </c>
      <c r="C363" s="52"/>
      <c r="D363" s="53"/>
      <c r="H363" s="47" t="s">
        <v>517</v>
      </c>
      <c r="M363" s="56">
        <f>('Payroll Accrual'!M363)</f>
        <v>18891</v>
      </c>
    </row>
    <row r="364" spans="1:13" outlineLevel="1" x14ac:dyDescent="0.2">
      <c r="A364" s="50" t="str">
        <f>LEFT('Payroll Accrual'!A364,9)&amp;"4020.300"</f>
        <v>12020711.4020.300</v>
      </c>
      <c r="B364" s="51">
        <f>('Payroll Accrual'!O364)</f>
        <v>36.65475</v>
      </c>
      <c r="C364" s="52"/>
      <c r="D364" s="53"/>
      <c r="H364" s="47" t="s">
        <v>517</v>
      </c>
      <c r="M364" s="56">
        <f>('Payroll Accrual'!M364)</f>
        <v>18631</v>
      </c>
    </row>
    <row r="365" spans="1:13" outlineLevel="1" x14ac:dyDescent="0.2">
      <c r="A365" s="50" t="str">
        <f>LEFT('Payroll Accrual'!A365,9)&amp;"4020.300"</f>
        <v>12020711.4020.300</v>
      </c>
      <c r="B365" s="51">
        <f>('Payroll Accrual'!O365)</f>
        <v>101.53836</v>
      </c>
      <c r="C365" s="52"/>
      <c r="D365" s="53"/>
      <c r="H365" s="47" t="s">
        <v>517</v>
      </c>
      <c r="M365" s="56">
        <f>('Payroll Accrual'!M365)</f>
        <v>18954</v>
      </c>
    </row>
    <row r="366" spans="1:13" outlineLevel="1" x14ac:dyDescent="0.2">
      <c r="A366" s="50" t="str">
        <f>LEFT('Payroll Accrual'!A366,9)&amp;"4020.300"</f>
        <v>12020711.4020.300</v>
      </c>
      <c r="B366" s="51">
        <f>('Payroll Accrual'!O366)</f>
        <v>35.468730000000001</v>
      </c>
      <c r="C366" s="52"/>
      <c r="D366" s="53"/>
      <c r="H366" s="47" t="s">
        <v>517</v>
      </c>
      <c r="M366" s="56">
        <f>('Payroll Accrual'!M366)</f>
        <v>18</v>
      </c>
    </row>
    <row r="367" spans="1:13" outlineLevel="1" x14ac:dyDescent="0.2">
      <c r="A367" s="50" t="str">
        <f>LEFT('Payroll Accrual'!A367,9)&amp;"4020.300"</f>
        <v>12020711.4020.300</v>
      </c>
      <c r="B367" s="51">
        <f>('Payroll Accrual'!O367)</f>
        <v>75.333720000000014</v>
      </c>
      <c r="C367" s="52"/>
      <c r="D367" s="53"/>
      <c r="H367" s="47" t="s">
        <v>517</v>
      </c>
      <c r="M367" s="56">
        <f>('Payroll Accrual'!M367)</f>
        <v>18879</v>
      </c>
    </row>
    <row r="368" spans="1:13" outlineLevel="1" x14ac:dyDescent="0.2">
      <c r="A368" s="50" t="str">
        <f>LEFT('Payroll Accrual'!A368,9)&amp;"4020.300"</f>
        <v>12020800.4020.300</v>
      </c>
      <c r="B368" s="51">
        <f>('Payroll Accrual'!O368)</f>
        <v>73.383419999999987</v>
      </c>
      <c r="C368" s="52"/>
      <c r="D368" s="53"/>
      <c r="H368" s="47" t="s">
        <v>517</v>
      </c>
      <c r="M368" s="56">
        <f>('Payroll Accrual'!M368)</f>
        <v>18630</v>
      </c>
    </row>
    <row r="369" spans="1:13" outlineLevel="1" x14ac:dyDescent="0.2">
      <c r="A369" s="50" t="str">
        <f>LEFT('Payroll Accrual'!A369,9)&amp;"4020.300"</f>
        <v>12020800.4020.300</v>
      </c>
      <c r="B369" s="51">
        <f>('Payroll Accrual'!O369)</f>
        <v>83.013149999999996</v>
      </c>
      <c r="C369" s="52"/>
      <c r="D369" s="53"/>
      <c r="H369" s="47" t="s">
        <v>517</v>
      </c>
      <c r="M369" s="56">
        <f>('Payroll Accrual'!M369)</f>
        <v>19013</v>
      </c>
    </row>
    <row r="370" spans="1:13" outlineLevel="1" x14ac:dyDescent="0.2">
      <c r="A370" s="50" t="str">
        <f>LEFT('Payroll Accrual'!A370,9)&amp;"4020.300"</f>
        <v>12021021.4020.300</v>
      </c>
      <c r="B370" s="51">
        <f>('Payroll Accrual'!O370)</f>
        <v>29.514540000000004</v>
      </c>
      <c r="C370" s="52"/>
      <c r="D370" s="53"/>
      <c r="H370" s="47" t="s">
        <v>517</v>
      </c>
      <c r="M370" s="56">
        <f>('Payroll Accrual'!M370)</f>
        <v>18960</v>
      </c>
    </row>
    <row r="371" spans="1:13" outlineLevel="1" x14ac:dyDescent="0.2">
      <c r="A371" s="50" t="str">
        <f>LEFT('Payroll Accrual'!A371,9)&amp;"4020.300"</f>
        <v>12021021.4020.300</v>
      </c>
      <c r="B371" s="51">
        <f>('Payroll Accrual'!O371)</f>
        <v>67.367189999999994</v>
      </c>
      <c r="C371" s="52"/>
      <c r="D371" s="53"/>
      <c r="H371" s="47" t="s">
        <v>517</v>
      </c>
      <c r="M371" s="56">
        <f>('Payroll Accrual'!M371)</f>
        <v>18687</v>
      </c>
    </row>
    <row r="372" spans="1:13" outlineLevel="1" x14ac:dyDescent="0.2">
      <c r="A372" s="50" t="str">
        <f>LEFT('Payroll Accrual'!A372,9)&amp;"4020.300"</f>
        <v>12021021.4020.300</v>
      </c>
      <c r="B372" s="51">
        <f>('Payroll Accrual'!O372)</f>
        <v>38.438070000000003</v>
      </c>
      <c r="C372" s="52"/>
      <c r="D372" s="53"/>
      <c r="H372" s="47" t="s">
        <v>517</v>
      </c>
      <c r="M372" s="56">
        <f>('Payroll Accrual'!M372)</f>
        <v>18894</v>
      </c>
    </row>
    <row r="373" spans="1:13" outlineLevel="1" x14ac:dyDescent="0.2">
      <c r="A373" s="50" t="str">
        <f>LEFT('Payroll Accrual'!A373,9)&amp;"4020.300"</f>
        <v>12021021.4020.300</v>
      </c>
      <c r="B373" s="51">
        <f>('Payroll Accrual'!O373)</f>
        <v>67.744709999999984</v>
      </c>
      <c r="C373" s="52"/>
      <c r="D373" s="53"/>
      <c r="H373" s="47" t="s">
        <v>517</v>
      </c>
      <c r="M373" s="56">
        <f>('Payroll Accrual'!M373)</f>
        <v>18781</v>
      </c>
    </row>
    <row r="374" spans="1:13" outlineLevel="1" x14ac:dyDescent="0.2">
      <c r="A374" s="50" t="str">
        <f>LEFT('Payroll Accrual'!A374,9)&amp;"4020.300"</f>
        <v>12021021.4020.300</v>
      </c>
      <c r="B374" s="51">
        <f>('Payroll Accrual'!O374)</f>
        <v>76.21284</v>
      </c>
      <c r="C374" s="52"/>
      <c r="D374" s="53"/>
      <c r="H374" s="47" t="s">
        <v>517</v>
      </c>
      <c r="M374" s="56">
        <f>('Payroll Accrual'!M374)</f>
        <v>18967</v>
      </c>
    </row>
    <row r="375" spans="1:13" outlineLevel="1" x14ac:dyDescent="0.2">
      <c r="A375" s="50" t="str">
        <f>LEFT('Payroll Accrual'!A375,9)&amp;"4020.300"</f>
        <v>12021021.4020.300</v>
      </c>
      <c r="B375" s="51">
        <f>('Payroll Accrual'!O375)</f>
        <v>72.224460000000008</v>
      </c>
      <c r="C375" s="52"/>
      <c r="D375" s="53"/>
      <c r="H375" s="47" t="s">
        <v>517</v>
      </c>
      <c r="M375" s="56">
        <f>('Payroll Accrual'!M375)</f>
        <v>18733</v>
      </c>
    </row>
    <row r="376" spans="1:13" outlineLevel="1" x14ac:dyDescent="0.2">
      <c r="A376" s="50" t="str">
        <f>LEFT('Payroll Accrual'!A376,9)&amp;"4020.300"</f>
        <v>12021021.4020.300</v>
      </c>
      <c r="B376" s="51">
        <f>('Payroll Accrual'!O376)</f>
        <v>133.26951</v>
      </c>
      <c r="C376" s="52"/>
      <c r="D376" s="53"/>
      <c r="H376" s="47" t="s">
        <v>517</v>
      </c>
      <c r="M376" s="56">
        <f>('Payroll Accrual'!M376)</f>
        <v>18559</v>
      </c>
    </row>
    <row r="377" spans="1:13" outlineLevel="1" x14ac:dyDescent="0.2">
      <c r="A377" s="50" t="str">
        <f>LEFT('Payroll Accrual'!A377,9)&amp;"4020.300"</f>
        <v>12021021.4020.300</v>
      </c>
      <c r="B377" s="51">
        <f>('Payroll Accrual'!O377)</f>
        <v>58.389209999999991</v>
      </c>
      <c r="C377" s="52"/>
      <c r="D377" s="53"/>
      <c r="H377" s="47" t="s">
        <v>517</v>
      </c>
      <c r="M377" s="56">
        <f>('Payroll Accrual'!M377)</f>
        <v>19033</v>
      </c>
    </row>
    <row r="378" spans="1:13" outlineLevel="1" x14ac:dyDescent="0.2">
      <c r="A378" s="50" t="str">
        <f>LEFT('Payroll Accrual'!A378,9)&amp;"4020.300"</f>
        <v>12021021.4020.300</v>
      </c>
      <c r="B378" s="51">
        <f>('Payroll Accrual'!O378)</f>
        <v>68.925779999999989</v>
      </c>
      <c r="C378" s="52"/>
      <c r="D378" s="53"/>
      <c r="H378" s="47" t="s">
        <v>517</v>
      </c>
      <c r="M378" s="56">
        <f>('Payroll Accrual'!M378)</f>
        <v>18892</v>
      </c>
    </row>
    <row r="379" spans="1:13" outlineLevel="1" x14ac:dyDescent="0.2">
      <c r="A379" s="50" t="str">
        <f>LEFT('Payroll Accrual'!A379,9)&amp;"4020.300"</f>
        <v>12021021.4020.300</v>
      </c>
      <c r="B379" s="51">
        <f>('Payroll Accrual'!O379)</f>
        <v>77.968109999999996</v>
      </c>
      <c r="C379" s="52"/>
      <c r="D379" s="53"/>
      <c r="H379" s="47" t="s">
        <v>517</v>
      </c>
      <c r="M379" s="56">
        <f>('Payroll Accrual'!M379)</f>
        <v>18659</v>
      </c>
    </row>
    <row r="380" spans="1:13" outlineLevel="1" x14ac:dyDescent="0.2">
      <c r="A380" s="50" t="str">
        <f>LEFT('Payroll Accrual'!A380,9)&amp;"4020.300"</f>
        <v>12021021.4020.300</v>
      </c>
      <c r="B380" s="51">
        <f>('Payroll Accrual'!O380)</f>
        <v>83.013149999999996</v>
      </c>
      <c r="C380" s="52"/>
      <c r="D380" s="53"/>
      <c r="H380" s="47" t="s">
        <v>517</v>
      </c>
      <c r="M380" s="56">
        <f>('Payroll Accrual'!M380)</f>
        <v>18911</v>
      </c>
    </row>
    <row r="381" spans="1:13" outlineLevel="1" x14ac:dyDescent="0.2">
      <c r="A381" s="50" t="str">
        <f>LEFT('Payroll Accrual'!A381,9)&amp;"4020.300"</f>
        <v>12022511.4020.300</v>
      </c>
      <c r="B381" s="51">
        <f>('Payroll Accrual'!O381)</f>
        <v>71.164500000000004</v>
      </c>
      <c r="C381" s="52"/>
      <c r="D381" s="53"/>
      <c r="H381" s="47" t="s">
        <v>517</v>
      </c>
      <c r="M381" s="56">
        <f>('Payroll Accrual'!M381)</f>
        <v>18961</v>
      </c>
    </row>
    <row r="382" spans="1:13" outlineLevel="1" x14ac:dyDescent="0.2">
      <c r="A382" s="50" t="str">
        <f>LEFT('Payroll Accrual'!A382,9)&amp;"4020.300"</f>
        <v>12022511.4020.300</v>
      </c>
      <c r="B382" s="51">
        <f>('Payroll Accrual'!O382)</f>
        <v>61.599450000000012</v>
      </c>
      <c r="C382" s="52"/>
      <c r="D382" s="53"/>
      <c r="H382" s="47" t="s">
        <v>517</v>
      </c>
      <c r="M382" s="56">
        <f>('Payroll Accrual'!M382)</f>
        <v>145</v>
      </c>
    </row>
    <row r="383" spans="1:13" outlineLevel="1" x14ac:dyDescent="0.2">
      <c r="A383" s="50" t="str">
        <f>LEFT('Payroll Accrual'!A383,9)&amp;"4020.300"</f>
        <v>12022511.4020.300</v>
      </c>
      <c r="B383" s="51">
        <f>('Payroll Accrual'!O383)</f>
        <v>29.789100000000008</v>
      </c>
      <c r="C383" s="52"/>
      <c r="D383" s="53"/>
      <c r="H383" s="47" t="s">
        <v>517</v>
      </c>
      <c r="M383" s="56">
        <f>('Payroll Accrual'!M383)</f>
        <v>141</v>
      </c>
    </row>
    <row r="384" spans="1:13" outlineLevel="1" x14ac:dyDescent="0.2">
      <c r="A384" s="50" t="str">
        <f>LEFT('Payroll Accrual'!A384,9)&amp;"4020.300"</f>
        <v>12023011.4020.300</v>
      </c>
      <c r="B384" s="51">
        <f>('Payroll Accrual'!O384)</f>
        <v>61.599450000000012</v>
      </c>
      <c r="C384" s="52"/>
      <c r="D384" s="53"/>
      <c r="H384" s="47" t="s">
        <v>517</v>
      </c>
      <c r="M384" s="56">
        <f>('Payroll Accrual'!M384)</f>
        <v>19035</v>
      </c>
    </row>
    <row r="385" spans="1:13" outlineLevel="1" x14ac:dyDescent="0.2">
      <c r="A385" s="50" t="str">
        <f>LEFT('Payroll Accrual'!A385,9)&amp;"4020.300"</f>
        <v>12023011.4020.300</v>
      </c>
      <c r="B385" s="51">
        <f>('Payroll Accrual'!O385)</f>
        <v>64.694850000000002</v>
      </c>
      <c r="C385" s="52"/>
      <c r="D385" s="53"/>
      <c r="H385" s="47" t="s">
        <v>517</v>
      </c>
      <c r="M385" s="56">
        <f>('Payroll Accrual'!M385)</f>
        <v>19006</v>
      </c>
    </row>
    <row r="386" spans="1:13" outlineLevel="1" x14ac:dyDescent="0.2">
      <c r="A386" s="50" t="str">
        <f>LEFT('Payroll Accrual'!A386,9)&amp;"4020.300"</f>
        <v>12023011.4020.300</v>
      </c>
      <c r="B386" s="51">
        <f>('Payroll Accrual'!O386)</f>
        <v>75.080280000000002</v>
      </c>
      <c r="C386" s="52"/>
      <c r="D386" s="53"/>
      <c r="H386" s="47" t="s">
        <v>517</v>
      </c>
      <c r="M386" s="56">
        <f>('Payroll Accrual'!M386)</f>
        <v>19007</v>
      </c>
    </row>
    <row r="387" spans="1:13" outlineLevel="1" x14ac:dyDescent="0.2">
      <c r="A387" s="50" t="str">
        <f>LEFT('Payroll Accrual'!A387,9)&amp;"4020.300"</f>
        <v>12023011.4020.300</v>
      </c>
      <c r="B387" s="51">
        <f>('Payroll Accrual'!O387)</f>
        <v>6.8445299999999998</v>
      </c>
      <c r="C387" s="52"/>
      <c r="D387" s="53"/>
      <c r="H387" s="47" t="s">
        <v>517</v>
      </c>
      <c r="M387" s="56">
        <f>('Payroll Accrual'!M387)</f>
        <v>19042</v>
      </c>
    </row>
    <row r="388" spans="1:13" outlineLevel="1" x14ac:dyDescent="0.2">
      <c r="A388" s="50" t="str">
        <f>LEFT('Payroll Accrual'!A388,9)&amp;"4020.300"</f>
        <v>12023011.4020.300</v>
      </c>
      <c r="B388" s="51">
        <f>('Payroll Accrual'!O388)</f>
        <v>95.398049999999984</v>
      </c>
      <c r="C388" s="52"/>
      <c r="D388" s="53"/>
      <c r="H388" s="47" t="s">
        <v>517</v>
      </c>
      <c r="M388" s="56">
        <f>('Payroll Accrual'!M388)</f>
        <v>18974</v>
      </c>
    </row>
    <row r="389" spans="1:13" outlineLevel="1" x14ac:dyDescent="0.2">
      <c r="A389" s="50" t="str">
        <f>LEFT('Payroll Accrual'!A389,9)&amp;"4020.300"</f>
        <v>12023011.4020.300</v>
      </c>
      <c r="B389" s="51">
        <f>('Payroll Accrual'!O389)</f>
        <v>73.310159999999996</v>
      </c>
      <c r="C389" s="52"/>
      <c r="D389" s="53"/>
      <c r="H389" s="47" t="s">
        <v>517</v>
      </c>
      <c r="M389" s="56">
        <f>('Payroll Accrual'!M389)</f>
        <v>18999</v>
      </c>
    </row>
    <row r="390" spans="1:13" outlineLevel="1" x14ac:dyDescent="0.2">
      <c r="A390" s="50" t="str">
        <f>LEFT('Payroll Accrual'!A390,9)&amp;"4020.300"</f>
        <v>12023011.4020.300</v>
      </c>
      <c r="B390" s="51">
        <f>('Payroll Accrual'!O390)</f>
        <v>38.81691</v>
      </c>
      <c r="C390" s="52"/>
      <c r="D390" s="53"/>
      <c r="H390" s="47" t="s">
        <v>517</v>
      </c>
      <c r="M390" s="56">
        <f>('Payroll Accrual'!M390)</f>
        <v>19026</v>
      </c>
    </row>
    <row r="391" spans="1:13" outlineLevel="1" x14ac:dyDescent="0.2">
      <c r="A391" s="50" t="str">
        <f>LEFT('Payroll Accrual'!A391,9)&amp;"4020.300"</f>
        <v>12023011.4020.300</v>
      </c>
      <c r="B391" s="51">
        <f>('Payroll Accrual'!O391)</f>
        <v>38.81691</v>
      </c>
      <c r="C391" s="52"/>
      <c r="D391" s="53"/>
      <c r="H391" s="47" t="s">
        <v>517</v>
      </c>
      <c r="M391" s="56">
        <f>('Payroll Accrual'!M391)</f>
        <v>19032</v>
      </c>
    </row>
    <row r="392" spans="1:13" outlineLevel="1" x14ac:dyDescent="0.2">
      <c r="A392" s="50" t="str">
        <f>LEFT('Payroll Accrual'!A392,9)&amp;"4020.300"</f>
        <v>12023011.4020.300</v>
      </c>
      <c r="B392" s="51">
        <f>('Payroll Accrual'!O392)</f>
        <v>165</v>
      </c>
      <c r="C392" s="52"/>
      <c r="D392" s="53"/>
      <c r="H392" s="47" t="s">
        <v>517</v>
      </c>
      <c r="M392" s="56">
        <f>('Payroll Accrual'!M392)</f>
        <v>18962</v>
      </c>
    </row>
    <row r="393" spans="1:13" outlineLevel="1" x14ac:dyDescent="0.2">
      <c r="A393" s="50" t="str">
        <f>LEFT('Payroll Accrual'!A393,9)&amp;"4020.300"</f>
        <v>12023011.4020.300</v>
      </c>
      <c r="B393" s="51">
        <f>('Payroll Accrual'!O393)</f>
        <v>54.314369999999997</v>
      </c>
      <c r="C393" s="52"/>
      <c r="D393" s="53"/>
      <c r="H393" s="47" t="s">
        <v>517</v>
      </c>
      <c r="M393" s="56">
        <f>('Payroll Accrual'!M393)</f>
        <v>18973</v>
      </c>
    </row>
    <row r="394" spans="1:13" outlineLevel="1" x14ac:dyDescent="0.2">
      <c r="A394" s="50" t="str">
        <f>LEFT('Payroll Accrual'!A394,9)&amp;"4020.300"</f>
        <v>12023021.4020.300</v>
      </c>
      <c r="B394" s="51">
        <f>('Payroll Accrual'!O394)</f>
        <v>107.88459</v>
      </c>
      <c r="C394" s="52"/>
      <c r="D394" s="53"/>
      <c r="H394" s="47" t="s">
        <v>517</v>
      </c>
      <c r="M394" s="56">
        <f>('Payroll Accrual'!M394)</f>
        <v>19038</v>
      </c>
    </row>
    <row r="395" spans="1:13" outlineLevel="1" x14ac:dyDescent="0.2">
      <c r="A395" s="50" t="str">
        <f>LEFT('Payroll Accrual'!A395,9)&amp;"4020.300"</f>
        <v>12023021.4020.300</v>
      </c>
      <c r="B395" s="51">
        <f>('Payroll Accrual'!O395)</f>
        <v>63.07752</v>
      </c>
      <c r="C395" s="52"/>
      <c r="D395" s="53"/>
      <c r="H395" s="47" t="s">
        <v>517</v>
      </c>
      <c r="M395" s="56">
        <f>('Payroll Accrual'!M395)</f>
        <v>19027</v>
      </c>
    </row>
    <row r="396" spans="1:13" outlineLevel="1" x14ac:dyDescent="0.2">
      <c r="A396" s="50" t="str">
        <f>LEFT('Payroll Accrual'!A396,9)&amp;"4020.300"</f>
        <v>12023021.4020.300</v>
      </c>
      <c r="B396" s="51">
        <f>('Payroll Accrual'!O396)</f>
        <v>64.695179999999993</v>
      </c>
      <c r="C396" s="52"/>
      <c r="D396" s="53"/>
      <c r="H396" s="47" t="s">
        <v>517</v>
      </c>
      <c r="M396" s="56">
        <f>('Payroll Accrual'!M396)</f>
        <v>19021</v>
      </c>
    </row>
    <row r="397" spans="1:13" outlineLevel="1" x14ac:dyDescent="0.2">
      <c r="A397" s="50" t="str">
        <f>LEFT('Payroll Accrual'!A397,9)&amp;"4020.300"</f>
        <v>12023021.4020.300</v>
      </c>
      <c r="B397" s="51">
        <f>('Payroll Accrual'!O397)</f>
        <v>64.623900000000006</v>
      </c>
      <c r="C397" s="52"/>
      <c r="D397" s="53"/>
      <c r="H397" s="47" t="s">
        <v>517</v>
      </c>
      <c r="M397" s="56">
        <f>('Payroll Accrual'!M397)</f>
        <v>18980</v>
      </c>
    </row>
    <row r="398" spans="1:13" outlineLevel="1" x14ac:dyDescent="0.2">
      <c r="A398" s="50" t="str">
        <f>LEFT('Payroll Accrual'!A398,9)&amp;"4020.300"</f>
        <v>12024021.4020.300</v>
      </c>
      <c r="B398" s="51">
        <f>('Payroll Accrual'!O398)</f>
        <v>93.929220000000001</v>
      </c>
      <c r="C398" s="52"/>
      <c r="D398" s="53"/>
      <c r="H398" s="47" t="s">
        <v>517</v>
      </c>
      <c r="M398" s="56">
        <f>('Payroll Accrual'!M398)</f>
        <v>18581</v>
      </c>
    </row>
    <row r="399" spans="1:13" outlineLevel="1" x14ac:dyDescent="0.2">
      <c r="A399" s="50" t="str">
        <f>LEFT('Payroll Accrual'!A399,9)&amp;"4020.300"</f>
        <v>12028099.4020.300</v>
      </c>
      <c r="B399" s="51">
        <f>('Payroll Accrual'!O399)</f>
        <v>82.5</v>
      </c>
      <c r="C399" s="52"/>
      <c r="D399" s="53"/>
      <c r="H399" s="47" t="s">
        <v>517</v>
      </c>
      <c r="M399" s="56">
        <f>('Payroll Accrual'!M399)</f>
        <v>19034</v>
      </c>
    </row>
    <row r="400" spans="1:13" outlineLevel="1" x14ac:dyDescent="0.2">
      <c r="A400" s="50" t="str">
        <f>LEFT('Payroll Accrual'!A400,9)&amp;"4020.300"</f>
        <v>12028099.4020.300</v>
      </c>
      <c r="B400" s="51">
        <f>('Payroll Accrual'!O400)</f>
        <v>177.69246000000001</v>
      </c>
      <c r="C400" s="52"/>
      <c r="D400" s="53"/>
      <c r="H400" s="47" t="s">
        <v>517</v>
      </c>
      <c r="M400" s="56">
        <f>('Payroll Accrual'!M400)</f>
        <v>44705</v>
      </c>
    </row>
    <row r="401" spans="1:13" outlineLevel="1" x14ac:dyDescent="0.2">
      <c r="A401" s="50" t="str">
        <f>LEFT('Payroll Accrual'!A401,9)&amp;"4020.300"</f>
        <v>12030400.4020.300</v>
      </c>
      <c r="B401" s="51">
        <f>('Payroll Accrual'!O401)</f>
        <v>76.153770000000009</v>
      </c>
      <c r="C401" s="52"/>
      <c r="D401" s="53"/>
      <c r="H401" s="47" t="s">
        <v>517</v>
      </c>
      <c r="M401" s="56">
        <f>('Payroll Accrual'!M401)</f>
        <v>18805</v>
      </c>
    </row>
    <row r="402" spans="1:13" outlineLevel="1" x14ac:dyDescent="0.2">
      <c r="A402" s="50" t="str">
        <f>LEFT('Payroll Accrual'!A402,9)&amp;"4020.300"</f>
        <v>12030400.4020.300</v>
      </c>
      <c r="B402" s="51">
        <f>('Payroll Accrual'!O402)</f>
        <v>76.153439999999989</v>
      </c>
      <c r="C402" s="52"/>
      <c r="D402" s="53"/>
      <c r="H402" s="47" t="s">
        <v>517</v>
      </c>
      <c r="M402" s="56">
        <f>('Payroll Accrual'!M402)</f>
        <v>18982</v>
      </c>
    </row>
    <row r="403" spans="1:13" outlineLevel="1" x14ac:dyDescent="0.2">
      <c r="A403" s="50" t="str">
        <f>LEFT('Payroll Accrual'!A403,9)&amp;"4020.300"</f>
        <v>12030500.4020.300</v>
      </c>
      <c r="B403" s="51">
        <f>('Payroll Accrual'!O403)</f>
        <v>71.07705</v>
      </c>
      <c r="C403" s="52"/>
      <c r="D403" s="53"/>
      <c r="H403" s="47" t="s">
        <v>517</v>
      </c>
      <c r="M403" s="56">
        <f>('Payroll Accrual'!M403)</f>
        <v>18841</v>
      </c>
    </row>
    <row r="404" spans="1:13" outlineLevel="1" x14ac:dyDescent="0.2">
      <c r="A404" s="50" t="str">
        <f>LEFT('Payroll Accrual'!A404,9)&amp;"4020.300"</f>
        <v>12030500.4020.300</v>
      </c>
      <c r="B404" s="51">
        <f>('Payroll Accrual'!O404)</f>
        <v>81.701400000000007</v>
      </c>
      <c r="C404" s="52"/>
      <c r="D404" s="53"/>
      <c r="H404" s="47" t="s">
        <v>517</v>
      </c>
      <c r="M404" s="56">
        <f>('Payroll Accrual'!M404)</f>
        <v>266</v>
      </c>
    </row>
    <row r="405" spans="1:13" outlineLevel="1" x14ac:dyDescent="0.2">
      <c r="A405" s="50" t="str">
        <f>LEFT('Payroll Accrual'!A405,9)&amp;"4020.300"</f>
        <v>12030611.4020.300</v>
      </c>
      <c r="B405" s="51">
        <f>('Payroll Accrual'!O405)</f>
        <v>31.356929999999998</v>
      </c>
      <c r="C405" s="52"/>
      <c r="D405" s="53"/>
      <c r="H405" s="47" t="s">
        <v>517</v>
      </c>
      <c r="M405" s="56">
        <f>('Payroll Accrual'!M405)</f>
        <v>134</v>
      </c>
    </row>
    <row r="406" spans="1:13" outlineLevel="1" x14ac:dyDescent="0.2">
      <c r="A406" s="50" t="str">
        <f>LEFT('Payroll Accrual'!A406,9)&amp;"4020.300"</f>
        <v>12030611.4020.300</v>
      </c>
      <c r="B406" s="51">
        <f>('Payroll Accrual'!O406)</f>
        <v>51.755879999999991</v>
      </c>
      <c r="C406" s="52"/>
      <c r="D406" s="53"/>
      <c r="H406" s="47" t="s">
        <v>517</v>
      </c>
      <c r="M406" s="56">
        <f>('Payroll Accrual'!M406)</f>
        <v>18918</v>
      </c>
    </row>
    <row r="407" spans="1:13" outlineLevel="1" x14ac:dyDescent="0.2">
      <c r="A407" s="50" t="str">
        <f>LEFT('Payroll Accrual'!A407,9)&amp;"4020.300"</f>
        <v>12030611.4020.300</v>
      </c>
      <c r="B407" s="51">
        <f>('Payroll Accrual'!O407)</f>
        <v>71.164500000000004</v>
      </c>
      <c r="C407" s="52"/>
      <c r="D407" s="53"/>
      <c r="H407" s="47" t="s">
        <v>517</v>
      </c>
      <c r="M407" s="56">
        <f>('Payroll Accrual'!M407)</f>
        <v>18797</v>
      </c>
    </row>
    <row r="408" spans="1:13" outlineLevel="1" x14ac:dyDescent="0.2">
      <c r="A408" s="50" t="str">
        <f>LEFT('Payroll Accrual'!A408,9)&amp;"4020.300"</f>
        <v>12030611.4020.300</v>
      </c>
      <c r="B408" s="51">
        <f>('Payroll Accrual'!O408)</f>
        <v>58.026870000000009</v>
      </c>
      <c r="C408" s="52"/>
      <c r="D408" s="53"/>
      <c r="H408" s="47" t="s">
        <v>517</v>
      </c>
      <c r="M408" s="56">
        <f>('Payroll Accrual'!M408)</f>
        <v>18822</v>
      </c>
    </row>
    <row r="409" spans="1:13" outlineLevel="1" x14ac:dyDescent="0.2">
      <c r="A409" s="50" t="str">
        <f>LEFT('Payroll Accrual'!A409,9)&amp;"4020.300"</f>
        <v>12030611.4020.300</v>
      </c>
      <c r="B409" s="51">
        <f>('Payroll Accrual'!O409)</f>
        <v>59.578200000000017</v>
      </c>
      <c r="C409" s="52"/>
      <c r="D409" s="53"/>
      <c r="H409" s="47" t="s">
        <v>517</v>
      </c>
      <c r="M409" s="56">
        <f>('Payroll Accrual'!M409)</f>
        <v>18887</v>
      </c>
    </row>
    <row r="410" spans="1:13" outlineLevel="1" x14ac:dyDescent="0.2">
      <c r="A410" s="50" t="str">
        <f>LEFT('Payroll Accrual'!A410,9)&amp;"4020.300"</f>
        <v>12030611.4020.300</v>
      </c>
      <c r="B410" s="51">
        <f>('Payroll Accrual'!O410)</f>
        <v>59.447520000000004</v>
      </c>
      <c r="C410" s="52"/>
      <c r="D410" s="53"/>
      <c r="H410" s="47" t="s">
        <v>517</v>
      </c>
      <c r="M410" s="56">
        <f>('Payroll Accrual'!M410)</f>
        <v>18949</v>
      </c>
    </row>
    <row r="411" spans="1:13" outlineLevel="1" x14ac:dyDescent="0.2">
      <c r="A411" s="50" t="str">
        <f>LEFT('Payroll Accrual'!A411,9)&amp;"4020.300"</f>
        <v>12030611.4020.300</v>
      </c>
      <c r="B411" s="51">
        <f>('Payroll Accrual'!O411)</f>
        <v>51.910320000000006</v>
      </c>
      <c r="C411" s="52"/>
      <c r="D411" s="53"/>
      <c r="H411" s="47" t="s">
        <v>517</v>
      </c>
      <c r="M411" s="56">
        <f>('Payroll Accrual'!M411)</f>
        <v>18979</v>
      </c>
    </row>
    <row r="412" spans="1:13" outlineLevel="1" x14ac:dyDescent="0.2">
      <c r="A412" s="50" t="str">
        <f>LEFT('Payroll Accrual'!A412,9)&amp;"4020.300"</f>
        <v>12030611.4020.300</v>
      </c>
      <c r="B412" s="51">
        <f>('Payroll Accrual'!O412)</f>
        <v>30.368250000000007</v>
      </c>
      <c r="C412" s="52"/>
      <c r="D412" s="53"/>
      <c r="H412" s="47" t="s">
        <v>517</v>
      </c>
      <c r="M412" s="56">
        <f>('Payroll Accrual'!M412)</f>
        <v>18929</v>
      </c>
    </row>
    <row r="413" spans="1:13" outlineLevel="1" x14ac:dyDescent="0.2">
      <c r="A413" s="50" t="str">
        <f>LEFT('Payroll Accrual'!A413,9)&amp;"4020.300"</f>
        <v>12030611.4020.300</v>
      </c>
      <c r="B413" s="51">
        <f>('Payroll Accrual'!O413)</f>
        <v>77.321640000000002</v>
      </c>
      <c r="C413" s="52"/>
      <c r="D413" s="53"/>
      <c r="H413" s="47" t="s">
        <v>517</v>
      </c>
      <c r="M413" s="56">
        <f>('Payroll Accrual'!M413)</f>
        <v>18827</v>
      </c>
    </row>
    <row r="414" spans="1:13" outlineLevel="1" x14ac:dyDescent="0.2">
      <c r="A414" s="50" t="str">
        <f>LEFT('Payroll Accrual'!A414,9)&amp;"4020.300"</f>
        <v>12030611.4020.300</v>
      </c>
      <c r="B414" s="51">
        <f>('Payroll Accrual'!O414)</f>
        <v>114.23081999999999</v>
      </c>
      <c r="C414" s="52"/>
      <c r="D414" s="53"/>
      <c r="H414" s="47" t="s">
        <v>517</v>
      </c>
      <c r="M414" s="56">
        <f>('Payroll Accrual'!M414)</f>
        <v>18626</v>
      </c>
    </row>
    <row r="415" spans="1:13" outlineLevel="1" x14ac:dyDescent="0.2">
      <c r="A415" s="50" t="str">
        <f>LEFT('Payroll Accrual'!A415,9)&amp;"4020.300"</f>
        <v>12030711.4020.300</v>
      </c>
      <c r="B415" s="51">
        <f>('Payroll Accrual'!O415)</f>
        <v>14.150729999999999</v>
      </c>
      <c r="C415" s="52"/>
      <c r="D415" s="53"/>
      <c r="H415" s="47" t="s">
        <v>517</v>
      </c>
      <c r="M415" s="56">
        <f>('Payroll Accrual'!M415)</f>
        <v>18793</v>
      </c>
    </row>
    <row r="416" spans="1:13" outlineLevel="1" x14ac:dyDescent="0.2">
      <c r="A416" s="50" t="str">
        <f>LEFT('Payroll Accrual'!A416,9)&amp;"4020.300"</f>
        <v>12030800.4020.300</v>
      </c>
      <c r="B416" s="51">
        <f>('Payroll Accrual'!O416)</f>
        <v>56.416140000000006</v>
      </c>
      <c r="C416" s="52"/>
      <c r="D416" s="53"/>
      <c r="H416" s="47" t="s">
        <v>517</v>
      </c>
      <c r="M416" s="56">
        <f>('Payroll Accrual'!M416)</f>
        <v>18989</v>
      </c>
    </row>
    <row r="417" spans="1:13" outlineLevel="1" x14ac:dyDescent="0.2">
      <c r="A417" s="50" t="str">
        <f>LEFT('Payroll Accrual'!A417,9)&amp;"4020.300"</f>
        <v>12032511.4020.300</v>
      </c>
      <c r="B417" s="51">
        <f>('Payroll Accrual'!O417)</f>
        <v>55.013309999999997</v>
      </c>
      <c r="C417" s="52"/>
      <c r="D417" s="53"/>
      <c r="H417" s="47" t="s">
        <v>517</v>
      </c>
      <c r="M417" s="56">
        <f>('Payroll Accrual'!M417)</f>
        <v>18736</v>
      </c>
    </row>
    <row r="418" spans="1:13" outlineLevel="1" x14ac:dyDescent="0.2">
      <c r="A418" s="50" t="str">
        <f>LEFT('Payroll Accrual'!A418,9)&amp;"4020.300"</f>
        <v>12033011.4020.300</v>
      </c>
      <c r="B418" s="51">
        <f>('Payroll Accrual'!O418)</f>
        <v>59.382179999999998</v>
      </c>
      <c r="C418" s="52"/>
      <c r="D418" s="53"/>
      <c r="H418" s="47" t="s">
        <v>517</v>
      </c>
      <c r="M418" s="56">
        <f>('Payroll Accrual'!M418)</f>
        <v>19019</v>
      </c>
    </row>
    <row r="419" spans="1:13" outlineLevel="1" x14ac:dyDescent="0.2">
      <c r="A419" s="50" t="str">
        <f>LEFT('Payroll Accrual'!A419,9)&amp;"4020.300"</f>
        <v>12033011.4020.300</v>
      </c>
      <c r="B419" s="51">
        <f>('Payroll Accrual'!O419)</f>
        <v>49.83231</v>
      </c>
      <c r="C419" s="52"/>
      <c r="D419" s="53"/>
      <c r="H419" s="47" t="s">
        <v>517</v>
      </c>
      <c r="M419" s="56">
        <f>('Payroll Accrual'!M419)</f>
        <v>19017</v>
      </c>
    </row>
    <row r="420" spans="1:13" outlineLevel="1" x14ac:dyDescent="0.2">
      <c r="A420" s="50" t="str">
        <f>LEFT('Payroll Accrual'!A420,9)&amp;"4020.300"</f>
        <v>12033011.4020.300</v>
      </c>
      <c r="B420" s="51">
        <f>('Payroll Accrual'!O420)</f>
        <v>59.068680000000008</v>
      </c>
      <c r="C420" s="52"/>
      <c r="D420" s="53"/>
      <c r="H420" s="47" t="s">
        <v>517</v>
      </c>
      <c r="M420" s="56">
        <f>('Payroll Accrual'!M420)</f>
        <v>19028</v>
      </c>
    </row>
    <row r="421" spans="1:13" outlineLevel="1" x14ac:dyDescent="0.2">
      <c r="A421" s="50" t="str">
        <f>LEFT('Payroll Accrual'!A421,9)&amp;"4020.300"</f>
        <v>12033011.4020.300</v>
      </c>
      <c r="B421" s="51">
        <f>('Payroll Accrual'!O421)</f>
        <v>36.112559999999995</v>
      </c>
      <c r="C421" s="52"/>
      <c r="D421" s="53"/>
      <c r="H421" s="47" t="s">
        <v>517</v>
      </c>
      <c r="M421" s="56">
        <f>('Payroll Accrual'!M421)</f>
        <v>18607</v>
      </c>
    </row>
    <row r="422" spans="1:13" outlineLevel="1" x14ac:dyDescent="0.2">
      <c r="A422" s="50" t="str">
        <f>LEFT('Payroll Accrual'!A422,9)&amp;"4020.300"</f>
        <v>12033011.4020.300</v>
      </c>
      <c r="B422" s="51">
        <f>('Payroll Accrual'!O422)</f>
        <v>59.551799999999986</v>
      </c>
      <c r="C422" s="52"/>
      <c r="D422" s="53"/>
      <c r="H422" s="47" t="s">
        <v>517</v>
      </c>
      <c r="M422" s="56">
        <f>('Payroll Accrual'!M422)</f>
        <v>19011</v>
      </c>
    </row>
    <row r="423" spans="1:13" outlineLevel="1" x14ac:dyDescent="0.2">
      <c r="A423" s="50" t="str">
        <f>LEFT('Payroll Accrual'!A423,9)&amp;"4020.300"</f>
        <v>12033011.4020.300</v>
      </c>
      <c r="B423" s="51">
        <f>('Payroll Accrual'!O423)</f>
        <v>62.478570000000012</v>
      </c>
      <c r="C423" s="52"/>
      <c r="D423" s="53"/>
      <c r="H423" s="47" t="s">
        <v>517</v>
      </c>
      <c r="M423" s="56">
        <f>('Payroll Accrual'!M423)</f>
        <v>19009</v>
      </c>
    </row>
    <row r="424" spans="1:13" outlineLevel="1" x14ac:dyDescent="0.2">
      <c r="A424" s="50" t="str">
        <f>LEFT('Payroll Accrual'!A424,9)&amp;"4020.300"</f>
        <v>12033011.4020.300</v>
      </c>
      <c r="B424" s="51">
        <f>('Payroll Accrual'!O424)</f>
        <v>63.446130000000004</v>
      </c>
      <c r="C424" s="52"/>
      <c r="D424" s="53"/>
      <c r="H424" s="47" t="s">
        <v>517</v>
      </c>
      <c r="M424" s="56">
        <f>('Payroll Accrual'!M424)</f>
        <v>19012</v>
      </c>
    </row>
    <row r="425" spans="1:13" outlineLevel="1" x14ac:dyDescent="0.2">
      <c r="A425" s="50" t="str">
        <f>LEFT('Payroll Accrual'!A425,9)&amp;"4020.300"</f>
        <v>12033011.4020.300</v>
      </c>
      <c r="B425" s="51">
        <f>('Payroll Accrual'!O425)</f>
        <v>65.104709999999983</v>
      </c>
      <c r="C425" s="52"/>
      <c r="D425" s="53"/>
      <c r="H425" s="47" t="s">
        <v>517</v>
      </c>
      <c r="M425" s="56">
        <f>('Payroll Accrual'!M425)</f>
        <v>18983</v>
      </c>
    </row>
    <row r="426" spans="1:13" outlineLevel="1" x14ac:dyDescent="0.2">
      <c r="A426" s="50" t="str">
        <f>LEFT('Payroll Accrual'!A426,9)&amp;"4020.300"</f>
        <v>12033011.4020.300</v>
      </c>
      <c r="B426" s="51">
        <f>('Payroll Accrual'!O426)</f>
        <v>73.310159999999996</v>
      </c>
      <c r="C426" s="52"/>
      <c r="D426" s="53"/>
      <c r="H426" s="47" t="s">
        <v>517</v>
      </c>
      <c r="M426" s="56">
        <f>('Payroll Accrual'!M426)</f>
        <v>18829</v>
      </c>
    </row>
    <row r="427" spans="1:13" outlineLevel="1" x14ac:dyDescent="0.2">
      <c r="A427" s="50" t="str">
        <f>LEFT('Payroll Accrual'!A427,9)&amp;"4020.300"</f>
        <v>12033011.4020.300</v>
      </c>
      <c r="B427" s="51">
        <f>('Payroll Accrual'!O427)</f>
        <v>63.301919999999996</v>
      </c>
      <c r="C427" s="52"/>
      <c r="D427" s="53"/>
      <c r="H427" s="47" t="s">
        <v>517</v>
      </c>
      <c r="M427" s="56">
        <f>('Payroll Accrual'!M427)</f>
        <v>19029</v>
      </c>
    </row>
    <row r="428" spans="1:13" outlineLevel="1" x14ac:dyDescent="0.2">
      <c r="A428" s="50" t="str">
        <f>LEFT('Payroll Accrual'!A428,9)&amp;"4020.300"</f>
        <v>12033011.4020.300</v>
      </c>
      <c r="B428" s="51">
        <f>('Payroll Accrual'!O428)</f>
        <v>73.383419999999987</v>
      </c>
      <c r="C428" s="52"/>
      <c r="D428" s="53"/>
      <c r="H428" s="47" t="s">
        <v>517</v>
      </c>
      <c r="M428" s="56">
        <f>('Payroll Accrual'!M428)</f>
        <v>18932</v>
      </c>
    </row>
    <row r="429" spans="1:13" outlineLevel="1" x14ac:dyDescent="0.2">
      <c r="A429" s="50" t="str">
        <f>LEFT('Payroll Accrual'!A429,9)&amp;"4020.300"</f>
        <v>12033011.4020.300</v>
      </c>
      <c r="B429" s="51">
        <f>('Payroll Accrual'!O429)</f>
        <v>40.374839999999999</v>
      </c>
      <c r="C429" s="52"/>
      <c r="D429" s="53"/>
      <c r="H429" s="47" t="s">
        <v>517</v>
      </c>
      <c r="M429" s="56">
        <f>('Payroll Accrual'!M429)</f>
        <v>18923</v>
      </c>
    </row>
    <row r="430" spans="1:13" outlineLevel="1" x14ac:dyDescent="0.2">
      <c r="A430" s="50" t="str">
        <f>LEFT('Payroll Accrual'!A430,9)&amp;"4020.300"</f>
        <v>12033011.4020.300</v>
      </c>
      <c r="B430" s="51">
        <f>('Payroll Accrual'!O430)</f>
        <v>65.34</v>
      </c>
      <c r="C430" s="52"/>
      <c r="D430" s="53"/>
      <c r="H430" s="47" t="s">
        <v>517</v>
      </c>
      <c r="M430" s="56">
        <f>('Payroll Accrual'!M430)</f>
        <v>19015</v>
      </c>
    </row>
    <row r="431" spans="1:13" outlineLevel="1" x14ac:dyDescent="0.2">
      <c r="A431" s="50" t="str">
        <f>LEFT('Payroll Accrual'!A431,9)&amp;"4020.300"</f>
        <v>12033011.4020.300</v>
      </c>
      <c r="B431" s="51">
        <f>('Payroll Accrual'!O431)</f>
        <v>46.256759999999993</v>
      </c>
      <c r="C431" s="52"/>
      <c r="D431" s="53"/>
      <c r="H431" s="47" t="s">
        <v>517</v>
      </c>
      <c r="M431" s="56">
        <f>('Payroll Accrual'!M431)</f>
        <v>19008</v>
      </c>
    </row>
    <row r="432" spans="1:13" outlineLevel="1" x14ac:dyDescent="0.2">
      <c r="A432" s="50" t="str">
        <f>LEFT('Payroll Accrual'!A432,9)&amp;"4020.300"</f>
        <v>12033011.4020.300</v>
      </c>
      <c r="B432" s="51">
        <f>('Payroll Accrual'!O432)</f>
        <v>57.311429999999994</v>
      </c>
      <c r="C432" s="52"/>
      <c r="D432" s="53"/>
      <c r="H432" s="47" t="s">
        <v>517</v>
      </c>
      <c r="M432" s="56">
        <f>('Payroll Accrual'!M432)</f>
        <v>18679</v>
      </c>
    </row>
    <row r="433" spans="1:13" outlineLevel="1" x14ac:dyDescent="0.2">
      <c r="A433" s="50" t="str">
        <f>LEFT('Payroll Accrual'!A433,9)&amp;"4020.300"</f>
        <v>12038099.4020.300</v>
      </c>
      <c r="B433" s="51">
        <f>('Payroll Accrual'!O433)</f>
        <v>95.192459999999997</v>
      </c>
      <c r="C433" s="52"/>
      <c r="D433" s="53"/>
      <c r="H433" s="47" t="s">
        <v>517</v>
      </c>
      <c r="M433" s="56">
        <f>('Payroll Accrual'!M433)</f>
        <v>18998</v>
      </c>
    </row>
    <row r="434" spans="1:13" outlineLevel="1" x14ac:dyDescent="0.2">
      <c r="A434" s="50" t="str">
        <f>LEFT('Payroll Accrual'!A434,9)&amp;"4020.300"</f>
        <v>12040400.4020.300</v>
      </c>
      <c r="B434" s="51">
        <f>('Payroll Accrual'!O434)</f>
        <v>97.667459999999991</v>
      </c>
      <c r="C434" s="52"/>
      <c r="D434" s="53"/>
      <c r="H434" s="47" t="s">
        <v>517</v>
      </c>
      <c r="M434" s="56">
        <f>('Payroll Accrual'!M434)</f>
        <v>115</v>
      </c>
    </row>
    <row r="435" spans="1:13" outlineLevel="1" x14ac:dyDescent="0.2">
      <c r="A435" s="50" t="str">
        <f>LEFT('Payroll Accrual'!A435,9)&amp;"4020.300"</f>
        <v>12040500.4020.300</v>
      </c>
      <c r="B435" s="51">
        <f>('Payroll Accrual'!O435)</f>
        <v>67.396230000000003</v>
      </c>
      <c r="C435" s="52"/>
      <c r="D435" s="53"/>
      <c r="H435" s="47" t="s">
        <v>517</v>
      </c>
      <c r="M435" s="56">
        <f>('Payroll Accrual'!M435)</f>
        <v>19020</v>
      </c>
    </row>
    <row r="436" spans="1:13" outlineLevel="1" x14ac:dyDescent="0.2">
      <c r="A436" s="50" t="str">
        <f>LEFT('Payroll Accrual'!A436,9)&amp;"4020.300"</f>
        <v>12040500.4020.300</v>
      </c>
      <c r="B436" s="51">
        <f>('Payroll Accrual'!O436)</f>
        <v>101.53836</v>
      </c>
      <c r="C436" s="52"/>
      <c r="D436" s="53"/>
      <c r="H436" s="47" t="s">
        <v>517</v>
      </c>
      <c r="M436" s="56">
        <f>('Payroll Accrual'!M436)</f>
        <v>18649</v>
      </c>
    </row>
    <row r="437" spans="1:13" outlineLevel="1" x14ac:dyDescent="0.2">
      <c r="A437" s="50" t="str">
        <f>LEFT('Payroll Accrual'!A437,9)&amp;"4020.300"</f>
        <v>12040800.4020.300</v>
      </c>
      <c r="B437" s="51">
        <f>('Payroll Accrual'!O437)</f>
        <v>39.461069999999999</v>
      </c>
      <c r="C437" s="52"/>
      <c r="D437" s="53"/>
      <c r="H437" s="47" t="s">
        <v>517</v>
      </c>
      <c r="M437" s="56">
        <f>('Payroll Accrual'!M437)</f>
        <v>18839</v>
      </c>
    </row>
    <row r="438" spans="1:13" outlineLevel="1" x14ac:dyDescent="0.2">
      <c r="A438" s="50" t="str">
        <f>LEFT('Payroll Accrual'!A438,9)&amp;"4020.300"</f>
        <v>12040800.4020.300</v>
      </c>
      <c r="B438" s="51">
        <f>('Payroll Accrual'!O438)</f>
        <v>64.226579999999998</v>
      </c>
      <c r="C438" s="52"/>
      <c r="D438" s="53"/>
      <c r="H438" s="47" t="s">
        <v>517</v>
      </c>
      <c r="M438" s="56">
        <f>('Payroll Accrual'!M438)</f>
        <v>18904</v>
      </c>
    </row>
    <row r="439" spans="1:13" outlineLevel="1" x14ac:dyDescent="0.2">
      <c r="A439" s="50" t="str">
        <f>LEFT('Payroll Accrual'!A439,9)&amp;"4020.300"</f>
        <v>12042511.4020.300</v>
      </c>
      <c r="B439" s="51">
        <f>('Payroll Accrual'!O439)</f>
        <v>38.078370000000007</v>
      </c>
      <c r="C439" s="52"/>
      <c r="D439" s="53"/>
      <c r="H439" s="47" t="s">
        <v>517</v>
      </c>
      <c r="M439" s="56">
        <f>('Payroll Accrual'!M439)</f>
        <v>18650</v>
      </c>
    </row>
    <row r="440" spans="1:13" outlineLevel="1" x14ac:dyDescent="0.2">
      <c r="A440" s="50" t="str">
        <f>LEFT('Payroll Accrual'!A440,9)&amp;"4020.300"</f>
        <v>12043011.4020.300</v>
      </c>
      <c r="B440" s="51">
        <f>('Payroll Accrual'!O440)</f>
        <v>58.924800000000005</v>
      </c>
      <c r="C440" s="52"/>
      <c r="D440" s="53"/>
      <c r="H440" s="47" t="s">
        <v>517</v>
      </c>
      <c r="M440" s="56">
        <f>('Payroll Accrual'!M440)</f>
        <v>18986</v>
      </c>
    </row>
    <row r="441" spans="1:13" outlineLevel="1" x14ac:dyDescent="0.2">
      <c r="A441" s="50" t="str">
        <f>LEFT('Payroll Accrual'!A441,9)&amp;"4020.300"</f>
        <v>12043011.4020.300</v>
      </c>
      <c r="B441" s="51">
        <f>('Payroll Accrual'!O441)</f>
        <v>31.356929999999998</v>
      </c>
      <c r="C441" s="52"/>
      <c r="D441" s="53"/>
      <c r="H441" s="47" t="s">
        <v>517</v>
      </c>
      <c r="M441" s="56">
        <f>('Payroll Accrual'!M441)</f>
        <v>18924</v>
      </c>
    </row>
    <row r="442" spans="1:13" outlineLevel="1" x14ac:dyDescent="0.2">
      <c r="A442" s="50" t="str">
        <f>LEFT('Payroll Accrual'!A442,9)&amp;"4020.300"</f>
        <v>12043011.4020.300</v>
      </c>
      <c r="B442" s="51">
        <f>('Payroll Accrual'!O442)</f>
        <v>76.953029999999984</v>
      </c>
      <c r="C442" s="52"/>
      <c r="D442" s="53"/>
      <c r="H442" s="47" t="s">
        <v>517</v>
      </c>
      <c r="M442" s="56">
        <f>('Payroll Accrual'!M442)</f>
        <v>18942</v>
      </c>
    </row>
    <row r="443" spans="1:13" outlineLevel="1" x14ac:dyDescent="0.2">
      <c r="A443" s="50" t="str">
        <f>LEFT('Payroll Accrual'!A443,9)&amp;"4020.300"</f>
        <v>12043011.4020.300</v>
      </c>
      <c r="B443" s="51">
        <f>('Payroll Accrual'!O443)</f>
        <v>57.735810000000001</v>
      </c>
      <c r="C443" s="52"/>
      <c r="D443" s="53"/>
      <c r="H443" s="47" t="s">
        <v>517</v>
      </c>
      <c r="M443" s="56">
        <f>('Payroll Accrual'!M443)</f>
        <v>19039</v>
      </c>
    </row>
    <row r="444" spans="1:13" outlineLevel="1" x14ac:dyDescent="0.2">
      <c r="A444" s="50" t="str">
        <f>LEFT('Payroll Accrual'!A444,9)&amp;"4020.300"</f>
        <v>12043011.4020.300</v>
      </c>
      <c r="B444" s="51">
        <f>('Payroll Accrual'!O444)</f>
        <v>73.207529999999991</v>
      </c>
      <c r="C444" s="52"/>
      <c r="D444" s="53"/>
      <c r="H444" s="47" t="s">
        <v>517</v>
      </c>
      <c r="M444" s="56">
        <f>('Payroll Accrual'!M444)</f>
        <v>18850</v>
      </c>
    </row>
    <row r="445" spans="1:13" outlineLevel="1" x14ac:dyDescent="0.2">
      <c r="A445" s="50" t="str">
        <f>LEFT('Payroll Accrual'!A445,9)&amp;"4020.300"</f>
        <v>12043011.4020.300</v>
      </c>
      <c r="B445" s="51">
        <f>('Payroll Accrual'!O445)</f>
        <v>62.95872</v>
      </c>
      <c r="C445" s="52"/>
      <c r="D445" s="53"/>
      <c r="H445" s="47" t="s">
        <v>517</v>
      </c>
      <c r="M445" s="56">
        <f>('Payroll Accrual'!M445)</f>
        <v>18703</v>
      </c>
    </row>
    <row r="446" spans="1:13" outlineLevel="1" x14ac:dyDescent="0.2">
      <c r="A446" s="50" t="str">
        <f>LEFT('Payroll Accrual'!A446,9)&amp;"4020.300"</f>
        <v>12043011.4020.300</v>
      </c>
      <c r="B446" s="51">
        <f>('Payroll Accrual'!O446)</f>
        <v>77.316030000000012</v>
      </c>
      <c r="C446" s="52"/>
      <c r="D446" s="53"/>
      <c r="H446" s="47" t="s">
        <v>517</v>
      </c>
      <c r="M446" s="56">
        <f>('Payroll Accrual'!M446)</f>
        <v>18646</v>
      </c>
    </row>
    <row r="447" spans="1:13" outlineLevel="1" x14ac:dyDescent="0.2">
      <c r="A447" s="50" t="str">
        <f>LEFT('Payroll Accrual'!A447,9)&amp;"4020.300"</f>
        <v>12043011.4020.300</v>
      </c>
      <c r="B447" s="51">
        <f>('Payroll Accrual'!O447)</f>
        <v>104.09289</v>
      </c>
      <c r="C447" s="52"/>
      <c r="D447" s="53"/>
      <c r="H447" s="47" t="s">
        <v>517</v>
      </c>
      <c r="M447" s="56">
        <f>('Payroll Accrual'!M447)</f>
        <v>18713</v>
      </c>
    </row>
    <row r="448" spans="1:13" outlineLevel="1" x14ac:dyDescent="0.2">
      <c r="A448" s="50" t="str">
        <f>LEFT('Payroll Accrual'!A448,9)&amp;"4020.300"</f>
        <v>12043011.4020.300</v>
      </c>
      <c r="B448" s="51">
        <f>('Payroll Accrual'!O448)</f>
        <v>59.186160000000008</v>
      </c>
      <c r="C448" s="52"/>
      <c r="D448" s="53"/>
      <c r="H448" s="47" t="s">
        <v>517</v>
      </c>
      <c r="M448" s="56">
        <f>('Payroll Accrual'!M448)</f>
        <v>18990</v>
      </c>
    </row>
    <row r="449" spans="1:13" outlineLevel="1" x14ac:dyDescent="0.2">
      <c r="A449" s="50" t="str">
        <f>LEFT('Payroll Accrual'!A449,9)&amp;"4020.300"</f>
        <v>12043123.4020.300</v>
      </c>
      <c r="B449" s="51">
        <f>('Payroll Accrual'!O449)</f>
        <v>57.70017</v>
      </c>
      <c r="C449" s="52"/>
      <c r="D449" s="53"/>
      <c r="H449" s="47" t="s">
        <v>517</v>
      </c>
      <c r="M449" s="56">
        <f>('Payroll Accrual'!M449)</f>
        <v>18970</v>
      </c>
    </row>
    <row r="450" spans="1:13" outlineLevel="1" x14ac:dyDescent="0.2">
      <c r="A450" s="50" t="str">
        <f>LEFT('Payroll Accrual'!A450,9)&amp;"4020.300"</f>
        <v>12048099.4020.300</v>
      </c>
      <c r="B450" s="51">
        <f>('Payroll Accrual'!O450)</f>
        <v>72.346230000000006</v>
      </c>
      <c r="C450" s="52"/>
      <c r="D450" s="53"/>
      <c r="H450" s="47" t="s">
        <v>517</v>
      </c>
      <c r="M450" s="56">
        <f>('Payroll Accrual'!M450)</f>
        <v>18976</v>
      </c>
    </row>
    <row r="451" spans="1:13" outlineLevel="1" x14ac:dyDescent="0.2">
      <c r="A451" s="50" t="str">
        <f>LEFT('Payroll Accrual'!A451,9)&amp;"4020.300"</f>
        <v>12048099.4020.300</v>
      </c>
      <c r="B451" s="51">
        <f>('Payroll Accrual'!O451)</f>
        <v>107.88459</v>
      </c>
      <c r="C451" s="52"/>
      <c r="D451" s="53"/>
      <c r="H451" s="47" t="s">
        <v>517</v>
      </c>
      <c r="M451" s="56">
        <f>('Payroll Accrual'!M451)</f>
        <v>19031</v>
      </c>
    </row>
    <row r="452" spans="1:13" outlineLevel="1" x14ac:dyDescent="0.2">
      <c r="A452" s="50" t="str">
        <f>LEFT('Payroll Accrual'!A452,9)&amp;"4020.300"</f>
        <v>12060400.4020.300</v>
      </c>
      <c r="B452" s="51">
        <f>('Payroll Accrual'!O452)</f>
        <v>83.769180000000006</v>
      </c>
      <c r="C452" s="52"/>
      <c r="D452" s="53"/>
      <c r="H452" s="47" t="s">
        <v>517</v>
      </c>
      <c r="M452" s="56">
        <f>('Payroll Accrual'!M452)</f>
        <v>18442</v>
      </c>
    </row>
    <row r="453" spans="1:13" outlineLevel="1" x14ac:dyDescent="0.2">
      <c r="A453" s="50" t="str">
        <f>LEFT('Payroll Accrual'!A453,9)&amp;"4020.300"</f>
        <v>12060611.4020.300</v>
      </c>
      <c r="B453" s="51">
        <f>('Payroll Accrual'!O453)</f>
        <v>79.185150000000007</v>
      </c>
      <c r="C453" s="52"/>
      <c r="D453" s="53"/>
      <c r="H453" s="47" t="s">
        <v>517</v>
      </c>
      <c r="M453" s="56">
        <f>('Payroll Accrual'!M453)</f>
        <v>18823</v>
      </c>
    </row>
    <row r="454" spans="1:13" outlineLevel="1" x14ac:dyDescent="0.2">
      <c r="A454" s="50" t="str">
        <f>LEFT('Payroll Accrual'!A454,9)&amp;"4020.300"</f>
        <v>12060611.4020.300</v>
      </c>
      <c r="B454" s="51">
        <f>('Payroll Accrual'!O454)</f>
        <v>52.522139999999993</v>
      </c>
      <c r="C454" s="52"/>
      <c r="D454" s="53"/>
      <c r="H454" s="47" t="s">
        <v>517</v>
      </c>
      <c r="M454" s="56">
        <f>('Payroll Accrual'!M454)</f>
        <v>18996</v>
      </c>
    </row>
    <row r="455" spans="1:13" outlineLevel="1" x14ac:dyDescent="0.2">
      <c r="A455" s="50" t="str">
        <f>LEFT('Payroll Accrual'!A455,9)&amp;"4020.300"</f>
        <v>12060611.4020.300</v>
      </c>
      <c r="B455" s="51">
        <f>('Payroll Accrual'!O455)</f>
        <v>19.167390000000001</v>
      </c>
      <c r="C455" s="52"/>
      <c r="D455" s="53"/>
      <c r="H455" s="47" t="s">
        <v>517</v>
      </c>
      <c r="M455" s="56">
        <f>('Payroll Accrual'!M455)</f>
        <v>18927</v>
      </c>
    </row>
    <row r="456" spans="1:13" outlineLevel="1" x14ac:dyDescent="0.2">
      <c r="A456" s="50" t="str">
        <f>LEFT('Payroll Accrual'!A456,9)&amp;"4020.300"</f>
        <v>12060611.4020.300</v>
      </c>
      <c r="B456" s="51">
        <f>('Payroll Accrual'!O456)</f>
        <v>53.316120000000005</v>
      </c>
      <c r="C456" s="52"/>
      <c r="D456" s="53"/>
      <c r="H456" s="47" t="s">
        <v>517</v>
      </c>
      <c r="M456" s="56">
        <f>('Payroll Accrual'!M456)</f>
        <v>18895</v>
      </c>
    </row>
    <row r="457" spans="1:13" outlineLevel="1" x14ac:dyDescent="0.2">
      <c r="A457" s="50" t="str">
        <f>LEFT('Payroll Accrual'!A457,9)&amp;"4020.300"</f>
        <v>12060611.4020.300</v>
      </c>
      <c r="B457" s="51">
        <f>('Payroll Accrual'!O457)</f>
        <v>96.588360000000009</v>
      </c>
      <c r="C457" s="52"/>
      <c r="D457" s="53"/>
      <c r="H457" s="47" t="s">
        <v>517</v>
      </c>
      <c r="M457" s="56">
        <f>('Payroll Accrual'!M457)</f>
        <v>261</v>
      </c>
    </row>
    <row r="458" spans="1:13" outlineLevel="1" x14ac:dyDescent="0.2">
      <c r="A458" s="50" t="str">
        <f>LEFT('Payroll Accrual'!A458,9)&amp;"4020.300"</f>
        <v>12060611.4020.300</v>
      </c>
      <c r="B458" s="51">
        <f>('Payroll Accrual'!O458)</f>
        <v>58.225529999999999</v>
      </c>
      <c r="C458" s="52"/>
      <c r="D458" s="53"/>
      <c r="H458" s="47" t="s">
        <v>517</v>
      </c>
      <c r="M458" s="56">
        <f>('Payroll Accrual'!M458)</f>
        <v>18898</v>
      </c>
    </row>
    <row r="459" spans="1:13" outlineLevel="1" x14ac:dyDescent="0.2">
      <c r="A459" s="50" t="str">
        <f>LEFT('Payroll Accrual'!A459,9)&amp;"4020.300"</f>
        <v>12060611.4020.300</v>
      </c>
      <c r="B459" s="51">
        <f>('Payroll Accrual'!O459)</f>
        <v>42.984810000000003</v>
      </c>
      <c r="C459" s="52"/>
      <c r="D459" s="53"/>
      <c r="H459" s="47" t="s">
        <v>517</v>
      </c>
      <c r="M459" s="56">
        <f>('Payroll Accrual'!M459)</f>
        <v>18634</v>
      </c>
    </row>
    <row r="460" spans="1:13" outlineLevel="1" x14ac:dyDescent="0.2">
      <c r="A460" s="50" t="str">
        <f>LEFT('Payroll Accrual'!A460,9)&amp;"4020.300"</f>
        <v>12060711.4020.300</v>
      </c>
      <c r="B460" s="51">
        <f>('Payroll Accrual'!O460)</f>
        <v>7.9285800000000002</v>
      </c>
      <c r="C460" s="52"/>
      <c r="D460" s="53"/>
      <c r="H460" s="47" t="s">
        <v>517</v>
      </c>
      <c r="M460" s="56">
        <f>('Payroll Accrual'!M460)</f>
        <v>18791</v>
      </c>
    </row>
    <row r="461" spans="1:13" outlineLevel="1" x14ac:dyDescent="0.2">
      <c r="A461" s="50" t="str">
        <f>LEFT('Payroll Accrual'!A461,9)&amp;"4020.300"</f>
        <v>12060800.4020.300</v>
      </c>
      <c r="B461" s="51">
        <f>('Payroll Accrual'!O461)</f>
        <v>41.691540000000003</v>
      </c>
      <c r="C461" s="52"/>
      <c r="D461" s="53"/>
      <c r="H461" s="47" t="s">
        <v>517</v>
      </c>
      <c r="M461" s="56">
        <f>('Payroll Accrual'!M461)</f>
        <v>18953</v>
      </c>
    </row>
    <row r="462" spans="1:13" outlineLevel="1" x14ac:dyDescent="0.2">
      <c r="A462" s="50" t="str">
        <f>LEFT('Payroll Accrual'!A462,9)&amp;"4020.300"</f>
        <v>12060800.4020.300</v>
      </c>
      <c r="B462" s="51">
        <f>('Payroll Accrual'!O462)</f>
        <v>83.012820000000005</v>
      </c>
      <c r="C462" s="52"/>
      <c r="D462" s="53"/>
      <c r="H462" s="47" t="s">
        <v>517</v>
      </c>
      <c r="M462" s="56">
        <f>('Payroll Accrual'!M462)</f>
        <v>18561</v>
      </c>
    </row>
    <row r="463" spans="1:13" outlineLevel="1" x14ac:dyDescent="0.2">
      <c r="A463" s="50" t="str">
        <f>LEFT('Payroll Accrual'!A463,9)&amp;"4020.300"</f>
        <v>12062511.4020.300</v>
      </c>
      <c r="B463" s="51">
        <f>('Payroll Accrual'!O463)</f>
        <v>23.173589999999997</v>
      </c>
      <c r="C463" s="52"/>
      <c r="D463" s="53"/>
      <c r="H463" s="47" t="s">
        <v>517</v>
      </c>
      <c r="M463" s="56">
        <f>('Payroll Accrual'!M463)</f>
        <v>18506</v>
      </c>
    </row>
    <row r="464" spans="1:13" outlineLevel="1" x14ac:dyDescent="0.2">
      <c r="A464" s="50" t="str">
        <f>LEFT('Payroll Accrual'!A464,9)&amp;"4020.300"</f>
        <v>12062511.4020.300</v>
      </c>
      <c r="B464" s="51">
        <f>('Payroll Accrual'!O464)</f>
        <v>18.214019999999998</v>
      </c>
      <c r="C464" s="52"/>
      <c r="D464" s="53"/>
      <c r="H464" s="47" t="s">
        <v>517</v>
      </c>
      <c r="M464" s="56">
        <f>('Payroll Accrual'!M464)</f>
        <v>156</v>
      </c>
    </row>
    <row r="465" spans="1:13" outlineLevel="1" x14ac:dyDescent="0.2">
      <c r="A465" s="102" t="str">
        <f>LEFT('Payroll Accrual'!A465,9)&amp;"4020.300"</f>
        <v>12062511.4020.300</v>
      </c>
      <c r="B465" s="51">
        <f>('Payroll Accrual'!O465)</f>
        <v>57.899160000000002</v>
      </c>
      <c r="C465" s="52"/>
      <c r="D465" s="53"/>
      <c r="H465" s="47" t="s">
        <v>517</v>
      </c>
      <c r="M465" s="56">
        <f>('Payroll Accrual'!M465)</f>
        <v>18792</v>
      </c>
    </row>
    <row r="466" spans="1:13" outlineLevel="1" x14ac:dyDescent="0.2">
      <c r="A466" s="50" t="str">
        <f>LEFT('Payroll Accrual'!A466,9)&amp;"4020.300"</f>
        <v>12063011.4020.300</v>
      </c>
      <c r="B466" s="51">
        <f>('Payroll Accrual'!O466)</f>
        <v>11.915639999999998</v>
      </c>
      <c r="C466" s="52"/>
      <c r="D466" s="53"/>
      <c r="H466" s="47" t="s">
        <v>517</v>
      </c>
      <c r="M466" s="56">
        <f>('Payroll Accrual'!M466)</f>
        <v>19043</v>
      </c>
    </row>
    <row r="467" spans="1:13" outlineLevel="1" x14ac:dyDescent="0.2">
      <c r="A467" s="102" t="str">
        <f>LEFT('Payroll Accrual'!A467,9)&amp;"4020.300"</f>
        <v>12063011.4020.300</v>
      </c>
      <c r="B467" s="51">
        <f>('Payroll Accrual'!O467)</f>
        <v>20.695619999999998</v>
      </c>
      <c r="C467" s="52"/>
      <c r="D467" s="53"/>
      <c r="H467" s="47" t="s">
        <v>517</v>
      </c>
      <c r="M467" s="56">
        <f>('Payroll Accrual'!M467)</f>
        <v>19037</v>
      </c>
    </row>
    <row r="468" spans="1:13" outlineLevel="1" x14ac:dyDescent="0.2">
      <c r="A468" s="50" t="str">
        <f>LEFT('Payroll Accrual'!A468,9)&amp;"4020.300"</f>
        <v>12068099.4020.300</v>
      </c>
      <c r="B468" s="51">
        <f>('Payroll Accrual'!O468)</f>
        <v>95.192459999999997</v>
      </c>
      <c r="C468" s="52"/>
      <c r="D468" s="53"/>
      <c r="H468" s="47" t="s">
        <v>517</v>
      </c>
      <c r="M468" s="56">
        <f>('Payroll Accrual'!M468)</f>
        <v>18876</v>
      </c>
    </row>
    <row r="469" spans="1:13" outlineLevel="1" x14ac:dyDescent="0.2">
      <c r="A469" s="102" t="s">
        <v>459</v>
      </c>
      <c r="B469" s="51"/>
      <c r="C469" s="52">
        <f>SUM(B3:B468)</f>
        <v>13040.376029999999</v>
      </c>
      <c r="D469" s="53"/>
      <c r="H469" s="47" t="s">
        <v>517</v>
      </c>
      <c r="M469" s="56"/>
    </row>
    <row r="470" spans="1:13" outlineLevel="1" x14ac:dyDescent="0.2">
      <c r="A470" s="50"/>
      <c r="B470" s="51"/>
      <c r="C470" s="52"/>
      <c r="D470" s="53"/>
      <c r="M470" s="56"/>
    </row>
    <row r="471" spans="1:13" outlineLevel="1" x14ac:dyDescent="0.2">
      <c r="A471" s="50"/>
      <c r="B471" s="51"/>
      <c r="C471" s="52"/>
      <c r="D471" s="53"/>
      <c r="M471" s="56"/>
    </row>
    <row r="472" spans="1:13" outlineLevel="1" x14ac:dyDescent="0.2">
      <c r="A472" s="50"/>
      <c r="B472" s="51"/>
      <c r="C472" s="52"/>
      <c r="D472" s="53"/>
      <c r="M472" s="56"/>
    </row>
    <row r="473" spans="1:13" outlineLevel="1" x14ac:dyDescent="0.2">
      <c r="A473" s="50"/>
      <c r="B473" s="51"/>
      <c r="C473" s="52"/>
      <c r="D473" s="53"/>
      <c r="M473" s="56"/>
    </row>
    <row r="474" spans="1:13" outlineLevel="1" x14ac:dyDescent="0.2">
      <c r="A474" s="50"/>
      <c r="B474" s="51"/>
      <c r="C474" s="52"/>
      <c r="D474" s="53"/>
      <c r="M474" s="56"/>
    </row>
    <row r="475" spans="1:13" outlineLevel="1" x14ac:dyDescent="0.2">
      <c r="A475" s="50"/>
      <c r="B475" s="51"/>
      <c r="C475" s="52"/>
      <c r="D475" s="53"/>
      <c r="M475" s="56"/>
    </row>
    <row r="476" spans="1:13" outlineLevel="1" x14ac:dyDescent="0.2">
      <c r="A476" s="50"/>
      <c r="B476" s="51"/>
      <c r="C476" s="52"/>
      <c r="D476" s="53"/>
      <c r="M476" s="56"/>
    </row>
    <row r="477" spans="1:13" outlineLevel="1" x14ac:dyDescent="0.2">
      <c r="A477" s="50"/>
      <c r="B477" s="51"/>
      <c r="C477" s="52"/>
      <c r="D477" s="53"/>
      <c r="M477" s="56"/>
    </row>
    <row r="478" spans="1:13" outlineLevel="1" x14ac:dyDescent="0.2">
      <c r="A478" s="50"/>
      <c r="B478" s="51"/>
      <c r="C478" s="52"/>
      <c r="D478" s="53"/>
      <c r="M478" s="56"/>
    </row>
    <row r="479" spans="1:13" x14ac:dyDescent="0.2">
      <c r="A479" s="84"/>
      <c r="B479" s="51"/>
      <c r="C479" s="52"/>
      <c r="M479" s="56"/>
    </row>
    <row r="480" spans="1:13" x14ac:dyDescent="0.2">
      <c r="A480" s="50"/>
      <c r="B480" s="51"/>
      <c r="C480" s="52"/>
      <c r="D480" s="53"/>
      <c r="M480" s="56"/>
    </row>
    <row r="481" spans="1:13" x14ac:dyDescent="0.2">
      <c r="A481" s="50"/>
      <c r="B481" s="51"/>
      <c r="C481" s="52"/>
      <c r="D481" s="53"/>
      <c r="M481" s="56"/>
    </row>
    <row r="482" spans="1:13" x14ac:dyDescent="0.2">
      <c r="A482" s="50"/>
      <c r="B482" s="51"/>
      <c r="C482" s="52"/>
      <c r="D482" s="53"/>
      <c r="M482" s="56"/>
    </row>
    <row r="483" spans="1:13" x14ac:dyDescent="0.2">
      <c r="A483" s="50"/>
      <c r="B483" s="51"/>
      <c r="C483" s="52"/>
      <c r="D483" s="53"/>
      <c r="M483" s="56"/>
    </row>
    <row r="484" spans="1:13" x14ac:dyDescent="0.2">
      <c r="A484" s="50"/>
      <c r="B484" s="51"/>
      <c r="C484" s="52"/>
      <c r="D484" s="53"/>
      <c r="M484" s="56"/>
    </row>
    <row r="1319" spans="1:1" x14ac:dyDescent="0.2">
      <c r="A1319" s="58"/>
    </row>
  </sheetData>
  <autoFilter ref="A2:N484"/>
  <pageMargins left="0.75" right="0.75" top="1" bottom="1" header="0.5" footer="0.5"/>
  <pageSetup paperSize="9" scale="84" fitToHeight="0" orientation="landscape"/>
  <headerFooter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fitToPage="1"/>
  </sheetPr>
  <dimension ref="A1:M1855"/>
  <sheetViews>
    <sheetView topLeftCell="C1" workbookViewId="0">
      <selection activeCell="I8" sqref="I8"/>
    </sheetView>
  </sheetViews>
  <sheetFormatPr defaultColWidth="6.85546875" defaultRowHeight="12.75" x14ac:dyDescent="0.2"/>
  <cols>
    <col min="1" max="1" width="9.85546875" customWidth="1"/>
    <col min="2" max="2" width="38.5703125" customWidth="1"/>
    <col min="3" max="3" width="11.42578125" customWidth="1"/>
    <col min="4" max="4" width="17.42578125" customWidth="1"/>
    <col min="5" max="5" width="6.85546875" customWidth="1"/>
    <col min="6" max="6" width="20.5703125" customWidth="1"/>
    <col min="7" max="7" width="14.42578125" style="39" customWidth="1"/>
    <col min="8" max="8" width="7.5703125" customWidth="1"/>
    <col min="9" max="9" width="9.42578125" customWidth="1"/>
    <col min="10" max="10" width="15.140625" style="40" customWidth="1"/>
    <col min="11" max="11" width="12.5703125" customWidth="1"/>
    <col min="12" max="12" width="29" customWidth="1"/>
    <col min="13" max="13" width="35.5703125" style="41" customWidth="1"/>
    <col min="14" max="14" width="14.5703125" customWidth="1"/>
  </cols>
  <sheetData>
    <row r="1" spans="1:12" x14ac:dyDescent="0.2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3</v>
      </c>
      <c r="G1" s="42" t="s">
        <v>5</v>
      </c>
      <c r="H1" s="42" t="s">
        <v>6</v>
      </c>
      <c r="I1" s="42" t="s">
        <v>7</v>
      </c>
      <c r="J1" s="43"/>
      <c r="K1" s="8"/>
      <c r="L1" s="8" t="s">
        <v>8</v>
      </c>
    </row>
    <row r="2" spans="1:12" x14ac:dyDescent="0.2">
      <c r="A2" s="30">
        <v>18647</v>
      </c>
      <c r="B2" s="30" t="s">
        <v>167</v>
      </c>
      <c r="C2" s="30">
        <v>12010500</v>
      </c>
      <c r="D2" s="30" t="s">
        <v>60</v>
      </c>
      <c r="E2" s="30">
        <v>1</v>
      </c>
      <c r="F2" s="30" t="s">
        <v>11</v>
      </c>
      <c r="G2" s="30">
        <v>4040.1</v>
      </c>
      <c r="H2" s="30">
        <v>416.71</v>
      </c>
      <c r="I2" s="30"/>
      <c r="J2" s="44" t="s">
        <v>12</v>
      </c>
      <c r="L2" t="str">
        <f t="shared" ref="L2:L65" si="0">C2&amp;"."&amp;G2&amp;J2</f>
        <v>12010500.4040.100</v>
      </c>
    </row>
    <row r="3" spans="1:12" x14ac:dyDescent="0.2">
      <c r="A3" s="30">
        <v>18997</v>
      </c>
      <c r="B3" s="30" t="s">
        <v>141</v>
      </c>
      <c r="C3" s="30">
        <v>12013250</v>
      </c>
      <c r="D3" s="30" t="s">
        <v>10</v>
      </c>
      <c r="E3" s="30">
        <v>1</v>
      </c>
      <c r="F3" s="30" t="s">
        <v>11</v>
      </c>
      <c r="G3" s="30">
        <v>4040.1</v>
      </c>
      <c r="H3" s="30">
        <v>974.19</v>
      </c>
      <c r="I3" s="30"/>
      <c r="J3" s="44" t="s">
        <v>12</v>
      </c>
      <c r="L3" t="str">
        <f t="shared" si="0"/>
        <v>12013250.4040.100</v>
      </c>
    </row>
    <row r="4" spans="1:12" x14ac:dyDescent="0.2">
      <c r="A4" s="30">
        <v>18939</v>
      </c>
      <c r="B4" s="30" t="s">
        <v>177</v>
      </c>
      <c r="C4" s="30">
        <v>12018199</v>
      </c>
      <c r="D4" s="30" t="s">
        <v>178</v>
      </c>
      <c r="E4" s="30">
        <v>1</v>
      </c>
      <c r="F4" s="30" t="s">
        <v>11</v>
      </c>
      <c r="G4" s="30">
        <v>4040.1</v>
      </c>
      <c r="H4" s="30">
        <v>178.5</v>
      </c>
      <c r="I4" s="30"/>
      <c r="J4" s="44" t="s">
        <v>12</v>
      </c>
      <c r="L4" t="str">
        <f t="shared" si="0"/>
        <v>12018199.4040.100</v>
      </c>
    </row>
    <row r="5" spans="1:12" x14ac:dyDescent="0.2">
      <c r="A5" s="30">
        <v>18741</v>
      </c>
      <c r="B5" s="30" t="s">
        <v>179</v>
      </c>
      <c r="C5" s="30">
        <v>12019199</v>
      </c>
      <c r="D5" s="30" t="s">
        <v>147</v>
      </c>
      <c r="E5" s="30">
        <v>1</v>
      </c>
      <c r="F5" s="30" t="s">
        <v>11</v>
      </c>
      <c r="G5" s="30">
        <v>4040.1</v>
      </c>
      <c r="H5" s="30">
        <v>1869.23</v>
      </c>
      <c r="I5" s="30"/>
      <c r="J5" s="44" t="s">
        <v>12</v>
      </c>
      <c r="L5" t="str">
        <f t="shared" si="0"/>
        <v>12019199.4040.100</v>
      </c>
    </row>
    <row r="6" spans="1:12" x14ac:dyDescent="0.2">
      <c r="A6" s="30">
        <v>18853</v>
      </c>
      <c r="B6" s="30" t="s">
        <v>146</v>
      </c>
      <c r="C6" s="30">
        <v>12019199</v>
      </c>
      <c r="D6" s="30" t="s">
        <v>147</v>
      </c>
      <c r="E6" s="30">
        <v>1</v>
      </c>
      <c r="F6" s="30" t="s">
        <v>11</v>
      </c>
      <c r="G6" s="30">
        <v>4040.1</v>
      </c>
      <c r="H6" s="30">
        <v>1821.14</v>
      </c>
      <c r="I6" s="30"/>
      <c r="J6" s="44" t="s">
        <v>12</v>
      </c>
      <c r="L6" t="str">
        <f t="shared" si="0"/>
        <v>12019199.4040.100</v>
      </c>
    </row>
    <row r="7" spans="1:12" x14ac:dyDescent="0.2">
      <c r="A7" s="30">
        <v>18550</v>
      </c>
      <c r="B7" s="30" t="s">
        <v>165</v>
      </c>
      <c r="C7" s="30">
        <v>12019199</v>
      </c>
      <c r="D7" s="30" t="s">
        <v>147</v>
      </c>
      <c r="E7" s="30">
        <v>1</v>
      </c>
      <c r="F7" s="30" t="s">
        <v>11</v>
      </c>
      <c r="G7" s="30">
        <v>4040.1</v>
      </c>
      <c r="H7" s="30">
        <v>259.58</v>
      </c>
      <c r="I7" s="30"/>
      <c r="J7" s="44" t="s">
        <v>12</v>
      </c>
      <c r="L7" t="str">
        <f t="shared" si="0"/>
        <v>12019199.4040.100</v>
      </c>
    </row>
    <row r="8" spans="1:12" x14ac:dyDescent="0.2">
      <c r="A8" s="30">
        <v>18903</v>
      </c>
      <c r="B8" s="30" t="s">
        <v>73</v>
      </c>
      <c r="C8" s="30">
        <v>12020611</v>
      </c>
      <c r="D8" s="30" t="s">
        <v>23</v>
      </c>
      <c r="E8" s="30">
        <v>1</v>
      </c>
      <c r="F8" s="30" t="s">
        <v>11</v>
      </c>
      <c r="G8" s="30">
        <v>4040.1</v>
      </c>
      <c r="H8" s="30">
        <v>66.430000000000007</v>
      </c>
      <c r="I8" s="30"/>
      <c r="J8" s="44" t="s">
        <v>12</v>
      </c>
      <c r="L8" t="str">
        <f t="shared" si="0"/>
        <v>12020611.4040.100</v>
      </c>
    </row>
    <row r="9" spans="1:12" x14ac:dyDescent="0.2">
      <c r="A9" s="30">
        <v>18831</v>
      </c>
      <c r="B9" s="30" t="s">
        <v>22</v>
      </c>
      <c r="C9" s="30">
        <v>12020611</v>
      </c>
      <c r="D9" s="30" t="s">
        <v>23</v>
      </c>
      <c r="E9" s="30">
        <v>1</v>
      </c>
      <c r="F9" s="30" t="s">
        <v>11</v>
      </c>
      <c r="G9" s="30">
        <v>4040.1</v>
      </c>
      <c r="H9" s="30">
        <v>64.489999999999995</v>
      </c>
      <c r="I9" s="30"/>
      <c r="J9" s="44" t="s">
        <v>12</v>
      </c>
      <c r="L9" t="str">
        <f t="shared" si="0"/>
        <v>12020611.4040.100</v>
      </c>
    </row>
    <row r="10" spans="1:12" x14ac:dyDescent="0.2">
      <c r="A10" s="30">
        <v>18954</v>
      </c>
      <c r="B10" s="30" t="s">
        <v>183</v>
      </c>
      <c r="C10" s="30">
        <v>12020711</v>
      </c>
      <c r="D10" s="30" t="s">
        <v>25</v>
      </c>
      <c r="E10" s="30">
        <v>1</v>
      </c>
      <c r="F10" s="30" t="s">
        <v>11</v>
      </c>
      <c r="G10" s="30">
        <v>4040.1</v>
      </c>
      <c r="H10" s="30">
        <v>865.38</v>
      </c>
      <c r="I10" s="30"/>
      <c r="J10" s="44" t="s">
        <v>12</v>
      </c>
      <c r="L10" t="str">
        <f t="shared" si="0"/>
        <v>12020711.4040.100</v>
      </c>
    </row>
    <row r="11" spans="1:12" x14ac:dyDescent="0.2">
      <c r="A11" s="30">
        <v>18911</v>
      </c>
      <c r="B11" s="30" t="s">
        <v>28</v>
      </c>
      <c r="C11" s="30">
        <v>12021021</v>
      </c>
      <c r="D11" s="30" t="s">
        <v>29</v>
      </c>
      <c r="E11" s="30">
        <v>1</v>
      </c>
      <c r="F11" s="30" t="s">
        <v>11</v>
      </c>
      <c r="G11" s="30">
        <v>4040.1</v>
      </c>
      <c r="H11" s="30">
        <v>2515.5</v>
      </c>
      <c r="I11" s="30"/>
      <c r="J11" s="44" t="s">
        <v>12</v>
      </c>
      <c r="L11" t="str">
        <f t="shared" si="0"/>
        <v>12021021.4040.100</v>
      </c>
    </row>
    <row r="12" spans="1:12" x14ac:dyDescent="0.2">
      <c r="A12" s="30">
        <v>18659</v>
      </c>
      <c r="B12" s="30" t="s">
        <v>88</v>
      </c>
      <c r="C12" s="30">
        <v>12021021</v>
      </c>
      <c r="D12" s="30" t="s">
        <v>29</v>
      </c>
      <c r="E12" s="30">
        <v>1</v>
      </c>
      <c r="F12" s="30" t="s">
        <v>11</v>
      </c>
      <c r="G12" s="30">
        <v>4040.1</v>
      </c>
      <c r="H12" s="30">
        <v>236.27</v>
      </c>
      <c r="I12" s="30"/>
      <c r="J12" s="44" t="s">
        <v>12</v>
      </c>
      <c r="L12" t="str">
        <f t="shared" si="0"/>
        <v>12021021.4040.100</v>
      </c>
    </row>
    <row r="13" spans="1:12" x14ac:dyDescent="0.2">
      <c r="A13" s="30">
        <v>18974</v>
      </c>
      <c r="B13" s="30" t="s">
        <v>94</v>
      </c>
      <c r="C13" s="30">
        <v>12023011</v>
      </c>
      <c r="D13" s="30" t="s">
        <v>93</v>
      </c>
      <c r="E13" s="30">
        <v>1</v>
      </c>
      <c r="F13" s="30" t="s">
        <v>11</v>
      </c>
      <c r="G13" s="30">
        <v>4040.1</v>
      </c>
      <c r="H13" s="30">
        <v>146.30000000000001</v>
      </c>
      <c r="I13" s="30"/>
      <c r="J13" s="44" t="s">
        <v>12</v>
      </c>
      <c r="L13" t="str">
        <f t="shared" si="0"/>
        <v>12023011.4040.100</v>
      </c>
    </row>
    <row r="14" spans="1:12" x14ac:dyDescent="0.2">
      <c r="A14" s="30">
        <v>44705</v>
      </c>
      <c r="B14" s="30" t="s">
        <v>149</v>
      </c>
      <c r="C14" s="30">
        <v>12028099</v>
      </c>
      <c r="D14" s="30" t="s">
        <v>150</v>
      </c>
      <c r="E14" s="30">
        <v>1</v>
      </c>
      <c r="F14" s="30" t="s">
        <v>11</v>
      </c>
      <c r="G14" s="30">
        <v>4040.1</v>
      </c>
      <c r="H14" s="30">
        <v>538.46</v>
      </c>
      <c r="I14" s="30"/>
      <c r="J14" s="44" t="s">
        <v>12</v>
      </c>
      <c r="L14" t="str">
        <f t="shared" si="0"/>
        <v>12028099.4040.100</v>
      </c>
    </row>
    <row r="15" spans="1:12" x14ac:dyDescent="0.2">
      <c r="A15" s="30">
        <v>18805</v>
      </c>
      <c r="B15" s="30" t="s">
        <v>192</v>
      </c>
      <c r="C15" s="30">
        <v>12030400</v>
      </c>
      <c r="D15" s="30" t="s">
        <v>62</v>
      </c>
      <c r="E15" s="30">
        <v>1</v>
      </c>
      <c r="F15" s="30" t="s">
        <v>11</v>
      </c>
      <c r="G15" s="30">
        <v>4040.1</v>
      </c>
      <c r="H15" s="30">
        <v>230.77</v>
      </c>
      <c r="I15" s="30"/>
      <c r="J15" s="44" t="s">
        <v>12</v>
      </c>
      <c r="L15" t="str">
        <f t="shared" si="0"/>
        <v>12030400.4040.100</v>
      </c>
    </row>
    <row r="16" spans="1:12" x14ac:dyDescent="0.2">
      <c r="A16" s="30">
        <v>18841</v>
      </c>
      <c r="B16" s="30" t="s">
        <v>193</v>
      </c>
      <c r="C16" s="30">
        <v>12030500</v>
      </c>
      <c r="D16" s="30" t="s">
        <v>34</v>
      </c>
      <c r="E16" s="30">
        <v>1</v>
      </c>
      <c r="F16" s="30" t="s">
        <v>11</v>
      </c>
      <c r="G16" s="30">
        <v>4040.1</v>
      </c>
      <c r="H16" s="30">
        <v>215.38</v>
      </c>
      <c r="I16" s="30"/>
      <c r="J16" s="44" t="s">
        <v>12</v>
      </c>
      <c r="L16" t="str">
        <f t="shared" si="0"/>
        <v>12030500.4040.100</v>
      </c>
    </row>
    <row r="17" spans="1:12" x14ac:dyDescent="0.2">
      <c r="A17" s="30">
        <v>18929</v>
      </c>
      <c r="B17" s="30" t="s">
        <v>106</v>
      </c>
      <c r="C17" s="30">
        <v>12030611</v>
      </c>
      <c r="D17" s="30" t="s">
        <v>36</v>
      </c>
      <c r="E17" s="30">
        <v>1</v>
      </c>
      <c r="F17" s="30" t="s">
        <v>11</v>
      </c>
      <c r="G17" s="30">
        <v>4040.1</v>
      </c>
      <c r="H17" s="30">
        <v>196.05</v>
      </c>
      <c r="I17" s="30"/>
      <c r="J17" s="44" t="s">
        <v>12</v>
      </c>
      <c r="L17" t="str">
        <f t="shared" si="0"/>
        <v>12030611.4040.100</v>
      </c>
    </row>
    <row r="18" spans="1:12" x14ac:dyDescent="0.2">
      <c r="A18" s="30">
        <v>18626</v>
      </c>
      <c r="B18" s="30" t="s">
        <v>195</v>
      </c>
      <c r="C18" s="30">
        <v>12030611</v>
      </c>
      <c r="D18" s="30" t="s">
        <v>36</v>
      </c>
      <c r="E18" s="30">
        <v>1</v>
      </c>
      <c r="F18" s="30" t="s">
        <v>11</v>
      </c>
      <c r="G18" s="30">
        <v>4040.1</v>
      </c>
      <c r="H18" s="30">
        <v>2423.08</v>
      </c>
      <c r="I18" s="30"/>
      <c r="J18" s="44" t="s">
        <v>12</v>
      </c>
      <c r="L18" t="str">
        <f t="shared" si="0"/>
        <v>12030611.4040.100</v>
      </c>
    </row>
    <row r="19" spans="1:12" x14ac:dyDescent="0.2">
      <c r="A19" s="30">
        <v>18979</v>
      </c>
      <c r="B19" s="30" t="s">
        <v>39</v>
      </c>
      <c r="C19" s="30">
        <v>12030611</v>
      </c>
      <c r="D19" s="30" t="s">
        <v>36</v>
      </c>
      <c r="E19" s="30">
        <v>1</v>
      </c>
      <c r="F19" s="30" t="s">
        <v>11</v>
      </c>
      <c r="G19" s="30">
        <v>4040.1</v>
      </c>
      <c r="H19" s="30">
        <v>174.78</v>
      </c>
      <c r="I19" s="30"/>
      <c r="J19" s="44" t="s">
        <v>12</v>
      </c>
      <c r="L19" t="str">
        <f t="shared" si="0"/>
        <v>12030611.4040.100</v>
      </c>
    </row>
    <row r="20" spans="1:12" x14ac:dyDescent="0.2">
      <c r="A20" s="30">
        <v>18916</v>
      </c>
      <c r="B20" s="30" t="s">
        <v>42</v>
      </c>
      <c r="C20" s="30">
        <v>12032511</v>
      </c>
      <c r="D20" s="30" t="s">
        <v>43</v>
      </c>
      <c r="E20" s="30">
        <v>1</v>
      </c>
      <c r="F20" s="30" t="s">
        <v>11</v>
      </c>
      <c r="G20" s="30">
        <v>4040.1</v>
      </c>
      <c r="H20" s="30">
        <v>1568.4</v>
      </c>
      <c r="I20" s="30"/>
      <c r="J20" s="44" t="s">
        <v>12</v>
      </c>
      <c r="L20" t="str">
        <f t="shared" si="0"/>
        <v>12032511.4040.100</v>
      </c>
    </row>
    <row r="21" spans="1:12" x14ac:dyDescent="0.2">
      <c r="A21" s="30">
        <v>18983</v>
      </c>
      <c r="B21" s="30" t="s">
        <v>112</v>
      </c>
      <c r="C21" s="30">
        <v>12033011</v>
      </c>
      <c r="D21" s="30" t="s">
        <v>45</v>
      </c>
      <c r="E21" s="30">
        <v>1</v>
      </c>
      <c r="F21" s="30" t="s">
        <v>11</v>
      </c>
      <c r="G21" s="30">
        <v>4040.1</v>
      </c>
      <c r="H21" s="30">
        <v>1624.86</v>
      </c>
      <c r="I21" s="30"/>
      <c r="J21" s="44" t="s">
        <v>12</v>
      </c>
      <c r="L21" t="str">
        <f t="shared" si="0"/>
        <v>12033011.4040.100</v>
      </c>
    </row>
    <row r="22" spans="1:12" x14ac:dyDescent="0.2">
      <c r="A22" s="30">
        <v>18679</v>
      </c>
      <c r="B22" s="30" t="s">
        <v>114</v>
      </c>
      <c r="C22" s="30">
        <v>12033011</v>
      </c>
      <c r="D22" s="30" t="s">
        <v>45</v>
      </c>
      <c r="E22" s="30">
        <v>1</v>
      </c>
      <c r="F22" s="30" t="s">
        <v>11</v>
      </c>
      <c r="G22" s="30">
        <v>4040.1</v>
      </c>
      <c r="H22" s="30">
        <v>1398.24</v>
      </c>
      <c r="I22" s="30"/>
      <c r="J22" s="44" t="s">
        <v>12</v>
      </c>
      <c r="L22" t="str">
        <f t="shared" si="0"/>
        <v>12033011.4040.100</v>
      </c>
    </row>
    <row r="23" spans="1:12" x14ac:dyDescent="0.2">
      <c r="A23" s="30">
        <v>19012</v>
      </c>
      <c r="B23" s="30" t="s">
        <v>110</v>
      </c>
      <c r="C23" s="30">
        <v>12033011</v>
      </c>
      <c r="D23" s="30" t="s">
        <v>45</v>
      </c>
      <c r="E23" s="30">
        <v>1</v>
      </c>
      <c r="F23" s="30" t="s">
        <v>11</v>
      </c>
      <c r="G23" s="30">
        <v>4040.1</v>
      </c>
      <c r="H23" s="30">
        <v>524.34</v>
      </c>
      <c r="I23" s="30"/>
      <c r="J23" s="44" t="s">
        <v>12</v>
      </c>
      <c r="L23" t="str">
        <f t="shared" si="0"/>
        <v>12033011.4040.100</v>
      </c>
    </row>
    <row r="24" spans="1:12" x14ac:dyDescent="0.2">
      <c r="A24" s="30">
        <v>115</v>
      </c>
      <c r="B24" s="30" t="s">
        <v>196</v>
      </c>
      <c r="C24" s="30">
        <v>12040400</v>
      </c>
      <c r="D24" s="30" t="s">
        <v>197</v>
      </c>
      <c r="E24" s="30">
        <v>1</v>
      </c>
      <c r="F24" s="30" t="s">
        <v>11</v>
      </c>
      <c r="G24" s="30">
        <v>4040.1</v>
      </c>
      <c r="H24" s="30">
        <v>1479.81</v>
      </c>
      <c r="I24" s="30"/>
      <c r="J24" s="44" t="s">
        <v>12</v>
      </c>
      <c r="L24" t="str">
        <f t="shared" si="0"/>
        <v>12040400.4040.100</v>
      </c>
    </row>
    <row r="25" spans="1:12" x14ac:dyDescent="0.2">
      <c r="A25" s="30">
        <v>18944</v>
      </c>
      <c r="B25" s="30" t="s">
        <v>199</v>
      </c>
      <c r="C25" s="30">
        <v>12043011</v>
      </c>
      <c r="D25" s="30" t="s">
        <v>52</v>
      </c>
      <c r="E25" s="30">
        <v>1</v>
      </c>
      <c r="F25" s="30" t="s">
        <v>11</v>
      </c>
      <c r="G25" s="30">
        <v>4040.1</v>
      </c>
      <c r="H25" s="30">
        <v>392.1</v>
      </c>
      <c r="I25" s="30"/>
      <c r="J25" s="44" t="s">
        <v>12</v>
      </c>
      <c r="L25" t="str">
        <f t="shared" si="0"/>
        <v>12043011.4040.100</v>
      </c>
    </row>
    <row r="26" spans="1:12" x14ac:dyDescent="0.2">
      <c r="A26" s="30">
        <v>18850</v>
      </c>
      <c r="B26" s="30" t="s">
        <v>123</v>
      </c>
      <c r="C26" s="30">
        <v>12043011</v>
      </c>
      <c r="D26" s="30" t="s">
        <v>52</v>
      </c>
      <c r="E26" s="30">
        <v>1</v>
      </c>
      <c r="F26" s="30" t="s">
        <v>11</v>
      </c>
      <c r="G26" s="30">
        <v>4040.1</v>
      </c>
      <c r="H26" s="30">
        <v>201.96</v>
      </c>
      <c r="I26" s="30"/>
      <c r="J26" s="44" t="s">
        <v>12</v>
      </c>
      <c r="L26" t="str">
        <f t="shared" si="0"/>
        <v>12043011.4040.100</v>
      </c>
    </row>
    <row r="27" spans="1:12" x14ac:dyDescent="0.2">
      <c r="A27" s="30">
        <v>19001</v>
      </c>
      <c r="B27" s="30" t="s">
        <v>155</v>
      </c>
      <c r="C27" s="30">
        <v>12048099</v>
      </c>
      <c r="D27" s="30" t="s">
        <v>156</v>
      </c>
      <c r="E27" s="30">
        <v>1</v>
      </c>
      <c r="F27" s="30" t="s">
        <v>11</v>
      </c>
      <c r="G27" s="30">
        <v>4040.1</v>
      </c>
      <c r="H27" s="30">
        <v>692.31</v>
      </c>
      <c r="I27" s="30"/>
      <c r="J27" s="44" t="s">
        <v>12</v>
      </c>
      <c r="L27" t="str">
        <f t="shared" si="0"/>
        <v>12048099.4040.100</v>
      </c>
    </row>
    <row r="28" spans="1:12" x14ac:dyDescent="0.2">
      <c r="A28" s="30">
        <v>18823</v>
      </c>
      <c r="B28" s="30" t="s">
        <v>53</v>
      </c>
      <c r="C28" s="30">
        <v>12060611</v>
      </c>
      <c r="D28" s="30" t="s">
        <v>54</v>
      </c>
      <c r="E28" s="30">
        <v>1</v>
      </c>
      <c r="F28" s="30" t="s">
        <v>11</v>
      </c>
      <c r="G28" s="30">
        <v>4040.1</v>
      </c>
      <c r="H28" s="30">
        <v>190.44</v>
      </c>
      <c r="I28" s="30"/>
      <c r="J28" s="44" t="s">
        <v>12</v>
      </c>
      <c r="L28" t="str">
        <f t="shared" si="0"/>
        <v>12060611.4040.100</v>
      </c>
    </row>
    <row r="29" spans="1:12" x14ac:dyDescent="0.2">
      <c r="A29" s="30">
        <v>18845</v>
      </c>
      <c r="B29" s="30" t="s">
        <v>138</v>
      </c>
      <c r="C29" s="30">
        <v>112</v>
      </c>
      <c r="D29" s="30" t="s">
        <v>60</v>
      </c>
      <c r="E29" s="30">
        <v>2</v>
      </c>
      <c r="F29" s="30" t="s">
        <v>58</v>
      </c>
      <c r="G29" s="30">
        <v>2180.1999999999998</v>
      </c>
      <c r="H29" s="30">
        <v>1136.56</v>
      </c>
      <c r="I29" s="30"/>
      <c r="J29" s="44" t="s">
        <v>12</v>
      </c>
      <c r="L29" t="str">
        <f t="shared" si="0"/>
        <v>112.2180.200</v>
      </c>
    </row>
    <row r="30" spans="1:12" x14ac:dyDescent="0.2">
      <c r="A30" s="30">
        <v>18614</v>
      </c>
      <c r="B30" s="30" t="s">
        <v>78</v>
      </c>
      <c r="C30" s="30">
        <v>112</v>
      </c>
      <c r="D30" s="30" t="s">
        <v>23</v>
      </c>
      <c r="E30" s="30">
        <v>2</v>
      </c>
      <c r="F30" s="30" t="s">
        <v>58</v>
      </c>
      <c r="G30" s="30">
        <v>2180.1999999999998</v>
      </c>
      <c r="H30" s="30">
        <v>37.96</v>
      </c>
      <c r="I30" s="30"/>
      <c r="J30" s="44" t="s">
        <v>12</v>
      </c>
      <c r="L30" t="str">
        <f t="shared" si="0"/>
        <v>112.2180.200</v>
      </c>
    </row>
    <row r="31" spans="1:12" x14ac:dyDescent="0.2">
      <c r="A31" s="30">
        <v>346</v>
      </c>
      <c r="B31" s="30" t="s">
        <v>30</v>
      </c>
      <c r="C31" s="30">
        <v>112</v>
      </c>
      <c r="D31" s="30" t="s">
        <v>29</v>
      </c>
      <c r="E31" s="30">
        <v>2</v>
      </c>
      <c r="F31" s="30" t="s">
        <v>58</v>
      </c>
      <c r="G31" s="30">
        <v>2180.1999999999998</v>
      </c>
      <c r="H31" s="30">
        <v>352.25</v>
      </c>
      <c r="I31" s="30"/>
      <c r="J31" s="44" t="s">
        <v>12</v>
      </c>
      <c r="L31" t="str">
        <f t="shared" si="0"/>
        <v>112.2180.200</v>
      </c>
    </row>
    <row r="32" spans="1:12" x14ac:dyDescent="0.2">
      <c r="A32" s="30">
        <v>18945</v>
      </c>
      <c r="B32" s="30" t="s">
        <v>151</v>
      </c>
      <c r="C32" s="30">
        <v>112</v>
      </c>
      <c r="D32" s="30" t="s">
        <v>150</v>
      </c>
      <c r="E32" s="30">
        <v>2</v>
      </c>
      <c r="F32" s="30" t="s">
        <v>58</v>
      </c>
      <c r="G32" s="30">
        <v>2180.1999999999998</v>
      </c>
      <c r="H32" s="30">
        <v>628.21</v>
      </c>
      <c r="I32" s="30"/>
      <c r="J32" s="44" t="s">
        <v>12</v>
      </c>
      <c r="L32" t="str">
        <f t="shared" si="0"/>
        <v>112.2180.200</v>
      </c>
    </row>
    <row r="33" spans="1:12" x14ac:dyDescent="0.2">
      <c r="A33" s="30">
        <v>18845</v>
      </c>
      <c r="B33" s="30" t="s">
        <v>138</v>
      </c>
      <c r="C33" s="30">
        <v>112</v>
      </c>
      <c r="D33" s="30" t="s">
        <v>60</v>
      </c>
      <c r="E33" s="30">
        <v>3</v>
      </c>
      <c r="F33" s="30" t="s">
        <v>61</v>
      </c>
      <c r="G33" s="30">
        <v>2180.1</v>
      </c>
      <c r="H33" s="30">
        <v>13612.76</v>
      </c>
      <c r="I33" s="30"/>
      <c r="J33" s="44" t="s">
        <v>12</v>
      </c>
      <c r="L33" t="str">
        <f t="shared" si="0"/>
        <v>112.2180.100</v>
      </c>
    </row>
    <row r="34" spans="1:12" x14ac:dyDescent="0.2">
      <c r="A34" s="30">
        <v>18614</v>
      </c>
      <c r="B34" s="30" t="s">
        <v>78</v>
      </c>
      <c r="C34" s="30">
        <v>112</v>
      </c>
      <c r="D34" s="30" t="s">
        <v>23</v>
      </c>
      <c r="E34" s="30">
        <v>3</v>
      </c>
      <c r="F34" s="30" t="s">
        <v>61</v>
      </c>
      <c r="G34" s="30">
        <v>2180.1</v>
      </c>
      <c r="H34" s="30">
        <v>340.42</v>
      </c>
      <c r="I34" s="30"/>
      <c r="J34" s="44" t="s">
        <v>12</v>
      </c>
      <c r="L34" t="str">
        <f t="shared" si="0"/>
        <v>112.2180.100</v>
      </c>
    </row>
    <row r="35" spans="1:12" x14ac:dyDescent="0.2">
      <c r="A35" s="30">
        <v>346</v>
      </c>
      <c r="B35" s="30" t="s">
        <v>30</v>
      </c>
      <c r="C35" s="30">
        <v>112</v>
      </c>
      <c r="D35" s="30" t="s">
        <v>29</v>
      </c>
      <c r="E35" s="30">
        <v>3</v>
      </c>
      <c r="F35" s="30" t="s">
        <v>61</v>
      </c>
      <c r="G35" s="30">
        <v>2180.1</v>
      </c>
      <c r="H35" s="30">
        <v>4825.41</v>
      </c>
      <c r="I35" s="30"/>
      <c r="J35" s="44" t="s">
        <v>12</v>
      </c>
      <c r="L35" t="str">
        <f t="shared" si="0"/>
        <v>112.2180.100</v>
      </c>
    </row>
    <row r="36" spans="1:12" x14ac:dyDescent="0.2">
      <c r="A36" s="30">
        <v>18945</v>
      </c>
      <c r="B36" s="30" t="s">
        <v>151</v>
      </c>
      <c r="C36" s="30">
        <v>112</v>
      </c>
      <c r="D36" s="30" t="s">
        <v>150</v>
      </c>
      <c r="E36" s="30">
        <v>3</v>
      </c>
      <c r="F36" s="30" t="s">
        <v>61</v>
      </c>
      <c r="G36" s="30">
        <v>2180.1</v>
      </c>
      <c r="H36" s="30">
        <v>2706.21</v>
      </c>
      <c r="I36" s="30"/>
      <c r="J36" s="44" t="s">
        <v>12</v>
      </c>
      <c r="L36" t="str">
        <f t="shared" si="0"/>
        <v>112.2180.100</v>
      </c>
    </row>
    <row r="37" spans="1:12" x14ac:dyDescent="0.2">
      <c r="A37" s="30">
        <v>115</v>
      </c>
      <c r="B37" s="30" t="s">
        <v>196</v>
      </c>
      <c r="C37" s="30">
        <v>12040400</v>
      </c>
      <c r="D37" s="30" t="s">
        <v>197</v>
      </c>
      <c r="E37" s="30">
        <v>4</v>
      </c>
      <c r="F37" s="30" t="s">
        <v>385</v>
      </c>
      <c r="G37" s="30">
        <v>4040.2</v>
      </c>
      <c r="H37" s="30">
        <v>1479.81</v>
      </c>
      <c r="I37" s="30"/>
      <c r="J37" s="44" t="s">
        <v>12</v>
      </c>
      <c r="L37" t="str">
        <f t="shared" si="0"/>
        <v>12040400.4040.200</v>
      </c>
    </row>
    <row r="38" spans="1:12" x14ac:dyDescent="0.2">
      <c r="A38" s="30">
        <v>346</v>
      </c>
      <c r="B38" s="30" t="s">
        <v>30</v>
      </c>
      <c r="C38" s="30">
        <v>112</v>
      </c>
      <c r="D38" s="30" t="s">
        <v>29</v>
      </c>
      <c r="E38" s="30">
        <v>5</v>
      </c>
      <c r="F38" s="30" t="s">
        <v>63</v>
      </c>
      <c r="G38" s="30">
        <v>2180.3000000000002</v>
      </c>
      <c r="H38" s="30">
        <v>11036.49</v>
      </c>
      <c r="I38" s="30"/>
      <c r="J38" s="44" t="s">
        <v>12</v>
      </c>
      <c r="L38" t="str">
        <f t="shared" si="0"/>
        <v>112.2180.300</v>
      </c>
    </row>
    <row r="39" spans="1:12" x14ac:dyDescent="0.2">
      <c r="A39" s="30">
        <v>18994</v>
      </c>
      <c r="B39" s="30" t="s">
        <v>363</v>
      </c>
      <c r="C39" s="30">
        <v>12030611</v>
      </c>
      <c r="D39" s="30" t="s">
        <v>36</v>
      </c>
      <c r="E39" s="30">
        <v>10</v>
      </c>
      <c r="F39" s="30" t="s">
        <v>64</v>
      </c>
      <c r="G39" s="30">
        <v>4010.2</v>
      </c>
      <c r="H39" s="30">
        <v>123.8</v>
      </c>
      <c r="I39" s="30"/>
      <c r="J39" s="44" t="s">
        <v>12</v>
      </c>
      <c r="L39" t="str">
        <f t="shared" si="0"/>
        <v>12030611.4010.200</v>
      </c>
    </row>
    <row r="40" spans="1:12" x14ac:dyDescent="0.2">
      <c r="A40" s="30">
        <v>19030</v>
      </c>
      <c r="B40" s="30" t="s">
        <v>364</v>
      </c>
      <c r="C40" s="30">
        <v>12033011</v>
      </c>
      <c r="D40" s="30" t="s">
        <v>45</v>
      </c>
      <c r="E40" s="30">
        <v>10</v>
      </c>
      <c r="F40" s="30" t="s">
        <v>64</v>
      </c>
      <c r="G40" s="30">
        <v>4010.2</v>
      </c>
      <c r="H40" s="30">
        <v>1334.25</v>
      </c>
      <c r="I40" s="30"/>
      <c r="J40" s="44" t="s">
        <v>12</v>
      </c>
      <c r="L40" t="str">
        <f t="shared" si="0"/>
        <v>12033011.4010.200</v>
      </c>
    </row>
    <row r="41" spans="1:12" x14ac:dyDescent="0.2">
      <c r="A41" s="30">
        <v>18917</v>
      </c>
      <c r="B41" s="30" t="s">
        <v>68</v>
      </c>
      <c r="C41" s="30">
        <v>12043011</v>
      </c>
      <c r="D41" s="30" t="s">
        <v>52</v>
      </c>
      <c r="E41" s="30">
        <v>10</v>
      </c>
      <c r="F41" s="30" t="s">
        <v>64</v>
      </c>
      <c r="G41" s="30">
        <v>4010.2</v>
      </c>
      <c r="H41" s="30">
        <v>384.83</v>
      </c>
      <c r="I41" s="30"/>
      <c r="J41" s="44" t="s">
        <v>12</v>
      </c>
      <c r="L41" t="str">
        <f t="shared" si="0"/>
        <v>12043011.4010.200</v>
      </c>
    </row>
    <row r="42" spans="1:12" x14ac:dyDescent="0.2">
      <c r="A42" s="30">
        <v>19023</v>
      </c>
      <c r="B42" s="30" t="s">
        <v>69</v>
      </c>
      <c r="C42" s="30">
        <v>12043011</v>
      </c>
      <c r="D42" s="30" t="s">
        <v>52</v>
      </c>
      <c r="E42" s="30">
        <v>10</v>
      </c>
      <c r="F42" s="30" t="s">
        <v>64</v>
      </c>
      <c r="G42" s="30">
        <v>4010.2</v>
      </c>
      <c r="H42" s="30">
        <v>704.19</v>
      </c>
      <c r="I42" s="30"/>
      <c r="J42" s="44" t="s">
        <v>12</v>
      </c>
      <c r="L42" t="str">
        <f t="shared" si="0"/>
        <v>12043011.4010.200</v>
      </c>
    </row>
    <row r="43" spans="1:12" x14ac:dyDescent="0.2">
      <c r="A43" s="30">
        <v>18736</v>
      </c>
      <c r="B43" s="30" t="s">
        <v>70</v>
      </c>
      <c r="C43" s="30">
        <v>12013012</v>
      </c>
      <c r="D43" s="30" t="s">
        <v>71</v>
      </c>
      <c r="E43" s="30">
        <v>12</v>
      </c>
      <c r="F43" s="30" t="s">
        <v>72</v>
      </c>
      <c r="G43" s="30">
        <v>4010.3</v>
      </c>
      <c r="H43" s="30">
        <v>67.48</v>
      </c>
      <c r="I43" s="30"/>
      <c r="J43" s="44" t="s">
        <v>12</v>
      </c>
      <c r="L43" t="str">
        <f t="shared" si="0"/>
        <v>12013012.4010.300</v>
      </c>
    </row>
    <row r="44" spans="1:12" x14ac:dyDescent="0.2">
      <c r="A44" s="30">
        <v>18866</v>
      </c>
      <c r="B44" s="30" t="s">
        <v>76</v>
      </c>
      <c r="C44" s="30">
        <v>12020611</v>
      </c>
      <c r="D44" s="30" t="s">
        <v>23</v>
      </c>
      <c r="E44" s="30">
        <v>12</v>
      </c>
      <c r="F44" s="30" t="s">
        <v>72</v>
      </c>
      <c r="G44" s="30">
        <v>4010.3</v>
      </c>
      <c r="H44" s="30">
        <v>61.4</v>
      </c>
      <c r="I44" s="30"/>
      <c r="J44" s="44" t="s">
        <v>12</v>
      </c>
      <c r="L44" t="str">
        <f t="shared" si="0"/>
        <v>12020611.4010.300</v>
      </c>
    </row>
    <row r="45" spans="1:12" x14ac:dyDescent="0.2">
      <c r="A45" s="30">
        <v>18957</v>
      </c>
      <c r="B45" s="30" t="s">
        <v>74</v>
      </c>
      <c r="C45" s="30">
        <v>12020611</v>
      </c>
      <c r="D45" s="30" t="s">
        <v>23</v>
      </c>
      <c r="E45" s="30">
        <v>12</v>
      </c>
      <c r="F45" s="30" t="s">
        <v>72</v>
      </c>
      <c r="G45" s="30">
        <v>4010.3</v>
      </c>
      <c r="H45" s="30">
        <v>75.97</v>
      </c>
      <c r="I45" s="30"/>
      <c r="J45" s="44" t="s">
        <v>12</v>
      </c>
      <c r="L45" t="str">
        <f t="shared" si="0"/>
        <v>12020611.4010.300</v>
      </c>
    </row>
    <row r="46" spans="1:12" x14ac:dyDescent="0.2">
      <c r="A46" s="30">
        <v>18891</v>
      </c>
      <c r="B46" s="30" t="s">
        <v>77</v>
      </c>
      <c r="C46" s="30">
        <v>12020611</v>
      </c>
      <c r="D46" s="30" t="s">
        <v>23</v>
      </c>
      <c r="E46" s="30">
        <v>12</v>
      </c>
      <c r="F46" s="30" t="s">
        <v>72</v>
      </c>
      <c r="G46" s="30">
        <v>4010.3</v>
      </c>
      <c r="H46" s="30">
        <v>45.06</v>
      </c>
      <c r="I46" s="30"/>
      <c r="J46" s="44" t="s">
        <v>12</v>
      </c>
      <c r="L46" t="str">
        <f t="shared" si="0"/>
        <v>12020611.4010.300</v>
      </c>
    </row>
    <row r="47" spans="1:12" x14ac:dyDescent="0.2">
      <c r="A47" s="30">
        <v>18631</v>
      </c>
      <c r="B47" s="30" t="s">
        <v>80</v>
      </c>
      <c r="C47" s="30">
        <v>12020711</v>
      </c>
      <c r="D47" s="30" t="s">
        <v>25</v>
      </c>
      <c r="E47" s="30">
        <v>12</v>
      </c>
      <c r="F47" s="30" t="s">
        <v>72</v>
      </c>
      <c r="G47" s="30">
        <v>4010.3</v>
      </c>
      <c r="H47" s="30">
        <v>403.91</v>
      </c>
      <c r="I47" s="30"/>
      <c r="J47" s="44" t="s">
        <v>12</v>
      </c>
      <c r="L47" t="str">
        <f t="shared" si="0"/>
        <v>12020711.4010.300</v>
      </c>
    </row>
    <row r="48" spans="1:12" x14ac:dyDescent="0.2">
      <c r="A48" s="30">
        <v>18</v>
      </c>
      <c r="B48" s="30" t="s">
        <v>24</v>
      </c>
      <c r="C48" s="30">
        <v>12020711</v>
      </c>
      <c r="D48" s="30" t="s">
        <v>25</v>
      </c>
      <c r="E48" s="30">
        <v>12</v>
      </c>
      <c r="F48" s="30" t="s">
        <v>72</v>
      </c>
      <c r="G48" s="30">
        <v>4010.3</v>
      </c>
      <c r="H48" s="30">
        <v>73.28</v>
      </c>
      <c r="I48" s="30"/>
      <c r="J48" s="44" t="s">
        <v>12</v>
      </c>
      <c r="L48" t="str">
        <f t="shared" si="0"/>
        <v>12020711.4010.300</v>
      </c>
    </row>
    <row r="49" spans="1:12" x14ac:dyDescent="0.2">
      <c r="A49" s="30">
        <v>18879</v>
      </c>
      <c r="B49" s="30" t="s">
        <v>79</v>
      </c>
      <c r="C49" s="30">
        <v>12020711</v>
      </c>
      <c r="D49" s="30" t="s">
        <v>25</v>
      </c>
      <c r="E49" s="30">
        <v>12</v>
      </c>
      <c r="F49" s="30" t="s">
        <v>72</v>
      </c>
      <c r="G49" s="30">
        <v>4010.3</v>
      </c>
      <c r="H49" s="30">
        <v>405.5</v>
      </c>
      <c r="I49" s="30"/>
      <c r="J49" s="44" t="s">
        <v>12</v>
      </c>
      <c r="L49" t="str">
        <f t="shared" si="0"/>
        <v>12020711.4010.300</v>
      </c>
    </row>
    <row r="50" spans="1:12" x14ac:dyDescent="0.2">
      <c r="A50" s="30">
        <v>19000</v>
      </c>
      <c r="B50" s="30" t="s">
        <v>26</v>
      </c>
      <c r="C50" s="30">
        <v>12020800</v>
      </c>
      <c r="D50" s="30" t="s">
        <v>27</v>
      </c>
      <c r="E50" s="30">
        <v>12</v>
      </c>
      <c r="F50" s="30" t="s">
        <v>72</v>
      </c>
      <c r="G50" s="30">
        <v>4010.3</v>
      </c>
      <c r="H50" s="30">
        <v>116.08</v>
      </c>
      <c r="I50" s="30"/>
      <c r="J50" s="44" t="s">
        <v>12</v>
      </c>
      <c r="L50" t="str">
        <f t="shared" si="0"/>
        <v>12020800.4010.300</v>
      </c>
    </row>
    <row r="51" spans="1:12" x14ac:dyDescent="0.2">
      <c r="A51" s="30">
        <v>19013</v>
      </c>
      <c r="B51" s="30" t="s">
        <v>81</v>
      </c>
      <c r="C51" s="30">
        <v>12020800</v>
      </c>
      <c r="D51" s="30" t="s">
        <v>27</v>
      </c>
      <c r="E51" s="30">
        <v>12</v>
      </c>
      <c r="F51" s="30" t="s">
        <v>72</v>
      </c>
      <c r="G51" s="30">
        <v>4010.3</v>
      </c>
      <c r="H51" s="30">
        <v>446.84</v>
      </c>
      <c r="I51" s="30"/>
      <c r="J51" s="44" t="s">
        <v>12</v>
      </c>
      <c r="L51" t="str">
        <f t="shared" si="0"/>
        <v>12020800.4010.300</v>
      </c>
    </row>
    <row r="52" spans="1:12" x14ac:dyDescent="0.2">
      <c r="A52" s="30">
        <v>18687</v>
      </c>
      <c r="B52" s="30" t="s">
        <v>83</v>
      </c>
      <c r="C52" s="30">
        <v>12021021</v>
      </c>
      <c r="D52" s="30" t="s">
        <v>29</v>
      </c>
      <c r="E52" s="30">
        <v>12</v>
      </c>
      <c r="F52" s="30" t="s">
        <v>72</v>
      </c>
      <c r="G52" s="30">
        <v>4010.3</v>
      </c>
      <c r="H52" s="30">
        <v>424.56</v>
      </c>
      <c r="I52" s="30"/>
      <c r="J52" s="44" t="s">
        <v>12</v>
      </c>
      <c r="L52" t="str">
        <f t="shared" si="0"/>
        <v>12021021.4010.300</v>
      </c>
    </row>
    <row r="53" spans="1:12" x14ac:dyDescent="0.2">
      <c r="A53" s="30">
        <v>18960</v>
      </c>
      <c r="B53" s="30" t="s">
        <v>84</v>
      </c>
      <c r="C53" s="30">
        <v>12021021</v>
      </c>
      <c r="D53" s="30" t="s">
        <v>29</v>
      </c>
      <c r="E53" s="30">
        <v>12</v>
      </c>
      <c r="F53" s="30" t="s">
        <v>72</v>
      </c>
      <c r="G53" s="30">
        <v>4010.3</v>
      </c>
      <c r="H53" s="30">
        <v>45.14</v>
      </c>
      <c r="I53" s="30"/>
      <c r="J53" s="44" t="s">
        <v>12</v>
      </c>
      <c r="L53" t="str">
        <f t="shared" si="0"/>
        <v>12021021.4010.300</v>
      </c>
    </row>
    <row r="54" spans="1:12" x14ac:dyDescent="0.2">
      <c r="A54" s="30">
        <v>18781</v>
      </c>
      <c r="B54" s="30" t="s">
        <v>82</v>
      </c>
      <c r="C54" s="30">
        <v>12021021</v>
      </c>
      <c r="D54" s="30" t="s">
        <v>29</v>
      </c>
      <c r="E54" s="30">
        <v>12</v>
      </c>
      <c r="F54" s="30" t="s">
        <v>72</v>
      </c>
      <c r="G54" s="30">
        <v>4010.3</v>
      </c>
      <c r="H54" s="30">
        <v>200.9</v>
      </c>
      <c r="I54" s="30"/>
      <c r="J54" s="44" t="s">
        <v>12</v>
      </c>
      <c r="L54" t="str">
        <f t="shared" si="0"/>
        <v>12021021.4010.300</v>
      </c>
    </row>
    <row r="55" spans="1:12" x14ac:dyDescent="0.2">
      <c r="A55" s="30">
        <v>18733</v>
      </c>
      <c r="B55" s="30" t="s">
        <v>86</v>
      </c>
      <c r="C55" s="30">
        <v>12021021</v>
      </c>
      <c r="D55" s="30" t="s">
        <v>29</v>
      </c>
      <c r="E55" s="30">
        <v>12</v>
      </c>
      <c r="F55" s="30" t="s">
        <v>72</v>
      </c>
      <c r="G55" s="30">
        <v>4010.3</v>
      </c>
      <c r="H55" s="30">
        <v>80.459999999999994</v>
      </c>
      <c r="I55" s="30"/>
      <c r="J55" s="44" t="s">
        <v>12</v>
      </c>
      <c r="L55" t="str">
        <f t="shared" si="0"/>
        <v>12021021.4010.300</v>
      </c>
    </row>
    <row r="56" spans="1:12" x14ac:dyDescent="0.2">
      <c r="A56" s="30">
        <v>18967</v>
      </c>
      <c r="B56" s="30" t="s">
        <v>85</v>
      </c>
      <c r="C56" s="30">
        <v>12021021</v>
      </c>
      <c r="D56" s="30" t="s">
        <v>29</v>
      </c>
      <c r="E56" s="30">
        <v>12</v>
      </c>
      <c r="F56" s="30" t="s">
        <v>72</v>
      </c>
      <c r="G56" s="30">
        <v>4010.3</v>
      </c>
      <c r="H56" s="30">
        <v>512.09</v>
      </c>
      <c r="I56" s="30"/>
      <c r="J56" s="44" t="s">
        <v>12</v>
      </c>
      <c r="L56" t="str">
        <f t="shared" si="0"/>
        <v>12021021.4010.300</v>
      </c>
    </row>
    <row r="57" spans="1:12" x14ac:dyDescent="0.2">
      <c r="A57" s="30">
        <v>18559</v>
      </c>
      <c r="B57" s="30" t="s">
        <v>87</v>
      </c>
      <c r="C57" s="30">
        <v>12021021</v>
      </c>
      <c r="D57" s="30" t="s">
        <v>29</v>
      </c>
      <c r="E57" s="30">
        <v>12</v>
      </c>
      <c r="F57" s="30" t="s">
        <v>72</v>
      </c>
      <c r="G57" s="30">
        <v>4010.3</v>
      </c>
      <c r="H57" s="30">
        <v>1184.27</v>
      </c>
      <c r="I57" s="30"/>
      <c r="J57" s="44" t="s">
        <v>12</v>
      </c>
      <c r="L57" t="str">
        <f t="shared" si="0"/>
        <v>12021021.4010.300</v>
      </c>
    </row>
    <row r="58" spans="1:12" x14ac:dyDescent="0.2">
      <c r="A58" s="30">
        <v>18659</v>
      </c>
      <c r="B58" s="30" t="s">
        <v>88</v>
      </c>
      <c r="C58" s="30">
        <v>12021021</v>
      </c>
      <c r="D58" s="30" t="s">
        <v>29</v>
      </c>
      <c r="E58" s="30">
        <v>12</v>
      </c>
      <c r="F58" s="30" t="s">
        <v>72</v>
      </c>
      <c r="G58" s="30">
        <v>4010.3</v>
      </c>
      <c r="H58" s="30">
        <v>75.39</v>
      </c>
      <c r="I58" s="30"/>
      <c r="J58" s="44" t="s">
        <v>12</v>
      </c>
      <c r="L58" t="str">
        <f t="shared" si="0"/>
        <v>12021021.4010.300</v>
      </c>
    </row>
    <row r="59" spans="1:12" x14ac:dyDescent="0.2">
      <c r="A59" s="30">
        <v>18894</v>
      </c>
      <c r="B59" s="30" t="s">
        <v>89</v>
      </c>
      <c r="C59" s="30">
        <v>12021021</v>
      </c>
      <c r="D59" s="30" t="s">
        <v>29</v>
      </c>
      <c r="E59" s="30">
        <v>12</v>
      </c>
      <c r="F59" s="30" t="s">
        <v>72</v>
      </c>
      <c r="G59" s="30">
        <v>4010.3</v>
      </c>
      <c r="H59" s="30">
        <v>348.99</v>
      </c>
      <c r="I59" s="30"/>
      <c r="J59" s="44" t="s">
        <v>12</v>
      </c>
      <c r="L59" t="str">
        <f t="shared" si="0"/>
        <v>12021021.4010.300</v>
      </c>
    </row>
    <row r="60" spans="1:12" x14ac:dyDescent="0.2">
      <c r="A60" s="30">
        <v>141</v>
      </c>
      <c r="B60" s="30" t="s">
        <v>185</v>
      </c>
      <c r="C60" s="30">
        <v>12022511</v>
      </c>
      <c r="D60" s="30" t="s">
        <v>32</v>
      </c>
      <c r="E60" s="30">
        <v>12</v>
      </c>
      <c r="F60" s="30" t="s">
        <v>72</v>
      </c>
      <c r="G60" s="30">
        <v>4010.3</v>
      </c>
      <c r="H60" s="30">
        <v>53.45</v>
      </c>
      <c r="I60" s="30"/>
      <c r="J60" s="44" t="s">
        <v>12</v>
      </c>
      <c r="L60" t="str">
        <f t="shared" si="0"/>
        <v>12022511.4010.300</v>
      </c>
    </row>
    <row r="61" spans="1:12" x14ac:dyDescent="0.2">
      <c r="A61" s="30">
        <v>18961</v>
      </c>
      <c r="B61" s="30" t="s">
        <v>90</v>
      </c>
      <c r="C61" s="30">
        <v>12022511</v>
      </c>
      <c r="D61" s="30" t="s">
        <v>32</v>
      </c>
      <c r="E61" s="30">
        <v>12</v>
      </c>
      <c r="F61" s="30" t="s">
        <v>72</v>
      </c>
      <c r="G61" s="30">
        <v>4010.3</v>
      </c>
      <c r="H61" s="30">
        <v>232.16</v>
      </c>
      <c r="I61" s="30"/>
      <c r="J61" s="44" t="s">
        <v>12</v>
      </c>
      <c r="L61" t="str">
        <f t="shared" si="0"/>
        <v>12022511.4010.300</v>
      </c>
    </row>
    <row r="62" spans="1:12" x14ac:dyDescent="0.2">
      <c r="A62" s="30">
        <v>11229</v>
      </c>
      <c r="B62" s="30" t="s">
        <v>31</v>
      </c>
      <c r="C62" s="30">
        <v>12022511</v>
      </c>
      <c r="D62" s="30" t="s">
        <v>32</v>
      </c>
      <c r="E62" s="30">
        <v>12</v>
      </c>
      <c r="F62" s="30" t="s">
        <v>72</v>
      </c>
      <c r="G62" s="30">
        <v>4010.3</v>
      </c>
      <c r="H62" s="30">
        <v>124.71</v>
      </c>
      <c r="I62" s="30"/>
      <c r="J62" s="44" t="s">
        <v>12</v>
      </c>
      <c r="L62" t="str">
        <f t="shared" si="0"/>
        <v>12022511.4010.300</v>
      </c>
    </row>
    <row r="63" spans="1:12" x14ac:dyDescent="0.2">
      <c r="A63" s="30">
        <v>18999</v>
      </c>
      <c r="B63" s="30" t="s">
        <v>92</v>
      </c>
      <c r="C63" s="30">
        <v>12023011</v>
      </c>
      <c r="D63" s="30" t="s">
        <v>93</v>
      </c>
      <c r="E63" s="30">
        <v>12</v>
      </c>
      <c r="F63" s="30" t="s">
        <v>72</v>
      </c>
      <c r="G63" s="30">
        <v>4010.3</v>
      </c>
      <c r="H63" s="30">
        <v>99.65</v>
      </c>
      <c r="I63" s="30"/>
      <c r="J63" s="44" t="s">
        <v>12</v>
      </c>
      <c r="L63" t="str">
        <f t="shared" si="0"/>
        <v>12023011.4010.300</v>
      </c>
    </row>
    <row r="64" spans="1:12" x14ac:dyDescent="0.2">
      <c r="A64" s="30">
        <v>19006</v>
      </c>
      <c r="B64" s="30" t="s">
        <v>95</v>
      </c>
      <c r="C64" s="30">
        <v>12023011</v>
      </c>
      <c r="D64" s="30" t="s">
        <v>93</v>
      </c>
      <c r="E64" s="30">
        <v>12</v>
      </c>
      <c r="F64" s="30" t="s">
        <v>72</v>
      </c>
      <c r="G64" s="30">
        <v>4010.3</v>
      </c>
      <c r="H64" s="30">
        <v>212.81</v>
      </c>
      <c r="I64" s="30"/>
      <c r="J64" s="44" t="s">
        <v>12</v>
      </c>
      <c r="L64" t="str">
        <f t="shared" si="0"/>
        <v>12023011.4010.300</v>
      </c>
    </row>
    <row r="65" spans="1:12" x14ac:dyDescent="0.2">
      <c r="A65" s="30">
        <v>19016</v>
      </c>
      <c r="B65" s="30" t="s">
        <v>96</v>
      </c>
      <c r="C65" s="30">
        <v>12023011</v>
      </c>
      <c r="D65" s="30" t="s">
        <v>93</v>
      </c>
      <c r="E65" s="30">
        <v>12</v>
      </c>
      <c r="F65" s="30" t="s">
        <v>72</v>
      </c>
      <c r="G65" s="30">
        <v>4010.3</v>
      </c>
      <c r="H65" s="30">
        <v>58.04</v>
      </c>
      <c r="I65" s="30"/>
      <c r="J65" s="44" t="s">
        <v>12</v>
      </c>
      <c r="L65" t="str">
        <f t="shared" si="0"/>
        <v>12023011.4010.300</v>
      </c>
    </row>
    <row r="66" spans="1:12" x14ac:dyDescent="0.2">
      <c r="A66" s="30">
        <v>19032</v>
      </c>
      <c r="B66" s="30" t="s">
        <v>386</v>
      </c>
      <c r="C66" s="30">
        <v>12023011</v>
      </c>
      <c r="D66" s="30" t="s">
        <v>93</v>
      </c>
      <c r="E66" s="30">
        <v>12</v>
      </c>
      <c r="F66" s="30" t="s">
        <v>72</v>
      </c>
      <c r="G66" s="30">
        <v>4010.3</v>
      </c>
      <c r="H66" s="30">
        <v>353.4</v>
      </c>
      <c r="I66" s="30"/>
      <c r="J66" s="44" t="s">
        <v>12</v>
      </c>
      <c r="L66" t="str">
        <f t="shared" ref="L66:L129" si="1">C66&amp;"."&amp;G66&amp;J66</f>
        <v>12023011.4010.300</v>
      </c>
    </row>
    <row r="67" spans="1:12" x14ac:dyDescent="0.2">
      <c r="A67" s="30">
        <v>19027</v>
      </c>
      <c r="B67" s="30" t="s">
        <v>365</v>
      </c>
      <c r="C67" s="30">
        <v>12023021</v>
      </c>
      <c r="D67" s="30" t="s">
        <v>98</v>
      </c>
      <c r="E67" s="30">
        <v>12</v>
      </c>
      <c r="F67" s="30" t="s">
        <v>72</v>
      </c>
      <c r="G67" s="30">
        <v>4010.3</v>
      </c>
      <c r="H67" s="30">
        <v>161.65</v>
      </c>
      <c r="I67" s="30"/>
      <c r="J67" s="44" t="s">
        <v>12</v>
      </c>
      <c r="L67" t="str">
        <f t="shared" si="1"/>
        <v>12023021.4010.300</v>
      </c>
    </row>
    <row r="68" spans="1:12" x14ac:dyDescent="0.2">
      <c r="A68" s="30">
        <v>18980</v>
      </c>
      <c r="B68" s="30" t="s">
        <v>97</v>
      </c>
      <c r="C68" s="30">
        <v>12023021</v>
      </c>
      <c r="D68" s="30" t="s">
        <v>98</v>
      </c>
      <c r="E68" s="30">
        <v>12</v>
      </c>
      <c r="F68" s="30" t="s">
        <v>72</v>
      </c>
      <c r="G68" s="30">
        <v>4010.3</v>
      </c>
      <c r="H68" s="30">
        <v>87.71</v>
      </c>
      <c r="I68" s="30"/>
      <c r="J68" s="44" t="s">
        <v>12</v>
      </c>
      <c r="L68" t="str">
        <f t="shared" si="1"/>
        <v>12023021.4010.300</v>
      </c>
    </row>
    <row r="69" spans="1:12" x14ac:dyDescent="0.2">
      <c r="A69" s="30">
        <v>19021</v>
      </c>
      <c r="B69" s="30" t="s">
        <v>99</v>
      </c>
      <c r="C69" s="30">
        <v>12023021</v>
      </c>
      <c r="D69" s="30" t="s">
        <v>98</v>
      </c>
      <c r="E69" s="30">
        <v>12</v>
      </c>
      <c r="F69" s="30" t="s">
        <v>72</v>
      </c>
      <c r="G69" s="30">
        <v>4010.3</v>
      </c>
      <c r="H69" s="30">
        <v>350.21</v>
      </c>
      <c r="I69" s="30"/>
      <c r="J69" s="44" t="s">
        <v>12</v>
      </c>
      <c r="L69" t="str">
        <f t="shared" si="1"/>
        <v>12023021.4010.300</v>
      </c>
    </row>
    <row r="70" spans="1:12" x14ac:dyDescent="0.2">
      <c r="A70" s="30">
        <v>18979</v>
      </c>
      <c r="B70" s="30" t="s">
        <v>39</v>
      </c>
      <c r="C70" s="30">
        <v>12030611</v>
      </c>
      <c r="D70" s="30" t="s">
        <v>36</v>
      </c>
      <c r="E70" s="30">
        <v>12</v>
      </c>
      <c r="F70" s="30" t="s">
        <v>72</v>
      </c>
      <c r="G70" s="30">
        <v>4010.3</v>
      </c>
      <c r="H70" s="30">
        <v>101.76</v>
      </c>
      <c r="I70" s="30"/>
      <c r="J70" s="44" t="s">
        <v>12</v>
      </c>
      <c r="L70" t="str">
        <f t="shared" si="1"/>
        <v>12030611.4010.300</v>
      </c>
    </row>
    <row r="71" spans="1:12" x14ac:dyDescent="0.2">
      <c r="A71" s="30">
        <v>18918</v>
      </c>
      <c r="B71" s="30" t="s">
        <v>38</v>
      </c>
      <c r="C71" s="30">
        <v>12030611</v>
      </c>
      <c r="D71" s="30" t="s">
        <v>36</v>
      </c>
      <c r="E71" s="30">
        <v>12</v>
      </c>
      <c r="F71" s="30" t="s">
        <v>72</v>
      </c>
      <c r="G71" s="30">
        <v>4010.3</v>
      </c>
      <c r="H71" s="30">
        <v>370.38</v>
      </c>
      <c r="I71" s="30"/>
      <c r="J71" s="44" t="s">
        <v>12</v>
      </c>
      <c r="L71" t="str">
        <f t="shared" si="1"/>
        <v>12030611.4010.300</v>
      </c>
    </row>
    <row r="72" spans="1:12" x14ac:dyDescent="0.2">
      <c r="A72" s="30">
        <v>18901</v>
      </c>
      <c r="B72" s="30" t="s">
        <v>37</v>
      </c>
      <c r="C72" s="30">
        <v>12030611</v>
      </c>
      <c r="D72" s="30" t="s">
        <v>36</v>
      </c>
      <c r="E72" s="30">
        <v>12</v>
      </c>
      <c r="F72" s="30" t="s">
        <v>72</v>
      </c>
      <c r="G72" s="30">
        <v>4010.3</v>
      </c>
      <c r="H72" s="30">
        <v>682.32</v>
      </c>
      <c r="I72" s="30"/>
      <c r="J72" s="44" t="s">
        <v>12</v>
      </c>
      <c r="L72" t="str">
        <f t="shared" si="1"/>
        <v>12030611.4010.300</v>
      </c>
    </row>
    <row r="73" spans="1:12" x14ac:dyDescent="0.2">
      <c r="A73" s="30">
        <v>18887</v>
      </c>
      <c r="B73" s="30" t="s">
        <v>105</v>
      </c>
      <c r="C73" s="30">
        <v>12030611</v>
      </c>
      <c r="D73" s="30" t="s">
        <v>36</v>
      </c>
      <c r="E73" s="30">
        <v>12</v>
      </c>
      <c r="F73" s="30" t="s">
        <v>72</v>
      </c>
      <c r="G73" s="30">
        <v>4010.3</v>
      </c>
      <c r="H73" s="30">
        <v>255.37</v>
      </c>
      <c r="I73" s="30"/>
      <c r="J73" s="44" t="s">
        <v>12</v>
      </c>
      <c r="L73" t="str">
        <f t="shared" si="1"/>
        <v>12030611.4010.300</v>
      </c>
    </row>
    <row r="74" spans="1:12" x14ac:dyDescent="0.2">
      <c r="A74" s="30">
        <v>18949</v>
      </c>
      <c r="B74" s="30" t="s">
        <v>35</v>
      </c>
      <c r="C74" s="30">
        <v>12030611</v>
      </c>
      <c r="D74" s="30" t="s">
        <v>36</v>
      </c>
      <c r="E74" s="30">
        <v>12</v>
      </c>
      <c r="F74" s="30" t="s">
        <v>72</v>
      </c>
      <c r="G74" s="30">
        <v>4010.3</v>
      </c>
      <c r="H74" s="30">
        <v>655.44</v>
      </c>
      <c r="I74" s="30"/>
      <c r="J74" s="44" t="s">
        <v>12</v>
      </c>
      <c r="L74" t="str">
        <f t="shared" si="1"/>
        <v>12030611.4010.300</v>
      </c>
    </row>
    <row r="75" spans="1:12" x14ac:dyDescent="0.2">
      <c r="A75" s="30">
        <v>134</v>
      </c>
      <c r="B75" s="30" t="s">
        <v>102</v>
      </c>
      <c r="C75" s="30">
        <v>12030611</v>
      </c>
      <c r="D75" s="30" t="s">
        <v>36</v>
      </c>
      <c r="E75" s="30">
        <v>12</v>
      </c>
      <c r="F75" s="30" t="s">
        <v>72</v>
      </c>
      <c r="G75" s="30">
        <v>4010.3</v>
      </c>
      <c r="H75" s="30">
        <v>501.43</v>
      </c>
      <c r="I75" s="30"/>
      <c r="J75" s="44" t="s">
        <v>12</v>
      </c>
      <c r="L75" t="str">
        <f t="shared" si="1"/>
        <v>12030611.4010.300</v>
      </c>
    </row>
    <row r="76" spans="1:12" x14ac:dyDescent="0.2">
      <c r="A76" s="30">
        <v>18822</v>
      </c>
      <c r="B76" s="30" t="s">
        <v>103</v>
      </c>
      <c r="C76" s="30">
        <v>12030611</v>
      </c>
      <c r="D76" s="30" t="s">
        <v>36</v>
      </c>
      <c r="E76" s="30">
        <v>12</v>
      </c>
      <c r="F76" s="30" t="s">
        <v>72</v>
      </c>
      <c r="G76" s="30">
        <v>4010.3</v>
      </c>
      <c r="H76" s="30">
        <v>116.09</v>
      </c>
      <c r="I76" s="30"/>
      <c r="J76" s="44" t="s">
        <v>12</v>
      </c>
      <c r="L76" t="str">
        <f t="shared" si="1"/>
        <v>12030611.4010.300</v>
      </c>
    </row>
    <row r="77" spans="1:12" x14ac:dyDescent="0.2">
      <c r="A77" s="30">
        <v>18994</v>
      </c>
      <c r="B77" s="30" t="s">
        <v>363</v>
      </c>
      <c r="C77" s="30">
        <v>12030611</v>
      </c>
      <c r="D77" s="30" t="s">
        <v>36</v>
      </c>
      <c r="E77" s="30">
        <v>12</v>
      </c>
      <c r="F77" s="30" t="s">
        <v>72</v>
      </c>
      <c r="G77" s="30">
        <v>4010.3</v>
      </c>
      <c r="H77" s="30">
        <v>341.13</v>
      </c>
      <c r="I77" s="30"/>
      <c r="J77" s="44" t="s">
        <v>12</v>
      </c>
      <c r="L77" t="str">
        <f t="shared" si="1"/>
        <v>12030611.4010.300</v>
      </c>
    </row>
    <row r="78" spans="1:12" x14ac:dyDescent="0.2">
      <c r="A78" s="30">
        <v>18827</v>
      </c>
      <c r="B78" s="30" t="s">
        <v>104</v>
      </c>
      <c r="C78" s="30">
        <v>12030611</v>
      </c>
      <c r="D78" s="30" t="s">
        <v>36</v>
      </c>
      <c r="E78" s="30">
        <v>12</v>
      </c>
      <c r="F78" s="30" t="s">
        <v>72</v>
      </c>
      <c r="G78" s="30">
        <v>4010.3</v>
      </c>
      <c r="H78" s="30">
        <v>225.71</v>
      </c>
      <c r="I78" s="30"/>
      <c r="J78" s="44" t="s">
        <v>12</v>
      </c>
      <c r="L78" t="str">
        <f t="shared" si="1"/>
        <v>12030611.4010.300</v>
      </c>
    </row>
    <row r="79" spans="1:12" x14ac:dyDescent="0.2">
      <c r="A79" s="30">
        <v>18797</v>
      </c>
      <c r="B79" s="30" t="s">
        <v>101</v>
      </c>
      <c r="C79" s="30">
        <v>12030611</v>
      </c>
      <c r="D79" s="30" t="s">
        <v>36</v>
      </c>
      <c r="E79" s="30">
        <v>12</v>
      </c>
      <c r="F79" s="30" t="s">
        <v>72</v>
      </c>
      <c r="G79" s="30">
        <v>4010.3</v>
      </c>
      <c r="H79" s="30">
        <v>137.36000000000001</v>
      </c>
      <c r="I79" s="30"/>
      <c r="J79" s="44" t="s">
        <v>12</v>
      </c>
      <c r="L79" t="str">
        <f t="shared" si="1"/>
        <v>12030611.4010.300</v>
      </c>
    </row>
    <row r="80" spans="1:12" x14ac:dyDescent="0.2">
      <c r="A80" s="30">
        <v>18692</v>
      </c>
      <c r="B80" s="30" t="s">
        <v>40</v>
      </c>
      <c r="C80" s="30">
        <v>12030711</v>
      </c>
      <c r="D80" s="30" t="s">
        <v>41</v>
      </c>
      <c r="E80" s="30">
        <v>12</v>
      </c>
      <c r="F80" s="30" t="s">
        <v>72</v>
      </c>
      <c r="G80" s="30">
        <v>4010.3</v>
      </c>
      <c r="H80" s="30">
        <v>153.33000000000001</v>
      </c>
      <c r="I80" s="30"/>
      <c r="J80" s="44" t="s">
        <v>12</v>
      </c>
      <c r="L80" t="str">
        <f t="shared" si="1"/>
        <v>12030711.4010.300</v>
      </c>
    </row>
    <row r="81" spans="1:12" x14ac:dyDescent="0.2">
      <c r="A81" s="30">
        <v>18989</v>
      </c>
      <c r="B81" s="30" t="s">
        <v>107</v>
      </c>
      <c r="C81" s="30">
        <v>12030800</v>
      </c>
      <c r="D81" s="30" t="s">
        <v>59</v>
      </c>
      <c r="E81" s="30">
        <v>12</v>
      </c>
      <c r="F81" s="30" t="s">
        <v>72</v>
      </c>
      <c r="G81" s="30">
        <v>4010.3</v>
      </c>
      <c r="H81" s="30">
        <v>235.18</v>
      </c>
      <c r="I81" s="30"/>
      <c r="J81" s="44" t="s">
        <v>12</v>
      </c>
      <c r="L81" t="str">
        <f t="shared" si="1"/>
        <v>12030800.4010.300</v>
      </c>
    </row>
    <row r="82" spans="1:12" x14ac:dyDescent="0.2">
      <c r="A82" s="30">
        <v>18736</v>
      </c>
      <c r="B82" s="30" t="s">
        <v>70</v>
      </c>
      <c r="C82" s="30">
        <v>12032511</v>
      </c>
      <c r="D82" s="30" t="s">
        <v>43</v>
      </c>
      <c r="E82" s="30">
        <v>12</v>
      </c>
      <c r="F82" s="30" t="s">
        <v>72</v>
      </c>
      <c r="G82" s="30">
        <v>4010.3</v>
      </c>
      <c r="H82" s="30">
        <v>202.44</v>
      </c>
      <c r="I82" s="30"/>
      <c r="J82" s="44" t="s">
        <v>12</v>
      </c>
      <c r="L82" t="str">
        <f t="shared" si="1"/>
        <v>12032511.4010.300</v>
      </c>
    </row>
    <row r="83" spans="1:12" x14ac:dyDescent="0.2">
      <c r="A83" s="30">
        <v>19019</v>
      </c>
      <c r="B83" s="30" t="s">
        <v>108</v>
      </c>
      <c r="C83" s="30">
        <v>12033011</v>
      </c>
      <c r="D83" s="30" t="s">
        <v>45</v>
      </c>
      <c r="E83" s="30">
        <v>12</v>
      </c>
      <c r="F83" s="30" t="s">
        <v>72</v>
      </c>
      <c r="G83" s="30">
        <v>4010.3</v>
      </c>
      <c r="H83" s="30">
        <v>587.54</v>
      </c>
      <c r="I83" s="30"/>
      <c r="J83" s="44" t="s">
        <v>12</v>
      </c>
      <c r="L83" t="str">
        <f t="shared" si="1"/>
        <v>12033011.4010.300</v>
      </c>
    </row>
    <row r="84" spans="1:12" x14ac:dyDescent="0.2">
      <c r="A84" s="30">
        <v>19028</v>
      </c>
      <c r="B84" s="30" t="s">
        <v>367</v>
      </c>
      <c r="C84" s="30">
        <v>12033011</v>
      </c>
      <c r="D84" s="30" t="s">
        <v>45</v>
      </c>
      <c r="E84" s="30">
        <v>12</v>
      </c>
      <c r="F84" s="30" t="s">
        <v>72</v>
      </c>
      <c r="G84" s="30">
        <v>4010.3</v>
      </c>
      <c r="H84" s="30">
        <v>640.80999999999995</v>
      </c>
      <c r="I84" s="30"/>
      <c r="J84" s="44" t="s">
        <v>12</v>
      </c>
      <c r="L84" t="str">
        <f t="shared" si="1"/>
        <v>12033011.4010.300</v>
      </c>
    </row>
    <row r="85" spans="1:12" x14ac:dyDescent="0.2">
      <c r="A85" s="30">
        <v>19017</v>
      </c>
      <c r="B85" s="30" t="s">
        <v>65</v>
      </c>
      <c r="C85" s="30">
        <v>12033011</v>
      </c>
      <c r="D85" s="30" t="s">
        <v>45</v>
      </c>
      <c r="E85" s="30">
        <v>12</v>
      </c>
      <c r="F85" s="30" t="s">
        <v>72</v>
      </c>
      <c r="G85" s="30">
        <v>4010.3</v>
      </c>
      <c r="H85" s="30">
        <v>7.65</v>
      </c>
      <c r="I85" s="30"/>
      <c r="J85" s="44" t="s">
        <v>12</v>
      </c>
      <c r="L85" t="str">
        <f t="shared" si="1"/>
        <v>12033011.4010.300</v>
      </c>
    </row>
    <row r="86" spans="1:12" x14ac:dyDescent="0.2">
      <c r="A86" s="30">
        <v>18607</v>
      </c>
      <c r="B86" s="30" t="s">
        <v>109</v>
      </c>
      <c r="C86" s="30">
        <v>12033011</v>
      </c>
      <c r="D86" s="30" t="s">
        <v>45</v>
      </c>
      <c r="E86" s="30">
        <v>12</v>
      </c>
      <c r="F86" s="30" t="s">
        <v>72</v>
      </c>
      <c r="G86" s="30">
        <v>4010.3</v>
      </c>
      <c r="H86" s="30">
        <v>158</v>
      </c>
      <c r="I86" s="30"/>
      <c r="J86" s="44" t="s">
        <v>12</v>
      </c>
      <c r="L86" t="str">
        <f t="shared" si="1"/>
        <v>12033011.4010.300</v>
      </c>
    </row>
    <row r="87" spans="1:12" x14ac:dyDescent="0.2">
      <c r="A87" s="30">
        <v>19011</v>
      </c>
      <c r="B87" s="30" t="s">
        <v>111</v>
      </c>
      <c r="C87" s="30">
        <v>12033011</v>
      </c>
      <c r="D87" s="30" t="s">
        <v>45</v>
      </c>
      <c r="E87" s="30">
        <v>12</v>
      </c>
      <c r="F87" s="30" t="s">
        <v>72</v>
      </c>
      <c r="G87" s="30">
        <v>4010.3</v>
      </c>
      <c r="H87" s="30">
        <v>329.61</v>
      </c>
      <c r="I87" s="30"/>
      <c r="J87" s="44" t="s">
        <v>12</v>
      </c>
      <c r="L87" t="str">
        <f t="shared" si="1"/>
        <v>12033011.4010.300</v>
      </c>
    </row>
    <row r="88" spans="1:12" x14ac:dyDescent="0.2">
      <c r="A88" s="30">
        <v>19012</v>
      </c>
      <c r="B88" s="30" t="s">
        <v>110</v>
      </c>
      <c r="C88" s="30">
        <v>12033011</v>
      </c>
      <c r="D88" s="30" t="s">
        <v>45</v>
      </c>
      <c r="E88" s="30">
        <v>12</v>
      </c>
      <c r="F88" s="30" t="s">
        <v>72</v>
      </c>
      <c r="G88" s="30">
        <v>4010.3</v>
      </c>
      <c r="H88" s="30">
        <v>165.97</v>
      </c>
      <c r="I88" s="30"/>
      <c r="J88" s="44" t="s">
        <v>12</v>
      </c>
      <c r="L88" t="str">
        <f t="shared" si="1"/>
        <v>12033011.4010.300</v>
      </c>
    </row>
    <row r="89" spans="1:12" x14ac:dyDescent="0.2">
      <c r="A89" s="30">
        <v>18829</v>
      </c>
      <c r="B89" s="30" t="s">
        <v>115</v>
      </c>
      <c r="C89" s="30">
        <v>12033011</v>
      </c>
      <c r="D89" s="30" t="s">
        <v>45</v>
      </c>
      <c r="E89" s="30">
        <v>12</v>
      </c>
      <c r="F89" s="30" t="s">
        <v>72</v>
      </c>
      <c r="G89" s="30">
        <v>4010.3</v>
      </c>
      <c r="H89" s="30">
        <v>484.73</v>
      </c>
      <c r="I89" s="30"/>
      <c r="J89" s="44" t="s">
        <v>12</v>
      </c>
      <c r="L89" t="str">
        <f t="shared" si="1"/>
        <v>12033011.4010.300</v>
      </c>
    </row>
    <row r="90" spans="1:12" x14ac:dyDescent="0.2">
      <c r="A90" s="30">
        <v>18932</v>
      </c>
      <c r="B90" s="30" t="s">
        <v>44</v>
      </c>
      <c r="C90" s="30">
        <v>12033011</v>
      </c>
      <c r="D90" s="30" t="s">
        <v>45</v>
      </c>
      <c r="E90" s="30">
        <v>12</v>
      </c>
      <c r="F90" s="30" t="s">
        <v>72</v>
      </c>
      <c r="G90" s="30">
        <v>4010.3</v>
      </c>
      <c r="H90" s="30">
        <v>285.04000000000002</v>
      </c>
      <c r="I90" s="30"/>
      <c r="J90" s="44" t="s">
        <v>12</v>
      </c>
      <c r="L90" t="str">
        <f t="shared" si="1"/>
        <v>12033011.4010.300</v>
      </c>
    </row>
    <row r="91" spans="1:12" x14ac:dyDescent="0.2">
      <c r="A91" s="30">
        <v>19022</v>
      </c>
      <c r="B91" s="30" t="s">
        <v>113</v>
      </c>
      <c r="C91" s="30">
        <v>12033011</v>
      </c>
      <c r="D91" s="30" t="s">
        <v>45</v>
      </c>
      <c r="E91" s="30">
        <v>12</v>
      </c>
      <c r="F91" s="30" t="s">
        <v>72</v>
      </c>
      <c r="G91" s="30">
        <v>4010.3</v>
      </c>
      <c r="H91" s="30">
        <v>35.65</v>
      </c>
      <c r="I91" s="30"/>
      <c r="J91" s="44" t="s">
        <v>12</v>
      </c>
      <c r="L91" t="str">
        <f t="shared" si="1"/>
        <v>12033011.4010.300</v>
      </c>
    </row>
    <row r="92" spans="1:12" x14ac:dyDescent="0.2">
      <c r="A92" s="30">
        <v>19015</v>
      </c>
      <c r="B92" s="30" t="s">
        <v>116</v>
      </c>
      <c r="C92" s="30">
        <v>12033011</v>
      </c>
      <c r="D92" s="30" t="s">
        <v>45</v>
      </c>
      <c r="E92" s="30">
        <v>12</v>
      </c>
      <c r="F92" s="30" t="s">
        <v>72</v>
      </c>
      <c r="G92" s="30">
        <v>4010.3</v>
      </c>
      <c r="H92" s="30">
        <v>684.15</v>
      </c>
      <c r="I92" s="30"/>
      <c r="J92" s="44" t="s">
        <v>12</v>
      </c>
      <c r="L92" t="str">
        <f t="shared" si="1"/>
        <v>12033011.4010.300</v>
      </c>
    </row>
    <row r="93" spans="1:12" x14ac:dyDescent="0.2">
      <c r="A93" s="30">
        <v>19029</v>
      </c>
      <c r="B93" s="30" t="s">
        <v>366</v>
      </c>
      <c r="C93" s="30">
        <v>12033011</v>
      </c>
      <c r="D93" s="30" t="s">
        <v>45</v>
      </c>
      <c r="E93" s="30">
        <v>12</v>
      </c>
      <c r="F93" s="30" t="s">
        <v>72</v>
      </c>
      <c r="G93" s="30">
        <v>4010.3</v>
      </c>
      <c r="H93" s="30">
        <v>592.69000000000005</v>
      </c>
      <c r="I93" s="30"/>
      <c r="J93" s="44" t="s">
        <v>12</v>
      </c>
      <c r="L93" t="str">
        <f t="shared" si="1"/>
        <v>12033011.4010.300</v>
      </c>
    </row>
    <row r="94" spans="1:12" x14ac:dyDescent="0.2">
      <c r="A94" s="30">
        <v>18923</v>
      </c>
      <c r="B94" s="30" t="s">
        <v>46</v>
      </c>
      <c r="C94" s="30">
        <v>12033011</v>
      </c>
      <c r="D94" s="30" t="s">
        <v>45</v>
      </c>
      <c r="E94" s="30">
        <v>12</v>
      </c>
      <c r="F94" s="30" t="s">
        <v>72</v>
      </c>
      <c r="G94" s="30">
        <v>4010.3</v>
      </c>
      <c r="H94" s="30">
        <v>44.85</v>
      </c>
      <c r="I94" s="30"/>
      <c r="J94" s="44" t="s">
        <v>12</v>
      </c>
      <c r="L94" t="str">
        <f t="shared" si="1"/>
        <v>12033011.4010.300</v>
      </c>
    </row>
    <row r="95" spans="1:12" x14ac:dyDescent="0.2">
      <c r="A95" s="30">
        <v>19008</v>
      </c>
      <c r="B95" s="30" t="s">
        <v>118</v>
      </c>
      <c r="C95" s="30">
        <v>12033011</v>
      </c>
      <c r="D95" s="30" t="s">
        <v>45</v>
      </c>
      <c r="E95" s="30">
        <v>12</v>
      </c>
      <c r="F95" s="30" t="s">
        <v>72</v>
      </c>
      <c r="G95" s="30">
        <v>4010.3</v>
      </c>
      <c r="H95" s="30">
        <v>426.99</v>
      </c>
      <c r="I95" s="30"/>
      <c r="J95" s="44" t="s">
        <v>12</v>
      </c>
      <c r="L95" t="str">
        <f t="shared" si="1"/>
        <v>12033011.4010.300</v>
      </c>
    </row>
    <row r="96" spans="1:12" x14ac:dyDescent="0.2">
      <c r="A96" s="30">
        <v>19009</v>
      </c>
      <c r="B96" s="30" t="s">
        <v>117</v>
      </c>
      <c r="C96" s="30">
        <v>12033011</v>
      </c>
      <c r="D96" s="30" t="s">
        <v>45</v>
      </c>
      <c r="E96" s="30">
        <v>12</v>
      </c>
      <c r="F96" s="30" t="s">
        <v>72</v>
      </c>
      <c r="G96" s="30">
        <v>4010.3</v>
      </c>
      <c r="H96" s="30">
        <v>310</v>
      </c>
      <c r="I96" s="30"/>
      <c r="J96" s="44" t="s">
        <v>12</v>
      </c>
      <c r="L96" t="str">
        <f t="shared" si="1"/>
        <v>12033011.4010.300</v>
      </c>
    </row>
    <row r="97" spans="1:12" x14ac:dyDescent="0.2">
      <c r="A97" s="30">
        <v>18904</v>
      </c>
      <c r="B97" s="30" t="s">
        <v>119</v>
      </c>
      <c r="C97" s="30">
        <v>12040800</v>
      </c>
      <c r="D97" s="30" t="s">
        <v>120</v>
      </c>
      <c r="E97" s="30">
        <v>12</v>
      </c>
      <c r="F97" s="30" t="s">
        <v>72</v>
      </c>
      <c r="G97" s="30">
        <v>4010.3</v>
      </c>
      <c r="H97" s="30">
        <v>41.27</v>
      </c>
      <c r="I97" s="30"/>
      <c r="J97" s="44" t="s">
        <v>12</v>
      </c>
      <c r="L97" t="str">
        <f t="shared" si="1"/>
        <v>12040800.4010.300</v>
      </c>
    </row>
    <row r="98" spans="1:12" x14ac:dyDescent="0.2">
      <c r="A98" s="30">
        <v>18924</v>
      </c>
      <c r="B98" s="30" t="s">
        <v>121</v>
      </c>
      <c r="C98" s="30">
        <v>12043011</v>
      </c>
      <c r="D98" s="30" t="s">
        <v>52</v>
      </c>
      <c r="E98" s="30">
        <v>12</v>
      </c>
      <c r="F98" s="30" t="s">
        <v>72</v>
      </c>
      <c r="G98" s="30">
        <v>4010.3</v>
      </c>
      <c r="H98" s="30">
        <v>52.85</v>
      </c>
      <c r="I98" s="30"/>
      <c r="J98" s="44" t="s">
        <v>12</v>
      </c>
      <c r="L98" t="str">
        <f t="shared" si="1"/>
        <v>12043011.4010.300</v>
      </c>
    </row>
    <row r="99" spans="1:12" x14ac:dyDescent="0.2">
      <c r="A99" s="30">
        <v>18646</v>
      </c>
      <c r="B99" s="30" t="s">
        <v>124</v>
      </c>
      <c r="C99" s="30">
        <v>12043011</v>
      </c>
      <c r="D99" s="30" t="s">
        <v>52</v>
      </c>
      <c r="E99" s="30">
        <v>12</v>
      </c>
      <c r="F99" s="30" t="s">
        <v>72</v>
      </c>
      <c r="G99" s="30">
        <v>4010.3</v>
      </c>
      <c r="H99" s="30">
        <v>44.31</v>
      </c>
      <c r="I99" s="30"/>
      <c r="J99" s="44" t="s">
        <v>12</v>
      </c>
      <c r="L99" t="str">
        <f t="shared" si="1"/>
        <v>12043011.4010.300</v>
      </c>
    </row>
    <row r="100" spans="1:12" x14ac:dyDescent="0.2">
      <c r="A100" s="30">
        <v>18850</v>
      </c>
      <c r="B100" s="30" t="s">
        <v>123</v>
      </c>
      <c r="C100" s="30">
        <v>12043011</v>
      </c>
      <c r="D100" s="30" t="s">
        <v>52</v>
      </c>
      <c r="E100" s="30">
        <v>12</v>
      </c>
      <c r="F100" s="30" t="s">
        <v>72</v>
      </c>
      <c r="G100" s="30">
        <v>4010.3</v>
      </c>
      <c r="H100" s="30">
        <v>88.36</v>
      </c>
      <c r="I100" s="30"/>
      <c r="J100" s="44" t="s">
        <v>12</v>
      </c>
      <c r="L100" t="str">
        <f t="shared" si="1"/>
        <v>12043011.4010.300</v>
      </c>
    </row>
    <row r="101" spans="1:12" x14ac:dyDescent="0.2">
      <c r="A101" s="30">
        <v>18990</v>
      </c>
      <c r="B101" s="30" t="s">
        <v>125</v>
      </c>
      <c r="C101" s="30">
        <v>12043011</v>
      </c>
      <c r="D101" s="30" t="s">
        <v>52</v>
      </c>
      <c r="E101" s="30">
        <v>12</v>
      </c>
      <c r="F101" s="30" t="s">
        <v>72</v>
      </c>
      <c r="G101" s="30">
        <v>4010.3</v>
      </c>
      <c r="H101" s="30">
        <v>42.16</v>
      </c>
      <c r="I101" s="30"/>
      <c r="J101" s="44" t="s">
        <v>12</v>
      </c>
      <c r="L101" t="str">
        <f t="shared" si="1"/>
        <v>12043011.4010.300</v>
      </c>
    </row>
    <row r="102" spans="1:12" x14ac:dyDescent="0.2">
      <c r="A102" s="30">
        <v>18858</v>
      </c>
      <c r="B102" s="30" t="s">
        <v>122</v>
      </c>
      <c r="C102" s="30">
        <v>12043011</v>
      </c>
      <c r="D102" s="30" t="s">
        <v>52</v>
      </c>
      <c r="E102" s="30">
        <v>12</v>
      </c>
      <c r="F102" s="30" t="s">
        <v>72</v>
      </c>
      <c r="G102" s="30">
        <v>4010.3</v>
      </c>
      <c r="H102" s="30">
        <v>6.64</v>
      </c>
      <c r="I102" s="30"/>
      <c r="J102" s="44" t="s">
        <v>12</v>
      </c>
      <c r="L102" t="str">
        <f t="shared" si="1"/>
        <v>12043011.4010.300</v>
      </c>
    </row>
    <row r="103" spans="1:12" x14ac:dyDescent="0.2">
      <c r="A103" s="30">
        <v>18970</v>
      </c>
      <c r="B103" s="30" t="s">
        <v>200</v>
      </c>
      <c r="C103" s="30">
        <v>12043123</v>
      </c>
      <c r="D103" s="30" t="s">
        <v>201</v>
      </c>
      <c r="E103" s="30">
        <v>12</v>
      </c>
      <c r="F103" s="30" t="s">
        <v>72</v>
      </c>
      <c r="G103" s="30">
        <v>4010.3</v>
      </c>
      <c r="H103" s="30">
        <v>1.19</v>
      </c>
      <c r="I103" s="30"/>
      <c r="J103" s="44" t="s">
        <v>12</v>
      </c>
      <c r="L103" t="str">
        <f t="shared" si="1"/>
        <v>12043123.4010.300</v>
      </c>
    </row>
    <row r="104" spans="1:12" x14ac:dyDescent="0.2">
      <c r="A104" s="30">
        <v>18895</v>
      </c>
      <c r="B104" s="30" t="s">
        <v>128</v>
      </c>
      <c r="C104" s="30">
        <v>12060611</v>
      </c>
      <c r="D104" s="30" t="s">
        <v>54</v>
      </c>
      <c r="E104" s="30">
        <v>12</v>
      </c>
      <c r="F104" s="30" t="s">
        <v>72</v>
      </c>
      <c r="G104" s="30">
        <v>4010.3</v>
      </c>
      <c r="H104" s="30">
        <v>124.23</v>
      </c>
      <c r="I104" s="30"/>
      <c r="J104" s="44" t="s">
        <v>12</v>
      </c>
      <c r="L104" t="str">
        <f t="shared" si="1"/>
        <v>12060611.4010.300</v>
      </c>
    </row>
    <row r="105" spans="1:12" x14ac:dyDescent="0.2">
      <c r="A105" s="30">
        <v>18823</v>
      </c>
      <c r="B105" s="30" t="s">
        <v>53</v>
      </c>
      <c r="C105" s="30">
        <v>12060611</v>
      </c>
      <c r="D105" s="30" t="s">
        <v>54</v>
      </c>
      <c r="E105" s="30">
        <v>12</v>
      </c>
      <c r="F105" s="30" t="s">
        <v>72</v>
      </c>
      <c r="G105" s="30">
        <v>4010.3</v>
      </c>
      <c r="H105" s="30">
        <v>27.24</v>
      </c>
      <c r="I105" s="30"/>
      <c r="J105" s="44" t="s">
        <v>12</v>
      </c>
      <c r="L105" t="str">
        <f t="shared" si="1"/>
        <v>12060611.4010.300</v>
      </c>
    </row>
    <row r="106" spans="1:12" x14ac:dyDescent="0.2">
      <c r="A106" s="30">
        <v>18996</v>
      </c>
      <c r="B106" s="30" t="s">
        <v>127</v>
      </c>
      <c r="C106" s="30">
        <v>12060611</v>
      </c>
      <c r="D106" s="30" t="s">
        <v>54</v>
      </c>
      <c r="E106" s="30">
        <v>12</v>
      </c>
      <c r="F106" s="30" t="s">
        <v>72</v>
      </c>
      <c r="G106" s="30">
        <v>4010.3</v>
      </c>
      <c r="H106" s="30">
        <v>89.64</v>
      </c>
      <c r="I106" s="30"/>
      <c r="J106" s="44" t="s">
        <v>12</v>
      </c>
      <c r="L106" t="str">
        <f t="shared" si="1"/>
        <v>12060611.4010.300</v>
      </c>
    </row>
    <row r="107" spans="1:12" x14ac:dyDescent="0.2">
      <c r="A107" s="30">
        <v>18898</v>
      </c>
      <c r="B107" s="30" t="s">
        <v>130</v>
      </c>
      <c r="C107" s="30">
        <v>12060611</v>
      </c>
      <c r="D107" s="30" t="s">
        <v>54</v>
      </c>
      <c r="E107" s="30">
        <v>12</v>
      </c>
      <c r="F107" s="30" t="s">
        <v>72</v>
      </c>
      <c r="G107" s="30">
        <v>4010.3</v>
      </c>
      <c r="H107" s="30">
        <v>50.95</v>
      </c>
      <c r="I107" s="30"/>
      <c r="J107" s="44" t="s">
        <v>12</v>
      </c>
      <c r="L107" t="str">
        <f t="shared" si="1"/>
        <v>12060611.4010.300</v>
      </c>
    </row>
    <row r="108" spans="1:12" x14ac:dyDescent="0.2">
      <c r="A108" s="30">
        <v>18634</v>
      </c>
      <c r="B108" s="30" t="s">
        <v>129</v>
      </c>
      <c r="C108" s="30">
        <v>12060611</v>
      </c>
      <c r="D108" s="30" t="s">
        <v>54</v>
      </c>
      <c r="E108" s="30">
        <v>12</v>
      </c>
      <c r="F108" s="30" t="s">
        <v>72</v>
      </c>
      <c r="G108" s="30">
        <v>4010.3</v>
      </c>
      <c r="H108" s="30">
        <v>24.87</v>
      </c>
      <c r="I108" s="30"/>
      <c r="J108" s="44" t="s">
        <v>12</v>
      </c>
      <c r="L108" t="str">
        <f t="shared" si="1"/>
        <v>12060611.4010.300</v>
      </c>
    </row>
    <row r="109" spans="1:12" x14ac:dyDescent="0.2">
      <c r="A109" s="30">
        <v>18790</v>
      </c>
      <c r="B109" s="30" t="s">
        <v>131</v>
      </c>
      <c r="C109" s="30">
        <v>12060611</v>
      </c>
      <c r="D109" s="30" t="s">
        <v>54</v>
      </c>
      <c r="E109" s="30">
        <v>12</v>
      </c>
      <c r="F109" s="30" t="s">
        <v>72</v>
      </c>
      <c r="G109" s="30">
        <v>4010.3</v>
      </c>
      <c r="H109" s="30">
        <v>23.22</v>
      </c>
      <c r="I109" s="30"/>
      <c r="J109" s="44" t="s">
        <v>12</v>
      </c>
      <c r="L109" t="str">
        <f t="shared" si="1"/>
        <v>12060611.4010.300</v>
      </c>
    </row>
    <row r="110" spans="1:12" x14ac:dyDescent="0.2">
      <c r="A110" s="30">
        <v>18791</v>
      </c>
      <c r="B110" s="30" t="s">
        <v>132</v>
      </c>
      <c r="C110" s="30">
        <v>12060711</v>
      </c>
      <c r="D110" s="30" t="s">
        <v>133</v>
      </c>
      <c r="E110" s="30">
        <v>12</v>
      </c>
      <c r="F110" s="30" t="s">
        <v>72</v>
      </c>
      <c r="G110" s="30">
        <v>4010.3</v>
      </c>
      <c r="H110" s="30">
        <v>88.52</v>
      </c>
      <c r="I110" s="30"/>
      <c r="J110" s="44" t="s">
        <v>12</v>
      </c>
      <c r="L110" t="str">
        <f t="shared" si="1"/>
        <v>12060711.4010.300</v>
      </c>
    </row>
    <row r="111" spans="1:12" x14ac:dyDescent="0.2">
      <c r="A111" s="30">
        <v>18953</v>
      </c>
      <c r="B111" s="30" t="s">
        <v>136</v>
      </c>
      <c r="C111" s="30">
        <v>12060800</v>
      </c>
      <c r="D111" s="30" t="s">
        <v>135</v>
      </c>
      <c r="E111" s="30">
        <v>12</v>
      </c>
      <c r="F111" s="30" t="s">
        <v>72</v>
      </c>
      <c r="G111" s="30">
        <v>4010.3</v>
      </c>
      <c r="H111" s="30">
        <v>84.34</v>
      </c>
      <c r="I111" s="30"/>
      <c r="J111" s="44" t="s">
        <v>12</v>
      </c>
      <c r="L111" t="str">
        <f t="shared" si="1"/>
        <v>12060800.4010.300</v>
      </c>
    </row>
    <row r="112" spans="1:12" x14ac:dyDescent="0.2">
      <c r="A112" s="30">
        <v>18561</v>
      </c>
      <c r="B112" s="30" t="s">
        <v>134</v>
      </c>
      <c r="C112" s="30">
        <v>12060800</v>
      </c>
      <c r="D112" s="30" t="s">
        <v>135</v>
      </c>
      <c r="E112" s="30">
        <v>12</v>
      </c>
      <c r="F112" s="30" t="s">
        <v>72</v>
      </c>
      <c r="G112" s="30">
        <v>4010.3</v>
      </c>
      <c r="H112" s="30">
        <v>235.01</v>
      </c>
      <c r="I112" s="30"/>
      <c r="J112" s="44" t="s">
        <v>12</v>
      </c>
      <c r="L112" t="str">
        <f t="shared" si="1"/>
        <v>12060800.4010.300</v>
      </c>
    </row>
    <row r="113" spans="1:12" x14ac:dyDescent="0.2">
      <c r="A113" s="30">
        <v>18792</v>
      </c>
      <c r="B113" s="30" t="s">
        <v>56</v>
      </c>
      <c r="C113" s="30">
        <v>12062511</v>
      </c>
      <c r="D113" s="30" t="s">
        <v>57</v>
      </c>
      <c r="E113" s="30">
        <v>12</v>
      </c>
      <c r="F113" s="30" t="s">
        <v>72</v>
      </c>
      <c r="G113" s="30">
        <v>4010.3</v>
      </c>
      <c r="H113" s="30">
        <v>19.350000000000001</v>
      </c>
      <c r="I113" s="30"/>
      <c r="J113" s="44" t="s">
        <v>12</v>
      </c>
      <c r="L113" t="str">
        <f t="shared" si="1"/>
        <v>12062511.4010.300</v>
      </c>
    </row>
    <row r="114" spans="1:12" x14ac:dyDescent="0.2">
      <c r="A114" s="30">
        <v>156</v>
      </c>
      <c r="B114" s="30" t="s">
        <v>137</v>
      </c>
      <c r="C114" s="30">
        <v>12062511</v>
      </c>
      <c r="D114" s="30" t="s">
        <v>57</v>
      </c>
      <c r="E114" s="30">
        <v>12</v>
      </c>
      <c r="F114" s="30" t="s">
        <v>72</v>
      </c>
      <c r="G114" s="30">
        <v>4010.3</v>
      </c>
      <c r="H114" s="30">
        <v>5.17</v>
      </c>
      <c r="I114" s="30"/>
      <c r="J114" s="44" t="s">
        <v>12</v>
      </c>
      <c r="L114" t="str">
        <f t="shared" si="1"/>
        <v>12062511.4010.300</v>
      </c>
    </row>
    <row r="115" spans="1:12" x14ac:dyDescent="0.2">
      <c r="A115" s="30">
        <v>18517</v>
      </c>
      <c r="B115" s="30" t="s">
        <v>140</v>
      </c>
      <c r="C115" s="30">
        <v>12010500</v>
      </c>
      <c r="D115" s="30" t="s">
        <v>60</v>
      </c>
      <c r="E115" s="30">
        <v>20</v>
      </c>
      <c r="F115" s="30" t="s">
        <v>139</v>
      </c>
      <c r="G115" s="30">
        <v>4010.4</v>
      </c>
      <c r="H115" s="30">
        <v>230.77</v>
      </c>
      <c r="I115" s="30"/>
      <c r="J115" s="44" t="s">
        <v>12</v>
      </c>
      <c r="L115" t="str">
        <f t="shared" si="1"/>
        <v>12010500.4010.400</v>
      </c>
    </row>
    <row r="116" spans="1:12" x14ac:dyDescent="0.2">
      <c r="A116" s="30">
        <v>18845</v>
      </c>
      <c r="B116" s="30" t="s">
        <v>138</v>
      </c>
      <c r="C116" s="30">
        <v>12010500</v>
      </c>
      <c r="D116" s="30" t="s">
        <v>60</v>
      </c>
      <c r="E116" s="30">
        <v>20</v>
      </c>
      <c r="F116" s="30" t="s">
        <v>139</v>
      </c>
      <c r="G116" s="30">
        <v>4010.4</v>
      </c>
      <c r="H116" s="30">
        <v>230.77</v>
      </c>
      <c r="I116" s="30"/>
      <c r="J116" s="44" t="s">
        <v>12</v>
      </c>
      <c r="L116" t="str">
        <f t="shared" si="1"/>
        <v>12010500.4010.400</v>
      </c>
    </row>
    <row r="117" spans="1:12" x14ac:dyDescent="0.2">
      <c r="A117" s="30">
        <v>18920</v>
      </c>
      <c r="B117" s="30" t="s">
        <v>9</v>
      </c>
      <c r="C117" s="30">
        <v>12013250</v>
      </c>
      <c r="D117" s="30" t="s">
        <v>10</v>
      </c>
      <c r="E117" s="30">
        <v>20</v>
      </c>
      <c r="F117" s="30" t="s">
        <v>139</v>
      </c>
      <c r="G117" s="30">
        <v>4010.4</v>
      </c>
      <c r="H117" s="30">
        <v>326.92</v>
      </c>
      <c r="I117" s="30"/>
      <c r="J117" s="44" t="s">
        <v>12</v>
      </c>
      <c r="L117" t="str">
        <f t="shared" si="1"/>
        <v>12013250.4010.400</v>
      </c>
    </row>
    <row r="118" spans="1:12" x14ac:dyDescent="0.2">
      <c r="A118" s="30">
        <v>18997</v>
      </c>
      <c r="B118" s="30" t="s">
        <v>141</v>
      </c>
      <c r="C118" s="30">
        <v>12013250</v>
      </c>
      <c r="D118" s="30" t="s">
        <v>10</v>
      </c>
      <c r="E118" s="30">
        <v>20</v>
      </c>
      <c r="F118" s="30" t="s">
        <v>139</v>
      </c>
      <c r="G118" s="30">
        <v>4010.4</v>
      </c>
      <c r="H118" s="30">
        <v>384.62</v>
      </c>
      <c r="I118" s="30"/>
      <c r="J118" s="44" t="s">
        <v>12</v>
      </c>
      <c r="L118" t="str">
        <f t="shared" si="1"/>
        <v>12013250.4010.400</v>
      </c>
    </row>
    <row r="119" spans="1:12" x14ac:dyDescent="0.2">
      <c r="A119" s="30">
        <v>18948</v>
      </c>
      <c r="B119" s="30" t="s">
        <v>142</v>
      </c>
      <c r="C119" s="30">
        <v>12018099</v>
      </c>
      <c r="D119" s="30" t="s">
        <v>17</v>
      </c>
      <c r="E119" s="30">
        <v>20</v>
      </c>
      <c r="F119" s="30" t="s">
        <v>139</v>
      </c>
      <c r="G119" s="30">
        <v>4010.4</v>
      </c>
      <c r="H119" s="30">
        <v>134.62</v>
      </c>
      <c r="I119" s="30"/>
      <c r="J119" s="44" t="s">
        <v>12</v>
      </c>
      <c r="L119" t="str">
        <f t="shared" si="1"/>
        <v>12018099.4010.400</v>
      </c>
    </row>
    <row r="120" spans="1:12" x14ac:dyDescent="0.2">
      <c r="A120" s="30">
        <v>18716</v>
      </c>
      <c r="B120" s="30" t="s">
        <v>16</v>
      </c>
      <c r="C120" s="30">
        <v>12018099</v>
      </c>
      <c r="D120" s="30" t="s">
        <v>17</v>
      </c>
      <c r="E120" s="30">
        <v>20</v>
      </c>
      <c r="F120" s="30" t="s">
        <v>139</v>
      </c>
      <c r="G120" s="30">
        <v>4010.4</v>
      </c>
      <c r="H120" s="30">
        <v>692.31</v>
      </c>
      <c r="I120" s="30"/>
      <c r="J120" s="44" t="s">
        <v>12</v>
      </c>
      <c r="L120" t="str">
        <f t="shared" si="1"/>
        <v>12018099.4010.400</v>
      </c>
    </row>
    <row r="121" spans="1:12" x14ac:dyDescent="0.2">
      <c r="A121" s="30">
        <v>18862</v>
      </c>
      <c r="B121" s="30" t="s">
        <v>145</v>
      </c>
      <c r="C121" s="30">
        <v>12018599</v>
      </c>
      <c r="D121" s="30" t="s">
        <v>144</v>
      </c>
      <c r="E121" s="30">
        <v>20</v>
      </c>
      <c r="F121" s="30" t="s">
        <v>139</v>
      </c>
      <c r="G121" s="30">
        <v>4010.4</v>
      </c>
      <c r="H121" s="30">
        <v>36.46</v>
      </c>
      <c r="I121" s="30"/>
      <c r="J121" s="44" t="s">
        <v>12</v>
      </c>
      <c r="L121" t="str">
        <f t="shared" si="1"/>
        <v>12018599.4010.400</v>
      </c>
    </row>
    <row r="122" spans="1:12" x14ac:dyDescent="0.2">
      <c r="A122" s="30">
        <v>18969</v>
      </c>
      <c r="B122" s="30" t="s">
        <v>143</v>
      </c>
      <c r="C122" s="30">
        <v>12018599</v>
      </c>
      <c r="D122" s="30" t="s">
        <v>144</v>
      </c>
      <c r="E122" s="30">
        <v>20</v>
      </c>
      <c r="F122" s="30" t="s">
        <v>139</v>
      </c>
      <c r="G122" s="30">
        <v>4010.4</v>
      </c>
      <c r="H122" s="30">
        <v>267.23</v>
      </c>
      <c r="I122" s="30"/>
      <c r="J122" s="44" t="s">
        <v>12</v>
      </c>
      <c r="L122" t="str">
        <f t="shared" si="1"/>
        <v>12018599.4010.400</v>
      </c>
    </row>
    <row r="123" spans="1:12" x14ac:dyDescent="0.2">
      <c r="A123" s="30">
        <v>18886</v>
      </c>
      <c r="B123" s="30" t="s">
        <v>18</v>
      </c>
      <c r="C123" s="30">
        <v>12019099</v>
      </c>
      <c r="D123" s="30" t="s">
        <v>19</v>
      </c>
      <c r="E123" s="30">
        <v>20</v>
      </c>
      <c r="F123" s="30" t="s">
        <v>139</v>
      </c>
      <c r="G123" s="30">
        <v>4010.4</v>
      </c>
      <c r="H123" s="30">
        <v>692.31</v>
      </c>
      <c r="I123" s="30"/>
      <c r="J123" s="44" t="s">
        <v>12</v>
      </c>
      <c r="L123" t="str">
        <f t="shared" si="1"/>
        <v>12019099.4010.400</v>
      </c>
    </row>
    <row r="124" spans="1:12" x14ac:dyDescent="0.2">
      <c r="A124" s="30">
        <v>18853</v>
      </c>
      <c r="B124" s="30" t="s">
        <v>146</v>
      </c>
      <c r="C124" s="30">
        <v>12019199</v>
      </c>
      <c r="D124" s="30" t="s">
        <v>147</v>
      </c>
      <c r="E124" s="30">
        <v>20</v>
      </c>
      <c r="F124" s="30" t="s">
        <v>139</v>
      </c>
      <c r="G124" s="30">
        <v>4010.4</v>
      </c>
      <c r="H124" s="30">
        <v>692.31</v>
      </c>
      <c r="I124" s="30"/>
      <c r="J124" s="44" t="s">
        <v>12</v>
      </c>
      <c r="L124" t="str">
        <f t="shared" si="1"/>
        <v>12019199.4010.400</v>
      </c>
    </row>
    <row r="125" spans="1:12" x14ac:dyDescent="0.2">
      <c r="A125" s="30">
        <v>18903</v>
      </c>
      <c r="B125" s="30" t="s">
        <v>73</v>
      </c>
      <c r="C125" s="30">
        <v>12020611</v>
      </c>
      <c r="D125" s="30" t="s">
        <v>23</v>
      </c>
      <c r="E125" s="30">
        <v>20</v>
      </c>
      <c r="F125" s="30" t="s">
        <v>139</v>
      </c>
      <c r="G125" s="30">
        <v>4010.4</v>
      </c>
      <c r="H125" s="30">
        <v>242.35</v>
      </c>
      <c r="I125" s="30"/>
      <c r="J125" s="44" t="s">
        <v>12</v>
      </c>
      <c r="L125" t="str">
        <f t="shared" si="1"/>
        <v>12020611.4010.400</v>
      </c>
    </row>
    <row r="126" spans="1:12" x14ac:dyDescent="0.2">
      <c r="A126" s="30">
        <v>18866</v>
      </c>
      <c r="B126" s="30" t="s">
        <v>76</v>
      </c>
      <c r="C126" s="30">
        <v>12020611</v>
      </c>
      <c r="D126" s="30" t="s">
        <v>23</v>
      </c>
      <c r="E126" s="30">
        <v>20</v>
      </c>
      <c r="F126" s="30" t="s">
        <v>139</v>
      </c>
      <c r="G126" s="30">
        <v>4010.4</v>
      </c>
      <c r="H126" s="30">
        <v>285.35000000000002</v>
      </c>
      <c r="I126" s="30"/>
      <c r="J126" s="44" t="s">
        <v>12</v>
      </c>
      <c r="L126" t="str">
        <f t="shared" si="1"/>
        <v>12020611.4010.400</v>
      </c>
    </row>
    <row r="127" spans="1:12" x14ac:dyDescent="0.2">
      <c r="A127" s="30">
        <v>18831</v>
      </c>
      <c r="B127" s="30" t="s">
        <v>22</v>
      </c>
      <c r="C127" s="30">
        <v>12020611</v>
      </c>
      <c r="D127" s="30" t="s">
        <v>23</v>
      </c>
      <c r="E127" s="30">
        <v>20</v>
      </c>
      <c r="F127" s="30" t="s">
        <v>139</v>
      </c>
      <c r="G127" s="30">
        <v>4010.4</v>
      </c>
      <c r="H127" s="30">
        <v>117.63</v>
      </c>
      <c r="I127" s="30"/>
      <c r="J127" s="44" t="s">
        <v>12</v>
      </c>
      <c r="L127" t="str">
        <f t="shared" si="1"/>
        <v>12020611.4010.400</v>
      </c>
    </row>
    <row r="128" spans="1:12" x14ac:dyDescent="0.2">
      <c r="A128" s="30">
        <v>18879</v>
      </c>
      <c r="B128" s="30" t="s">
        <v>79</v>
      </c>
      <c r="C128" s="30">
        <v>12020711</v>
      </c>
      <c r="D128" s="30" t="s">
        <v>25</v>
      </c>
      <c r="E128" s="30">
        <v>20</v>
      </c>
      <c r="F128" s="30" t="s">
        <v>139</v>
      </c>
      <c r="G128" s="30">
        <v>4010.4</v>
      </c>
      <c r="H128" s="30">
        <v>344.28</v>
      </c>
      <c r="I128" s="30"/>
      <c r="J128" s="44" t="s">
        <v>12</v>
      </c>
      <c r="L128" t="str">
        <f t="shared" si="1"/>
        <v>12020711.4010.400</v>
      </c>
    </row>
    <row r="129" spans="1:12" x14ac:dyDescent="0.2">
      <c r="A129" s="30">
        <v>18631</v>
      </c>
      <c r="B129" s="30" t="s">
        <v>80</v>
      </c>
      <c r="C129" s="30">
        <v>12020711</v>
      </c>
      <c r="D129" s="30" t="s">
        <v>25</v>
      </c>
      <c r="E129" s="30">
        <v>20</v>
      </c>
      <c r="F129" s="30" t="s">
        <v>139</v>
      </c>
      <c r="G129" s="30">
        <v>4010.4</v>
      </c>
      <c r="H129" s="30">
        <v>36.46</v>
      </c>
      <c r="I129" s="30"/>
      <c r="J129" s="44" t="s">
        <v>12</v>
      </c>
      <c r="L129" t="str">
        <f t="shared" si="1"/>
        <v>12020711.4010.400</v>
      </c>
    </row>
    <row r="130" spans="1:12" x14ac:dyDescent="0.2">
      <c r="A130" s="30">
        <v>19000</v>
      </c>
      <c r="B130" s="30" t="s">
        <v>26</v>
      </c>
      <c r="C130" s="30">
        <v>12020800</v>
      </c>
      <c r="D130" s="30" t="s">
        <v>27</v>
      </c>
      <c r="E130" s="30">
        <v>20</v>
      </c>
      <c r="F130" s="30" t="s">
        <v>139</v>
      </c>
      <c r="G130" s="30">
        <v>4010.4</v>
      </c>
      <c r="H130" s="30">
        <v>294.07</v>
      </c>
      <c r="I130" s="30"/>
      <c r="J130" s="44" t="s">
        <v>12</v>
      </c>
      <c r="L130" t="str">
        <f t="shared" ref="L130:L193" si="2">C130&amp;"."&amp;G130&amp;J130</f>
        <v>12020800.4010.400</v>
      </c>
    </row>
    <row r="131" spans="1:12" x14ac:dyDescent="0.2">
      <c r="A131" s="30">
        <v>18960</v>
      </c>
      <c r="B131" s="30" t="s">
        <v>84</v>
      </c>
      <c r="C131" s="30">
        <v>12021021</v>
      </c>
      <c r="D131" s="30" t="s">
        <v>29</v>
      </c>
      <c r="E131" s="30">
        <v>20</v>
      </c>
      <c r="F131" s="30" t="s">
        <v>139</v>
      </c>
      <c r="G131" s="30">
        <v>4010.4</v>
      </c>
      <c r="H131" s="30">
        <v>54.16</v>
      </c>
      <c r="I131" s="30"/>
      <c r="J131" s="44" t="s">
        <v>12</v>
      </c>
      <c r="L131" t="str">
        <f t="shared" si="2"/>
        <v>12021021.4010.400</v>
      </c>
    </row>
    <row r="132" spans="1:12" x14ac:dyDescent="0.2">
      <c r="A132" s="30">
        <v>18911</v>
      </c>
      <c r="B132" s="30" t="s">
        <v>28</v>
      </c>
      <c r="C132" s="30">
        <v>12021021</v>
      </c>
      <c r="D132" s="30" t="s">
        <v>29</v>
      </c>
      <c r="E132" s="30">
        <v>20</v>
      </c>
      <c r="F132" s="30" t="s">
        <v>139</v>
      </c>
      <c r="G132" s="30">
        <v>4010.4</v>
      </c>
      <c r="H132" s="30">
        <v>36.46</v>
      </c>
      <c r="I132" s="30"/>
      <c r="J132" s="44" t="s">
        <v>12</v>
      </c>
      <c r="L132" t="str">
        <f t="shared" si="2"/>
        <v>12021021.4010.400</v>
      </c>
    </row>
    <row r="133" spans="1:12" x14ac:dyDescent="0.2">
      <c r="A133" s="30">
        <v>18961</v>
      </c>
      <c r="B133" s="30" t="s">
        <v>90</v>
      </c>
      <c r="C133" s="30">
        <v>12022511</v>
      </c>
      <c r="D133" s="30" t="s">
        <v>32</v>
      </c>
      <c r="E133" s="30">
        <v>20</v>
      </c>
      <c r="F133" s="30" t="s">
        <v>139</v>
      </c>
      <c r="G133" s="30">
        <v>4010.4</v>
      </c>
      <c r="H133" s="30">
        <v>294.07</v>
      </c>
      <c r="I133" s="30"/>
      <c r="J133" s="44" t="s">
        <v>12</v>
      </c>
      <c r="L133" t="str">
        <f t="shared" si="2"/>
        <v>12022511.4010.400</v>
      </c>
    </row>
    <row r="134" spans="1:12" x14ac:dyDescent="0.2">
      <c r="A134" s="30">
        <v>145</v>
      </c>
      <c r="B134" s="30" t="s">
        <v>91</v>
      </c>
      <c r="C134" s="30">
        <v>12022511</v>
      </c>
      <c r="D134" s="30" t="s">
        <v>32</v>
      </c>
      <c r="E134" s="30">
        <v>20</v>
      </c>
      <c r="F134" s="30" t="s">
        <v>139</v>
      </c>
      <c r="G134" s="30">
        <v>4010.4</v>
      </c>
      <c r="H134" s="30">
        <v>311.11</v>
      </c>
      <c r="I134" s="30"/>
      <c r="J134" s="44" t="s">
        <v>12</v>
      </c>
      <c r="L134" t="str">
        <f t="shared" si="2"/>
        <v>12022511.4010.400</v>
      </c>
    </row>
    <row r="135" spans="1:12" x14ac:dyDescent="0.2">
      <c r="A135" s="30">
        <v>11229</v>
      </c>
      <c r="B135" s="30" t="s">
        <v>31</v>
      </c>
      <c r="C135" s="30">
        <v>12022511</v>
      </c>
      <c r="D135" s="30" t="s">
        <v>32</v>
      </c>
      <c r="E135" s="30">
        <v>20</v>
      </c>
      <c r="F135" s="30" t="s">
        <v>139</v>
      </c>
      <c r="G135" s="30">
        <v>4010.4</v>
      </c>
      <c r="H135" s="30">
        <v>270.81</v>
      </c>
      <c r="I135" s="30"/>
      <c r="J135" s="44" t="s">
        <v>12</v>
      </c>
      <c r="L135" t="str">
        <f t="shared" si="2"/>
        <v>12022511.4010.400</v>
      </c>
    </row>
    <row r="136" spans="1:12" x14ac:dyDescent="0.2">
      <c r="A136" s="30">
        <v>19006</v>
      </c>
      <c r="B136" s="30" t="s">
        <v>95</v>
      </c>
      <c r="C136" s="30">
        <v>12023011</v>
      </c>
      <c r="D136" s="30" t="s">
        <v>93</v>
      </c>
      <c r="E136" s="30">
        <v>20</v>
      </c>
      <c r="F136" s="30" t="s">
        <v>139</v>
      </c>
      <c r="G136" s="30">
        <v>4010.4</v>
      </c>
      <c r="H136" s="30">
        <v>294.07</v>
      </c>
      <c r="I136" s="30"/>
      <c r="J136" s="44" t="s">
        <v>12</v>
      </c>
      <c r="L136" t="str">
        <f t="shared" si="2"/>
        <v>12023011.4010.400</v>
      </c>
    </row>
    <row r="137" spans="1:12" x14ac:dyDescent="0.2">
      <c r="A137" s="30">
        <v>18974</v>
      </c>
      <c r="B137" s="30" t="s">
        <v>94</v>
      </c>
      <c r="C137" s="30">
        <v>12023011</v>
      </c>
      <c r="D137" s="30" t="s">
        <v>93</v>
      </c>
      <c r="E137" s="30">
        <v>20</v>
      </c>
      <c r="F137" s="30" t="s">
        <v>139</v>
      </c>
      <c r="G137" s="30">
        <v>4010.4</v>
      </c>
      <c r="H137" s="30">
        <v>36.46</v>
      </c>
      <c r="I137" s="30"/>
      <c r="J137" s="44" t="s">
        <v>12</v>
      </c>
      <c r="L137" t="str">
        <f t="shared" si="2"/>
        <v>12023011.4010.400</v>
      </c>
    </row>
    <row r="138" spans="1:12" x14ac:dyDescent="0.2">
      <c r="A138" s="30">
        <v>18962</v>
      </c>
      <c r="B138" s="30" t="s">
        <v>148</v>
      </c>
      <c r="C138" s="30">
        <v>12023011</v>
      </c>
      <c r="D138" s="30" t="s">
        <v>93</v>
      </c>
      <c r="E138" s="30">
        <v>20</v>
      </c>
      <c r="F138" s="30" t="s">
        <v>139</v>
      </c>
      <c r="G138" s="30">
        <v>4010.4</v>
      </c>
      <c r="H138" s="30">
        <v>230.77</v>
      </c>
      <c r="I138" s="30"/>
      <c r="J138" s="44" t="s">
        <v>12</v>
      </c>
      <c r="L138" t="str">
        <f t="shared" si="2"/>
        <v>12023011.4010.400</v>
      </c>
    </row>
    <row r="139" spans="1:12" x14ac:dyDescent="0.2">
      <c r="A139" s="30">
        <v>18945</v>
      </c>
      <c r="B139" s="30" t="s">
        <v>151</v>
      </c>
      <c r="C139" s="30">
        <v>12028099</v>
      </c>
      <c r="D139" s="30" t="s">
        <v>150</v>
      </c>
      <c r="E139" s="30">
        <v>20</v>
      </c>
      <c r="F139" s="30" t="s">
        <v>139</v>
      </c>
      <c r="G139" s="30">
        <v>4010.4</v>
      </c>
      <c r="H139" s="30">
        <v>164.1</v>
      </c>
      <c r="I139" s="30"/>
      <c r="J139" s="44" t="s">
        <v>12</v>
      </c>
      <c r="L139" t="str">
        <f t="shared" si="2"/>
        <v>12028099.4010.400</v>
      </c>
    </row>
    <row r="140" spans="1:12" x14ac:dyDescent="0.2">
      <c r="A140" s="30">
        <v>44705</v>
      </c>
      <c r="B140" s="30" t="s">
        <v>149</v>
      </c>
      <c r="C140" s="30">
        <v>12028099</v>
      </c>
      <c r="D140" s="30" t="s">
        <v>150</v>
      </c>
      <c r="E140" s="30">
        <v>20</v>
      </c>
      <c r="F140" s="30" t="s">
        <v>139</v>
      </c>
      <c r="G140" s="30">
        <v>4010.4</v>
      </c>
      <c r="H140" s="30">
        <v>846.15</v>
      </c>
      <c r="I140" s="30"/>
      <c r="J140" s="44" t="s">
        <v>12</v>
      </c>
      <c r="L140" t="str">
        <f t="shared" si="2"/>
        <v>12028099.4010.400</v>
      </c>
    </row>
    <row r="141" spans="1:12" x14ac:dyDescent="0.2">
      <c r="A141" s="30">
        <v>18994</v>
      </c>
      <c r="B141" s="30" t="s">
        <v>363</v>
      </c>
      <c r="C141" s="30">
        <v>12030611</v>
      </c>
      <c r="D141" s="30" t="s">
        <v>36</v>
      </c>
      <c r="E141" s="30">
        <v>20</v>
      </c>
      <c r="F141" s="30" t="s">
        <v>139</v>
      </c>
      <c r="G141" s="30">
        <v>4010.4</v>
      </c>
      <c r="H141" s="30">
        <v>116.23</v>
      </c>
      <c r="I141" s="30"/>
      <c r="J141" s="44" t="s">
        <v>12</v>
      </c>
      <c r="L141" t="str">
        <f t="shared" si="2"/>
        <v>12030611.4010.400</v>
      </c>
    </row>
    <row r="142" spans="1:12" x14ac:dyDescent="0.2">
      <c r="A142" s="30">
        <v>18918</v>
      </c>
      <c r="B142" s="30" t="s">
        <v>38</v>
      </c>
      <c r="C142" s="30">
        <v>12030611</v>
      </c>
      <c r="D142" s="30" t="s">
        <v>36</v>
      </c>
      <c r="E142" s="30">
        <v>20</v>
      </c>
      <c r="F142" s="30" t="s">
        <v>139</v>
      </c>
      <c r="G142" s="30">
        <v>4010.4</v>
      </c>
      <c r="H142" s="30">
        <v>205.85</v>
      </c>
      <c r="I142" s="30"/>
      <c r="J142" s="44" t="s">
        <v>12</v>
      </c>
      <c r="L142" t="str">
        <f t="shared" si="2"/>
        <v>12030611.4010.400</v>
      </c>
    </row>
    <row r="143" spans="1:12" x14ac:dyDescent="0.2">
      <c r="A143" s="30">
        <v>18901</v>
      </c>
      <c r="B143" s="30" t="s">
        <v>37</v>
      </c>
      <c r="C143" s="30">
        <v>12030611</v>
      </c>
      <c r="D143" s="30" t="s">
        <v>36</v>
      </c>
      <c r="E143" s="30">
        <v>20</v>
      </c>
      <c r="F143" s="30" t="s">
        <v>139</v>
      </c>
      <c r="G143" s="30">
        <v>4010.4</v>
      </c>
      <c r="H143" s="30">
        <v>360.39</v>
      </c>
      <c r="I143" s="30"/>
      <c r="J143" s="44" t="s">
        <v>12</v>
      </c>
      <c r="L143" t="str">
        <f t="shared" si="2"/>
        <v>12030611.4010.400</v>
      </c>
    </row>
    <row r="144" spans="1:12" x14ac:dyDescent="0.2">
      <c r="A144" s="30">
        <v>18979</v>
      </c>
      <c r="B144" s="30" t="s">
        <v>39</v>
      </c>
      <c r="C144" s="30">
        <v>12030611</v>
      </c>
      <c r="D144" s="30" t="s">
        <v>36</v>
      </c>
      <c r="E144" s="30">
        <v>20</v>
      </c>
      <c r="F144" s="30" t="s">
        <v>139</v>
      </c>
      <c r="G144" s="30">
        <v>4010.4</v>
      </c>
      <c r="H144" s="30">
        <v>262.17</v>
      </c>
      <c r="I144" s="30"/>
      <c r="J144" s="44" t="s">
        <v>12</v>
      </c>
      <c r="L144" t="str">
        <f t="shared" si="2"/>
        <v>12030611.4010.400</v>
      </c>
    </row>
    <row r="145" spans="1:12" x14ac:dyDescent="0.2">
      <c r="A145" s="30">
        <v>18692</v>
      </c>
      <c r="B145" s="30" t="s">
        <v>40</v>
      </c>
      <c r="C145" s="30">
        <v>12030711</v>
      </c>
      <c r="D145" s="30" t="s">
        <v>41</v>
      </c>
      <c r="E145" s="30">
        <v>20</v>
      </c>
      <c r="F145" s="30" t="s">
        <v>139</v>
      </c>
      <c r="G145" s="30">
        <v>4010.4</v>
      </c>
      <c r="H145" s="30">
        <v>36.46</v>
      </c>
      <c r="I145" s="30"/>
      <c r="J145" s="44" t="s">
        <v>12</v>
      </c>
      <c r="L145" t="str">
        <f t="shared" si="2"/>
        <v>12030711.4010.400</v>
      </c>
    </row>
    <row r="146" spans="1:12" x14ac:dyDescent="0.2">
      <c r="A146" s="30">
        <v>19012</v>
      </c>
      <c r="B146" s="30" t="s">
        <v>110</v>
      </c>
      <c r="C146" s="30">
        <v>12033011</v>
      </c>
      <c r="D146" s="30" t="s">
        <v>45</v>
      </c>
      <c r="E146" s="30">
        <v>20</v>
      </c>
      <c r="F146" s="30" t="s">
        <v>139</v>
      </c>
      <c r="G146" s="30">
        <v>4010.4</v>
      </c>
      <c r="H146" s="30">
        <v>16.100000000000001</v>
      </c>
      <c r="I146" s="30"/>
      <c r="J146" s="44" t="s">
        <v>12</v>
      </c>
      <c r="L146" t="str">
        <f t="shared" si="2"/>
        <v>12033011.4010.400</v>
      </c>
    </row>
    <row r="147" spans="1:12" x14ac:dyDescent="0.2">
      <c r="A147" s="30">
        <v>19030</v>
      </c>
      <c r="B147" s="30" t="s">
        <v>364</v>
      </c>
      <c r="C147" s="30">
        <v>12033011</v>
      </c>
      <c r="D147" s="30" t="s">
        <v>45</v>
      </c>
      <c r="E147" s="30">
        <v>20</v>
      </c>
      <c r="F147" s="30" t="s">
        <v>139</v>
      </c>
      <c r="G147" s="30">
        <v>4010.4</v>
      </c>
      <c r="H147" s="30">
        <v>333.56</v>
      </c>
      <c r="I147" s="30"/>
      <c r="J147" s="44" t="s">
        <v>12</v>
      </c>
      <c r="L147" t="str">
        <f t="shared" si="2"/>
        <v>12033011.4010.400</v>
      </c>
    </row>
    <row r="148" spans="1:12" x14ac:dyDescent="0.2">
      <c r="A148" s="30">
        <v>18932</v>
      </c>
      <c r="B148" s="30" t="s">
        <v>44</v>
      </c>
      <c r="C148" s="30">
        <v>12033011</v>
      </c>
      <c r="D148" s="30" t="s">
        <v>45</v>
      </c>
      <c r="E148" s="30">
        <v>20</v>
      </c>
      <c r="F148" s="30" t="s">
        <v>139</v>
      </c>
      <c r="G148" s="30">
        <v>4010.4</v>
      </c>
      <c r="H148" s="30">
        <v>333.56</v>
      </c>
      <c r="I148" s="30"/>
      <c r="J148" s="44" t="s">
        <v>12</v>
      </c>
      <c r="L148" t="str">
        <f t="shared" si="2"/>
        <v>12033011.4010.400</v>
      </c>
    </row>
    <row r="149" spans="1:12" x14ac:dyDescent="0.2">
      <c r="A149" s="30">
        <v>18998</v>
      </c>
      <c r="B149" s="30" t="s">
        <v>47</v>
      </c>
      <c r="C149" s="30">
        <v>12038099</v>
      </c>
      <c r="D149" s="30" t="s">
        <v>48</v>
      </c>
      <c r="E149" s="30">
        <v>20</v>
      </c>
      <c r="F149" s="30" t="s">
        <v>139</v>
      </c>
      <c r="G149" s="30">
        <v>4010.4</v>
      </c>
      <c r="H149" s="30">
        <v>692.31</v>
      </c>
      <c r="I149" s="30"/>
      <c r="J149" s="44" t="s">
        <v>12</v>
      </c>
      <c r="L149" t="str">
        <f t="shared" si="2"/>
        <v>12038099.4010.400</v>
      </c>
    </row>
    <row r="150" spans="1:12" x14ac:dyDescent="0.2">
      <c r="A150" s="30">
        <v>18649</v>
      </c>
      <c r="B150" s="30" t="s">
        <v>152</v>
      </c>
      <c r="C150" s="30">
        <v>12040500</v>
      </c>
      <c r="D150" s="30" t="s">
        <v>67</v>
      </c>
      <c r="E150" s="30">
        <v>20</v>
      </c>
      <c r="F150" s="30" t="s">
        <v>139</v>
      </c>
      <c r="G150" s="30">
        <v>4010.4</v>
      </c>
      <c r="H150" s="30">
        <v>36.46</v>
      </c>
      <c r="I150" s="30"/>
      <c r="J150" s="44" t="s">
        <v>12</v>
      </c>
      <c r="L150" t="str">
        <f t="shared" si="2"/>
        <v>12040500.4010.400</v>
      </c>
    </row>
    <row r="151" spans="1:12" x14ac:dyDescent="0.2">
      <c r="A151" s="30">
        <v>19023</v>
      </c>
      <c r="B151" s="30" t="s">
        <v>69</v>
      </c>
      <c r="C151" s="30">
        <v>12043011</v>
      </c>
      <c r="D151" s="30" t="s">
        <v>52</v>
      </c>
      <c r="E151" s="30">
        <v>20</v>
      </c>
      <c r="F151" s="30" t="s">
        <v>139</v>
      </c>
      <c r="G151" s="30">
        <v>4010.4</v>
      </c>
      <c r="H151" s="30">
        <v>176.05</v>
      </c>
      <c r="I151" s="30"/>
      <c r="J151" s="44" t="s">
        <v>12</v>
      </c>
      <c r="L151" t="str">
        <f t="shared" si="2"/>
        <v>12043011.4010.400</v>
      </c>
    </row>
    <row r="152" spans="1:12" x14ac:dyDescent="0.2">
      <c r="A152" s="30">
        <v>18986</v>
      </c>
      <c r="B152" s="30" t="s">
        <v>153</v>
      </c>
      <c r="C152" s="30">
        <v>12043011</v>
      </c>
      <c r="D152" s="30" t="s">
        <v>52</v>
      </c>
      <c r="E152" s="30">
        <v>20</v>
      </c>
      <c r="F152" s="30" t="s">
        <v>139</v>
      </c>
      <c r="G152" s="30">
        <v>4010.4</v>
      </c>
      <c r="H152" s="30">
        <v>270.81</v>
      </c>
      <c r="I152" s="30"/>
      <c r="J152" s="44" t="s">
        <v>12</v>
      </c>
      <c r="L152" t="str">
        <f t="shared" si="2"/>
        <v>12043011.4010.400</v>
      </c>
    </row>
    <row r="153" spans="1:12" x14ac:dyDescent="0.2">
      <c r="A153" s="30">
        <v>18713</v>
      </c>
      <c r="B153" s="30" t="s">
        <v>154</v>
      </c>
      <c r="C153" s="30">
        <v>12043011</v>
      </c>
      <c r="D153" s="30" t="s">
        <v>52</v>
      </c>
      <c r="E153" s="30">
        <v>20</v>
      </c>
      <c r="F153" s="30" t="s">
        <v>139</v>
      </c>
      <c r="G153" s="30">
        <v>4010.4</v>
      </c>
      <c r="H153" s="30">
        <v>267.22000000000003</v>
      </c>
      <c r="I153" s="30"/>
      <c r="J153" s="44" t="s">
        <v>12</v>
      </c>
      <c r="L153" t="str">
        <f t="shared" si="2"/>
        <v>12043011.4010.400</v>
      </c>
    </row>
    <row r="154" spans="1:12" x14ac:dyDescent="0.2">
      <c r="A154" s="30">
        <v>18917</v>
      </c>
      <c r="B154" s="30" t="s">
        <v>68</v>
      </c>
      <c r="C154" s="30">
        <v>12043011</v>
      </c>
      <c r="D154" s="30" t="s">
        <v>52</v>
      </c>
      <c r="E154" s="30">
        <v>20</v>
      </c>
      <c r="F154" s="30" t="s">
        <v>139</v>
      </c>
      <c r="G154" s="30">
        <v>4010.4</v>
      </c>
      <c r="H154" s="30">
        <v>96.21</v>
      </c>
      <c r="I154" s="30"/>
      <c r="J154" s="44" t="s">
        <v>12</v>
      </c>
      <c r="L154" t="str">
        <f t="shared" si="2"/>
        <v>12043011.4010.400</v>
      </c>
    </row>
    <row r="155" spans="1:12" x14ac:dyDescent="0.2">
      <c r="A155" s="30">
        <v>18858</v>
      </c>
      <c r="B155" s="30" t="s">
        <v>122</v>
      </c>
      <c r="C155" s="30">
        <v>12043011</v>
      </c>
      <c r="D155" s="30" t="s">
        <v>52</v>
      </c>
      <c r="E155" s="30">
        <v>20</v>
      </c>
      <c r="F155" s="30" t="s">
        <v>139</v>
      </c>
      <c r="G155" s="30">
        <v>4010.4</v>
      </c>
      <c r="H155" s="30">
        <v>36.46</v>
      </c>
      <c r="I155" s="30"/>
      <c r="J155" s="44" t="s">
        <v>12</v>
      </c>
      <c r="L155" t="str">
        <f t="shared" si="2"/>
        <v>12043011.4010.400</v>
      </c>
    </row>
    <row r="156" spans="1:12" x14ac:dyDescent="0.2">
      <c r="A156" s="30">
        <v>18850</v>
      </c>
      <c r="B156" s="30" t="s">
        <v>123</v>
      </c>
      <c r="C156" s="30">
        <v>12043011</v>
      </c>
      <c r="D156" s="30" t="s">
        <v>52</v>
      </c>
      <c r="E156" s="30">
        <v>20</v>
      </c>
      <c r="F156" s="30" t="s">
        <v>139</v>
      </c>
      <c r="G156" s="30">
        <v>4010.4</v>
      </c>
      <c r="H156" s="30">
        <v>36.46</v>
      </c>
      <c r="I156" s="30"/>
      <c r="J156" s="44" t="s">
        <v>12</v>
      </c>
      <c r="L156" t="str">
        <f t="shared" si="2"/>
        <v>12043011.4010.400</v>
      </c>
    </row>
    <row r="157" spans="1:12" x14ac:dyDescent="0.2">
      <c r="A157" s="30">
        <v>18942</v>
      </c>
      <c r="B157" s="30" t="s">
        <v>51</v>
      </c>
      <c r="C157" s="30">
        <v>12043011</v>
      </c>
      <c r="D157" s="30" t="s">
        <v>52</v>
      </c>
      <c r="E157" s="30">
        <v>20</v>
      </c>
      <c r="F157" s="30" t="s">
        <v>139</v>
      </c>
      <c r="G157" s="30">
        <v>4010.4</v>
      </c>
      <c r="H157" s="30">
        <v>117.63</v>
      </c>
      <c r="I157" s="30"/>
      <c r="J157" s="44" t="s">
        <v>12</v>
      </c>
      <c r="L157" t="str">
        <f t="shared" si="2"/>
        <v>12043011.4010.400</v>
      </c>
    </row>
    <row r="158" spans="1:12" x14ac:dyDescent="0.2">
      <c r="A158" s="30">
        <v>19001</v>
      </c>
      <c r="B158" s="30" t="s">
        <v>155</v>
      </c>
      <c r="C158" s="30">
        <v>12048099</v>
      </c>
      <c r="D158" s="30" t="s">
        <v>156</v>
      </c>
      <c r="E158" s="30">
        <v>20</v>
      </c>
      <c r="F158" s="30" t="s">
        <v>139</v>
      </c>
      <c r="G158" s="30">
        <v>4010.4</v>
      </c>
      <c r="H158" s="30">
        <v>692.31</v>
      </c>
      <c r="I158" s="30"/>
      <c r="J158" s="44" t="s">
        <v>12</v>
      </c>
      <c r="L158" t="str">
        <f t="shared" si="2"/>
        <v>12048099.4010.400</v>
      </c>
    </row>
    <row r="159" spans="1:12" x14ac:dyDescent="0.2">
      <c r="A159" s="30">
        <v>19031</v>
      </c>
      <c r="B159" s="30" t="s">
        <v>387</v>
      </c>
      <c r="C159" s="30">
        <v>12048099</v>
      </c>
      <c r="D159" s="30" t="s">
        <v>156</v>
      </c>
      <c r="E159" s="30">
        <v>20</v>
      </c>
      <c r="F159" s="30" t="s">
        <v>139</v>
      </c>
      <c r="G159" s="30">
        <v>4010.4</v>
      </c>
      <c r="H159" s="30">
        <v>484.62</v>
      </c>
      <c r="I159" s="30"/>
      <c r="J159" s="44" t="s">
        <v>12</v>
      </c>
      <c r="L159" t="str">
        <f t="shared" si="2"/>
        <v>12048099.4010.400</v>
      </c>
    </row>
    <row r="160" spans="1:12" x14ac:dyDescent="0.2">
      <c r="A160" s="30">
        <v>18442</v>
      </c>
      <c r="B160" s="30" t="s">
        <v>157</v>
      </c>
      <c r="C160" s="30">
        <v>12060400</v>
      </c>
      <c r="D160" s="30" t="s">
        <v>158</v>
      </c>
      <c r="E160" s="30">
        <v>20</v>
      </c>
      <c r="F160" s="30" t="s">
        <v>139</v>
      </c>
      <c r="G160" s="30">
        <v>4010.4</v>
      </c>
      <c r="H160" s="30">
        <v>36.46</v>
      </c>
      <c r="I160" s="30"/>
      <c r="J160" s="44" t="s">
        <v>12</v>
      </c>
      <c r="L160" t="str">
        <f t="shared" si="2"/>
        <v>12060400.4010.400</v>
      </c>
    </row>
    <row r="161" spans="1:12" x14ac:dyDescent="0.2">
      <c r="A161" s="30">
        <v>18895</v>
      </c>
      <c r="B161" s="30" t="s">
        <v>128</v>
      </c>
      <c r="C161" s="30">
        <v>12060611</v>
      </c>
      <c r="D161" s="30" t="s">
        <v>54</v>
      </c>
      <c r="E161" s="30">
        <v>20</v>
      </c>
      <c r="F161" s="30" t="s">
        <v>139</v>
      </c>
      <c r="G161" s="30">
        <v>4010.4</v>
      </c>
      <c r="H161" s="30">
        <v>16.100000000000001</v>
      </c>
      <c r="I161" s="30"/>
      <c r="J161" s="44" t="s">
        <v>12</v>
      </c>
      <c r="L161" t="str">
        <f t="shared" si="2"/>
        <v>12060611.4010.400</v>
      </c>
    </row>
    <row r="162" spans="1:12" x14ac:dyDescent="0.2">
      <c r="A162" s="30">
        <v>261</v>
      </c>
      <c r="B162" s="30" t="s">
        <v>159</v>
      </c>
      <c r="C162" s="30">
        <v>12060611</v>
      </c>
      <c r="D162" s="30" t="s">
        <v>54</v>
      </c>
      <c r="E162" s="30">
        <v>20</v>
      </c>
      <c r="F162" s="30" t="s">
        <v>139</v>
      </c>
      <c r="G162" s="30">
        <v>4010.4</v>
      </c>
      <c r="H162" s="30">
        <v>36.46</v>
      </c>
      <c r="I162" s="30"/>
      <c r="J162" s="44" t="s">
        <v>12</v>
      </c>
      <c r="L162" t="str">
        <f t="shared" si="2"/>
        <v>12060611.4010.400</v>
      </c>
    </row>
    <row r="163" spans="1:12" x14ac:dyDescent="0.2">
      <c r="A163" s="30">
        <v>18823</v>
      </c>
      <c r="B163" s="30" t="s">
        <v>53</v>
      </c>
      <c r="C163" s="30">
        <v>12060611</v>
      </c>
      <c r="D163" s="30" t="s">
        <v>54</v>
      </c>
      <c r="E163" s="30">
        <v>20</v>
      </c>
      <c r="F163" s="30" t="s">
        <v>139</v>
      </c>
      <c r="G163" s="30">
        <v>4010.4</v>
      </c>
      <c r="H163" s="30">
        <v>36.46</v>
      </c>
      <c r="I163" s="30"/>
      <c r="J163" s="44" t="s">
        <v>12</v>
      </c>
      <c r="L163" t="str">
        <f t="shared" si="2"/>
        <v>12060611.4010.400</v>
      </c>
    </row>
    <row r="164" spans="1:12" x14ac:dyDescent="0.2">
      <c r="A164" s="30">
        <v>18876</v>
      </c>
      <c r="B164" s="30" t="s">
        <v>160</v>
      </c>
      <c r="C164" s="30">
        <v>12068099</v>
      </c>
      <c r="D164" s="30" t="s">
        <v>161</v>
      </c>
      <c r="E164" s="30">
        <v>20</v>
      </c>
      <c r="F164" s="30" t="s">
        <v>139</v>
      </c>
      <c r="G164" s="30">
        <v>4010.4</v>
      </c>
      <c r="H164" s="30">
        <v>692.31</v>
      </c>
      <c r="I164" s="30"/>
      <c r="J164" s="44" t="s">
        <v>12</v>
      </c>
      <c r="L164" t="str">
        <f t="shared" si="2"/>
        <v>12068099.4010.400</v>
      </c>
    </row>
    <row r="165" spans="1:12" x14ac:dyDescent="0.2">
      <c r="A165" s="30">
        <v>18726</v>
      </c>
      <c r="B165" s="30" t="s">
        <v>162</v>
      </c>
      <c r="C165" s="30">
        <v>12010500</v>
      </c>
      <c r="D165" s="30" t="s">
        <v>60</v>
      </c>
      <c r="E165" s="30">
        <v>40</v>
      </c>
      <c r="F165" s="30" t="s">
        <v>163</v>
      </c>
      <c r="G165" s="30">
        <v>4080.1</v>
      </c>
      <c r="H165" s="30">
        <v>165</v>
      </c>
      <c r="I165" s="30"/>
      <c r="J165" s="44" t="s">
        <v>12</v>
      </c>
      <c r="L165" t="str">
        <f t="shared" si="2"/>
        <v>12010500.4080.100</v>
      </c>
    </row>
    <row r="166" spans="1:12" x14ac:dyDescent="0.2">
      <c r="A166" s="30">
        <v>18946</v>
      </c>
      <c r="B166" s="30" t="s">
        <v>13</v>
      </c>
      <c r="C166" s="30">
        <v>12013250</v>
      </c>
      <c r="D166" s="30" t="s">
        <v>10</v>
      </c>
      <c r="E166" s="30">
        <v>40</v>
      </c>
      <c r="F166" s="30" t="s">
        <v>163</v>
      </c>
      <c r="G166" s="30">
        <v>4080.1</v>
      </c>
      <c r="H166" s="30">
        <v>300</v>
      </c>
      <c r="I166" s="30"/>
      <c r="J166" s="44" t="s">
        <v>12</v>
      </c>
      <c r="L166" t="str">
        <f t="shared" si="2"/>
        <v>12013250.4080.100</v>
      </c>
    </row>
    <row r="167" spans="1:12" x14ac:dyDescent="0.2">
      <c r="A167" s="30">
        <v>220</v>
      </c>
      <c r="B167" s="30" t="s">
        <v>14</v>
      </c>
      <c r="C167" s="30">
        <v>12013300</v>
      </c>
      <c r="D167" s="30" t="s">
        <v>15</v>
      </c>
      <c r="E167" s="30">
        <v>40</v>
      </c>
      <c r="F167" s="30" t="s">
        <v>163</v>
      </c>
      <c r="G167" s="30">
        <v>4080.1</v>
      </c>
      <c r="H167" s="30">
        <v>75</v>
      </c>
      <c r="I167" s="30"/>
      <c r="J167" s="44" t="s">
        <v>12</v>
      </c>
      <c r="L167" t="str">
        <f t="shared" si="2"/>
        <v>12013300.4080.100</v>
      </c>
    </row>
    <row r="168" spans="1:12" x14ac:dyDescent="0.2">
      <c r="A168" s="30">
        <v>18968</v>
      </c>
      <c r="B168" s="30" t="s">
        <v>164</v>
      </c>
      <c r="C168" s="30">
        <v>12019199</v>
      </c>
      <c r="D168" s="30" t="s">
        <v>147</v>
      </c>
      <c r="E168" s="30">
        <v>40</v>
      </c>
      <c r="F168" s="30" t="s">
        <v>163</v>
      </c>
      <c r="G168" s="30">
        <v>4080.1</v>
      </c>
      <c r="H168" s="30">
        <v>400</v>
      </c>
      <c r="I168" s="30"/>
      <c r="J168" s="44" t="s">
        <v>12</v>
      </c>
      <c r="L168" t="str">
        <f t="shared" si="2"/>
        <v>12019199.4080.100</v>
      </c>
    </row>
    <row r="169" spans="1:12" x14ac:dyDescent="0.2">
      <c r="A169" s="30">
        <v>18550</v>
      </c>
      <c r="B169" s="30" t="s">
        <v>165</v>
      </c>
      <c r="C169" s="30">
        <v>12019199</v>
      </c>
      <c r="D169" s="30" t="s">
        <v>147</v>
      </c>
      <c r="E169" s="30">
        <v>40</v>
      </c>
      <c r="F169" s="30" t="s">
        <v>163</v>
      </c>
      <c r="G169" s="30">
        <v>4080.1</v>
      </c>
      <c r="H169" s="30">
        <v>780</v>
      </c>
      <c r="I169" s="30"/>
      <c r="J169" s="44" t="s">
        <v>12</v>
      </c>
      <c r="L169" t="str">
        <f t="shared" si="2"/>
        <v>12019199.4080.100</v>
      </c>
    </row>
    <row r="170" spans="1:12" x14ac:dyDescent="0.2">
      <c r="A170" s="30">
        <v>18957</v>
      </c>
      <c r="B170" s="30" t="s">
        <v>74</v>
      </c>
      <c r="C170" s="30">
        <v>12020611</v>
      </c>
      <c r="D170" s="30" t="s">
        <v>23</v>
      </c>
      <c r="E170" s="30">
        <v>40</v>
      </c>
      <c r="F170" s="30" t="s">
        <v>163</v>
      </c>
      <c r="G170" s="30">
        <v>4080.1</v>
      </c>
      <c r="H170" s="30">
        <v>860</v>
      </c>
      <c r="I170" s="30"/>
      <c r="J170" s="44" t="s">
        <v>12</v>
      </c>
      <c r="L170" t="str">
        <f t="shared" si="2"/>
        <v>12020611.4080.100</v>
      </c>
    </row>
    <row r="171" spans="1:12" x14ac:dyDescent="0.2">
      <c r="A171" s="30">
        <v>261</v>
      </c>
      <c r="B171" s="30" t="s">
        <v>159</v>
      </c>
      <c r="C171" s="30">
        <v>12060611</v>
      </c>
      <c r="D171" s="30" t="s">
        <v>54</v>
      </c>
      <c r="E171" s="30">
        <v>40</v>
      </c>
      <c r="F171" s="30" t="s">
        <v>163</v>
      </c>
      <c r="G171" s="30">
        <v>4080.1</v>
      </c>
      <c r="H171" s="30">
        <v>150</v>
      </c>
      <c r="I171" s="30"/>
      <c r="J171" s="44" t="s">
        <v>12</v>
      </c>
      <c r="L171" t="str">
        <f t="shared" si="2"/>
        <v>12060611.4080.100</v>
      </c>
    </row>
    <row r="172" spans="1:12" x14ac:dyDescent="0.2">
      <c r="A172" s="30">
        <v>18647</v>
      </c>
      <c r="B172" s="30" t="s">
        <v>167</v>
      </c>
      <c r="C172" s="30">
        <v>12010500</v>
      </c>
      <c r="D172" s="30" t="s">
        <v>60</v>
      </c>
      <c r="E172" s="30">
        <v>50</v>
      </c>
      <c r="F172" s="30" t="s">
        <v>166</v>
      </c>
      <c r="G172" s="30">
        <v>4080.1</v>
      </c>
      <c r="H172" s="30">
        <v>437.55</v>
      </c>
      <c r="I172" s="30"/>
      <c r="J172" s="44" t="s">
        <v>12</v>
      </c>
      <c r="L172" t="str">
        <f t="shared" si="2"/>
        <v>12010500.4080.100</v>
      </c>
    </row>
    <row r="173" spans="1:12" x14ac:dyDescent="0.2">
      <c r="A173" s="30">
        <v>18517</v>
      </c>
      <c r="B173" s="30" t="s">
        <v>140</v>
      </c>
      <c r="C173" s="30">
        <v>12010500</v>
      </c>
      <c r="D173" s="30" t="s">
        <v>60</v>
      </c>
      <c r="E173" s="30">
        <v>50</v>
      </c>
      <c r="F173" s="30" t="s">
        <v>166</v>
      </c>
      <c r="G173" s="30">
        <v>4080.1</v>
      </c>
      <c r="H173" s="30">
        <v>565.39</v>
      </c>
      <c r="I173" s="30"/>
      <c r="J173" s="44" t="s">
        <v>12</v>
      </c>
      <c r="L173" t="str">
        <f t="shared" si="2"/>
        <v>12010500.4080.100</v>
      </c>
    </row>
    <row r="174" spans="1:12" x14ac:dyDescent="0.2">
      <c r="A174" s="30">
        <v>18845</v>
      </c>
      <c r="B174" s="30" t="s">
        <v>138</v>
      </c>
      <c r="C174" s="30">
        <v>12010500</v>
      </c>
      <c r="D174" s="30" t="s">
        <v>60</v>
      </c>
      <c r="E174" s="30">
        <v>50</v>
      </c>
      <c r="F174" s="30" t="s">
        <v>166</v>
      </c>
      <c r="G174" s="30">
        <v>4080.1</v>
      </c>
      <c r="H174" s="30">
        <v>169.62</v>
      </c>
      <c r="I174" s="30"/>
      <c r="J174" s="44" t="s">
        <v>12</v>
      </c>
      <c r="L174" t="str">
        <f t="shared" si="2"/>
        <v>12010500.4080.100</v>
      </c>
    </row>
    <row r="175" spans="1:12" x14ac:dyDescent="0.2">
      <c r="A175" s="30">
        <v>18726</v>
      </c>
      <c r="B175" s="30" t="s">
        <v>162</v>
      </c>
      <c r="C175" s="30">
        <v>12010500</v>
      </c>
      <c r="D175" s="30" t="s">
        <v>60</v>
      </c>
      <c r="E175" s="30">
        <v>50</v>
      </c>
      <c r="F175" s="30" t="s">
        <v>166</v>
      </c>
      <c r="G175" s="30">
        <v>4080.1</v>
      </c>
      <c r="H175" s="30">
        <v>343.27</v>
      </c>
      <c r="I175" s="30"/>
      <c r="J175" s="44" t="s">
        <v>12</v>
      </c>
      <c r="L175" t="str">
        <f t="shared" si="2"/>
        <v>12010500.4080.100</v>
      </c>
    </row>
    <row r="176" spans="1:12" x14ac:dyDescent="0.2">
      <c r="A176" s="30">
        <v>18871</v>
      </c>
      <c r="B176" s="30" t="s">
        <v>168</v>
      </c>
      <c r="C176" s="30">
        <v>12010500</v>
      </c>
      <c r="D176" s="30" t="s">
        <v>60</v>
      </c>
      <c r="E176" s="30">
        <v>50</v>
      </c>
      <c r="F176" s="30" t="s">
        <v>166</v>
      </c>
      <c r="G176" s="30">
        <v>4080.1</v>
      </c>
      <c r="H176" s="30">
        <v>444.23</v>
      </c>
      <c r="I176" s="30"/>
      <c r="J176" s="44" t="s">
        <v>12</v>
      </c>
      <c r="L176" t="str">
        <f t="shared" si="2"/>
        <v>12010500.4080.100</v>
      </c>
    </row>
    <row r="177" spans="1:12" x14ac:dyDescent="0.2">
      <c r="A177" s="30">
        <v>152</v>
      </c>
      <c r="B177" s="30" t="s">
        <v>169</v>
      </c>
      <c r="C177" s="30">
        <v>12010700</v>
      </c>
      <c r="D177" s="30" t="s">
        <v>170</v>
      </c>
      <c r="E177" s="30">
        <v>50</v>
      </c>
      <c r="F177" s="30" t="s">
        <v>166</v>
      </c>
      <c r="G177" s="30">
        <v>4080.1</v>
      </c>
      <c r="H177" s="30">
        <v>403.85</v>
      </c>
      <c r="I177" s="30"/>
      <c r="J177" s="44" t="s">
        <v>12</v>
      </c>
      <c r="L177" t="str">
        <f t="shared" si="2"/>
        <v>12010700.4080.100</v>
      </c>
    </row>
    <row r="178" spans="1:12" x14ac:dyDescent="0.2">
      <c r="A178" s="30">
        <v>18736</v>
      </c>
      <c r="B178" s="30" t="s">
        <v>70</v>
      </c>
      <c r="C178" s="30">
        <v>12013012</v>
      </c>
      <c r="D178" s="30" t="s">
        <v>71</v>
      </c>
      <c r="E178" s="30">
        <v>50</v>
      </c>
      <c r="F178" s="30" t="s">
        <v>166</v>
      </c>
      <c r="G178" s="30">
        <v>4080.1</v>
      </c>
      <c r="H178" s="30">
        <v>58.74</v>
      </c>
      <c r="I178" s="30"/>
      <c r="J178" s="44" t="s">
        <v>12</v>
      </c>
      <c r="L178" t="str">
        <f t="shared" si="2"/>
        <v>12013012.4080.100</v>
      </c>
    </row>
    <row r="179" spans="1:12" x14ac:dyDescent="0.2">
      <c r="A179" s="30">
        <v>19014</v>
      </c>
      <c r="B179" s="30" t="s">
        <v>171</v>
      </c>
      <c r="C179" s="30">
        <v>12013012</v>
      </c>
      <c r="D179" s="30" t="s">
        <v>71</v>
      </c>
      <c r="E179" s="30">
        <v>50</v>
      </c>
      <c r="F179" s="30" t="s">
        <v>166</v>
      </c>
      <c r="G179" s="30">
        <v>4080.1</v>
      </c>
      <c r="H179" s="30">
        <v>262.5</v>
      </c>
      <c r="I179" s="30"/>
      <c r="J179" s="44" t="s">
        <v>12</v>
      </c>
      <c r="L179" t="str">
        <f t="shared" si="2"/>
        <v>12013012.4080.100</v>
      </c>
    </row>
    <row r="180" spans="1:12" x14ac:dyDescent="0.2">
      <c r="A180" s="30">
        <v>18946</v>
      </c>
      <c r="B180" s="30" t="s">
        <v>13</v>
      </c>
      <c r="C180" s="30">
        <v>12013250</v>
      </c>
      <c r="D180" s="30" t="s">
        <v>10</v>
      </c>
      <c r="E180" s="30">
        <v>50</v>
      </c>
      <c r="F180" s="30" t="s">
        <v>166</v>
      </c>
      <c r="G180" s="30">
        <v>4080.1</v>
      </c>
      <c r="H180" s="30">
        <v>253.51</v>
      </c>
      <c r="I180" s="30"/>
      <c r="J180" s="44" t="s">
        <v>12</v>
      </c>
      <c r="L180" t="str">
        <f t="shared" si="2"/>
        <v>12013250.4080.100</v>
      </c>
    </row>
    <row r="181" spans="1:12" x14ac:dyDescent="0.2">
      <c r="A181" s="30">
        <v>18721</v>
      </c>
      <c r="B181" s="30" t="s">
        <v>172</v>
      </c>
      <c r="C181" s="30">
        <v>12013250</v>
      </c>
      <c r="D181" s="30" t="s">
        <v>10</v>
      </c>
      <c r="E181" s="30">
        <v>50</v>
      </c>
      <c r="F181" s="30" t="s">
        <v>166</v>
      </c>
      <c r="G181" s="30">
        <v>4080.1</v>
      </c>
      <c r="H181" s="30">
        <v>294.81</v>
      </c>
      <c r="I181" s="30"/>
      <c r="J181" s="44" t="s">
        <v>12</v>
      </c>
      <c r="L181" t="str">
        <f t="shared" si="2"/>
        <v>12013250.4080.100</v>
      </c>
    </row>
    <row r="182" spans="1:12" x14ac:dyDescent="0.2">
      <c r="A182" s="30">
        <v>18997</v>
      </c>
      <c r="B182" s="30" t="s">
        <v>141</v>
      </c>
      <c r="C182" s="30">
        <v>12013250</v>
      </c>
      <c r="D182" s="30" t="s">
        <v>10</v>
      </c>
      <c r="E182" s="30">
        <v>50</v>
      </c>
      <c r="F182" s="30" t="s">
        <v>166</v>
      </c>
      <c r="G182" s="30">
        <v>4080.1</v>
      </c>
      <c r="H182" s="30">
        <v>444.23</v>
      </c>
      <c r="I182" s="30"/>
      <c r="J182" s="44" t="s">
        <v>12</v>
      </c>
      <c r="L182" t="str">
        <f t="shared" si="2"/>
        <v>12013250.4080.100</v>
      </c>
    </row>
    <row r="183" spans="1:12" x14ac:dyDescent="0.2">
      <c r="A183" s="30">
        <v>18987</v>
      </c>
      <c r="B183" s="30" t="s">
        <v>173</v>
      </c>
      <c r="C183" s="30">
        <v>12013250</v>
      </c>
      <c r="D183" s="30" t="s">
        <v>10</v>
      </c>
      <c r="E183" s="30">
        <v>50</v>
      </c>
      <c r="F183" s="30" t="s">
        <v>166</v>
      </c>
      <c r="G183" s="30">
        <v>4080.1</v>
      </c>
      <c r="H183" s="30">
        <v>323.08</v>
      </c>
      <c r="I183" s="30"/>
      <c r="J183" s="44" t="s">
        <v>12</v>
      </c>
      <c r="L183" t="str">
        <f t="shared" si="2"/>
        <v>12013250.4080.100</v>
      </c>
    </row>
    <row r="184" spans="1:12" x14ac:dyDescent="0.2">
      <c r="A184" s="30">
        <v>18920</v>
      </c>
      <c r="B184" s="30" t="s">
        <v>9</v>
      </c>
      <c r="C184" s="30">
        <v>12013250</v>
      </c>
      <c r="D184" s="30" t="s">
        <v>10</v>
      </c>
      <c r="E184" s="30">
        <v>50</v>
      </c>
      <c r="F184" s="30" t="s">
        <v>166</v>
      </c>
      <c r="G184" s="30">
        <v>4080.1</v>
      </c>
      <c r="H184" s="30">
        <v>476.03</v>
      </c>
      <c r="I184" s="30"/>
      <c r="J184" s="44" t="s">
        <v>12</v>
      </c>
      <c r="L184" t="str">
        <f t="shared" si="2"/>
        <v>12013250.4080.100</v>
      </c>
    </row>
    <row r="185" spans="1:12" x14ac:dyDescent="0.2">
      <c r="A185" s="30">
        <v>18995</v>
      </c>
      <c r="B185" s="30" t="s">
        <v>174</v>
      </c>
      <c r="C185" s="30">
        <v>12013250</v>
      </c>
      <c r="D185" s="30" t="s">
        <v>10</v>
      </c>
      <c r="E185" s="30">
        <v>50</v>
      </c>
      <c r="F185" s="30" t="s">
        <v>166</v>
      </c>
      <c r="G185" s="30">
        <v>4080.1</v>
      </c>
      <c r="H185" s="30">
        <v>242.31</v>
      </c>
      <c r="I185" s="30"/>
      <c r="J185" s="44" t="s">
        <v>12</v>
      </c>
      <c r="L185" t="str">
        <f t="shared" si="2"/>
        <v>12013250.4080.100</v>
      </c>
    </row>
    <row r="186" spans="1:12" x14ac:dyDescent="0.2">
      <c r="A186" s="30">
        <v>18988</v>
      </c>
      <c r="B186" s="30" t="s">
        <v>175</v>
      </c>
      <c r="C186" s="30">
        <v>12013250</v>
      </c>
      <c r="D186" s="30" t="s">
        <v>10</v>
      </c>
      <c r="E186" s="30">
        <v>50</v>
      </c>
      <c r="F186" s="30" t="s">
        <v>166</v>
      </c>
      <c r="G186" s="30">
        <v>4080.1</v>
      </c>
      <c r="H186" s="30">
        <v>282.69</v>
      </c>
      <c r="I186" s="30"/>
      <c r="J186" s="44" t="s">
        <v>12</v>
      </c>
      <c r="L186" t="str">
        <f t="shared" si="2"/>
        <v>12013250.4080.100</v>
      </c>
    </row>
    <row r="187" spans="1:12" x14ac:dyDescent="0.2">
      <c r="A187" s="30">
        <v>18772</v>
      </c>
      <c r="B187" s="30" t="s">
        <v>176</v>
      </c>
      <c r="C187" s="30">
        <v>12013300</v>
      </c>
      <c r="D187" s="30" t="s">
        <v>15</v>
      </c>
      <c r="E187" s="30">
        <v>50</v>
      </c>
      <c r="F187" s="30" t="s">
        <v>166</v>
      </c>
      <c r="G187" s="30">
        <v>4080.1</v>
      </c>
      <c r="H187" s="30">
        <v>504.19</v>
      </c>
      <c r="I187" s="30"/>
      <c r="J187" s="44" t="s">
        <v>12</v>
      </c>
      <c r="L187" t="str">
        <f t="shared" si="2"/>
        <v>12013300.4080.100</v>
      </c>
    </row>
    <row r="188" spans="1:12" x14ac:dyDescent="0.2">
      <c r="A188" s="30">
        <v>220</v>
      </c>
      <c r="B188" s="30" t="s">
        <v>14</v>
      </c>
      <c r="C188" s="30">
        <v>12013300</v>
      </c>
      <c r="D188" s="30" t="s">
        <v>15</v>
      </c>
      <c r="E188" s="30">
        <v>50</v>
      </c>
      <c r="F188" s="30" t="s">
        <v>166</v>
      </c>
      <c r="G188" s="30">
        <v>4080.1</v>
      </c>
      <c r="H188" s="30">
        <v>337.9</v>
      </c>
      <c r="I188" s="30"/>
      <c r="J188" s="44" t="s">
        <v>12</v>
      </c>
      <c r="L188" t="str">
        <f t="shared" si="2"/>
        <v>12013300.4080.100</v>
      </c>
    </row>
    <row r="189" spans="1:12" x14ac:dyDescent="0.2">
      <c r="A189" s="30">
        <v>18948</v>
      </c>
      <c r="B189" s="30" t="s">
        <v>142</v>
      </c>
      <c r="C189" s="30">
        <v>12018099</v>
      </c>
      <c r="D189" s="30" t="s">
        <v>17</v>
      </c>
      <c r="E189" s="30">
        <v>50</v>
      </c>
      <c r="F189" s="30" t="s">
        <v>166</v>
      </c>
      <c r="G189" s="30">
        <v>4080.1</v>
      </c>
      <c r="H189" s="30">
        <v>248.37</v>
      </c>
      <c r="I189" s="30"/>
      <c r="J189" s="44" t="s">
        <v>12</v>
      </c>
      <c r="L189" t="str">
        <f t="shared" si="2"/>
        <v>12018099.4080.100</v>
      </c>
    </row>
    <row r="190" spans="1:12" x14ac:dyDescent="0.2">
      <c r="A190" s="30">
        <v>18716</v>
      </c>
      <c r="B190" s="30" t="s">
        <v>16</v>
      </c>
      <c r="C190" s="30">
        <v>12018099</v>
      </c>
      <c r="D190" s="30" t="s">
        <v>17</v>
      </c>
      <c r="E190" s="30">
        <v>50</v>
      </c>
      <c r="F190" s="30" t="s">
        <v>166</v>
      </c>
      <c r="G190" s="30">
        <v>4080.1</v>
      </c>
      <c r="H190" s="30">
        <v>565.39</v>
      </c>
      <c r="I190" s="30"/>
      <c r="J190" s="44" t="s">
        <v>12</v>
      </c>
      <c r="L190" t="str">
        <f t="shared" si="2"/>
        <v>12018099.4080.100</v>
      </c>
    </row>
    <row r="191" spans="1:12" x14ac:dyDescent="0.2">
      <c r="A191" s="30">
        <v>18939</v>
      </c>
      <c r="B191" s="30" t="s">
        <v>177</v>
      </c>
      <c r="C191" s="30">
        <v>12018199</v>
      </c>
      <c r="D191" s="30" t="s">
        <v>178</v>
      </c>
      <c r="E191" s="30">
        <v>50</v>
      </c>
      <c r="F191" s="30" t="s">
        <v>166</v>
      </c>
      <c r="G191" s="30">
        <v>4080.1</v>
      </c>
      <c r="H191" s="30">
        <v>374.85</v>
      </c>
      <c r="I191" s="30"/>
      <c r="J191" s="44" t="s">
        <v>12</v>
      </c>
      <c r="L191" t="str">
        <f t="shared" si="2"/>
        <v>12018199.4080.100</v>
      </c>
    </row>
    <row r="192" spans="1:12" x14ac:dyDescent="0.2">
      <c r="A192" s="30">
        <v>18862</v>
      </c>
      <c r="B192" s="30" t="s">
        <v>145</v>
      </c>
      <c r="C192" s="30">
        <v>12018599</v>
      </c>
      <c r="D192" s="30" t="s">
        <v>144</v>
      </c>
      <c r="E192" s="30">
        <v>50</v>
      </c>
      <c r="F192" s="30" t="s">
        <v>166</v>
      </c>
      <c r="G192" s="30">
        <v>4080.1</v>
      </c>
      <c r="H192" s="30">
        <v>274.62</v>
      </c>
      <c r="I192" s="30"/>
      <c r="J192" s="44" t="s">
        <v>12</v>
      </c>
      <c r="L192" t="str">
        <f t="shared" si="2"/>
        <v>12018599.4080.100</v>
      </c>
    </row>
    <row r="193" spans="1:12" x14ac:dyDescent="0.2">
      <c r="A193" s="30">
        <v>18969</v>
      </c>
      <c r="B193" s="30" t="s">
        <v>143</v>
      </c>
      <c r="C193" s="30">
        <v>12018599</v>
      </c>
      <c r="D193" s="30" t="s">
        <v>144</v>
      </c>
      <c r="E193" s="30">
        <v>50</v>
      </c>
      <c r="F193" s="30" t="s">
        <v>166</v>
      </c>
      <c r="G193" s="30">
        <v>4080.1</v>
      </c>
      <c r="H193" s="30">
        <v>565.39</v>
      </c>
      <c r="I193" s="30"/>
      <c r="J193" s="44" t="s">
        <v>12</v>
      </c>
      <c r="L193" t="str">
        <f t="shared" si="2"/>
        <v>12018599.4080.100</v>
      </c>
    </row>
    <row r="194" spans="1:12" x14ac:dyDescent="0.2">
      <c r="A194" s="30">
        <v>18886</v>
      </c>
      <c r="B194" s="30" t="s">
        <v>18</v>
      </c>
      <c r="C194" s="30">
        <v>12019099</v>
      </c>
      <c r="D194" s="30" t="s">
        <v>19</v>
      </c>
      <c r="E194" s="30">
        <v>50</v>
      </c>
      <c r="F194" s="30" t="s">
        <v>166</v>
      </c>
      <c r="G194" s="30">
        <v>4080.1</v>
      </c>
      <c r="H194" s="30">
        <v>857.42</v>
      </c>
      <c r="I194" s="30"/>
      <c r="J194" s="44" t="s">
        <v>12</v>
      </c>
      <c r="L194" t="str">
        <f t="shared" ref="L194:L257" si="3">C194&amp;"."&amp;G194&amp;J194</f>
        <v>12019099.4080.100</v>
      </c>
    </row>
    <row r="195" spans="1:12" x14ac:dyDescent="0.2">
      <c r="A195" s="30">
        <v>18741</v>
      </c>
      <c r="B195" s="30" t="s">
        <v>179</v>
      </c>
      <c r="C195" s="30">
        <v>12019199</v>
      </c>
      <c r="D195" s="30" t="s">
        <v>147</v>
      </c>
      <c r="E195" s="30">
        <v>50</v>
      </c>
      <c r="F195" s="30" t="s">
        <v>166</v>
      </c>
      <c r="G195" s="30">
        <v>4080.1</v>
      </c>
      <c r="H195" s="30">
        <v>327.11</v>
      </c>
      <c r="I195" s="30"/>
      <c r="J195" s="44" t="s">
        <v>12</v>
      </c>
      <c r="L195" t="str">
        <f t="shared" si="3"/>
        <v>12019199.4080.100</v>
      </c>
    </row>
    <row r="196" spans="1:12" x14ac:dyDescent="0.2">
      <c r="A196" s="30">
        <v>18968</v>
      </c>
      <c r="B196" s="30" t="s">
        <v>164</v>
      </c>
      <c r="C196" s="30">
        <v>12019199</v>
      </c>
      <c r="D196" s="30" t="s">
        <v>147</v>
      </c>
      <c r="E196" s="30">
        <v>50</v>
      </c>
      <c r="F196" s="30" t="s">
        <v>166</v>
      </c>
      <c r="G196" s="30">
        <v>4080.1</v>
      </c>
      <c r="H196" s="30">
        <v>282.69</v>
      </c>
      <c r="I196" s="30"/>
      <c r="J196" s="44" t="s">
        <v>12</v>
      </c>
      <c r="L196" t="str">
        <f t="shared" si="3"/>
        <v>12019199.4080.100</v>
      </c>
    </row>
    <row r="197" spans="1:12" x14ac:dyDescent="0.2">
      <c r="A197" s="30">
        <v>18993</v>
      </c>
      <c r="B197" s="30" t="s">
        <v>181</v>
      </c>
      <c r="C197" s="30">
        <v>12019199</v>
      </c>
      <c r="D197" s="30" t="s">
        <v>147</v>
      </c>
      <c r="E197" s="30">
        <v>50</v>
      </c>
      <c r="F197" s="30" t="s">
        <v>166</v>
      </c>
      <c r="G197" s="30">
        <v>4080.1</v>
      </c>
      <c r="H197" s="30">
        <v>272.60000000000002</v>
      </c>
      <c r="I197" s="30"/>
      <c r="J197" s="44" t="s">
        <v>12</v>
      </c>
      <c r="L197" t="str">
        <f t="shared" si="3"/>
        <v>12019199.4080.100</v>
      </c>
    </row>
    <row r="198" spans="1:12" x14ac:dyDescent="0.2">
      <c r="A198" s="30">
        <v>19025</v>
      </c>
      <c r="B198" s="30" t="s">
        <v>180</v>
      </c>
      <c r="C198" s="30">
        <v>12019199</v>
      </c>
      <c r="D198" s="30" t="s">
        <v>147</v>
      </c>
      <c r="E198" s="30">
        <v>50</v>
      </c>
      <c r="F198" s="30" t="s">
        <v>166</v>
      </c>
      <c r="G198" s="30">
        <v>4080.1</v>
      </c>
      <c r="H198" s="30">
        <v>262.5</v>
      </c>
      <c r="I198" s="30"/>
      <c r="J198" s="44" t="s">
        <v>12</v>
      </c>
      <c r="L198" t="str">
        <f t="shared" si="3"/>
        <v>12019199.4080.100</v>
      </c>
    </row>
    <row r="199" spans="1:12" x14ac:dyDescent="0.2">
      <c r="A199" s="30">
        <v>18550</v>
      </c>
      <c r="B199" s="30" t="s">
        <v>165</v>
      </c>
      <c r="C199" s="30">
        <v>12019199</v>
      </c>
      <c r="D199" s="30" t="s">
        <v>147</v>
      </c>
      <c r="E199" s="30">
        <v>50</v>
      </c>
      <c r="F199" s="30" t="s">
        <v>166</v>
      </c>
      <c r="G199" s="30">
        <v>4080.1</v>
      </c>
      <c r="H199" s="30">
        <v>272.56</v>
      </c>
      <c r="I199" s="30"/>
      <c r="J199" s="44" t="s">
        <v>12</v>
      </c>
      <c r="L199" t="str">
        <f t="shared" si="3"/>
        <v>12019199.4080.100</v>
      </c>
    </row>
    <row r="200" spans="1:12" x14ac:dyDescent="0.2">
      <c r="A200" s="30">
        <v>19003</v>
      </c>
      <c r="B200" s="30" t="s">
        <v>388</v>
      </c>
      <c r="C200" s="30">
        <v>12019199</v>
      </c>
      <c r="D200" s="30" t="s">
        <v>147</v>
      </c>
      <c r="E200" s="30">
        <v>50</v>
      </c>
      <c r="F200" s="30" t="s">
        <v>166</v>
      </c>
      <c r="G200" s="30">
        <v>4080.1</v>
      </c>
      <c r="H200" s="30">
        <v>327.11</v>
      </c>
      <c r="I200" s="30"/>
      <c r="J200" s="44" t="s">
        <v>12</v>
      </c>
      <c r="L200" t="str">
        <f t="shared" si="3"/>
        <v>12019199.4080.100</v>
      </c>
    </row>
    <row r="201" spans="1:12" x14ac:dyDescent="0.2">
      <c r="A201" s="30">
        <v>18853</v>
      </c>
      <c r="B201" s="30" t="s">
        <v>146</v>
      </c>
      <c r="C201" s="30">
        <v>12019199</v>
      </c>
      <c r="D201" s="30" t="s">
        <v>147</v>
      </c>
      <c r="E201" s="30">
        <v>50</v>
      </c>
      <c r="F201" s="30" t="s">
        <v>166</v>
      </c>
      <c r="G201" s="30">
        <v>4080.1</v>
      </c>
      <c r="H201" s="30">
        <v>637.4</v>
      </c>
      <c r="I201" s="30"/>
      <c r="J201" s="44" t="s">
        <v>12</v>
      </c>
      <c r="L201" t="str">
        <f t="shared" si="3"/>
        <v>12019199.4080.100</v>
      </c>
    </row>
    <row r="202" spans="1:12" x14ac:dyDescent="0.2">
      <c r="A202" s="30">
        <v>18619</v>
      </c>
      <c r="B202" s="30" t="s">
        <v>20</v>
      </c>
      <c r="C202" s="30">
        <v>12020400</v>
      </c>
      <c r="D202" s="30" t="s">
        <v>21</v>
      </c>
      <c r="E202" s="30">
        <v>50</v>
      </c>
      <c r="F202" s="30" t="s">
        <v>166</v>
      </c>
      <c r="G202" s="30">
        <v>4080.1</v>
      </c>
      <c r="H202" s="30">
        <v>245.94</v>
      </c>
      <c r="I202" s="30"/>
      <c r="J202" s="44" t="s">
        <v>12</v>
      </c>
      <c r="L202" t="str">
        <f t="shared" si="3"/>
        <v>12020400.4080.100</v>
      </c>
    </row>
    <row r="203" spans="1:12" x14ac:dyDescent="0.2">
      <c r="A203" s="30">
        <v>18836</v>
      </c>
      <c r="B203" s="30" t="s">
        <v>182</v>
      </c>
      <c r="C203" s="30">
        <v>12020400</v>
      </c>
      <c r="D203" s="30" t="s">
        <v>21</v>
      </c>
      <c r="E203" s="30">
        <v>50</v>
      </c>
      <c r="F203" s="30" t="s">
        <v>166</v>
      </c>
      <c r="G203" s="30">
        <v>4080.1</v>
      </c>
      <c r="H203" s="30">
        <v>269.19</v>
      </c>
      <c r="I203" s="30"/>
      <c r="J203" s="44" t="s">
        <v>12</v>
      </c>
      <c r="L203" t="str">
        <f t="shared" si="3"/>
        <v>12020400.4080.100</v>
      </c>
    </row>
    <row r="204" spans="1:12" x14ac:dyDescent="0.2">
      <c r="A204" s="30">
        <v>18891</v>
      </c>
      <c r="B204" s="30" t="s">
        <v>77</v>
      </c>
      <c r="C204" s="30">
        <v>12020611</v>
      </c>
      <c r="D204" s="30" t="s">
        <v>23</v>
      </c>
      <c r="E204" s="30">
        <v>50</v>
      </c>
      <c r="F204" s="30" t="s">
        <v>166</v>
      </c>
      <c r="G204" s="30">
        <v>4080.1</v>
      </c>
      <c r="H204" s="30">
        <v>193.59</v>
      </c>
      <c r="I204" s="30"/>
      <c r="J204" s="44" t="s">
        <v>12</v>
      </c>
      <c r="L204" t="str">
        <f t="shared" si="3"/>
        <v>12020611.4080.100</v>
      </c>
    </row>
    <row r="205" spans="1:12" x14ac:dyDescent="0.2">
      <c r="A205" s="30">
        <v>18831</v>
      </c>
      <c r="B205" s="30" t="s">
        <v>22</v>
      </c>
      <c r="C205" s="30">
        <v>12020611</v>
      </c>
      <c r="D205" s="30" t="s">
        <v>23</v>
      </c>
      <c r="E205" s="30">
        <v>50</v>
      </c>
      <c r="F205" s="30" t="s">
        <v>166</v>
      </c>
      <c r="G205" s="30">
        <v>4080.1</v>
      </c>
      <c r="H205" s="30">
        <v>178.72</v>
      </c>
      <c r="I205" s="30"/>
      <c r="J205" s="44" t="s">
        <v>12</v>
      </c>
      <c r="L205" t="str">
        <f t="shared" si="3"/>
        <v>12020611.4080.100</v>
      </c>
    </row>
    <row r="206" spans="1:12" x14ac:dyDescent="0.2">
      <c r="A206" s="30">
        <v>18903</v>
      </c>
      <c r="B206" s="30" t="s">
        <v>73</v>
      </c>
      <c r="C206" s="30">
        <v>12020611</v>
      </c>
      <c r="D206" s="30" t="s">
        <v>23</v>
      </c>
      <c r="E206" s="30">
        <v>50</v>
      </c>
      <c r="F206" s="30" t="s">
        <v>166</v>
      </c>
      <c r="G206" s="30">
        <v>4080.1</v>
      </c>
      <c r="H206" s="30">
        <v>261.17</v>
      </c>
      <c r="I206" s="30"/>
      <c r="J206" s="44" t="s">
        <v>12</v>
      </c>
      <c r="L206" t="str">
        <f t="shared" si="3"/>
        <v>12020611.4080.100</v>
      </c>
    </row>
    <row r="207" spans="1:12" x14ac:dyDescent="0.2">
      <c r="A207" s="30">
        <v>18957</v>
      </c>
      <c r="B207" s="30" t="s">
        <v>74</v>
      </c>
      <c r="C207" s="30">
        <v>12020611</v>
      </c>
      <c r="D207" s="30" t="s">
        <v>23</v>
      </c>
      <c r="E207" s="30">
        <v>50</v>
      </c>
      <c r="F207" s="30" t="s">
        <v>166</v>
      </c>
      <c r="G207" s="30">
        <v>4080.1</v>
      </c>
      <c r="H207" s="30">
        <v>272.01</v>
      </c>
      <c r="I207" s="30"/>
      <c r="J207" s="44" t="s">
        <v>12</v>
      </c>
      <c r="L207" t="str">
        <f t="shared" si="3"/>
        <v>12020611.4080.100</v>
      </c>
    </row>
    <row r="208" spans="1:12" x14ac:dyDescent="0.2">
      <c r="A208" s="30">
        <v>18589</v>
      </c>
      <c r="B208" s="30" t="s">
        <v>75</v>
      </c>
      <c r="C208" s="30">
        <v>12020611</v>
      </c>
      <c r="D208" s="30" t="s">
        <v>23</v>
      </c>
      <c r="E208" s="30">
        <v>50</v>
      </c>
      <c r="F208" s="30" t="s">
        <v>166</v>
      </c>
      <c r="G208" s="30">
        <v>4080.1</v>
      </c>
      <c r="H208" s="30">
        <v>282.86</v>
      </c>
      <c r="I208" s="30"/>
      <c r="J208" s="44" t="s">
        <v>12</v>
      </c>
      <c r="L208" t="str">
        <f t="shared" si="3"/>
        <v>12020611.4080.100</v>
      </c>
    </row>
    <row r="209" spans="1:12" x14ac:dyDescent="0.2">
      <c r="A209" s="30">
        <v>18614</v>
      </c>
      <c r="B209" s="30" t="s">
        <v>78</v>
      </c>
      <c r="C209" s="30">
        <v>12020611</v>
      </c>
      <c r="D209" s="30" t="s">
        <v>23</v>
      </c>
      <c r="E209" s="30">
        <v>50</v>
      </c>
      <c r="F209" s="30" t="s">
        <v>166</v>
      </c>
      <c r="G209" s="30">
        <v>4080.1</v>
      </c>
      <c r="H209" s="30">
        <v>30.76</v>
      </c>
      <c r="I209" s="30"/>
      <c r="J209" s="44" t="s">
        <v>12</v>
      </c>
      <c r="L209" t="str">
        <f t="shared" si="3"/>
        <v>12020611.4080.100</v>
      </c>
    </row>
    <row r="210" spans="1:12" x14ac:dyDescent="0.2">
      <c r="A210" s="30">
        <v>18866</v>
      </c>
      <c r="B210" s="30" t="s">
        <v>76</v>
      </c>
      <c r="C210" s="30">
        <v>12020611</v>
      </c>
      <c r="D210" s="30" t="s">
        <v>23</v>
      </c>
      <c r="E210" s="30">
        <v>50</v>
      </c>
      <c r="F210" s="30" t="s">
        <v>166</v>
      </c>
      <c r="G210" s="30">
        <v>4080.1</v>
      </c>
      <c r="H210" s="30">
        <v>290.2</v>
      </c>
      <c r="I210" s="30"/>
      <c r="J210" s="44" t="s">
        <v>12</v>
      </c>
      <c r="L210" t="str">
        <f t="shared" si="3"/>
        <v>12020611.4080.100</v>
      </c>
    </row>
    <row r="211" spans="1:12" x14ac:dyDescent="0.2">
      <c r="A211" s="30">
        <v>18879</v>
      </c>
      <c r="B211" s="30" t="s">
        <v>79</v>
      </c>
      <c r="C211" s="30">
        <v>12020711</v>
      </c>
      <c r="D211" s="30" t="s">
        <v>25</v>
      </c>
      <c r="E211" s="30">
        <v>50</v>
      </c>
      <c r="F211" s="30" t="s">
        <v>166</v>
      </c>
      <c r="G211" s="30">
        <v>4080.1</v>
      </c>
      <c r="H211" s="30">
        <v>274.64999999999998</v>
      </c>
      <c r="I211" s="30"/>
      <c r="J211" s="44" t="s">
        <v>12</v>
      </c>
      <c r="L211" t="str">
        <f t="shared" si="3"/>
        <v>12020711.4080.100</v>
      </c>
    </row>
    <row r="212" spans="1:12" x14ac:dyDescent="0.2">
      <c r="A212" s="30">
        <v>18</v>
      </c>
      <c r="B212" s="30" t="s">
        <v>24</v>
      </c>
      <c r="C212" s="30">
        <v>12020711</v>
      </c>
      <c r="D212" s="30" t="s">
        <v>25</v>
      </c>
      <c r="E212" s="30">
        <v>50</v>
      </c>
      <c r="F212" s="30" t="s">
        <v>166</v>
      </c>
      <c r="G212" s="30">
        <v>4080.1</v>
      </c>
      <c r="H212" s="30">
        <v>113.93</v>
      </c>
      <c r="I212" s="30"/>
      <c r="J212" s="44" t="s">
        <v>12</v>
      </c>
      <c r="L212" t="str">
        <f t="shared" si="3"/>
        <v>12020711.4080.100</v>
      </c>
    </row>
    <row r="213" spans="1:12" x14ac:dyDescent="0.2">
      <c r="A213" s="30">
        <v>18631</v>
      </c>
      <c r="B213" s="30" t="s">
        <v>80</v>
      </c>
      <c r="C213" s="30">
        <v>12020711</v>
      </c>
      <c r="D213" s="30" t="s">
        <v>25</v>
      </c>
      <c r="E213" s="30">
        <v>50</v>
      </c>
      <c r="F213" s="30" t="s">
        <v>166</v>
      </c>
      <c r="G213" s="30">
        <v>4080.1</v>
      </c>
      <c r="H213" s="30">
        <v>149.85</v>
      </c>
      <c r="I213" s="30"/>
      <c r="J213" s="44" t="s">
        <v>12</v>
      </c>
      <c r="L213" t="str">
        <f t="shared" si="3"/>
        <v>12020711.4080.100</v>
      </c>
    </row>
    <row r="214" spans="1:12" x14ac:dyDescent="0.2">
      <c r="A214" s="30">
        <v>18954</v>
      </c>
      <c r="B214" s="30" t="s">
        <v>183</v>
      </c>
      <c r="C214" s="30">
        <v>12020711</v>
      </c>
      <c r="D214" s="30" t="s">
        <v>25</v>
      </c>
      <c r="E214" s="30">
        <v>50</v>
      </c>
      <c r="F214" s="30" t="s">
        <v>166</v>
      </c>
      <c r="G214" s="30">
        <v>4080.1</v>
      </c>
      <c r="H214" s="30">
        <v>302.88</v>
      </c>
      <c r="I214" s="30"/>
      <c r="J214" s="44" t="s">
        <v>12</v>
      </c>
      <c r="L214" t="str">
        <f t="shared" si="3"/>
        <v>12020711.4080.100</v>
      </c>
    </row>
    <row r="215" spans="1:12" x14ac:dyDescent="0.2">
      <c r="A215" s="30">
        <v>19013</v>
      </c>
      <c r="B215" s="30" t="s">
        <v>81</v>
      </c>
      <c r="C215" s="30">
        <v>12020800</v>
      </c>
      <c r="D215" s="30" t="s">
        <v>27</v>
      </c>
      <c r="E215" s="30">
        <v>50</v>
      </c>
      <c r="F215" s="30" t="s">
        <v>166</v>
      </c>
      <c r="G215" s="30">
        <v>4080.1</v>
      </c>
      <c r="H215" s="30">
        <v>266.64999999999998</v>
      </c>
      <c r="I215" s="30"/>
      <c r="J215" s="44" t="s">
        <v>12</v>
      </c>
      <c r="L215" t="str">
        <f t="shared" si="3"/>
        <v>12020800.4080.100</v>
      </c>
    </row>
    <row r="216" spans="1:12" x14ac:dyDescent="0.2">
      <c r="A216" s="30">
        <v>19000</v>
      </c>
      <c r="B216" s="30" t="s">
        <v>26</v>
      </c>
      <c r="C216" s="30">
        <v>12020800</v>
      </c>
      <c r="D216" s="30" t="s">
        <v>27</v>
      </c>
      <c r="E216" s="30">
        <v>50</v>
      </c>
      <c r="F216" s="30" t="s">
        <v>166</v>
      </c>
      <c r="G216" s="30">
        <v>4080.1</v>
      </c>
      <c r="H216" s="30">
        <v>238.97</v>
      </c>
      <c r="I216" s="30"/>
      <c r="J216" s="44" t="s">
        <v>12</v>
      </c>
      <c r="L216" t="str">
        <f t="shared" si="3"/>
        <v>12020800.4080.100</v>
      </c>
    </row>
    <row r="217" spans="1:12" x14ac:dyDescent="0.2">
      <c r="A217" s="30">
        <v>18559</v>
      </c>
      <c r="B217" s="30" t="s">
        <v>87</v>
      </c>
      <c r="C217" s="30">
        <v>12021021</v>
      </c>
      <c r="D217" s="30" t="s">
        <v>29</v>
      </c>
      <c r="E217" s="30">
        <v>50</v>
      </c>
      <c r="F217" s="30" t="s">
        <v>166</v>
      </c>
      <c r="G217" s="30">
        <v>4080.1</v>
      </c>
      <c r="H217" s="30">
        <v>385.61</v>
      </c>
      <c r="I217" s="30"/>
      <c r="J217" s="44" t="s">
        <v>12</v>
      </c>
      <c r="L217" t="str">
        <f t="shared" si="3"/>
        <v>12021021.4080.100</v>
      </c>
    </row>
    <row r="218" spans="1:12" x14ac:dyDescent="0.2">
      <c r="A218" s="30">
        <v>18967</v>
      </c>
      <c r="B218" s="30" t="s">
        <v>85</v>
      </c>
      <c r="C218" s="30">
        <v>12021021</v>
      </c>
      <c r="D218" s="30" t="s">
        <v>29</v>
      </c>
      <c r="E218" s="30">
        <v>50</v>
      </c>
      <c r="F218" s="30" t="s">
        <v>166</v>
      </c>
      <c r="G218" s="30">
        <v>4080.1</v>
      </c>
      <c r="H218" s="30">
        <v>272.01</v>
      </c>
      <c r="I218" s="30"/>
      <c r="J218" s="44" t="s">
        <v>12</v>
      </c>
      <c r="L218" t="str">
        <f t="shared" si="3"/>
        <v>12021021.4080.100</v>
      </c>
    </row>
    <row r="219" spans="1:12" x14ac:dyDescent="0.2">
      <c r="A219" s="30">
        <v>18911</v>
      </c>
      <c r="B219" s="30" t="s">
        <v>28</v>
      </c>
      <c r="C219" s="30">
        <v>12021021</v>
      </c>
      <c r="D219" s="30" t="s">
        <v>29</v>
      </c>
      <c r="E219" s="30">
        <v>50</v>
      </c>
      <c r="F219" s="30" t="s">
        <v>166</v>
      </c>
      <c r="G219" s="30">
        <v>4080.1</v>
      </c>
      <c r="H219" s="30">
        <v>266.64999999999998</v>
      </c>
      <c r="I219" s="30"/>
      <c r="J219" s="44" t="s">
        <v>12</v>
      </c>
      <c r="L219" t="str">
        <f t="shared" si="3"/>
        <v>12021021.4080.100</v>
      </c>
    </row>
    <row r="220" spans="1:12" x14ac:dyDescent="0.2">
      <c r="A220" s="30">
        <v>18892</v>
      </c>
      <c r="B220" s="30" t="s">
        <v>184</v>
      </c>
      <c r="C220" s="30">
        <v>12021021</v>
      </c>
      <c r="D220" s="30" t="s">
        <v>29</v>
      </c>
      <c r="E220" s="30">
        <v>50</v>
      </c>
      <c r="F220" s="30" t="s">
        <v>166</v>
      </c>
      <c r="G220" s="30">
        <v>4080.1</v>
      </c>
      <c r="H220" s="30">
        <v>201.8</v>
      </c>
      <c r="I220" s="30"/>
      <c r="J220" s="44" t="s">
        <v>12</v>
      </c>
      <c r="L220" t="str">
        <f t="shared" si="3"/>
        <v>12021021.4080.100</v>
      </c>
    </row>
    <row r="221" spans="1:12" x14ac:dyDescent="0.2">
      <c r="A221" s="30">
        <v>18781</v>
      </c>
      <c r="B221" s="30" t="s">
        <v>82</v>
      </c>
      <c r="C221" s="30">
        <v>12021021</v>
      </c>
      <c r="D221" s="30" t="s">
        <v>29</v>
      </c>
      <c r="E221" s="30">
        <v>50</v>
      </c>
      <c r="F221" s="30" t="s">
        <v>166</v>
      </c>
      <c r="G221" s="30">
        <v>4080.1</v>
      </c>
      <c r="H221" s="30">
        <v>272.01</v>
      </c>
      <c r="I221" s="30"/>
      <c r="J221" s="44" t="s">
        <v>12</v>
      </c>
      <c r="L221" t="str">
        <f t="shared" si="3"/>
        <v>12021021.4080.100</v>
      </c>
    </row>
    <row r="222" spans="1:12" x14ac:dyDescent="0.2">
      <c r="A222" s="30">
        <v>19033</v>
      </c>
      <c r="B222" s="30" t="s">
        <v>389</v>
      </c>
      <c r="C222" s="30">
        <v>12021021</v>
      </c>
      <c r="D222" s="30" t="s">
        <v>29</v>
      </c>
      <c r="E222" s="30">
        <v>50</v>
      </c>
      <c r="F222" s="30" t="s">
        <v>166</v>
      </c>
      <c r="G222" s="30">
        <v>4080.1</v>
      </c>
      <c r="H222" s="30">
        <v>39.03</v>
      </c>
      <c r="I222" s="30"/>
      <c r="J222" s="44" t="s">
        <v>12</v>
      </c>
      <c r="L222" t="str">
        <f t="shared" si="3"/>
        <v>12021021.4080.100</v>
      </c>
    </row>
    <row r="223" spans="1:12" x14ac:dyDescent="0.2">
      <c r="A223" s="30">
        <v>18687</v>
      </c>
      <c r="B223" s="30" t="s">
        <v>83</v>
      </c>
      <c r="C223" s="30">
        <v>12021021</v>
      </c>
      <c r="D223" s="30" t="s">
        <v>29</v>
      </c>
      <c r="E223" s="30">
        <v>50</v>
      </c>
      <c r="F223" s="30" t="s">
        <v>166</v>
      </c>
      <c r="G223" s="30">
        <v>4080.1</v>
      </c>
      <c r="H223" s="30">
        <v>240.44</v>
      </c>
      <c r="I223" s="30"/>
      <c r="J223" s="44" t="s">
        <v>12</v>
      </c>
      <c r="L223" t="str">
        <f t="shared" si="3"/>
        <v>12021021.4080.100</v>
      </c>
    </row>
    <row r="224" spans="1:12" x14ac:dyDescent="0.2">
      <c r="A224" s="30">
        <v>18659</v>
      </c>
      <c r="B224" s="30" t="s">
        <v>88</v>
      </c>
      <c r="C224" s="30">
        <v>12021021</v>
      </c>
      <c r="D224" s="30" t="s">
        <v>29</v>
      </c>
      <c r="E224" s="30">
        <v>50</v>
      </c>
      <c r="F224" s="30" t="s">
        <v>166</v>
      </c>
      <c r="G224" s="30">
        <v>4080.1</v>
      </c>
      <c r="H224" s="30">
        <v>250.28</v>
      </c>
      <c r="I224" s="30"/>
      <c r="J224" s="44" t="s">
        <v>12</v>
      </c>
      <c r="L224" t="str">
        <f t="shared" si="3"/>
        <v>12021021.4080.100</v>
      </c>
    </row>
    <row r="225" spans="1:12" x14ac:dyDescent="0.2">
      <c r="A225" s="30">
        <v>18894</v>
      </c>
      <c r="B225" s="30" t="s">
        <v>89</v>
      </c>
      <c r="C225" s="30">
        <v>12021021</v>
      </c>
      <c r="D225" s="30" t="s">
        <v>29</v>
      </c>
      <c r="E225" s="30">
        <v>50</v>
      </c>
      <c r="F225" s="30" t="s">
        <v>166</v>
      </c>
      <c r="G225" s="30">
        <v>4080.1</v>
      </c>
      <c r="H225" s="30">
        <v>170.6</v>
      </c>
      <c r="I225" s="30"/>
      <c r="J225" s="44" t="s">
        <v>12</v>
      </c>
      <c r="L225" t="str">
        <f t="shared" si="3"/>
        <v>12021021.4080.100</v>
      </c>
    </row>
    <row r="226" spans="1:12" x14ac:dyDescent="0.2">
      <c r="A226" s="30">
        <v>18733</v>
      </c>
      <c r="B226" s="30" t="s">
        <v>86</v>
      </c>
      <c r="C226" s="30">
        <v>12021021</v>
      </c>
      <c r="D226" s="30" t="s">
        <v>29</v>
      </c>
      <c r="E226" s="30">
        <v>50</v>
      </c>
      <c r="F226" s="30" t="s">
        <v>166</v>
      </c>
      <c r="G226" s="30">
        <v>4080.1</v>
      </c>
      <c r="H226" s="30">
        <v>233.96</v>
      </c>
      <c r="I226" s="30"/>
      <c r="J226" s="44" t="s">
        <v>12</v>
      </c>
      <c r="L226" t="str">
        <f t="shared" si="3"/>
        <v>12021021.4080.100</v>
      </c>
    </row>
    <row r="227" spans="1:12" x14ac:dyDescent="0.2">
      <c r="A227" s="30">
        <v>346</v>
      </c>
      <c r="B227" s="30" t="s">
        <v>30</v>
      </c>
      <c r="C227" s="30">
        <v>12021021</v>
      </c>
      <c r="D227" s="30" t="s">
        <v>29</v>
      </c>
      <c r="E227" s="30">
        <v>50</v>
      </c>
      <c r="F227" s="30" t="s">
        <v>166</v>
      </c>
      <c r="G227" s="30">
        <v>4080.1</v>
      </c>
      <c r="H227" s="30">
        <v>54.4</v>
      </c>
      <c r="I227" s="30"/>
      <c r="J227" s="44" t="s">
        <v>12</v>
      </c>
      <c r="L227" t="str">
        <f t="shared" si="3"/>
        <v>12021021.4080.100</v>
      </c>
    </row>
    <row r="228" spans="1:12" x14ac:dyDescent="0.2">
      <c r="A228" s="30">
        <v>18960</v>
      </c>
      <c r="B228" s="30" t="s">
        <v>84</v>
      </c>
      <c r="C228" s="30">
        <v>12021021</v>
      </c>
      <c r="D228" s="30" t="s">
        <v>29</v>
      </c>
      <c r="E228" s="30">
        <v>50</v>
      </c>
      <c r="F228" s="30" t="s">
        <v>166</v>
      </c>
      <c r="G228" s="30">
        <v>4080.1</v>
      </c>
      <c r="H228" s="30">
        <v>82.08</v>
      </c>
      <c r="I228" s="30"/>
      <c r="J228" s="44" t="s">
        <v>12</v>
      </c>
      <c r="L228" t="str">
        <f t="shared" si="3"/>
        <v>12021021.4080.100</v>
      </c>
    </row>
    <row r="229" spans="1:12" x14ac:dyDescent="0.2">
      <c r="A229" s="30">
        <v>11229</v>
      </c>
      <c r="B229" s="30" t="s">
        <v>31</v>
      </c>
      <c r="C229" s="30">
        <v>12022511</v>
      </c>
      <c r="D229" s="30" t="s">
        <v>32</v>
      </c>
      <c r="E229" s="30">
        <v>50</v>
      </c>
      <c r="F229" s="30" t="s">
        <v>166</v>
      </c>
      <c r="G229" s="30">
        <v>4080.1</v>
      </c>
      <c r="H229" s="30">
        <v>220.08</v>
      </c>
      <c r="I229" s="30"/>
      <c r="J229" s="44" t="s">
        <v>12</v>
      </c>
      <c r="L229" t="str">
        <f t="shared" si="3"/>
        <v>12022511.4080.100</v>
      </c>
    </row>
    <row r="230" spans="1:12" x14ac:dyDescent="0.2">
      <c r="A230" s="30">
        <v>18961</v>
      </c>
      <c r="B230" s="30" t="s">
        <v>90</v>
      </c>
      <c r="C230" s="30">
        <v>12022511</v>
      </c>
      <c r="D230" s="30" t="s">
        <v>32</v>
      </c>
      <c r="E230" s="30">
        <v>50</v>
      </c>
      <c r="F230" s="30" t="s">
        <v>166</v>
      </c>
      <c r="G230" s="30">
        <v>4080.1</v>
      </c>
      <c r="H230" s="30">
        <v>238.97</v>
      </c>
      <c r="I230" s="30"/>
      <c r="J230" s="44" t="s">
        <v>12</v>
      </c>
      <c r="L230" t="str">
        <f t="shared" si="3"/>
        <v>12022511.4080.100</v>
      </c>
    </row>
    <row r="231" spans="1:12" x14ac:dyDescent="0.2">
      <c r="A231" s="30">
        <v>145</v>
      </c>
      <c r="B231" s="30" t="s">
        <v>91</v>
      </c>
      <c r="C231" s="30">
        <v>12022511</v>
      </c>
      <c r="D231" s="30" t="s">
        <v>32</v>
      </c>
      <c r="E231" s="30">
        <v>50</v>
      </c>
      <c r="F231" s="30" t="s">
        <v>166</v>
      </c>
      <c r="G231" s="30">
        <v>4080.1</v>
      </c>
      <c r="H231" s="30">
        <v>252.83</v>
      </c>
      <c r="I231" s="30"/>
      <c r="J231" s="44" t="s">
        <v>12</v>
      </c>
      <c r="L231" t="str">
        <f t="shared" si="3"/>
        <v>12022511.4080.100</v>
      </c>
    </row>
    <row r="232" spans="1:12" x14ac:dyDescent="0.2">
      <c r="A232" s="30">
        <v>141</v>
      </c>
      <c r="B232" s="30" t="s">
        <v>185</v>
      </c>
      <c r="C232" s="30">
        <v>12022511</v>
      </c>
      <c r="D232" s="30" t="s">
        <v>32</v>
      </c>
      <c r="E232" s="30">
        <v>50</v>
      </c>
      <c r="F232" s="30" t="s">
        <v>166</v>
      </c>
      <c r="G232" s="30">
        <v>4080.1</v>
      </c>
      <c r="H232" s="30">
        <v>114.82</v>
      </c>
      <c r="I232" s="30"/>
      <c r="J232" s="44" t="s">
        <v>12</v>
      </c>
      <c r="L232" t="str">
        <f t="shared" si="3"/>
        <v>12022511.4080.100</v>
      </c>
    </row>
    <row r="233" spans="1:12" x14ac:dyDescent="0.2">
      <c r="A233" s="30">
        <v>19026</v>
      </c>
      <c r="B233" s="30" t="s">
        <v>187</v>
      </c>
      <c r="C233" s="30">
        <v>12023011</v>
      </c>
      <c r="D233" s="30" t="s">
        <v>93</v>
      </c>
      <c r="E233" s="30">
        <v>50</v>
      </c>
      <c r="F233" s="30" t="s">
        <v>166</v>
      </c>
      <c r="G233" s="30">
        <v>4080.1</v>
      </c>
      <c r="H233" s="30">
        <v>124.69</v>
      </c>
      <c r="I233" s="30"/>
      <c r="J233" s="44" t="s">
        <v>12</v>
      </c>
      <c r="L233" t="str">
        <f t="shared" si="3"/>
        <v>12023011.4080.100</v>
      </c>
    </row>
    <row r="234" spans="1:12" x14ac:dyDescent="0.2">
      <c r="A234" s="30">
        <v>18999</v>
      </c>
      <c r="B234" s="30" t="s">
        <v>92</v>
      </c>
      <c r="C234" s="30">
        <v>12023011</v>
      </c>
      <c r="D234" s="30" t="s">
        <v>93</v>
      </c>
      <c r="E234" s="30">
        <v>50</v>
      </c>
      <c r="F234" s="30" t="s">
        <v>166</v>
      </c>
      <c r="G234" s="30">
        <v>4080.1</v>
      </c>
      <c r="H234" s="30">
        <v>235.48</v>
      </c>
      <c r="I234" s="30"/>
      <c r="J234" s="44" t="s">
        <v>12</v>
      </c>
      <c r="L234" t="str">
        <f t="shared" si="3"/>
        <v>12023011.4080.100</v>
      </c>
    </row>
    <row r="235" spans="1:12" x14ac:dyDescent="0.2">
      <c r="A235" s="30">
        <v>19002</v>
      </c>
      <c r="B235" s="30" t="s">
        <v>186</v>
      </c>
      <c r="C235" s="30">
        <v>12023011</v>
      </c>
      <c r="D235" s="30" t="s">
        <v>93</v>
      </c>
      <c r="E235" s="30">
        <v>50</v>
      </c>
      <c r="F235" s="30" t="s">
        <v>166</v>
      </c>
      <c r="G235" s="30">
        <v>4080.1</v>
      </c>
      <c r="H235" s="30">
        <v>94.29</v>
      </c>
      <c r="I235" s="30"/>
      <c r="J235" s="44" t="s">
        <v>12</v>
      </c>
      <c r="L235" t="str">
        <f t="shared" si="3"/>
        <v>12023011.4080.100</v>
      </c>
    </row>
    <row r="236" spans="1:12" x14ac:dyDescent="0.2">
      <c r="A236" s="30">
        <v>18962</v>
      </c>
      <c r="B236" s="30" t="s">
        <v>148</v>
      </c>
      <c r="C236" s="30">
        <v>12023011</v>
      </c>
      <c r="D236" s="30" t="s">
        <v>93</v>
      </c>
      <c r="E236" s="30">
        <v>50</v>
      </c>
      <c r="F236" s="30" t="s">
        <v>166</v>
      </c>
      <c r="G236" s="30">
        <v>4080.1</v>
      </c>
      <c r="H236" s="30">
        <v>525</v>
      </c>
      <c r="I236" s="30"/>
      <c r="J236" s="44" t="s">
        <v>12</v>
      </c>
      <c r="L236" t="str">
        <f t="shared" si="3"/>
        <v>12023011.4080.100</v>
      </c>
    </row>
    <row r="237" spans="1:12" x14ac:dyDescent="0.2">
      <c r="A237" s="30">
        <v>19007</v>
      </c>
      <c r="B237" s="30" t="s">
        <v>189</v>
      </c>
      <c r="C237" s="30">
        <v>12023011</v>
      </c>
      <c r="D237" s="30" t="s">
        <v>93</v>
      </c>
      <c r="E237" s="30">
        <v>50</v>
      </c>
      <c r="F237" s="30" t="s">
        <v>166</v>
      </c>
      <c r="G237" s="30">
        <v>4080.1</v>
      </c>
      <c r="H237" s="30">
        <v>228.59</v>
      </c>
      <c r="I237" s="30"/>
      <c r="J237" s="44" t="s">
        <v>12</v>
      </c>
      <c r="L237" t="str">
        <f t="shared" si="3"/>
        <v>12023011.4080.100</v>
      </c>
    </row>
    <row r="238" spans="1:12" x14ac:dyDescent="0.2">
      <c r="A238" s="30">
        <v>19032</v>
      </c>
      <c r="B238" s="30" t="s">
        <v>386</v>
      </c>
      <c r="C238" s="30">
        <v>12023011</v>
      </c>
      <c r="D238" s="30" t="s">
        <v>93</v>
      </c>
      <c r="E238" s="30">
        <v>50</v>
      </c>
      <c r="F238" s="30" t="s">
        <v>166</v>
      </c>
      <c r="G238" s="30">
        <v>4080.1</v>
      </c>
      <c r="H238" s="30">
        <v>62.34</v>
      </c>
      <c r="I238" s="30"/>
      <c r="J238" s="44" t="s">
        <v>12</v>
      </c>
      <c r="L238" t="str">
        <f t="shared" si="3"/>
        <v>12023011.4080.100</v>
      </c>
    </row>
    <row r="239" spans="1:12" x14ac:dyDescent="0.2">
      <c r="A239" s="30">
        <v>19016</v>
      </c>
      <c r="B239" s="30" t="s">
        <v>96</v>
      </c>
      <c r="C239" s="30">
        <v>12023011</v>
      </c>
      <c r="D239" s="30" t="s">
        <v>93</v>
      </c>
      <c r="E239" s="30">
        <v>50</v>
      </c>
      <c r="F239" s="30" t="s">
        <v>166</v>
      </c>
      <c r="G239" s="30">
        <v>4080.1</v>
      </c>
      <c r="H239" s="30">
        <v>228.59</v>
      </c>
      <c r="I239" s="30"/>
      <c r="J239" s="44" t="s">
        <v>12</v>
      </c>
      <c r="L239" t="str">
        <f t="shared" si="3"/>
        <v>12023011.4080.100</v>
      </c>
    </row>
    <row r="240" spans="1:12" x14ac:dyDescent="0.2">
      <c r="A240" s="30">
        <v>18974</v>
      </c>
      <c r="B240" s="30" t="s">
        <v>94</v>
      </c>
      <c r="C240" s="30">
        <v>12023011</v>
      </c>
      <c r="D240" s="30" t="s">
        <v>93</v>
      </c>
      <c r="E240" s="30">
        <v>50</v>
      </c>
      <c r="F240" s="30" t="s">
        <v>166</v>
      </c>
      <c r="G240" s="30">
        <v>4080.1</v>
      </c>
      <c r="H240" s="30">
        <v>306.43</v>
      </c>
      <c r="I240" s="30"/>
      <c r="J240" s="44" t="s">
        <v>12</v>
      </c>
      <c r="L240" t="str">
        <f t="shared" si="3"/>
        <v>12023011.4080.100</v>
      </c>
    </row>
    <row r="241" spans="1:12" x14ac:dyDescent="0.2">
      <c r="A241" s="30">
        <v>19006</v>
      </c>
      <c r="B241" s="30" t="s">
        <v>95</v>
      </c>
      <c r="C241" s="30">
        <v>12023011</v>
      </c>
      <c r="D241" s="30" t="s">
        <v>93</v>
      </c>
      <c r="E241" s="30">
        <v>50</v>
      </c>
      <c r="F241" s="30" t="s">
        <v>166</v>
      </c>
      <c r="G241" s="30">
        <v>4080.1</v>
      </c>
      <c r="H241" s="30">
        <v>238.97</v>
      </c>
      <c r="I241" s="30"/>
      <c r="J241" s="44" t="s">
        <v>12</v>
      </c>
      <c r="L241" t="str">
        <f t="shared" si="3"/>
        <v>12023011.4080.100</v>
      </c>
    </row>
    <row r="242" spans="1:12" x14ac:dyDescent="0.2">
      <c r="A242" s="30">
        <v>18973</v>
      </c>
      <c r="B242" s="30" t="s">
        <v>188</v>
      </c>
      <c r="C242" s="30">
        <v>12023011</v>
      </c>
      <c r="D242" s="30" t="s">
        <v>93</v>
      </c>
      <c r="E242" s="30">
        <v>50</v>
      </c>
      <c r="F242" s="30" t="s">
        <v>166</v>
      </c>
      <c r="G242" s="30">
        <v>4080.1</v>
      </c>
      <c r="H242" s="30">
        <v>174.47</v>
      </c>
      <c r="I242" s="30"/>
      <c r="J242" s="44" t="s">
        <v>12</v>
      </c>
      <c r="L242" t="str">
        <f t="shared" si="3"/>
        <v>12023011.4080.100</v>
      </c>
    </row>
    <row r="243" spans="1:12" x14ac:dyDescent="0.2">
      <c r="A243" s="30">
        <v>18980</v>
      </c>
      <c r="B243" s="30" t="s">
        <v>97</v>
      </c>
      <c r="C243" s="30">
        <v>12023021</v>
      </c>
      <c r="D243" s="30" t="s">
        <v>98</v>
      </c>
      <c r="E243" s="30">
        <v>50</v>
      </c>
      <c r="F243" s="30" t="s">
        <v>166</v>
      </c>
      <c r="G243" s="30">
        <v>4080.1</v>
      </c>
      <c r="H243" s="30">
        <v>207.72</v>
      </c>
      <c r="I243" s="30"/>
      <c r="J243" s="44" t="s">
        <v>12</v>
      </c>
      <c r="L243" t="str">
        <f t="shared" si="3"/>
        <v>12023021.4080.100</v>
      </c>
    </row>
    <row r="244" spans="1:12" x14ac:dyDescent="0.2">
      <c r="A244" s="30">
        <v>19021</v>
      </c>
      <c r="B244" s="30" t="s">
        <v>99</v>
      </c>
      <c r="C244" s="30">
        <v>12023021</v>
      </c>
      <c r="D244" s="30" t="s">
        <v>98</v>
      </c>
      <c r="E244" s="30">
        <v>50</v>
      </c>
      <c r="F244" s="30" t="s">
        <v>166</v>
      </c>
      <c r="G244" s="30">
        <v>4080.1</v>
      </c>
      <c r="H244" s="30">
        <v>180.22</v>
      </c>
      <c r="I244" s="30"/>
      <c r="J244" s="44" t="s">
        <v>12</v>
      </c>
      <c r="L244" t="str">
        <f t="shared" si="3"/>
        <v>12023021.4080.100</v>
      </c>
    </row>
    <row r="245" spans="1:12" x14ac:dyDescent="0.2">
      <c r="A245" s="30">
        <v>19027</v>
      </c>
      <c r="B245" s="30" t="s">
        <v>365</v>
      </c>
      <c r="C245" s="30">
        <v>12023021</v>
      </c>
      <c r="D245" s="30" t="s">
        <v>98</v>
      </c>
      <c r="E245" s="30">
        <v>50</v>
      </c>
      <c r="F245" s="30" t="s">
        <v>166</v>
      </c>
      <c r="G245" s="30">
        <v>4080.1</v>
      </c>
      <c r="H245" s="30">
        <v>249.23</v>
      </c>
      <c r="I245" s="30"/>
      <c r="J245" s="44" t="s">
        <v>12</v>
      </c>
      <c r="L245" t="str">
        <f t="shared" si="3"/>
        <v>12023021.4080.100</v>
      </c>
    </row>
    <row r="246" spans="1:12" x14ac:dyDescent="0.2">
      <c r="A246" s="30">
        <v>18581</v>
      </c>
      <c r="B246" s="30" t="s">
        <v>190</v>
      </c>
      <c r="C246" s="30">
        <v>12024021</v>
      </c>
      <c r="D246" s="30" t="s">
        <v>191</v>
      </c>
      <c r="E246" s="30">
        <v>50</v>
      </c>
      <c r="F246" s="30" t="s">
        <v>166</v>
      </c>
      <c r="G246" s="30">
        <v>4080.1</v>
      </c>
      <c r="H246" s="30">
        <v>332.07</v>
      </c>
      <c r="I246" s="30"/>
      <c r="J246" s="44" t="s">
        <v>12</v>
      </c>
      <c r="L246" t="str">
        <f t="shared" si="3"/>
        <v>12024021.4080.100</v>
      </c>
    </row>
    <row r="247" spans="1:12" x14ac:dyDescent="0.2">
      <c r="A247" s="30">
        <v>18945</v>
      </c>
      <c r="B247" s="30" t="s">
        <v>151</v>
      </c>
      <c r="C247" s="30">
        <v>12028099</v>
      </c>
      <c r="D247" s="30" t="s">
        <v>150</v>
      </c>
      <c r="E247" s="30">
        <v>50</v>
      </c>
      <c r="F247" s="30" t="s">
        <v>166</v>
      </c>
      <c r="G247" s="30">
        <v>4080.1</v>
      </c>
      <c r="H247" s="30">
        <v>226.15</v>
      </c>
      <c r="I247" s="30"/>
      <c r="J247" s="44" t="s">
        <v>12</v>
      </c>
      <c r="L247" t="str">
        <f t="shared" si="3"/>
        <v>12028099.4080.100</v>
      </c>
    </row>
    <row r="248" spans="1:12" x14ac:dyDescent="0.2">
      <c r="A248" s="30">
        <v>44705</v>
      </c>
      <c r="B248" s="30" t="s">
        <v>149</v>
      </c>
      <c r="C248" s="30">
        <v>12028099</v>
      </c>
      <c r="D248" s="30" t="s">
        <v>150</v>
      </c>
      <c r="E248" s="30">
        <v>50</v>
      </c>
      <c r="F248" s="30" t="s">
        <v>166</v>
      </c>
      <c r="G248" s="30">
        <v>4080.1</v>
      </c>
      <c r="H248" s="30">
        <v>565.38</v>
      </c>
      <c r="I248" s="30"/>
      <c r="J248" s="44" t="s">
        <v>12</v>
      </c>
      <c r="L248" t="str">
        <f t="shared" si="3"/>
        <v>12028099.4080.100</v>
      </c>
    </row>
    <row r="249" spans="1:12" x14ac:dyDescent="0.2">
      <c r="A249" s="30">
        <v>18805</v>
      </c>
      <c r="B249" s="30" t="s">
        <v>192</v>
      </c>
      <c r="C249" s="30">
        <v>12030400</v>
      </c>
      <c r="D249" s="30" t="s">
        <v>62</v>
      </c>
      <c r="E249" s="30">
        <v>50</v>
      </c>
      <c r="F249" s="30" t="s">
        <v>166</v>
      </c>
      <c r="G249" s="30">
        <v>4080.1</v>
      </c>
      <c r="H249" s="30">
        <v>242.31</v>
      </c>
      <c r="I249" s="30"/>
      <c r="J249" s="44" t="s">
        <v>12</v>
      </c>
      <c r="L249" t="str">
        <f t="shared" si="3"/>
        <v>12030400.4080.100</v>
      </c>
    </row>
    <row r="250" spans="1:12" x14ac:dyDescent="0.2">
      <c r="A250" s="30">
        <v>18982</v>
      </c>
      <c r="B250" s="30" t="s">
        <v>100</v>
      </c>
      <c r="C250" s="30">
        <v>12030400</v>
      </c>
      <c r="D250" s="30" t="s">
        <v>62</v>
      </c>
      <c r="E250" s="30">
        <v>50</v>
      </c>
      <c r="F250" s="30" t="s">
        <v>166</v>
      </c>
      <c r="G250" s="30">
        <v>4080.1</v>
      </c>
      <c r="H250" s="30">
        <v>228.17</v>
      </c>
      <c r="I250" s="30"/>
      <c r="J250" s="44" t="s">
        <v>12</v>
      </c>
      <c r="L250" t="str">
        <f t="shared" si="3"/>
        <v>12030400.4080.100</v>
      </c>
    </row>
    <row r="251" spans="1:12" x14ac:dyDescent="0.2">
      <c r="A251" s="30">
        <v>266</v>
      </c>
      <c r="B251" s="30" t="s">
        <v>194</v>
      </c>
      <c r="C251" s="30">
        <v>12030500</v>
      </c>
      <c r="D251" s="30" t="s">
        <v>34</v>
      </c>
      <c r="E251" s="30">
        <v>50</v>
      </c>
      <c r="F251" s="30" t="s">
        <v>166</v>
      </c>
      <c r="G251" s="30">
        <v>4080.1</v>
      </c>
      <c r="H251" s="30">
        <v>259.95999999999998</v>
      </c>
      <c r="I251" s="30"/>
      <c r="J251" s="44" t="s">
        <v>12</v>
      </c>
      <c r="L251" t="str">
        <f t="shared" si="3"/>
        <v>12030500.4080.100</v>
      </c>
    </row>
    <row r="252" spans="1:12" x14ac:dyDescent="0.2">
      <c r="A252" s="30">
        <v>18841</v>
      </c>
      <c r="B252" s="30" t="s">
        <v>193</v>
      </c>
      <c r="C252" s="30">
        <v>12030500</v>
      </c>
      <c r="D252" s="30" t="s">
        <v>34</v>
      </c>
      <c r="E252" s="30">
        <v>50</v>
      </c>
      <c r="F252" s="30" t="s">
        <v>166</v>
      </c>
      <c r="G252" s="30">
        <v>4080.1</v>
      </c>
      <c r="H252" s="30">
        <v>226.15</v>
      </c>
      <c r="I252" s="30"/>
      <c r="J252" s="44" t="s">
        <v>12</v>
      </c>
      <c r="L252" t="str">
        <f t="shared" si="3"/>
        <v>12030500.4080.100</v>
      </c>
    </row>
    <row r="253" spans="1:12" x14ac:dyDescent="0.2">
      <c r="A253" s="30">
        <v>302</v>
      </c>
      <c r="B253" s="30" t="s">
        <v>33</v>
      </c>
      <c r="C253" s="30">
        <v>12030500</v>
      </c>
      <c r="D253" s="30" t="s">
        <v>34</v>
      </c>
      <c r="E253" s="30">
        <v>50</v>
      </c>
      <c r="F253" s="30" t="s">
        <v>166</v>
      </c>
      <c r="G253" s="30">
        <v>4080.1</v>
      </c>
      <c r="H253" s="30">
        <v>240.09</v>
      </c>
      <c r="I253" s="30"/>
      <c r="J253" s="44" t="s">
        <v>12</v>
      </c>
      <c r="L253" t="str">
        <f t="shared" si="3"/>
        <v>12030500.4080.100</v>
      </c>
    </row>
    <row r="254" spans="1:12" x14ac:dyDescent="0.2">
      <c r="A254" s="30">
        <v>18929</v>
      </c>
      <c r="B254" s="30" t="s">
        <v>106</v>
      </c>
      <c r="C254" s="30">
        <v>12030611</v>
      </c>
      <c r="D254" s="30" t="s">
        <v>36</v>
      </c>
      <c r="E254" s="30">
        <v>50</v>
      </c>
      <c r="F254" s="30" t="s">
        <v>166</v>
      </c>
      <c r="G254" s="30">
        <v>4080.1</v>
      </c>
      <c r="H254" s="30">
        <v>91.08</v>
      </c>
      <c r="I254" s="30"/>
      <c r="J254" s="44" t="s">
        <v>12</v>
      </c>
      <c r="L254" t="str">
        <f t="shared" si="3"/>
        <v>12030611.4080.100</v>
      </c>
    </row>
    <row r="255" spans="1:12" x14ac:dyDescent="0.2">
      <c r="A255" s="30">
        <v>18901</v>
      </c>
      <c r="B255" s="30" t="s">
        <v>37</v>
      </c>
      <c r="C255" s="30">
        <v>12030611</v>
      </c>
      <c r="D255" s="30" t="s">
        <v>36</v>
      </c>
      <c r="E255" s="30">
        <v>50</v>
      </c>
      <c r="F255" s="30" t="s">
        <v>166</v>
      </c>
      <c r="G255" s="30">
        <v>4080.1</v>
      </c>
      <c r="H255" s="30">
        <v>286.45</v>
      </c>
      <c r="I255" s="30"/>
      <c r="J255" s="44" t="s">
        <v>12</v>
      </c>
      <c r="L255" t="str">
        <f t="shared" si="3"/>
        <v>12030611.4080.100</v>
      </c>
    </row>
    <row r="256" spans="1:12" x14ac:dyDescent="0.2">
      <c r="A256" s="30">
        <v>18626</v>
      </c>
      <c r="B256" s="30" t="s">
        <v>195</v>
      </c>
      <c r="C256" s="30">
        <v>12030611</v>
      </c>
      <c r="D256" s="30" t="s">
        <v>36</v>
      </c>
      <c r="E256" s="30">
        <v>50</v>
      </c>
      <c r="F256" s="30" t="s">
        <v>166</v>
      </c>
      <c r="G256" s="30">
        <v>4080.1</v>
      </c>
      <c r="H256" s="30">
        <v>363.46</v>
      </c>
      <c r="I256" s="30"/>
      <c r="J256" s="44" t="s">
        <v>12</v>
      </c>
      <c r="L256" t="str">
        <f t="shared" si="3"/>
        <v>12030611.4080.100</v>
      </c>
    </row>
    <row r="257" spans="1:12" x14ac:dyDescent="0.2">
      <c r="A257" s="30">
        <v>18827</v>
      </c>
      <c r="B257" s="30" t="s">
        <v>104</v>
      </c>
      <c r="C257" s="30">
        <v>12030611</v>
      </c>
      <c r="D257" s="30" t="s">
        <v>36</v>
      </c>
      <c r="E257" s="30">
        <v>50</v>
      </c>
      <c r="F257" s="30" t="s">
        <v>166</v>
      </c>
      <c r="G257" s="30">
        <v>4080.1</v>
      </c>
      <c r="H257" s="30">
        <v>249.37</v>
      </c>
      <c r="I257" s="30"/>
      <c r="J257" s="44" t="s">
        <v>12</v>
      </c>
      <c r="L257" t="str">
        <f t="shared" si="3"/>
        <v>12030611.4080.100</v>
      </c>
    </row>
    <row r="258" spans="1:12" x14ac:dyDescent="0.2">
      <c r="A258" s="30">
        <v>18822</v>
      </c>
      <c r="B258" s="30" t="s">
        <v>103</v>
      </c>
      <c r="C258" s="30">
        <v>12030611</v>
      </c>
      <c r="D258" s="30" t="s">
        <v>36</v>
      </c>
      <c r="E258" s="30">
        <v>50</v>
      </c>
      <c r="F258" s="30" t="s">
        <v>166</v>
      </c>
      <c r="G258" s="30">
        <v>4080.1</v>
      </c>
      <c r="H258" s="30">
        <v>228.31</v>
      </c>
      <c r="I258" s="30"/>
      <c r="J258" s="44" t="s">
        <v>12</v>
      </c>
      <c r="L258" t="str">
        <f t="shared" ref="L258:L321" si="4">C258&amp;"."&amp;G258&amp;J258</f>
        <v>12030611.4080.100</v>
      </c>
    </row>
    <row r="259" spans="1:12" x14ac:dyDescent="0.2">
      <c r="A259" s="30">
        <v>18887</v>
      </c>
      <c r="B259" s="30" t="s">
        <v>105</v>
      </c>
      <c r="C259" s="30">
        <v>12030611</v>
      </c>
      <c r="D259" s="30" t="s">
        <v>36</v>
      </c>
      <c r="E259" s="30">
        <v>50</v>
      </c>
      <c r="F259" s="30" t="s">
        <v>166</v>
      </c>
      <c r="G259" s="30">
        <v>4080.1</v>
      </c>
      <c r="H259" s="30">
        <v>191.38</v>
      </c>
      <c r="I259" s="30"/>
      <c r="J259" s="44" t="s">
        <v>12</v>
      </c>
      <c r="L259" t="str">
        <f t="shared" si="4"/>
        <v>12030611.4080.100</v>
      </c>
    </row>
    <row r="260" spans="1:12" x14ac:dyDescent="0.2">
      <c r="A260" s="30">
        <v>18949</v>
      </c>
      <c r="B260" s="30" t="s">
        <v>35</v>
      </c>
      <c r="C260" s="30">
        <v>12030611</v>
      </c>
      <c r="D260" s="30" t="s">
        <v>36</v>
      </c>
      <c r="E260" s="30">
        <v>50</v>
      </c>
      <c r="F260" s="30" t="s">
        <v>166</v>
      </c>
      <c r="G260" s="30">
        <v>4080.1</v>
      </c>
      <c r="H260" s="30">
        <v>209</v>
      </c>
      <c r="I260" s="30"/>
      <c r="J260" s="44" t="s">
        <v>12</v>
      </c>
      <c r="L260" t="str">
        <f t="shared" si="4"/>
        <v>12030611.4080.100</v>
      </c>
    </row>
    <row r="261" spans="1:12" x14ac:dyDescent="0.2">
      <c r="A261" s="30">
        <v>134</v>
      </c>
      <c r="B261" s="30" t="s">
        <v>102</v>
      </c>
      <c r="C261" s="30">
        <v>12030611</v>
      </c>
      <c r="D261" s="30" t="s">
        <v>36</v>
      </c>
      <c r="E261" s="30">
        <v>50</v>
      </c>
      <c r="F261" s="30" t="s">
        <v>166</v>
      </c>
      <c r="G261" s="30">
        <v>4080.1</v>
      </c>
      <c r="H261" s="30">
        <v>100.72</v>
      </c>
      <c r="I261" s="30"/>
      <c r="J261" s="44" t="s">
        <v>12</v>
      </c>
      <c r="L261" t="str">
        <f t="shared" si="4"/>
        <v>12030611.4080.100</v>
      </c>
    </row>
    <row r="262" spans="1:12" x14ac:dyDescent="0.2">
      <c r="A262" s="30">
        <v>18994</v>
      </c>
      <c r="B262" s="30" t="s">
        <v>363</v>
      </c>
      <c r="C262" s="30">
        <v>12030611</v>
      </c>
      <c r="D262" s="30" t="s">
        <v>36</v>
      </c>
      <c r="E262" s="30">
        <v>50</v>
      </c>
      <c r="F262" s="30" t="s">
        <v>166</v>
      </c>
      <c r="G262" s="30">
        <v>4080.1</v>
      </c>
      <c r="H262" s="30">
        <v>25.44</v>
      </c>
      <c r="I262" s="30"/>
      <c r="J262" s="44" t="s">
        <v>12</v>
      </c>
      <c r="L262" t="str">
        <f t="shared" si="4"/>
        <v>12030611.4080.100</v>
      </c>
    </row>
    <row r="263" spans="1:12" x14ac:dyDescent="0.2">
      <c r="A263" s="30">
        <v>18797</v>
      </c>
      <c r="B263" s="30" t="s">
        <v>101</v>
      </c>
      <c r="C263" s="30">
        <v>12030611</v>
      </c>
      <c r="D263" s="30" t="s">
        <v>36</v>
      </c>
      <c r="E263" s="30">
        <v>50</v>
      </c>
      <c r="F263" s="30" t="s">
        <v>166</v>
      </c>
      <c r="G263" s="30">
        <v>4080.1</v>
      </c>
      <c r="H263" s="30">
        <v>228.46</v>
      </c>
      <c r="I263" s="30"/>
      <c r="J263" s="44" t="s">
        <v>12</v>
      </c>
      <c r="L263" t="str">
        <f t="shared" si="4"/>
        <v>12030611.4080.100</v>
      </c>
    </row>
    <row r="264" spans="1:12" x14ac:dyDescent="0.2">
      <c r="A264" s="30">
        <v>18979</v>
      </c>
      <c r="B264" s="30" t="s">
        <v>39</v>
      </c>
      <c r="C264" s="30">
        <v>12030611</v>
      </c>
      <c r="D264" s="30" t="s">
        <v>36</v>
      </c>
      <c r="E264" s="30">
        <v>50</v>
      </c>
      <c r="F264" s="30" t="s">
        <v>166</v>
      </c>
      <c r="G264" s="30">
        <v>4080.1</v>
      </c>
      <c r="H264" s="30">
        <v>212.98</v>
      </c>
      <c r="I264" s="30"/>
      <c r="J264" s="44" t="s">
        <v>12</v>
      </c>
      <c r="L264" t="str">
        <f t="shared" si="4"/>
        <v>12030611.4080.100</v>
      </c>
    </row>
    <row r="265" spans="1:12" x14ac:dyDescent="0.2">
      <c r="A265" s="30">
        <v>18918</v>
      </c>
      <c r="B265" s="30" t="s">
        <v>38</v>
      </c>
      <c r="C265" s="30">
        <v>12030611</v>
      </c>
      <c r="D265" s="30" t="s">
        <v>36</v>
      </c>
      <c r="E265" s="30">
        <v>50</v>
      </c>
      <c r="F265" s="30" t="s">
        <v>166</v>
      </c>
      <c r="G265" s="30">
        <v>4080.1</v>
      </c>
      <c r="H265" s="30">
        <v>250.34</v>
      </c>
      <c r="I265" s="30"/>
      <c r="J265" s="44" t="s">
        <v>12</v>
      </c>
      <c r="L265" t="str">
        <f t="shared" si="4"/>
        <v>12030611.4080.100</v>
      </c>
    </row>
    <row r="266" spans="1:12" x14ac:dyDescent="0.2">
      <c r="A266" s="30">
        <v>18692</v>
      </c>
      <c r="B266" s="30" t="s">
        <v>40</v>
      </c>
      <c r="C266" s="30">
        <v>12030711</v>
      </c>
      <c r="D266" s="30" t="s">
        <v>41</v>
      </c>
      <c r="E266" s="30">
        <v>50</v>
      </c>
      <c r="F266" s="30" t="s">
        <v>166</v>
      </c>
      <c r="G266" s="30">
        <v>4080.1</v>
      </c>
      <c r="H266" s="30">
        <v>254.67</v>
      </c>
      <c r="I266" s="30"/>
      <c r="J266" s="44" t="s">
        <v>12</v>
      </c>
      <c r="L266" t="str">
        <f t="shared" si="4"/>
        <v>12030711.4080.100</v>
      </c>
    </row>
    <row r="267" spans="1:12" x14ac:dyDescent="0.2">
      <c r="A267" s="30">
        <v>18989</v>
      </c>
      <c r="B267" s="30" t="s">
        <v>107</v>
      </c>
      <c r="C267" s="30">
        <v>12030800</v>
      </c>
      <c r="D267" s="30" t="s">
        <v>59</v>
      </c>
      <c r="E267" s="30">
        <v>50</v>
      </c>
      <c r="F267" s="30" t="s">
        <v>166</v>
      </c>
      <c r="G267" s="30">
        <v>4080.1</v>
      </c>
      <c r="H267" s="30">
        <v>209.63</v>
      </c>
      <c r="I267" s="30"/>
      <c r="J267" s="44" t="s">
        <v>12</v>
      </c>
      <c r="L267" t="str">
        <f t="shared" si="4"/>
        <v>12030800.4080.100</v>
      </c>
    </row>
    <row r="268" spans="1:12" x14ac:dyDescent="0.2">
      <c r="A268" s="30">
        <v>18916</v>
      </c>
      <c r="B268" s="30" t="s">
        <v>42</v>
      </c>
      <c r="C268" s="30">
        <v>12032511</v>
      </c>
      <c r="D268" s="30" t="s">
        <v>43</v>
      </c>
      <c r="E268" s="30">
        <v>50</v>
      </c>
      <c r="F268" s="30" t="s">
        <v>166</v>
      </c>
      <c r="G268" s="30">
        <v>4080.1</v>
      </c>
      <c r="H268" s="30">
        <v>166.25</v>
      </c>
      <c r="I268" s="30"/>
      <c r="J268" s="44" t="s">
        <v>12</v>
      </c>
      <c r="L268" t="str">
        <f t="shared" si="4"/>
        <v>12032511.4080.100</v>
      </c>
    </row>
    <row r="269" spans="1:12" x14ac:dyDescent="0.2">
      <c r="A269" s="30">
        <v>18736</v>
      </c>
      <c r="B269" s="30" t="s">
        <v>70</v>
      </c>
      <c r="C269" s="30">
        <v>12032511</v>
      </c>
      <c r="D269" s="30" t="s">
        <v>43</v>
      </c>
      <c r="E269" s="30">
        <v>50</v>
      </c>
      <c r="F269" s="30" t="s">
        <v>166</v>
      </c>
      <c r="G269" s="30">
        <v>4080.1</v>
      </c>
      <c r="H269" s="30">
        <v>176.2</v>
      </c>
      <c r="I269" s="30"/>
      <c r="J269" s="44" t="s">
        <v>12</v>
      </c>
      <c r="L269" t="str">
        <f t="shared" si="4"/>
        <v>12032511.4080.100</v>
      </c>
    </row>
    <row r="270" spans="1:12" x14ac:dyDescent="0.2">
      <c r="A270" s="30">
        <v>19009</v>
      </c>
      <c r="B270" s="30" t="s">
        <v>117</v>
      </c>
      <c r="C270" s="30">
        <v>12033011</v>
      </c>
      <c r="D270" s="30" t="s">
        <v>45</v>
      </c>
      <c r="E270" s="30">
        <v>50</v>
      </c>
      <c r="F270" s="30" t="s">
        <v>166</v>
      </c>
      <c r="G270" s="30">
        <v>4080.1</v>
      </c>
      <c r="H270" s="30">
        <v>210.21</v>
      </c>
      <c r="I270" s="30"/>
      <c r="J270" s="44" t="s">
        <v>12</v>
      </c>
      <c r="L270" t="str">
        <f t="shared" si="4"/>
        <v>12033011.4080.100</v>
      </c>
    </row>
    <row r="271" spans="1:12" x14ac:dyDescent="0.2">
      <c r="A271" s="30">
        <v>19030</v>
      </c>
      <c r="B271" s="30" t="s">
        <v>364</v>
      </c>
      <c r="C271" s="30">
        <v>12033011</v>
      </c>
      <c r="D271" s="30" t="s">
        <v>45</v>
      </c>
      <c r="E271" s="30">
        <v>50</v>
      </c>
      <c r="F271" s="30" t="s">
        <v>166</v>
      </c>
      <c r="G271" s="30">
        <v>4080.1</v>
      </c>
      <c r="H271" s="30">
        <v>176.79</v>
      </c>
      <c r="I271" s="30"/>
      <c r="J271" s="44" t="s">
        <v>12</v>
      </c>
      <c r="L271" t="str">
        <f t="shared" si="4"/>
        <v>12033011.4080.100</v>
      </c>
    </row>
    <row r="272" spans="1:12" x14ac:dyDescent="0.2">
      <c r="A272" s="30">
        <v>19029</v>
      </c>
      <c r="B272" s="30" t="s">
        <v>366</v>
      </c>
      <c r="C272" s="30">
        <v>12033011</v>
      </c>
      <c r="D272" s="30" t="s">
        <v>45</v>
      </c>
      <c r="E272" s="30">
        <v>50</v>
      </c>
      <c r="F272" s="30" t="s">
        <v>166</v>
      </c>
      <c r="G272" s="30">
        <v>4080.1</v>
      </c>
      <c r="H272" s="30">
        <v>210.51</v>
      </c>
      <c r="I272" s="30"/>
      <c r="J272" s="44" t="s">
        <v>12</v>
      </c>
      <c r="L272" t="str">
        <f t="shared" si="4"/>
        <v>12033011.4080.100</v>
      </c>
    </row>
    <row r="273" spans="1:12" x14ac:dyDescent="0.2">
      <c r="A273" s="30">
        <v>18932</v>
      </c>
      <c r="B273" s="30" t="s">
        <v>44</v>
      </c>
      <c r="C273" s="30">
        <v>12033011</v>
      </c>
      <c r="D273" s="30" t="s">
        <v>45</v>
      </c>
      <c r="E273" s="30">
        <v>50</v>
      </c>
      <c r="F273" s="30" t="s">
        <v>166</v>
      </c>
      <c r="G273" s="30">
        <v>4080.1</v>
      </c>
      <c r="H273" s="30">
        <v>271.02999999999997</v>
      </c>
      <c r="I273" s="30"/>
      <c r="J273" s="44" t="s">
        <v>12</v>
      </c>
      <c r="L273" t="str">
        <f t="shared" si="4"/>
        <v>12033011.4080.100</v>
      </c>
    </row>
    <row r="274" spans="1:12" x14ac:dyDescent="0.2">
      <c r="A274" s="30">
        <v>19028</v>
      </c>
      <c r="B274" s="30" t="s">
        <v>367</v>
      </c>
      <c r="C274" s="30">
        <v>12033011</v>
      </c>
      <c r="D274" s="30" t="s">
        <v>45</v>
      </c>
      <c r="E274" s="30">
        <v>50</v>
      </c>
      <c r="F274" s="30" t="s">
        <v>166</v>
      </c>
      <c r="G274" s="30">
        <v>4080.1</v>
      </c>
      <c r="H274" s="30">
        <v>186.78</v>
      </c>
      <c r="I274" s="30"/>
      <c r="J274" s="44" t="s">
        <v>12</v>
      </c>
      <c r="L274" t="str">
        <f t="shared" si="4"/>
        <v>12033011.4080.100</v>
      </c>
    </row>
    <row r="275" spans="1:12" x14ac:dyDescent="0.2">
      <c r="A275" s="30">
        <v>18983</v>
      </c>
      <c r="B275" s="30" t="s">
        <v>112</v>
      </c>
      <c r="C275" s="30">
        <v>12033011</v>
      </c>
      <c r="D275" s="30" t="s">
        <v>45</v>
      </c>
      <c r="E275" s="30">
        <v>50</v>
      </c>
      <c r="F275" s="30" t="s">
        <v>166</v>
      </c>
      <c r="G275" s="30">
        <v>4080.1</v>
      </c>
      <c r="H275" s="30">
        <v>191.12</v>
      </c>
      <c r="I275" s="30"/>
      <c r="J275" s="44" t="s">
        <v>12</v>
      </c>
      <c r="L275" t="str">
        <f t="shared" si="4"/>
        <v>12033011.4080.100</v>
      </c>
    </row>
    <row r="276" spans="1:12" x14ac:dyDescent="0.2">
      <c r="A276" s="30">
        <v>19008</v>
      </c>
      <c r="B276" s="30" t="s">
        <v>118</v>
      </c>
      <c r="C276" s="30">
        <v>12033011</v>
      </c>
      <c r="D276" s="30" t="s">
        <v>45</v>
      </c>
      <c r="E276" s="30">
        <v>50</v>
      </c>
      <c r="F276" s="30" t="s">
        <v>166</v>
      </c>
      <c r="G276" s="30">
        <v>4080.1</v>
      </c>
      <c r="H276" s="30">
        <v>99.76</v>
      </c>
      <c r="I276" s="30"/>
      <c r="J276" s="44" t="s">
        <v>12</v>
      </c>
      <c r="L276" t="str">
        <f t="shared" si="4"/>
        <v>12033011.4080.100</v>
      </c>
    </row>
    <row r="277" spans="1:12" x14ac:dyDescent="0.2">
      <c r="A277" s="30">
        <v>18829</v>
      </c>
      <c r="B277" s="30" t="s">
        <v>115</v>
      </c>
      <c r="C277" s="30">
        <v>12033011</v>
      </c>
      <c r="D277" s="30" t="s">
        <v>45</v>
      </c>
      <c r="E277" s="30">
        <v>50</v>
      </c>
      <c r="F277" s="30" t="s">
        <v>166</v>
      </c>
      <c r="G277" s="30">
        <v>4080.1</v>
      </c>
      <c r="H277" s="30">
        <v>235.48</v>
      </c>
      <c r="I277" s="30"/>
      <c r="J277" s="44" t="s">
        <v>12</v>
      </c>
      <c r="L277" t="str">
        <f t="shared" si="4"/>
        <v>12033011.4080.100</v>
      </c>
    </row>
    <row r="278" spans="1:12" x14ac:dyDescent="0.2">
      <c r="A278" s="30">
        <v>19017</v>
      </c>
      <c r="B278" s="30" t="s">
        <v>65</v>
      </c>
      <c r="C278" s="30">
        <v>12033011</v>
      </c>
      <c r="D278" s="30" t="s">
        <v>45</v>
      </c>
      <c r="E278" s="30">
        <v>50</v>
      </c>
      <c r="F278" s="30" t="s">
        <v>166</v>
      </c>
      <c r="G278" s="30">
        <v>4080.1</v>
      </c>
      <c r="H278" s="30">
        <v>163.88</v>
      </c>
      <c r="I278" s="30"/>
      <c r="J278" s="44" t="s">
        <v>12</v>
      </c>
      <c r="L278" t="str">
        <f t="shared" si="4"/>
        <v>12033011.4080.100</v>
      </c>
    </row>
    <row r="279" spans="1:12" x14ac:dyDescent="0.2">
      <c r="A279" s="30">
        <v>19015</v>
      </c>
      <c r="B279" s="30" t="s">
        <v>116</v>
      </c>
      <c r="C279" s="30">
        <v>12033011</v>
      </c>
      <c r="D279" s="30" t="s">
        <v>45</v>
      </c>
      <c r="E279" s="30">
        <v>50</v>
      </c>
      <c r="F279" s="30" t="s">
        <v>166</v>
      </c>
      <c r="G279" s="30">
        <v>4080.1</v>
      </c>
      <c r="H279" s="30">
        <v>206.61</v>
      </c>
      <c r="I279" s="30"/>
      <c r="J279" s="44" t="s">
        <v>12</v>
      </c>
      <c r="L279" t="str">
        <f t="shared" si="4"/>
        <v>12033011.4080.100</v>
      </c>
    </row>
    <row r="280" spans="1:12" x14ac:dyDescent="0.2">
      <c r="A280" s="30">
        <v>18679</v>
      </c>
      <c r="B280" s="30" t="s">
        <v>114</v>
      </c>
      <c r="C280" s="30">
        <v>12033011</v>
      </c>
      <c r="D280" s="30" t="s">
        <v>45</v>
      </c>
      <c r="E280" s="30">
        <v>50</v>
      </c>
      <c r="F280" s="30" t="s">
        <v>166</v>
      </c>
      <c r="G280" s="30">
        <v>4080.1</v>
      </c>
      <c r="H280" s="30">
        <v>184.78</v>
      </c>
      <c r="I280" s="30"/>
      <c r="J280" s="44" t="s">
        <v>12</v>
      </c>
      <c r="L280" t="str">
        <f t="shared" si="4"/>
        <v>12033011.4080.100</v>
      </c>
    </row>
    <row r="281" spans="1:12" x14ac:dyDescent="0.2">
      <c r="A281" s="30">
        <v>18923</v>
      </c>
      <c r="B281" s="30" t="s">
        <v>46</v>
      </c>
      <c r="C281" s="30">
        <v>12033011</v>
      </c>
      <c r="D281" s="30" t="s">
        <v>45</v>
      </c>
      <c r="E281" s="30">
        <v>50</v>
      </c>
      <c r="F281" s="30" t="s">
        <v>166</v>
      </c>
      <c r="G281" s="30">
        <v>4080.1</v>
      </c>
      <c r="H281" s="30">
        <v>170.52</v>
      </c>
      <c r="I281" s="30"/>
      <c r="J281" s="44" t="s">
        <v>12</v>
      </c>
      <c r="L281" t="str">
        <f t="shared" si="4"/>
        <v>12033011.4080.100</v>
      </c>
    </row>
    <row r="282" spans="1:12" x14ac:dyDescent="0.2">
      <c r="A282" s="30">
        <v>19022</v>
      </c>
      <c r="B282" s="30" t="s">
        <v>113</v>
      </c>
      <c r="C282" s="30">
        <v>12033011</v>
      </c>
      <c r="D282" s="30" t="s">
        <v>45</v>
      </c>
      <c r="E282" s="30">
        <v>50</v>
      </c>
      <c r="F282" s="30" t="s">
        <v>166</v>
      </c>
      <c r="G282" s="30">
        <v>4080.1</v>
      </c>
      <c r="H282" s="30">
        <v>180.93</v>
      </c>
      <c r="I282" s="30"/>
      <c r="J282" s="44" t="s">
        <v>12</v>
      </c>
      <c r="L282" t="str">
        <f t="shared" si="4"/>
        <v>12033011.4080.100</v>
      </c>
    </row>
    <row r="283" spans="1:12" x14ac:dyDescent="0.2">
      <c r="A283" s="30">
        <v>18607</v>
      </c>
      <c r="B283" s="30" t="s">
        <v>109</v>
      </c>
      <c r="C283" s="30">
        <v>12033011</v>
      </c>
      <c r="D283" s="30" t="s">
        <v>45</v>
      </c>
      <c r="E283" s="30">
        <v>50</v>
      </c>
      <c r="F283" s="30" t="s">
        <v>166</v>
      </c>
      <c r="G283" s="30">
        <v>4080.1</v>
      </c>
      <c r="H283" s="30">
        <v>234.63</v>
      </c>
      <c r="I283" s="30"/>
      <c r="J283" s="44" t="s">
        <v>12</v>
      </c>
      <c r="L283" t="str">
        <f t="shared" si="4"/>
        <v>12033011.4080.100</v>
      </c>
    </row>
    <row r="284" spans="1:12" x14ac:dyDescent="0.2">
      <c r="A284" s="30">
        <v>19012</v>
      </c>
      <c r="B284" s="30" t="s">
        <v>110</v>
      </c>
      <c r="C284" s="30">
        <v>12033011</v>
      </c>
      <c r="D284" s="30" t="s">
        <v>45</v>
      </c>
      <c r="E284" s="30">
        <v>50</v>
      </c>
      <c r="F284" s="30" t="s">
        <v>166</v>
      </c>
      <c r="G284" s="30">
        <v>4080.1</v>
      </c>
      <c r="H284" s="30">
        <v>195.55</v>
      </c>
      <c r="I284" s="30"/>
      <c r="J284" s="44" t="s">
        <v>12</v>
      </c>
      <c r="L284" t="str">
        <f t="shared" si="4"/>
        <v>12033011.4080.100</v>
      </c>
    </row>
    <row r="285" spans="1:12" x14ac:dyDescent="0.2">
      <c r="A285" s="30">
        <v>19011</v>
      </c>
      <c r="B285" s="30" t="s">
        <v>111</v>
      </c>
      <c r="C285" s="30">
        <v>12033011</v>
      </c>
      <c r="D285" s="30" t="s">
        <v>45</v>
      </c>
      <c r="E285" s="30">
        <v>50</v>
      </c>
      <c r="F285" s="30" t="s">
        <v>166</v>
      </c>
      <c r="G285" s="30">
        <v>4080.1</v>
      </c>
      <c r="H285" s="30">
        <v>191.38</v>
      </c>
      <c r="I285" s="30"/>
      <c r="J285" s="44" t="s">
        <v>12</v>
      </c>
      <c r="L285" t="str">
        <f t="shared" si="4"/>
        <v>12033011.4080.100</v>
      </c>
    </row>
    <row r="286" spans="1:12" x14ac:dyDescent="0.2">
      <c r="A286" s="30">
        <v>19019</v>
      </c>
      <c r="B286" s="30" t="s">
        <v>108</v>
      </c>
      <c r="C286" s="30">
        <v>12033011</v>
      </c>
      <c r="D286" s="30" t="s">
        <v>45</v>
      </c>
      <c r="E286" s="30">
        <v>50</v>
      </c>
      <c r="F286" s="30" t="s">
        <v>166</v>
      </c>
      <c r="G286" s="30">
        <v>4080.1</v>
      </c>
      <c r="H286" s="30">
        <v>206.61</v>
      </c>
      <c r="I286" s="30"/>
      <c r="J286" s="44" t="s">
        <v>12</v>
      </c>
      <c r="L286" t="str">
        <f t="shared" si="4"/>
        <v>12033011.4080.100</v>
      </c>
    </row>
    <row r="287" spans="1:12" x14ac:dyDescent="0.2">
      <c r="A287" s="30">
        <v>18998</v>
      </c>
      <c r="B287" s="30" t="s">
        <v>47</v>
      </c>
      <c r="C287" s="30">
        <v>12038099</v>
      </c>
      <c r="D287" s="30" t="s">
        <v>48</v>
      </c>
      <c r="E287" s="30">
        <v>50</v>
      </c>
      <c r="F287" s="30" t="s">
        <v>166</v>
      </c>
      <c r="G287" s="30">
        <v>4080.1</v>
      </c>
      <c r="H287" s="30">
        <v>302.89</v>
      </c>
      <c r="I287" s="30"/>
      <c r="J287" s="44" t="s">
        <v>12</v>
      </c>
      <c r="L287" t="str">
        <f t="shared" si="4"/>
        <v>12038099.4080.100</v>
      </c>
    </row>
    <row r="288" spans="1:12" x14ac:dyDescent="0.2">
      <c r="A288" s="30">
        <v>115</v>
      </c>
      <c r="B288" s="30" t="s">
        <v>196</v>
      </c>
      <c r="C288" s="30">
        <v>12040400</v>
      </c>
      <c r="D288" s="30" t="s">
        <v>197</v>
      </c>
      <c r="E288" s="30">
        <v>50</v>
      </c>
      <c r="F288" s="30" t="s">
        <v>166</v>
      </c>
      <c r="G288" s="30">
        <v>4080.1</v>
      </c>
      <c r="H288" s="30">
        <v>310.76</v>
      </c>
      <c r="I288" s="30"/>
      <c r="J288" s="44" t="s">
        <v>12</v>
      </c>
      <c r="L288" t="str">
        <f t="shared" si="4"/>
        <v>12040400.4080.100</v>
      </c>
    </row>
    <row r="289" spans="1:12" x14ac:dyDescent="0.2">
      <c r="A289" s="30">
        <v>18649</v>
      </c>
      <c r="B289" s="30" t="s">
        <v>152</v>
      </c>
      <c r="C289" s="30">
        <v>12040500</v>
      </c>
      <c r="D289" s="30" t="s">
        <v>67</v>
      </c>
      <c r="E289" s="30">
        <v>50</v>
      </c>
      <c r="F289" s="30" t="s">
        <v>166</v>
      </c>
      <c r="G289" s="30">
        <v>4080.1</v>
      </c>
      <c r="H289" s="30">
        <v>323.08</v>
      </c>
      <c r="I289" s="30"/>
      <c r="J289" s="44" t="s">
        <v>12</v>
      </c>
      <c r="L289" t="str">
        <f t="shared" si="4"/>
        <v>12040500.4080.100</v>
      </c>
    </row>
    <row r="290" spans="1:12" x14ac:dyDescent="0.2">
      <c r="A290" s="30">
        <v>19020</v>
      </c>
      <c r="B290" s="30" t="s">
        <v>66</v>
      </c>
      <c r="C290" s="30">
        <v>12040500</v>
      </c>
      <c r="D290" s="30" t="s">
        <v>67</v>
      </c>
      <c r="E290" s="30">
        <v>50</v>
      </c>
      <c r="F290" s="30" t="s">
        <v>166</v>
      </c>
      <c r="G290" s="30">
        <v>4080.1</v>
      </c>
      <c r="H290" s="30">
        <v>213.19</v>
      </c>
      <c r="I290" s="30"/>
      <c r="J290" s="44" t="s">
        <v>12</v>
      </c>
      <c r="L290" t="str">
        <f t="shared" si="4"/>
        <v>12040500.4080.100</v>
      </c>
    </row>
    <row r="291" spans="1:12" x14ac:dyDescent="0.2">
      <c r="A291" s="30">
        <v>18839</v>
      </c>
      <c r="B291" s="30" t="s">
        <v>198</v>
      </c>
      <c r="C291" s="30">
        <v>12040800</v>
      </c>
      <c r="D291" s="30" t="s">
        <v>120</v>
      </c>
      <c r="E291" s="30">
        <v>50</v>
      </c>
      <c r="F291" s="30" t="s">
        <v>166</v>
      </c>
      <c r="G291" s="30">
        <v>4080.1</v>
      </c>
      <c r="H291" s="30">
        <v>127.04</v>
      </c>
      <c r="I291" s="30"/>
      <c r="J291" s="44" t="s">
        <v>12</v>
      </c>
      <c r="L291" t="str">
        <f t="shared" si="4"/>
        <v>12040800.4080.100</v>
      </c>
    </row>
    <row r="292" spans="1:12" x14ac:dyDescent="0.2">
      <c r="A292" s="30">
        <v>18904</v>
      </c>
      <c r="B292" s="30" t="s">
        <v>119</v>
      </c>
      <c r="C292" s="30">
        <v>12040800</v>
      </c>
      <c r="D292" s="30" t="s">
        <v>120</v>
      </c>
      <c r="E292" s="30">
        <v>50</v>
      </c>
      <c r="F292" s="30" t="s">
        <v>166</v>
      </c>
      <c r="G292" s="30">
        <v>4080.1</v>
      </c>
      <c r="H292" s="30">
        <v>206.8</v>
      </c>
      <c r="I292" s="30"/>
      <c r="J292" s="44" t="s">
        <v>12</v>
      </c>
      <c r="L292" t="str">
        <f t="shared" si="4"/>
        <v>12040800.4080.100</v>
      </c>
    </row>
    <row r="293" spans="1:12" x14ac:dyDescent="0.2">
      <c r="A293" s="30">
        <v>18650</v>
      </c>
      <c r="B293" s="30" t="s">
        <v>49</v>
      </c>
      <c r="C293" s="30">
        <v>12042511</v>
      </c>
      <c r="D293" s="30" t="s">
        <v>50</v>
      </c>
      <c r="E293" s="30">
        <v>50</v>
      </c>
      <c r="F293" s="30" t="s">
        <v>166</v>
      </c>
      <c r="G293" s="30">
        <v>4080.1</v>
      </c>
      <c r="H293" s="30">
        <v>195.33</v>
      </c>
      <c r="I293" s="30"/>
      <c r="J293" s="44" t="s">
        <v>12</v>
      </c>
      <c r="L293" t="str">
        <f t="shared" si="4"/>
        <v>12042511.4080.100</v>
      </c>
    </row>
    <row r="294" spans="1:12" x14ac:dyDescent="0.2">
      <c r="A294" s="30">
        <v>18703</v>
      </c>
      <c r="B294" s="30" t="s">
        <v>126</v>
      </c>
      <c r="C294" s="30">
        <v>12043011</v>
      </c>
      <c r="D294" s="30" t="s">
        <v>52</v>
      </c>
      <c r="E294" s="30">
        <v>50</v>
      </c>
      <c r="F294" s="30" t="s">
        <v>166</v>
      </c>
      <c r="G294" s="30">
        <v>4080.1</v>
      </c>
      <c r="H294" s="30">
        <v>251.89</v>
      </c>
      <c r="I294" s="30"/>
      <c r="J294" s="44" t="s">
        <v>12</v>
      </c>
      <c r="L294" t="str">
        <f t="shared" si="4"/>
        <v>12043011.4080.100</v>
      </c>
    </row>
    <row r="295" spans="1:12" x14ac:dyDescent="0.2">
      <c r="A295" s="30">
        <v>18944</v>
      </c>
      <c r="B295" s="30" t="s">
        <v>199</v>
      </c>
      <c r="C295" s="30">
        <v>12043011</v>
      </c>
      <c r="D295" s="30" t="s">
        <v>52</v>
      </c>
      <c r="E295" s="30">
        <v>50</v>
      </c>
      <c r="F295" s="30" t="s">
        <v>166</v>
      </c>
      <c r="G295" s="30">
        <v>4080.1</v>
      </c>
      <c r="H295" s="30">
        <v>288.79000000000002</v>
      </c>
      <c r="I295" s="30"/>
      <c r="J295" s="44" t="s">
        <v>12</v>
      </c>
      <c r="L295" t="str">
        <f t="shared" si="4"/>
        <v>12043011.4080.100</v>
      </c>
    </row>
    <row r="296" spans="1:12" x14ac:dyDescent="0.2">
      <c r="A296" s="30">
        <v>19023</v>
      </c>
      <c r="B296" s="30" t="s">
        <v>69</v>
      </c>
      <c r="C296" s="30">
        <v>12043011</v>
      </c>
      <c r="D296" s="30" t="s">
        <v>52</v>
      </c>
      <c r="E296" s="30">
        <v>50</v>
      </c>
      <c r="F296" s="30" t="s">
        <v>166</v>
      </c>
      <c r="G296" s="30">
        <v>4080.1</v>
      </c>
      <c r="H296" s="30">
        <v>104.28</v>
      </c>
      <c r="I296" s="30"/>
      <c r="J296" s="44" t="s">
        <v>12</v>
      </c>
      <c r="L296" t="str">
        <f t="shared" si="4"/>
        <v>12043011.4080.100</v>
      </c>
    </row>
    <row r="297" spans="1:12" x14ac:dyDescent="0.2">
      <c r="A297" s="30">
        <v>18858</v>
      </c>
      <c r="B297" s="30" t="s">
        <v>122</v>
      </c>
      <c r="C297" s="30">
        <v>12043011</v>
      </c>
      <c r="D297" s="30" t="s">
        <v>52</v>
      </c>
      <c r="E297" s="30">
        <v>50</v>
      </c>
      <c r="F297" s="30" t="s">
        <v>166</v>
      </c>
      <c r="G297" s="30">
        <v>4080.1</v>
      </c>
      <c r="H297" s="30">
        <v>234.45</v>
      </c>
      <c r="I297" s="30"/>
      <c r="J297" s="44" t="s">
        <v>12</v>
      </c>
      <c r="L297" t="str">
        <f t="shared" si="4"/>
        <v>12043011.4080.100</v>
      </c>
    </row>
    <row r="298" spans="1:12" x14ac:dyDescent="0.2">
      <c r="A298" s="30">
        <v>18850</v>
      </c>
      <c r="B298" s="30" t="s">
        <v>123</v>
      </c>
      <c r="C298" s="30">
        <v>12043011</v>
      </c>
      <c r="D298" s="30" t="s">
        <v>52</v>
      </c>
      <c r="E298" s="30">
        <v>50</v>
      </c>
      <c r="F298" s="30" t="s">
        <v>166</v>
      </c>
      <c r="G298" s="30">
        <v>4080.1</v>
      </c>
      <c r="H298" s="30">
        <v>235.25</v>
      </c>
      <c r="I298" s="30"/>
      <c r="J298" s="44" t="s">
        <v>12</v>
      </c>
      <c r="L298" t="str">
        <f t="shared" si="4"/>
        <v>12043011.4080.100</v>
      </c>
    </row>
    <row r="299" spans="1:12" x14ac:dyDescent="0.2">
      <c r="A299" s="30">
        <v>18646</v>
      </c>
      <c r="B299" s="30" t="s">
        <v>124</v>
      </c>
      <c r="C299" s="30">
        <v>12043011</v>
      </c>
      <c r="D299" s="30" t="s">
        <v>52</v>
      </c>
      <c r="E299" s="30">
        <v>50</v>
      </c>
      <c r="F299" s="30" t="s">
        <v>166</v>
      </c>
      <c r="G299" s="30">
        <v>4080.1</v>
      </c>
      <c r="H299" s="30">
        <v>152.51</v>
      </c>
      <c r="I299" s="30"/>
      <c r="J299" s="44" t="s">
        <v>12</v>
      </c>
      <c r="L299" t="str">
        <f t="shared" si="4"/>
        <v>12043011.4080.100</v>
      </c>
    </row>
    <row r="300" spans="1:12" x14ac:dyDescent="0.2">
      <c r="A300" s="30">
        <v>18986</v>
      </c>
      <c r="B300" s="30" t="s">
        <v>153</v>
      </c>
      <c r="C300" s="30">
        <v>12043011</v>
      </c>
      <c r="D300" s="30" t="s">
        <v>52</v>
      </c>
      <c r="E300" s="30">
        <v>50</v>
      </c>
      <c r="F300" s="30" t="s">
        <v>166</v>
      </c>
      <c r="G300" s="30">
        <v>4080.1</v>
      </c>
      <c r="H300" s="30">
        <v>219.03</v>
      </c>
      <c r="I300" s="30"/>
      <c r="J300" s="44" t="s">
        <v>12</v>
      </c>
      <c r="L300" t="str">
        <f t="shared" si="4"/>
        <v>12043011.4080.100</v>
      </c>
    </row>
    <row r="301" spans="1:12" x14ac:dyDescent="0.2">
      <c r="A301" s="30">
        <v>18990</v>
      </c>
      <c r="B301" s="30" t="s">
        <v>125</v>
      </c>
      <c r="C301" s="30">
        <v>12043011</v>
      </c>
      <c r="D301" s="30" t="s">
        <v>52</v>
      </c>
      <c r="E301" s="30">
        <v>50</v>
      </c>
      <c r="F301" s="30" t="s">
        <v>166</v>
      </c>
      <c r="G301" s="30">
        <v>4080.1</v>
      </c>
      <c r="H301" s="30">
        <v>190.87</v>
      </c>
      <c r="I301" s="30"/>
      <c r="J301" s="44" t="s">
        <v>12</v>
      </c>
      <c r="L301" t="str">
        <f t="shared" si="4"/>
        <v>12043011.4080.100</v>
      </c>
    </row>
    <row r="302" spans="1:12" x14ac:dyDescent="0.2">
      <c r="A302" s="30">
        <v>18924</v>
      </c>
      <c r="B302" s="30" t="s">
        <v>121</v>
      </c>
      <c r="C302" s="30">
        <v>12043011</v>
      </c>
      <c r="D302" s="30" t="s">
        <v>52</v>
      </c>
      <c r="E302" s="30">
        <v>50</v>
      </c>
      <c r="F302" s="30" t="s">
        <v>166</v>
      </c>
      <c r="G302" s="30">
        <v>4080.1</v>
      </c>
      <c r="H302" s="30">
        <v>113.23</v>
      </c>
      <c r="I302" s="30"/>
      <c r="J302" s="44" t="s">
        <v>12</v>
      </c>
      <c r="L302" t="str">
        <f t="shared" si="4"/>
        <v>12043011.4080.100</v>
      </c>
    </row>
    <row r="303" spans="1:12" x14ac:dyDescent="0.2">
      <c r="A303" s="30">
        <v>18917</v>
      </c>
      <c r="B303" s="30" t="s">
        <v>68</v>
      </c>
      <c r="C303" s="30">
        <v>12043011</v>
      </c>
      <c r="D303" s="30" t="s">
        <v>52</v>
      </c>
      <c r="E303" s="30">
        <v>50</v>
      </c>
      <c r="F303" s="30" t="s">
        <v>166</v>
      </c>
      <c r="G303" s="30">
        <v>4080.1</v>
      </c>
      <c r="H303" s="30">
        <v>50.99</v>
      </c>
      <c r="I303" s="30"/>
      <c r="J303" s="44" t="s">
        <v>12</v>
      </c>
      <c r="L303" t="str">
        <f t="shared" si="4"/>
        <v>12043011.4080.100</v>
      </c>
    </row>
    <row r="304" spans="1:12" x14ac:dyDescent="0.2">
      <c r="A304" s="30">
        <v>18713</v>
      </c>
      <c r="B304" s="30" t="s">
        <v>154</v>
      </c>
      <c r="C304" s="30">
        <v>12043011</v>
      </c>
      <c r="D304" s="30" t="s">
        <v>52</v>
      </c>
      <c r="E304" s="30">
        <v>50</v>
      </c>
      <c r="F304" s="30" t="s">
        <v>166</v>
      </c>
      <c r="G304" s="30">
        <v>4080.1</v>
      </c>
      <c r="H304" s="30">
        <v>331.2</v>
      </c>
      <c r="I304" s="30"/>
      <c r="J304" s="44" t="s">
        <v>12</v>
      </c>
      <c r="L304" t="str">
        <f t="shared" si="4"/>
        <v>12043011.4080.100</v>
      </c>
    </row>
    <row r="305" spans="1:12" x14ac:dyDescent="0.2">
      <c r="A305" s="30">
        <v>18942</v>
      </c>
      <c r="B305" s="30" t="s">
        <v>51</v>
      </c>
      <c r="C305" s="30">
        <v>12043011</v>
      </c>
      <c r="D305" s="30" t="s">
        <v>52</v>
      </c>
      <c r="E305" s="30">
        <v>50</v>
      </c>
      <c r="F305" s="30" t="s">
        <v>166</v>
      </c>
      <c r="G305" s="30">
        <v>4080.1</v>
      </c>
      <c r="H305" s="30">
        <v>258.33</v>
      </c>
      <c r="I305" s="30"/>
      <c r="J305" s="44" t="s">
        <v>12</v>
      </c>
      <c r="L305" t="str">
        <f t="shared" si="4"/>
        <v>12043011.4080.100</v>
      </c>
    </row>
    <row r="306" spans="1:12" x14ac:dyDescent="0.2">
      <c r="A306" s="30">
        <v>18970</v>
      </c>
      <c r="B306" s="30" t="s">
        <v>200</v>
      </c>
      <c r="C306" s="30">
        <v>12043123</v>
      </c>
      <c r="D306" s="30" t="s">
        <v>201</v>
      </c>
      <c r="E306" s="30">
        <v>50</v>
      </c>
      <c r="F306" s="30" t="s">
        <v>166</v>
      </c>
      <c r="G306" s="30">
        <v>4080.1</v>
      </c>
      <c r="H306" s="30">
        <v>152</v>
      </c>
      <c r="I306" s="30"/>
      <c r="J306" s="44" t="s">
        <v>12</v>
      </c>
      <c r="L306" t="str">
        <f t="shared" si="4"/>
        <v>12043123.4080.100</v>
      </c>
    </row>
    <row r="307" spans="1:12" x14ac:dyDescent="0.2">
      <c r="A307" s="30">
        <v>19001</v>
      </c>
      <c r="B307" s="30" t="s">
        <v>155</v>
      </c>
      <c r="C307" s="30">
        <v>12048099</v>
      </c>
      <c r="D307" s="30" t="s">
        <v>156</v>
      </c>
      <c r="E307" s="30">
        <v>50</v>
      </c>
      <c r="F307" s="30" t="s">
        <v>166</v>
      </c>
      <c r="G307" s="30">
        <v>4080.1</v>
      </c>
      <c r="H307" s="30">
        <v>363.46</v>
      </c>
      <c r="I307" s="30"/>
      <c r="J307" s="44" t="s">
        <v>12</v>
      </c>
      <c r="L307" t="str">
        <f t="shared" si="4"/>
        <v>12048099.4080.100</v>
      </c>
    </row>
    <row r="308" spans="1:12" x14ac:dyDescent="0.2">
      <c r="A308" s="30">
        <v>18976</v>
      </c>
      <c r="B308" s="30" t="s">
        <v>202</v>
      </c>
      <c r="C308" s="30">
        <v>12048099</v>
      </c>
      <c r="D308" s="30" t="s">
        <v>156</v>
      </c>
      <c r="E308" s="30">
        <v>50</v>
      </c>
      <c r="F308" s="30" t="s">
        <v>166</v>
      </c>
      <c r="G308" s="30">
        <v>4080.1</v>
      </c>
      <c r="H308" s="30">
        <v>230.19</v>
      </c>
      <c r="I308" s="30"/>
      <c r="J308" s="44" t="s">
        <v>12</v>
      </c>
      <c r="L308" t="str">
        <f t="shared" si="4"/>
        <v>12048099.4080.100</v>
      </c>
    </row>
    <row r="309" spans="1:12" x14ac:dyDescent="0.2">
      <c r="A309" s="30">
        <v>19031</v>
      </c>
      <c r="B309" s="30" t="s">
        <v>387</v>
      </c>
      <c r="C309" s="30">
        <v>12048099</v>
      </c>
      <c r="D309" s="30" t="s">
        <v>156</v>
      </c>
      <c r="E309" s="30">
        <v>50</v>
      </c>
      <c r="F309" s="30" t="s">
        <v>166</v>
      </c>
      <c r="G309" s="30">
        <v>4080.1</v>
      </c>
      <c r="H309" s="30">
        <v>240.29</v>
      </c>
      <c r="I309" s="30"/>
      <c r="J309" s="44" t="s">
        <v>12</v>
      </c>
      <c r="L309" t="str">
        <f t="shared" si="4"/>
        <v>12048099.4080.100</v>
      </c>
    </row>
    <row r="310" spans="1:12" x14ac:dyDescent="0.2">
      <c r="A310" s="30">
        <v>18442</v>
      </c>
      <c r="B310" s="30" t="s">
        <v>157</v>
      </c>
      <c r="C310" s="30">
        <v>12060400</v>
      </c>
      <c r="D310" s="30" t="s">
        <v>158</v>
      </c>
      <c r="E310" s="30">
        <v>50</v>
      </c>
      <c r="F310" s="30" t="s">
        <v>166</v>
      </c>
      <c r="G310" s="30">
        <v>4080.1</v>
      </c>
      <c r="H310" s="30">
        <v>230.2</v>
      </c>
      <c r="I310" s="30"/>
      <c r="J310" s="44" t="s">
        <v>12</v>
      </c>
      <c r="L310" t="str">
        <f t="shared" si="4"/>
        <v>12060400.4080.100</v>
      </c>
    </row>
    <row r="311" spans="1:12" x14ac:dyDescent="0.2">
      <c r="A311" s="30">
        <v>18898</v>
      </c>
      <c r="B311" s="30" t="s">
        <v>130</v>
      </c>
      <c r="C311" s="30">
        <v>12060611</v>
      </c>
      <c r="D311" s="30" t="s">
        <v>54</v>
      </c>
      <c r="E311" s="30">
        <v>50</v>
      </c>
      <c r="F311" s="30" t="s">
        <v>166</v>
      </c>
      <c r="G311" s="30">
        <v>4080.1</v>
      </c>
      <c r="H311" s="30">
        <v>202.16</v>
      </c>
      <c r="I311" s="30"/>
      <c r="J311" s="44" t="s">
        <v>12</v>
      </c>
      <c r="L311" t="str">
        <f t="shared" si="4"/>
        <v>12060611.4080.100</v>
      </c>
    </row>
    <row r="312" spans="1:12" x14ac:dyDescent="0.2">
      <c r="A312" s="30">
        <v>18634</v>
      </c>
      <c r="B312" s="30" t="s">
        <v>129</v>
      </c>
      <c r="C312" s="30">
        <v>12060611</v>
      </c>
      <c r="D312" s="30" t="s">
        <v>54</v>
      </c>
      <c r="E312" s="30">
        <v>50</v>
      </c>
      <c r="F312" s="30" t="s">
        <v>166</v>
      </c>
      <c r="G312" s="30">
        <v>4080.1</v>
      </c>
      <c r="H312" s="30">
        <v>127.86</v>
      </c>
      <c r="I312" s="30"/>
      <c r="J312" s="44" t="s">
        <v>12</v>
      </c>
      <c r="L312" t="str">
        <f t="shared" si="4"/>
        <v>12060611.4080.100</v>
      </c>
    </row>
    <row r="313" spans="1:12" x14ac:dyDescent="0.2">
      <c r="A313" s="30">
        <v>261</v>
      </c>
      <c r="B313" s="30" t="s">
        <v>159</v>
      </c>
      <c r="C313" s="30">
        <v>12060611</v>
      </c>
      <c r="D313" s="30" t="s">
        <v>54</v>
      </c>
      <c r="E313" s="30">
        <v>50</v>
      </c>
      <c r="F313" s="30" t="s">
        <v>166</v>
      </c>
      <c r="G313" s="30">
        <v>4080.1</v>
      </c>
      <c r="H313" s="30">
        <v>323.08</v>
      </c>
      <c r="I313" s="30"/>
      <c r="J313" s="44" t="s">
        <v>12</v>
      </c>
      <c r="L313" t="str">
        <f t="shared" si="4"/>
        <v>12060611.4080.100</v>
      </c>
    </row>
    <row r="314" spans="1:12" x14ac:dyDescent="0.2">
      <c r="A314" s="30">
        <v>18895</v>
      </c>
      <c r="B314" s="30" t="s">
        <v>128</v>
      </c>
      <c r="C314" s="30">
        <v>12060611</v>
      </c>
      <c r="D314" s="30" t="s">
        <v>54</v>
      </c>
      <c r="E314" s="30">
        <v>50</v>
      </c>
      <c r="F314" s="30" t="s">
        <v>166</v>
      </c>
      <c r="G314" s="30">
        <v>4080.1</v>
      </c>
      <c r="H314" s="30">
        <v>169.76</v>
      </c>
      <c r="I314" s="30"/>
      <c r="J314" s="44" t="s">
        <v>12</v>
      </c>
      <c r="L314" t="str">
        <f t="shared" si="4"/>
        <v>12060611.4080.100</v>
      </c>
    </row>
    <row r="315" spans="1:12" x14ac:dyDescent="0.2">
      <c r="A315" s="30">
        <v>18790</v>
      </c>
      <c r="B315" s="30" t="s">
        <v>131</v>
      </c>
      <c r="C315" s="30">
        <v>12060611</v>
      </c>
      <c r="D315" s="30" t="s">
        <v>54</v>
      </c>
      <c r="E315" s="30">
        <v>50</v>
      </c>
      <c r="F315" s="30" t="s">
        <v>166</v>
      </c>
      <c r="G315" s="30">
        <v>4080.1</v>
      </c>
      <c r="H315" s="30">
        <v>161.59</v>
      </c>
      <c r="I315" s="30"/>
      <c r="J315" s="44" t="s">
        <v>12</v>
      </c>
      <c r="L315" t="str">
        <f t="shared" si="4"/>
        <v>12060611.4080.100</v>
      </c>
    </row>
    <row r="316" spans="1:12" x14ac:dyDescent="0.2">
      <c r="A316" s="30">
        <v>18823</v>
      </c>
      <c r="B316" s="30" t="s">
        <v>53</v>
      </c>
      <c r="C316" s="30">
        <v>12060611</v>
      </c>
      <c r="D316" s="30" t="s">
        <v>54</v>
      </c>
      <c r="E316" s="30">
        <v>50</v>
      </c>
      <c r="F316" s="30" t="s">
        <v>166</v>
      </c>
      <c r="G316" s="30">
        <v>4080.1</v>
      </c>
      <c r="H316" s="30">
        <v>195.91</v>
      </c>
      <c r="I316" s="30"/>
      <c r="J316" s="44" t="s">
        <v>12</v>
      </c>
      <c r="L316" t="str">
        <f t="shared" si="4"/>
        <v>12060611.4080.100</v>
      </c>
    </row>
    <row r="317" spans="1:12" x14ac:dyDescent="0.2">
      <c r="A317" s="30">
        <v>18927</v>
      </c>
      <c r="B317" s="30" t="s">
        <v>55</v>
      </c>
      <c r="C317" s="30">
        <v>12060611</v>
      </c>
      <c r="D317" s="30" t="s">
        <v>54</v>
      </c>
      <c r="E317" s="30">
        <v>50</v>
      </c>
      <c r="F317" s="30" t="s">
        <v>166</v>
      </c>
      <c r="G317" s="30">
        <v>4080.1</v>
      </c>
      <c r="H317" s="30">
        <v>133.84</v>
      </c>
      <c r="I317" s="30"/>
      <c r="J317" s="44" t="s">
        <v>12</v>
      </c>
      <c r="L317" t="str">
        <f t="shared" si="4"/>
        <v>12060611.4080.100</v>
      </c>
    </row>
    <row r="318" spans="1:12" x14ac:dyDescent="0.2">
      <c r="A318" s="30">
        <v>18996</v>
      </c>
      <c r="B318" s="30" t="s">
        <v>127</v>
      </c>
      <c r="C318" s="30">
        <v>12060611</v>
      </c>
      <c r="D318" s="30" t="s">
        <v>54</v>
      </c>
      <c r="E318" s="30">
        <v>50</v>
      </c>
      <c r="F318" s="30" t="s">
        <v>166</v>
      </c>
      <c r="G318" s="30">
        <v>4080.1</v>
      </c>
      <c r="H318" s="30">
        <v>119.43</v>
      </c>
      <c r="I318" s="30"/>
      <c r="J318" s="44" t="s">
        <v>12</v>
      </c>
      <c r="L318" t="str">
        <f t="shared" si="4"/>
        <v>12060611.4080.100</v>
      </c>
    </row>
    <row r="319" spans="1:12" x14ac:dyDescent="0.2">
      <c r="A319" s="30">
        <v>18791</v>
      </c>
      <c r="B319" s="30" t="s">
        <v>132</v>
      </c>
      <c r="C319" s="30">
        <v>12060711</v>
      </c>
      <c r="D319" s="30" t="s">
        <v>133</v>
      </c>
      <c r="E319" s="30">
        <v>50</v>
      </c>
      <c r="F319" s="30" t="s">
        <v>166</v>
      </c>
      <c r="G319" s="30">
        <v>4080.1</v>
      </c>
      <c r="H319" s="30">
        <v>295.10000000000002</v>
      </c>
      <c r="I319" s="30"/>
      <c r="J319" s="44" t="s">
        <v>12</v>
      </c>
      <c r="L319" t="str">
        <f t="shared" si="4"/>
        <v>12060711.4080.100</v>
      </c>
    </row>
    <row r="320" spans="1:12" x14ac:dyDescent="0.2">
      <c r="A320" s="30">
        <v>18561</v>
      </c>
      <c r="B320" s="30" t="s">
        <v>134</v>
      </c>
      <c r="C320" s="30">
        <v>12060800</v>
      </c>
      <c r="D320" s="30" t="s">
        <v>135</v>
      </c>
      <c r="E320" s="30">
        <v>50</v>
      </c>
      <c r="F320" s="30" t="s">
        <v>166</v>
      </c>
      <c r="G320" s="30">
        <v>4080.1</v>
      </c>
      <c r="H320" s="30">
        <v>266.64999999999998</v>
      </c>
      <c r="I320" s="30"/>
      <c r="J320" s="44" t="s">
        <v>12</v>
      </c>
      <c r="L320" t="str">
        <f t="shared" si="4"/>
        <v>12060800.4080.100</v>
      </c>
    </row>
    <row r="321" spans="1:12" x14ac:dyDescent="0.2">
      <c r="A321" s="30">
        <v>18953</v>
      </c>
      <c r="B321" s="30" t="s">
        <v>136</v>
      </c>
      <c r="C321" s="30">
        <v>12060800</v>
      </c>
      <c r="D321" s="30" t="s">
        <v>135</v>
      </c>
      <c r="E321" s="30">
        <v>50</v>
      </c>
      <c r="F321" s="30" t="s">
        <v>166</v>
      </c>
      <c r="G321" s="30">
        <v>4080.1</v>
      </c>
      <c r="H321" s="30">
        <v>191.2</v>
      </c>
      <c r="I321" s="30"/>
      <c r="J321" s="44" t="s">
        <v>12</v>
      </c>
      <c r="L321" t="str">
        <f t="shared" si="4"/>
        <v>12060800.4080.100</v>
      </c>
    </row>
    <row r="322" spans="1:12" x14ac:dyDescent="0.2">
      <c r="A322" s="30">
        <v>156</v>
      </c>
      <c r="B322" s="30" t="s">
        <v>137</v>
      </c>
      <c r="C322" s="30">
        <v>12062511</v>
      </c>
      <c r="D322" s="30" t="s">
        <v>57</v>
      </c>
      <c r="E322" s="30">
        <v>50</v>
      </c>
      <c r="F322" s="30" t="s">
        <v>166</v>
      </c>
      <c r="G322" s="30">
        <v>4080.1</v>
      </c>
      <c r="H322" s="30">
        <v>58.5</v>
      </c>
      <c r="I322" s="30"/>
      <c r="J322" s="44" t="s">
        <v>12</v>
      </c>
      <c r="L322" t="str">
        <f t="shared" ref="L322:L385" si="5">C322&amp;"."&amp;G322&amp;J322</f>
        <v>12062511.4080.100</v>
      </c>
    </row>
    <row r="323" spans="1:12" x14ac:dyDescent="0.2">
      <c r="A323" s="30">
        <v>18792</v>
      </c>
      <c r="B323" s="30" t="s">
        <v>56</v>
      </c>
      <c r="C323" s="30">
        <v>12062511</v>
      </c>
      <c r="D323" s="30" t="s">
        <v>57</v>
      </c>
      <c r="E323" s="30">
        <v>50</v>
      </c>
      <c r="F323" s="30" t="s">
        <v>166</v>
      </c>
      <c r="G323" s="30">
        <v>4080.1</v>
      </c>
      <c r="H323" s="30">
        <v>207.12</v>
      </c>
      <c r="I323" s="30"/>
      <c r="J323" s="44" t="s">
        <v>12</v>
      </c>
      <c r="L323" t="str">
        <f t="shared" si="5"/>
        <v>12062511.4080.100</v>
      </c>
    </row>
    <row r="324" spans="1:12" x14ac:dyDescent="0.2">
      <c r="A324" s="30">
        <v>18876</v>
      </c>
      <c r="B324" s="30" t="s">
        <v>160</v>
      </c>
      <c r="C324" s="30">
        <v>12068099</v>
      </c>
      <c r="D324" s="30" t="s">
        <v>161</v>
      </c>
      <c r="E324" s="30">
        <v>50</v>
      </c>
      <c r="F324" s="30" t="s">
        <v>166</v>
      </c>
      <c r="G324" s="30">
        <v>4080.1</v>
      </c>
      <c r="H324" s="30">
        <v>302.89</v>
      </c>
      <c r="I324" s="30"/>
      <c r="J324" s="44" t="s">
        <v>12</v>
      </c>
      <c r="L324" t="str">
        <f t="shared" si="5"/>
        <v>12068099.4080.100</v>
      </c>
    </row>
    <row r="325" spans="1:12" x14ac:dyDescent="0.2">
      <c r="A325" s="30">
        <v>18726</v>
      </c>
      <c r="B325" s="30" t="s">
        <v>162</v>
      </c>
      <c r="C325" s="30">
        <v>12010500</v>
      </c>
      <c r="D325" s="30" t="s">
        <v>60</v>
      </c>
      <c r="E325" s="30">
        <v>100</v>
      </c>
      <c r="F325" s="30" t="s">
        <v>203</v>
      </c>
      <c r="G325" s="30">
        <v>4010.1</v>
      </c>
      <c r="H325" s="30">
        <v>3104.23</v>
      </c>
      <c r="I325" s="30"/>
      <c r="J325" s="44" t="s">
        <v>12</v>
      </c>
      <c r="L325" s="15" t="str">
        <f t="shared" si="5"/>
        <v>12010500.4010.100</v>
      </c>
    </row>
    <row r="326" spans="1:12" x14ac:dyDescent="0.2">
      <c r="A326" s="30">
        <v>18871</v>
      </c>
      <c r="B326" s="30" t="s">
        <v>168</v>
      </c>
      <c r="C326" s="30">
        <v>12010500</v>
      </c>
      <c r="D326" s="30" t="s">
        <v>60</v>
      </c>
      <c r="E326" s="30">
        <v>100</v>
      </c>
      <c r="F326" s="30" t="s">
        <v>203</v>
      </c>
      <c r="G326" s="30">
        <v>4010.1</v>
      </c>
      <c r="H326" s="30">
        <v>4230.78</v>
      </c>
      <c r="I326" s="30"/>
      <c r="J326" s="44" t="s">
        <v>12</v>
      </c>
      <c r="L326" s="15" t="str">
        <f t="shared" si="5"/>
        <v>12010500.4010.100</v>
      </c>
    </row>
    <row r="327" spans="1:12" x14ac:dyDescent="0.2">
      <c r="A327" s="30">
        <v>18845</v>
      </c>
      <c r="B327" s="30" t="s">
        <v>138</v>
      </c>
      <c r="C327" s="30">
        <v>12010500</v>
      </c>
      <c r="D327" s="30" t="s">
        <v>60</v>
      </c>
      <c r="E327" s="30">
        <v>100</v>
      </c>
      <c r="F327" s="30" t="s">
        <v>203</v>
      </c>
      <c r="G327" s="30">
        <v>4010.1</v>
      </c>
      <c r="H327" s="30">
        <v>1615.39</v>
      </c>
      <c r="I327" s="30"/>
      <c r="J327" s="44" t="s">
        <v>12</v>
      </c>
      <c r="L327" s="15" t="str">
        <f t="shared" si="5"/>
        <v>12010500.4010.100</v>
      </c>
    </row>
    <row r="328" spans="1:12" x14ac:dyDescent="0.2">
      <c r="A328" s="30">
        <v>18647</v>
      </c>
      <c r="B328" s="30" t="s">
        <v>167</v>
      </c>
      <c r="C328" s="30">
        <v>12010500</v>
      </c>
      <c r="D328" s="30" t="s">
        <v>60</v>
      </c>
      <c r="E328" s="30">
        <v>100</v>
      </c>
      <c r="F328" s="30" t="s">
        <v>203</v>
      </c>
      <c r="G328" s="30">
        <v>4010.1</v>
      </c>
      <c r="H328" s="30">
        <v>3750.41</v>
      </c>
      <c r="I328" s="30"/>
      <c r="J328" s="44" t="s">
        <v>12</v>
      </c>
      <c r="L328" s="15" t="str">
        <f t="shared" si="5"/>
        <v>12010500.4010.100</v>
      </c>
    </row>
    <row r="329" spans="1:12" x14ac:dyDescent="0.2">
      <c r="A329" s="30">
        <v>18517</v>
      </c>
      <c r="B329" s="30" t="s">
        <v>140</v>
      </c>
      <c r="C329" s="30">
        <v>12010500</v>
      </c>
      <c r="D329" s="30" t="s">
        <v>60</v>
      </c>
      <c r="E329" s="30">
        <v>100</v>
      </c>
      <c r="F329" s="30" t="s">
        <v>203</v>
      </c>
      <c r="G329" s="30">
        <v>4010.1</v>
      </c>
      <c r="H329" s="30">
        <v>5384.62</v>
      </c>
      <c r="I329" s="30"/>
      <c r="J329" s="44" t="s">
        <v>12</v>
      </c>
      <c r="L329" s="15" t="str">
        <f t="shared" si="5"/>
        <v>12010500.4010.100</v>
      </c>
    </row>
    <row r="330" spans="1:12" x14ac:dyDescent="0.2">
      <c r="A330" s="30">
        <v>152</v>
      </c>
      <c r="B330" s="30" t="s">
        <v>169</v>
      </c>
      <c r="C330" s="30">
        <v>12010700</v>
      </c>
      <c r="D330" s="30" t="s">
        <v>170</v>
      </c>
      <c r="E330" s="30">
        <v>100</v>
      </c>
      <c r="F330" s="30" t="s">
        <v>203</v>
      </c>
      <c r="G330" s="30">
        <v>4010.1</v>
      </c>
      <c r="H330" s="30">
        <v>3846.16</v>
      </c>
      <c r="I330" s="30"/>
      <c r="J330" s="44" t="s">
        <v>12</v>
      </c>
      <c r="L330" s="15" t="str">
        <f t="shared" si="5"/>
        <v>12010700.4010.100</v>
      </c>
    </row>
    <row r="331" spans="1:12" x14ac:dyDescent="0.2">
      <c r="A331" s="30">
        <v>18736</v>
      </c>
      <c r="B331" s="30" t="s">
        <v>70</v>
      </c>
      <c r="C331" s="30">
        <v>12013012</v>
      </c>
      <c r="D331" s="30" t="s">
        <v>71</v>
      </c>
      <c r="E331" s="30">
        <v>100</v>
      </c>
      <c r="F331" s="30" t="s">
        <v>203</v>
      </c>
      <c r="G331" s="30">
        <v>4010.1</v>
      </c>
      <c r="H331" s="30">
        <v>554.11</v>
      </c>
      <c r="I331" s="30"/>
      <c r="J331" s="44" t="s">
        <v>12</v>
      </c>
      <c r="L331" s="15" t="str">
        <f t="shared" si="5"/>
        <v>12013012.4010.100</v>
      </c>
    </row>
    <row r="332" spans="1:12" x14ac:dyDescent="0.2">
      <c r="A332" s="30">
        <v>19014</v>
      </c>
      <c r="B332" s="30" t="s">
        <v>171</v>
      </c>
      <c r="C332" s="30">
        <v>12013012</v>
      </c>
      <c r="D332" s="30" t="s">
        <v>71</v>
      </c>
      <c r="E332" s="30">
        <v>100</v>
      </c>
      <c r="F332" s="30" t="s">
        <v>203</v>
      </c>
      <c r="G332" s="30">
        <v>4010.1</v>
      </c>
      <c r="H332" s="30">
        <v>2500</v>
      </c>
      <c r="I332" s="30"/>
      <c r="J332" s="44" t="s">
        <v>12</v>
      </c>
      <c r="L332" s="15" t="str">
        <f t="shared" si="5"/>
        <v>12013012.4010.100</v>
      </c>
    </row>
    <row r="333" spans="1:12" x14ac:dyDescent="0.2">
      <c r="A333" s="30">
        <v>18721</v>
      </c>
      <c r="B333" s="30" t="s">
        <v>172</v>
      </c>
      <c r="C333" s="30">
        <v>12013250</v>
      </c>
      <c r="D333" s="30" t="s">
        <v>10</v>
      </c>
      <c r="E333" s="30">
        <v>100</v>
      </c>
      <c r="F333" s="30" t="s">
        <v>203</v>
      </c>
      <c r="G333" s="30">
        <v>4010.1</v>
      </c>
      <c r="H333" s="30">
        <v>2807.7</v>
      </c>
      <c r="I333" s="30"/>
      <c r="J333" s="44" t="s">
        <v>12</v>
      </c>
      <c r="L333" s="15" t="str">
        <f t="shared" si="5"/>
        <v>12013250.4010.100</v>
      </c>
    </row>
    <row r="334" spans="1:12" x14ac:dyDescent="0.2">
      <c r="A334" s="30">
        <v>18997</v>
      </c>
      <c r="B334" s="30" t="s">
        <v>141</v>
      </c>
      <c r="C334" s="30">
        <v>12013250</v>
      </c>
      <c r="D334" s="30" t="s">
        <v>10</v>
      </c>
      <c r="E334" s="30">
        <v>100</v>
      </c>
      <c r="F334" s="30" t="s">
        <v>203</v>
      </c>
      <c r="G334" s="30">
        <v>4010.1</v>
      </c>
      <c r="H334" s="30">
        <v>3256.58</v>
      </c>
      <c r="I334" s="30"/>
      <c r="J334" s="44" t="s">
        <v>12</v>
      </c>
      <c r="L334" s="15" t="str">
        <f t="shared" si="5"/>
        <v>12013250.4010.100</v>
      </c>
    </row>
    <row r="335" spans="1:12" x14ac:dyDescent="0.2">
      <c r="A335" s="30">
        <v>18946</v>
      </c>
      <c r="B335" s="30" t="s">
        <v>13</v>
      </c>
      <c r="C335" s="30">
        <v>12013250</v>
      </c>
      <c r="D335" s="30" t="s">
        <v>10</v>
      </c>
      <c r="E335" s="30">
        <v>100</v>
      </c>
      <c r="F335" s="30" t="s">
        <v>203</v>
      </c>
      <c r="G335" s="30">
        <v>4010.1</v>
      </c>
      <c r="H335" s="30">
        <v>2114.42</v>
      </c>
      <c r="I335" s="30"/>
      <c r="J335" s="44" t="s">
        <v>12</v>
      </c>
      <c r="L335" s="15" t="str">
        <f t="shared" si="5"/>
        <v>12013250.4010.100</v>
      </c>
    </row>
    <row r="336" spans="1:12" x14ac:dyDescent="0.2">
      <c r="A336" s="30">
        <v>18987</v>
      </c>
      <c r="B336" s="30" t="s">
        <v>173</v>
      </c>
      <c r="C336" s="30">
        <v>12013250</v>
      </c>
      <c r="D336" s="30" t="s">
        <v>10</v>
      </c>
      <c r="E336" s="30">
        <v>100</v>
      </c>
      <c r="F336" s="30" t="s">
        <v>203</v>
      </c>
      <c r="G336" s="30">
        <v>4010.1</v>
      </c>
      <c r="H336" s="30">
        <v>3076.93</v>
      </c>
      <c r="I336" s="30"/>
      <c r="J336" s="44" t="s">
        <v>12</v>
      </c>
      <c r="L336" s="15" t="str">
        <f t="shared" si="5"/>
        <v>12013250.4010.100</v>
      </c>
    </row>
    <row r="337" spans="1:12" x14ac:dyDescent="0.2">
      <c r="A337" s="30">
        <v>18920</v>
      </c>
      <c r="B337" s="30" t="s">
        <v>9</v>
      </c>
      <c r="C337" s="30">
        <v>12013250</v>
      </c>
      <c r="D337" s="30" t="s">
        <v>10</v>
      </c>
      <c r="E337" s="30">
        <v>100</v>
      </c>
      <c r="F337" s="30" t="s">
        <v>203</v>
      </c>
      <c r="G337" s="30">
        <v>4010.1</v>
      </c>
      <c r="H337" s="30">
        <v>4533.6499999999996</v>
      </c>
      <c r="I337" s="30"/>
      <c r="J337" s="44" t="s">
        <v>12</v>
      </c>
      <c r="L337" s="15" t="str">
        <f t="shared" si="5"/>
        <v>12013250.4010.100</v>
      </c>
    </row>
    <row r="338" spans="1:12" x14ac:dyDescent="0.2">
      <c r="A338" s="30">
        <v>18995</v>
      </c>
      <c r="B338" s="30" t="s">
        <v>174</v>
      </c>
      <c r="C338" s="30">
        <v>12013250</v>
      </c>
      <c r="D338" s="30" t="s">
        <v>10</v>
      </c>
      <c r="E338" s="30">
        <v>100</v>
      </c>
      <c r="F338" s="30" t="s">
        <v>203</v>
      </c>
      <c r="G338" s="30">
        <v>4010.1</v>
      </c>
      <c r="H338" s="30">
        <v>2307.69</v>
      </c>
      <c r="I338" s="30"/>
      <c r="J338" s="44" t="s">
        <v>12</v>
      </c>
      <c r="L338" s="15" t="str">
        <f t="shared" si="5"/>
        <v>12013250.4010.100</v>
      </c>
    </row>
    <row r="339" spans="1:12" x14ac:dyDescent="0.2">
      <c r="A339" s="30">
        <v>18988</v>
      </c>
      <c r="B339" s="30" t="s">
        <v>175</v>
      </c>
      <c r="C339" s="30">
        <v>12013250</v>
      </c>
      <c r="D339" s="30" t="s">
        <v>10</v>
      </c>
      <c r="E339" s="30">
        <v>100</v>
      </c>
      <c r="F339" s="30" t="s">
        <v>203</v>
      </c>
      <c r="G339" s="30">
        <v>4010.1</v>
      </c>
      <c r="H339" s="30">
        <v>2692.31</v>
      </c>
      <c r="I339" s="30"/>
      <c r="J339" s="44" t="s">
        <v>12</v>
      </c>
      <c r="L339" s="15" t="str">
        <f t="shared" si="5"/>
        <v>12013250.4010.100</v>
      </c>
    </row>
    <row r="340" spans="1:12" x14ac:dyDescent="0.2">
      <c r="A340" s="30">
        <v>18772</v>
      </c>
      <c r="B340" s="30" t="s">
        <v>176</v>
      </c>
      <c r="C340" s="30">
        <v>12013300</v>
      </c>
      <c r="D340" s="30" t="s">
        <v>15</v>
      </c>
      <c r="E340" s="30">
        <v>100</v>
      </c>
      <c r="F340" s="30" t="s">
        <v>203</v>
      </c>
      <c r="G340" s="30">
        <v>4010.1</v>
      </c>
      <c r="H340" s="30">
        <v>4801.8500000000004</v>
      </c>
      <c r="I340" s="30"/>
      <c r="J340" s="44" t="s">
        <v>12</v>
      </c>
      <c r="L340" s="15" t="str">
        <f t="shared" si="5"/>
        <v>12013300.4010.100</v>
      </c>
    </row>
    <row r="341" spans="1:12" x14ac:dyDescent="0.2">
      <c r="A341" s="30">
        <v>220</v>
      </c>
      <c r="B341" s="30" t="s">
        <v>14</v>
      </c>
      <c r="C341" s="30">
        <v>12013300</v>
      </c>
      <c r="D341" s="30" t="s">
        <v>15</v>
      </c>
      <c r="E341" s="30">
        <v>100</v>
      </c>
      <c r="F341" s="30" t="s">
        <v>203</v>
      </c>
      <c r="G341" s="30">
        <v>4010.1</v>
      </c>
      <c r="H341" s="30">
        <v>3143.1</v>
      </c>
      <c r="I341" s="30"/>
      <c r="J341" s="44" t="s">
        <v>12</v>
      </c>
      <c r="L341" s="15" t="str">
        <f t="shared" si="5"/>
        <v>12013300.4010.100</v>
      </c>
    </row>
    <row r="342" spans="1:12" x14ac:dyDescent="0.2">
      <c r="A342" s="30">
        <v>18716</v>
      </c>
      <c r="B342" s="30" t="s">
        <v>16</v>
      </c>
      <c r="C342" s="30">
        <v>12018099</v>
      </c>
      <c r="D342" s="30" t="s">
        <v>17</v>
      </c>
      <c r="E342" s="30">
        <v>100</v>
      </c>
      <c r="F342" s="30" t="s">
        <v>203</v>
      </c>
      <c r="G342" s="30">
        <v>4010.1</v>
      </c>
      <c r="H342" s="30">
        <v>5384.62</v>
      </c>
      <c r="I342" s="30"/>
      <c r="J342" s="44" t="s">
        <v>12</v>
      </c>
      <c r="L342" s="15" t="str">
        <f t="shared" si="5"/>
        <v>12018099.4010.100</v>
      </c>
    </row>
    <row r="343" spans="1:12" x14ac:dyDescent="0.2">
      <c r="A343" s="30">
        <v>18948</v>
      </c>
      <c r="B343" s="30" t="s">
        <v>142</v>
      </c>
      <c r="C343" s="30">
        <v>12018099</v>
      </c>
      <c r="D343" s="30" t="s">
        <v>17</v>
      </c>
      <c r="E343" s="30">
        <v>100</v>
      </c>
      <c r="F343" s="30" t="s">
        <v>203</v>
      </c>
      <c r="G343" s="30">
        <v>4010.1</v>
      </c>
      <c r="H343" s="30">
        <v>2365.39</v>
      </c>
      <c r="I343" s="30"/>
      <c r="J343" s="44" t="s">
        <v>12</v>
      </c>
      <c r="L343" s="15" t="str">
        <f t="shared" si="5"/>
        <v>12018099.4010.100</v>
      </c>
    </row>
    <row r="344" spans="1:12" x14ac:dyDescent="0.2">
      <c r="A344" s="30">
        <v>18939</v>
      </c>
      <c r="B344" s="30" t="s">
        <v>177</v>
      </c>
      <c r="C344" s="30">
        <v>12018199</v>
      </c>
      <c r="D344" s="30" t="s">
        <v>178</v>
      </c>
      <c r="E344" s="30">
        <v>100</v>
      </c>
      <c r="F344" s="30" t="s">
        <v>203</v>
      </c>
      <c r="G344" s="30">
        <v>4010.1</v>
      </c>
      <c r="H344" s="30">
        <v>3391.5</v>
      </c>
      <c r="I344" s="30"/>
      <c r="J344" s="44" t="s">
        <v>12</v>
      </c>
      <c r="L344" s="15" t="str">
        <f t="shared" si="5"/>
        <v>12018199.4010.100</v>
      </c>
    </row>
    <row r="345" spans="1:12" x14ac:dyDescent="0.2">
      <c r="A345" s="30">
        <v>18969</v>
      </c>
      <c r="B345" s="30" t="s">
        <v>143</v>
      </c>
      <c r="C345" s="30">
        <v>12018599</v>
      </c>
      <c r="D345" s="30" t="s">
        <v>144</v>
      </c>
      <c r="E345" s="30">
        <v>100</v>
      </c>
      <c r="F345" s="30" t="s">
        <v>203</v>
      </c>
      <c r="G345" s="30">
        <v>4010.1</v>
      </c>
      <c r="H345" s="30">
        <v>5384.62</v>
      </c>
      <c r="I345" s="30"/>
      <c r="J345" s="44" t="s">
        <v>12</v>
      </c>
      <c r="L345" s="15" t="str">
        <f t="shared" si="5"/>
        <v>12018599.4010.100</v>
      </c>
    </row>
    <row r="346" spans="1:12" x14ac:dyDescent="0.2">
      <c r="A346" s="30">
        <v>18862</v>
      </c>
      <c r="B346" s="30" t="s">
        <v>145</v>
      </c>
      <c r="C346" s="30">
        <v>12018599</v>
      </c>
      <c r="D346" s="30" t="s">
        <v>144</v>
      </c>
      <c r="E346" s="30">
        <v>100</v>
      </c>
      <c r="F346" s="30" t="s">
        <v>203</v>
      </c>
      <c r="G346" s="30">
        <v>4010.1</v>
      </c>
      <c r="H346" s="30">
        <v>2615.39</v>
      </c>
      <c r="I346" s="30"/>
      <c r="J346" s="44" t="s">
        <v>12</v>
      </c>
      <c r="L346" s="15" t="str">
        <f t="shared" si="5"/>
        <v>12018599.4010.100</v>
      </c>
    </row>
    <row r="347" spans="1:12" x14ac:dyDescent="0.2">
      <c r="A347" s="30">
        <v>18886</v>
      </c>
      <c r="B347" s="30" t="s">
        <v>18</v>
      </c>
      <c r="C347" s="30">
        <v>12019099</v>
      </c>
      <c r="D347" s="30" t="s">
        <v>19</v>
      </c>
      <c r="E347" s="30">
        <v>100</v>
      </c>
      <c r="F347" s="30" t="s">
        <v>203</v>
      </c>
      <c r="G347" s="30">
        <v>4010.1</v>
      </c>
      <c r="H347" s="30">
        <v>8165.89</v>
      </c>
      <c r="I347" s="30"/>
      <c r="J347" s="44" t="s">
        <v>12</v>
      </c>
      <c r="L347" s="15" t="str">
        <f t="shared" si="5"/>
        <v>12019099.4010.100</v>
      </c>
    </row>
    <row r="348" spans="1:12" x14ac:dyDescent="0.2">
      <c r="A348" s="30">
        <v>19003</v>
      </c>
      <c r="B348" s="30" t="s">
        <v>388</v>
      </c>
      <c r="C348" s="30">
        <v>12019199</v>
      </c>
      <c r="D348" s="30" t="s">
        <v>147</v>
      </c>
      <c r="E348" s="30">
        <v>100</v>
      </c>
      <c r="F348" s="30" t="s">
        <v>203</v>
      </c>
      <c r="G348" s="30">
        <v>4010.1</v>
      </c>
      <c r="H348" s="30">
        <v>3115.38</v>
      </c>
      <c r="I348" s="30"/>
      <c r="J348" s="44" t="s">
        <v>12</v>
      </c>
      <c r="L348" s="15" t="str">
        <f t="shared" si="5"/>
        <v>12019199.4010.100</v>
      </c>
    </row>
    <row r="349" spans="1:12" x14ac:dyDescent="0.2">
      <c r="A349" s="30">
        <v>18993</v>
      </c>
      <c r="B349" s="30" t="s">
        <v>181</v>
      </c>
      <c r="C349" s="30">
        <v>12019199</v>
      </c>
      <c r="D349" s="30" t="s">
        <v>147</v>
      </c>
      <c r="E349" s="30">
        <v>100</v>
      </c>
      <c r="F349" s="30" t="s">
        <v>203</v>
      </c>
      <c r="G349" s="30">
        <v>4010.1</v>
      </c>
      <c r="H349" s="30">
        <v>2596.15</v>
      </c>
      <c r="I349" s="30"/>
      <c r="J349" s="44" t="s">
        <v>12</v>
      </c>
      <c r="L349" s="15" t="str">
        <f t="shared" si="5"/>
        <v>12019199.4010.100</v>
      </c>
    </row>
    <row r="350" spans="1:12" x14ac:dyDescent="0.2">
      <c r="A350" s="30">
        <v>18550</v>
      </c>
      <c r="B350" s="30" t="s">
        <v>165</v>
      </c>
      <c r="C350" s="30">
        <v>12019199</v>
      </c>
      <c r="D350" s="30" t="s">
        <v>147</v>
      </c>
      <c r="E350" s="30">
        <v>100</v>
      </c>
      <c r="F350" s="30" t="s">
        <v>203</v>
      </c>
      <c r="G350" s="30">
        <v>4010.1</v>
      </c>
      <c r="H350" s="30">
        <v>1556.26</v>
      </c>
      <c r="I350" s="30"/>
      <c r="J350" s="44" t="s">
        <v>12</v>
      </c>
      <c r="L350" s="15" t="str">
        <f t="shared" si="5"/>
        <v>12019199.4010.100</v>
      </c>
    </row>
    <row r="351" spans="1:12" x14ac:dyDescent="0.2">
      <c r="A351" s="30">
        <v>19025</v>
      </c>
      <c r="B351" s="30" t="s">
        <v>180</v>
      </c>
      <c r="C351" s="30">
        <v>12019199</v>
      </c>
      <c r="D351" s="30" t="s">
        <v>147</v>
      </c>
      <c r="E351" s="30">
        <v>100</v>
      </c>
      <c r="F351" s="30" t="s">
        <v>203</v>
      </c>
      <c r="G351" s="30">
        <v>4010.1</v>
      </c>
      <c r="H351" s="30">
        <v>2500</v>
      </c>
      <c r="I351" s="30"/>
      <c r="J351" s="44" t="s">
        <v>12</v>
      </c>
      <c r="L351" s="15" t="str">
        <f t="shared" si="5"/>
        <v>12019199.4010.100</v>
      </c>
    </row>
    <row r="352" spans="1:12" x14ac:dyDescent="0.2">
      <c r="A352" s="30">
        <v>18741</v>
      </c>
      <c r="B352" s="30" t="s">
        <v>179</v>
      </c>
      <c r="C352" s="30">
        <v>12019199</v>
      </c>
      <c r="D352" s="30" t="s">
        <v>147</v>
      </c>
      <c r="E352" s="30">
        <v>100</v>
      </c>
      <c r="F352" s="30" t="s">
        <v>203</v>
      </c>
      <c r="G352" s="30">
        <v>4010.1</v>
      </c>
      <c r="H352" s="30">
        <v>1246.1500000000001</v>
      </c>
      <c r="I352" s="30"/>
      <c r="J352" s="44" t="s">
        <v>12</v>
      </c>
      <c r="L352" s="15" t="str">
        <f t="shared" si="5"/>
        <v>12019199.4010.100</v>
      </c>
    </row>
    <row r="353" spans="1:12" x14ac:dyDescent="0.2">
      <c r="A353" s="30">
        <v>18968</v>
      </c>
      <c r="B353" s="30" t="s">
        <v>164</v>
      </c>
      <c r="C353" s="30">
        <v>12019199</v>
      </c>
      <c r="D353" s="30" t="s">
        <v>147</v>
      </c>
      <c r="E353" s="30">
        <v>100</v>
      </c>
      <c r="F353" s="30" t="s">
        <v>203</v>
      </c>
      <c r="G353" s="30">
        <v>4010.1</v>
      </c>
      <c r="H353" s="30">
        <v>2292.31</v>
      </c>
      <c r="I353" s="30"/>
      <c r="J353" s="44" t="s">
        <v>12</v>
      </c>
      <c r="L353" s="15" t="str">
        <f t="shared" si="5"/>
        <v>12019199.4010.100</v>
      </c>
    </row>
    <row r="354" spans="1:12" x14ac:dyDescent="0.2">
      <c r="A354" s="30">
        <v>18853</v>
      </c>
      <c r="B354" s="30" t="s">
        <v>146</v>
      </c>
      <c r="C354" s="30">
        <v>12019199</v>
      </c>
      <c r="D354" s="30" t="s">
        <v>147</v>
      </c>
      <c r="E354" s="30">
        <v>100</v>
      </c>
      <c r="F354" s="30" t="s">
        <v>203</v>
      </c>
      <c r="G354" s="30">
        <v>4010.1</v>
      </c>
      <c r="H354" s="30">
        <v>4249.33</v>
      </c>
      <c r="I354" s="30"/>
      <c r="J354" s="44" t="s">
        <v>12</v>
      </c>
      <c r="L354" s="15" t="str">
        <f t="shared" si="5"/>
        <v>12019199.4010.100</v>
      </c>
    </row>
    <row r="355" spans="1:12" x14ac:dyDescent="0.2">
      <c r="A355" s="30">
        <v>18619</v>
      </c>
      <c r="B355" s="30" t="s">
        <v>20</v>
      </c>
      <c r="C355" s="30">
        <v>12020400</v>
      </c>
      <c r="D355" s="30" t="s">
        <v>21</v>
      </c>
      <c r="E355" s="30">
        <v>100</v>
      </c>
      <c r="F355" s="30" t="s">
        <v>203</v>
      </c>
      <c r="G355" s="30">
        <v>4010.1</v>
      </c>
      <c r="H355" s="30">
        <v>2342.31</v>
      </c>
      <c r="I355" s="30"/>
      <c r="J355" s="44" t="s">
        <v>12</v>
      </c>
      <c r="L355" s="15" t="str">
        <f t="shared" si="5"/>
        <v>12020400.4010.100</v>
      </c>
    </row>
    <row r="356" spans="1:12" x14ac:dyDescent="0.2">
      <c r="A356" s="30">
        <v>18836</v>
      </c>
      <c r="B356" s="30" t="s">
        <v>182</v>
      </c>
      <c r="C356" s="30">
        <v>12020400</v>
      </c>
      <c r="D356" s="30" t="s">
        <v>21</v>
      </c>
      <c r="E356" s="30">
        <v>100</v>
      </c>
      <c r="F356" s="30" t="s">
        <v>203</v>
      </c>
      <c r="G356" s="30">
        <v>4010.1</v>
      </c>
      <c r="H356" s="30">
        <v>2563.6999999999998</v>
      </c>
      <c r="I356" s="30"/>
      <c r="J356" s="44" t="s">
        <v>12</v>
      </c>
      <c r="L356" s="15" t="str">
        <f t="shared" si="5"/>
        <v>12020400.4010.100</v>
      </c>
    </row>
    <row r="357" spans="1:12" x14ac:dyDescent="0.2">
      <c r="A357" s="30">
        <v>18831</v>
      </c>
      <c r="B357" s="30" t="s">
        <v>22</v>
      </c>
      <c r="C357" s="30">
        <v>12020611</v>
      </c>
      <c r="D357" s="30" t="s">
        <v>23</v>
      </c>
      <c r="E357" s="30">
        <v>100</v>
      </c>
      <c r="F357" s="30" t="s">
        <v>203</v>
      </c>
      <c r="G357" s="30">
        <v>4010.1</v>
      </c>
      <c r="H357" s="30">
        <v>1503.87</v>
      </c>
      <c r="I357" s="30"/>
      <c r="J357" s="44" t="s">
        <v>12</v>
      </c>
      <c r="L357" s="15" t="str">
        <f t="shared" si="5"/>
        <v>12020611.4010.100</v>
      </c>
    </row>
    <row r="358" spans="1:12" x14ac:dyDescent="0.2">
      <c r="A358" s="30">
        <v>18866</v>
      </c>
      <c r="B358" s="30" t="s">
        <v>76</v>
      </c>
      <c r="C358" s="30">
        <v>12020611</v>
      </c>
      <c r="D358" s="30" t="s">
        <v>23</v>
      </c>
      <c r="E358" s="30">
        <v>100</v>
      </c>
      <c r="F358" s="30" t="s">
        <v>203</v>
      </c>
      <c r="G358" s="30">
        <v>4010.1</v>
      </c>
      <c r="H358" s="30">
        <v>2488.86</v>
      </c>
      <c r="I358" s="30"/>
      <c r="J358" s="44" t="s">
        <v>12</v>
      </c>
      <c r="L358" s="15" t="str">
        <f t="shared" si="5"/>
        <v>12020611.4010.100</v>
      </c>
    </row>
    <row r="359" spans="1:12" x14ac:dyDescent="0.2">
      <c r="A359" s="30">
        <v>18891</v>
      </c>
      <c r="B359" s="30" t="s">
        <v>77</v>
      </c>
      <c r="C359" s="30">
        <v>12020611</v>
      </c>
      <c r="D359" s="30" t="s">
        <v>23</v>
      </c>
      <c r="E359" s="30">
        <v>100</v>
      </c>
      <c r="F359" s="30" t="s">
        <v>203</v>
      </c>
      <c r="G359" s="30">
        <v>4010.1</v>
      </c>
      <c r="H359" s="30">
        <v>1826.27</v>
      </c>
      <c r="I359" s="30"/>
      <c r="J359" s="44" t="s">
        <v>12</v>
      </c>
      <c r="L359" s="15" t="str">
        <f t="shared" si="5"/>
        <v>12020611.4010.100</v>
      </c>
    </row>
    <row r="360" spans="1:12" x14ac:dyDescent="0.2">
      <c r="A360" s="30">
        <v>18589</v>
      </c>
      <c r="B360" s="30" t="s">
        <v>75</v>
      </c>
      <c r="C360" s="30">
        <v>12020611</v>
      </c>
      <c r="D360" s="30" t="s">
        <v>23</v>
      </c>
      <c r="E360" s="30">
        <v>100</v>
      </c>
      <c r="F360" s="30" t="s">
        <v>203</v>
      </c>
      <c r="G360" s="30">
        <v>4010.1</v>
      </c>
      <c r="H360" s="30">
        <v>2668.48</v>
      </c>
      <c r="I360" s="30"/>
      <c r="J360" s="44" t="s">
        <v>12</v>
      </c>
      <c r="L360" s="15" t="str">
        <f t="shared" si="5"/>
        <v>12020611.4010.100</v>
      </c>
    </row>
    <row r="361" spans="1:12" x14ac:dyDescent="0.2">
      <c r="A361" s="30">
        <v>18957</v>
      </c>
      <c r="B361" s="30" t="s">
        <v>74</v>
      </c>
      <c r="C361" s="30">
        <v>12020611</v>
      </c>
      <c r="D361" s="30" t="s">
        <v>23</v>
      </c>
      <c r="E361" s="30">
        <v>100</v>
      </c>
      <c r="F361" s="30" t="s">
        <v>203</v>
      </c>
      <c r="G361" s="30">
        <v>4010.1</v>
      </c>
      <c r="H361" s="30">
        <v>1706.09</v>
      </c>
      <c r="I361" s="30"/>
      <c r="J361" s="44" t="s">
        <v>12</v>
      </c>
      <c r="L361" s="15" t="str">
        <f t="shared" si="5"/>
        <v>12020611.4010.100</v>
      </c>
    </row>
    <row r="362" spans="1:12" x14ac:dyDescent="0.2">
      <c r="A362" s="30">
        <v>18903</v>
      </c>
      <c r="B362" s="30" t="s">
        <v>73</v>
      </c>
      <c r="C362" s="30">
        <v>12020611</v>
      </c>
      <c r="D362" s="30" t="s">
        <v>23</v>
      </c>
      <c r="E362" s="30">
        <v>100</v>
      </c>
      <c r="F362" s="30" t="s">
        <v>203</v>
      </c>
      <c r="G362" s="30">
        <v>4010.1</v>
      </c>
      <c r="H362" s="30">
        <v>2155.08</v>
      </c>
      <c r="I362" s="30"/>
      <c r="J362" s="44" t="s">
        <v>12</v>
      </c>
      <c r="L362" s="15" t="str">
        <f t="shared" si="5"/>
        <v>12020611.4010.100</v>
      </c>
    </row>
    <row r="363" spans="1:12" x14ac:dyDescent="0.2">
      <c r="A363" s="30">
        <v>18614</v>
      </c>
      <c r="B363" s="30" t="s">
        <v>78</v>
      </c>
      <c r="C363" s="30">
        <v>12020611</v>
      </c>
      <c r="D363" s="30" t="s">
        <v>23</v>
      </c>
      <c r="E363" s="30">
        <v>100</v>
      </c>
      <c r="F363" s="30" t="s">
        <v>203</v>
      </c>
      <c r="G363" s="30">
        <v>4010.1</v>
      </c>
      <c r="H363" s="30">
        <v>290.2</v>
      </c>
      <c r="I363" s="30"/>
      <c r="J363" s="44" t="s">
        <v>12</v>
      </c>
      <c r="L363" s="15" t="str">
        <f t="shared" si="5"/>
        <v>12020611.4010.100</v>
      </c>
    </row>
    <row r="364" spans="1:12" x14ac:dyDescent="0.2">
      <c r="A364" s="30">
        <v>18631</v>
      </c>
      <c r="B364" s="30" t="s">
        <v>80</v>
      </c>
      <c r="C364" s="30">
        <v>12020711</v>
      </c>
      <c r="D364" s="30" t="s">
        <v>25</v>
      </c>
      <c r="E364" s="30">
        <v>100</v>
      </c>
      <c r="F364" s="30" t="s">
        <v>203</v>
      </c>
      <c r="G364" s="30">
        <v>4010.1</v>
      </c>
      <c r="H364" s="30">
        <v>1413.69</v>
      </c>
      <c r="I364" s="30"/>
      <c r="J364" s="44" t="s">
        <v>12</v>
      </c>
      <c r="L364" s="15" t="str">
        <f t="shared" si="5"/>
        <v>12020711.4010.100</v>
      </c>
    </row>
    <row r="365" spans="1:12" x14ac:dyDescent="0.2">
      <c r="A365" s="30">
        <v>18879</v>
      </c>
      <c r="B365" s="30" t="s">
        <v>79</v>
      </c>
      <c r="C365" s="30">
        <v>12020711</v>
      </c>
      <c r="D365" s="30" t="s">
        <v>25</v>
      </c>
      <c r="E365" s="30">
        <v>100</v>
      </c>
      <c r="F365" s="30" t="s">
        <v>203</v>
      </c>
      <c r="G365" s="30">
        <v>4010.1</v>
      </c>
      <c r="H365" s="30">
        <v>2282.84</v>
      </c>
      <c r="I365" s="30"/>
      <c r="J365" s="44" t="s">
        <v>12</v>
      </c>
      <c r="L365" s="15" t="str">
        <f t="shared" si="5"/>
        <v>12020711.4010.100</v>
      </c>
    </row>
    <row r="366" spans="1:12" x14ac:dyDescent="0.2">
      <c r="A366" s="30">
        <v>18</v>
      </c>
      <c r="B366" s="30" t="s">
        <v>24</v>
      </c>
      <c r="C366" s="30">
        <v>12020711</v>
      </c>
      <c r="D366" s="30" t="s">
        <v>25</v>
      </c>
      <c r="E366" s="30">
        <v>100</v>
      </c>
      <c r="F366" s="30" t="s">
        <v>203</v>
      </c>
      <c r="G366" s="30">
        <v>4010.1</v>
      </c>
      <c r="H366" s="30">
        <v>1074.81</v>
      </c>
      <c r="I366" s="30"/>
      <c r="J366" s="44" t="s">
        <v>12</v>
      </c>
      <c r="L366" s="15" t="str">
        <f t="shared" si="5"/>
        <v>12020711.4010.100</v>
      </c>
    </row>
    <row r="367" spans="1:12" x14ac:dyDescent="0.2">
      <c r="A367" s="30">
        <v>18954</v>
      </c>
      <c r="B367" s="30" t="s">
        <v>183</v>
      </c>
      <c r="C367" s="30">
        <v>12020711</v>
      </c>
      <c r="D367" s="30" t="s">
        <v>25</v>
      </c>
      <c r="E367" s="30">
        <v>100</v>
      </c>
      <c r="F367" s="30" t="s">
        <v>203</v>
      </c>
      <c r="G367" s="30">
        <v>4010.1</v>
      </c>
      <c r="H367" s="30">
        <v>2019.23</v>
      </c>
      <c r="I367" s="30"/>
      <c r="J367" s="44" t="s">
        <v>12</v>
      </c>
      <c r="L367" s="15" t="str">
        <f t="shared" si="5"/>
        <v>12020711.4010.100</v>
      </c>
    </row>
    <row r="368" spans="1:12" x14ac:dyDescent="0.2">
      <c r="A368" s="30">
        <v>19000</v>
      </c>
      <c r="B368" s="30" t="s">
        <v>26</v>
      </c>
      <c r="C368" s="30">
        <v>12020800</v>
      </c>
      <c r="D368" s="30" t="s">
        <v>27</v>
      </c>
      <c r="E368" s="30">
        <v>100</v>
      </c>
      <c r="F368" s="30" t="s">
        <v>203</v>
      </c>
      <c r="G368" s="30">
        <v>4010.1</v>
      </c>
      <c r="H368" s="30">
        <v>1960.45</v>
      </c>
      <c r="I368" s="30"/>
      <c r="J368" s="44" t="s">
        <v>12</v>
      </c>
      <c r="L368" s="15" t="str">
        <f t="shared" si="5"/>
        <v>12020800.4010.100</v>
      </c>
    </row>
    <row r="369" spans="1:12" x14ac:dyDescent="0.2">
      <c r="A369" s="30">
        <v>19013</v>
      </c>
      <c r="B369" s="30" t="s">
        <v>81</v>
      </c>
      <c r="C369" s="30">
        <v>12020800</v>
      </c>
      <c r="D369" s="30" t="s">
        <v>27</v>
      </c>
      <c r="E369" s="30">
        <v>100</v>
      </c>
      <c r="F369" s="30" t="s">
        <v>203</v>
      </c>
      <c r="G369" s="30">
        <v>4010.1</v>
      </c>
      <c r="H369" s="30">
        <v>2515.5500000000002</v>
      </c>
      <c r="I369" s="30"/>
      <c r="J369" s="44" t="s">
        <v>12</v>
      </c>
      <c r="L369" s="15" t="str">
        <f t="shared" si="5"/>
        <v>12020800.4010.100</v>
      </c>
    </row>
    <row r="370" spans="1:12" x14ac:dyDescent="0.2">
      <c r="A370" s="30">
        <v>18630</v>
      </c>
      <c r="B370" s="30" t="s">
        <v>204</v>
      </c>
      <c r="C370" s="30">
        <v>12020800</v>
      </c>
      <c r="D370" s="30" t="s">
        <v>27</v>
      </c>
      <c r="E370" s="30">
        <v>100</v>
      </c>
      <c r="F370" s="30" t="s">
        <v>203</v>
      </c>
      <c r="G370" s="30">
        <v>4010.1</v>
      </c>
      <c r="H370" s="30">
        <v>1624.9</v>
      </c>
      <c r="I370" s="30"/>
      <c r="J370" s="44" t="s">
        <v>12</v>
      </c>
      <c r="L370" s="15" t="str">
        <f t="shared" si="5"/>
        <v>12020800.4010.100</v>
      </c>
    </row>
    <row r="371" spans="1:12" x14ac:dyDescent="0.2">
      <c r="A371" s="30">
        <v>18733</v>
      </c>
      <c r="B371" s="30" t="s">
        <v>86</v>
      </c>
      <c r="C371" s="30">
        <v>12021021</v>
      </c>
      <c r="D371" s="30" t="s">
        <v>29</v>
      </c>
      <c r="E371" s="30">
        <v>100</v>
      </c>
      <c r="F371" s="30" t="s">
        <v>203</v>
      </c>
      <c r="G371" s="30">
        <v>4010.1</v>
      </c>
      <c r="H371" s="30">
        <v>2207.16</v>
      </c>
      <c r="I371" s="30"/>
      <c r="J371" s="44" t="s">
        <v>12</v>
      </c>
      <c r="L371" s="15" t="str">
        <f t="shared" si="5"/>
        <v>12021021.4010.100</v>
      </c>
    </row>
    <row r="372" spans="1:12" x14ac:dyDescent="0.2">
      <c r="A372" s="30">
        <v>18892</v>
      </c>
      <c r="B372" s="30" t="s">
        <v>184</v>
      </c>
      <c r="C372" s="30">
        <v>12021021</v>
      </c>
      <c r="D372" s="30" t="s">
        <v>29</v>
      </c>
      <c r="E372" s="30">
        <v>100</v>
      </c>
      <c r="F372" s="30" t="s">
        <v>203</v>
      </c>
      <c r="G372" s="30">
        <v>4010.1</v>
      </c>
      <c r="H372" s="30">
        <v>1903.83</v>
      </c>
      <c r="I372" s="30"/>
      <c r="J372" s="44" t="s">
        <v>12</v>
      </c>
      <c r="L372" s="15" t="str">
        <f t="shared" si="5"/>
        <v>12021021.4010.100</v>
      </c>
    </row>
    <row r="373" spans="1:12" x14ac:dyDescent="0.2">
      <c r="A373" s="30">
        <v>19033</v>
      </c>
      <c r="B373" s="30" t="s">
        <v>389</v>
      </c>
      <c r="C373" s="30">
        <v>12021021</v>
      </c>
      <c r="D373" s="30" t="s">
        <v>29</v>
      </c>
      <c r="E373" s="30">
        <v>100</v>
      </c>
      <c r="F373" s="30" t="s">
        <v>203</v>
      </c>
      <c r="G373" s="30">
        <v>4010.1</v>
      </c>
      <c r="H373" s="30">
        <v>368.21</v>
      </c>
      <c r="I373" s="30"/>
      <c r="J373" s="44" t="s">
        <v>12</v>
      </c>
      <c r="L373" s="15" t="str">
        <f t="shared" si="5"/>
        <v>12021021.4010.100</v>
      </c>
    </row>
    <row r="374" spans="1:12" x14ac:dyDescent="0.2">
      <c r="A374" s="30">
        <v>18687</v>
      </c>
      <c r="B374" s="30" t="s">
        <v>83</v>
      </c>
      <c r="C374" s="30">
        <v>12021021</v>
      </c>
      <c r="D374" s="30" t="s">
        <v>29</v>
      </c>
      <c r="E374" s="30">
        <v>100</v>
      </c>
      <c r="F374" s="30" t="s">
        <v>203</v>
      </c>
      <c r="G374" s="30">
        <v>4010.1</v>
      </c>
      <c r="H374" s="30">
        <v>2268.2600000000002</v>
      </c>
      <c r="I374" s="30"/>
      <c r="J374" s="44" t="s">
        <v>12</v>
      </c>
      <c r="L374" s="15" t="str">
        <f t="shared" si="5"/>
        <v>12021021.4010.100</v>
      </c>
    </row>
    <row r="375" spans="1:12" x14ac:dyDescent="0.2">
      <c r="A375" s="30">
        <v>18967</v>
      </c>
      <c r="B375" s="30" t="s">
        <v>85</v>
      </c>
      <c r="C375" s="30">
        <v>12021021</v>
      </c>
      <c r="D375" s="30" t="s">
        <v>29</v>
      </c>
      <c r="E375" s="30">
        <v>100</v>
      </c>
      <c r="F375" s="30" t="s">
        <v>203</v>
      </c>
      <c r="G375" s="30">
        <v>4010.1</v>
      </c>
      <c r="H375" s="30">
        <v>2566.09</v>
      </c>
      <c r="I375" s="30"/>
      <c r="J375" s="44" t="s">
        <v>12</v>
      </c>
      <c r="L375" s="15" t="str">
        <f t="shared" si="5"/>
        <v>12021021.4010.100</v>
      </c>
    </row>
    <row r="376" spans="1:12" x14ac:dyDescent="0.2">
      <c r="A376" s="30">
        <v>18559</v>
      </c>
      <c r="B376" s="30" t="s">
        <v>87</v>
      </c>
      <c r="C376" s="30">
        <v>12021021</v>
      </c>
      <c r="D376" s="30" t="s">
        <v>29</v>
      </c>
      <c r="E376" s="30">
        <v>100</v>
      </c>
      <c r="F376" s="30" t="s">
        <v>203</v>
      </c>
      <c r="G376" s="30">
        <v>4010.1</v>
      </c>
      <c r="H376" s="30">
        <v>3637.77</v>
      </c>
      <c r="I376" s="30"/>
      <c r="J376" s="44" t="s">
        <v>12</v>
      </c>
      <c r="L376" s="15" t="str">
        <f t="shared" si="5"/>
        <v>12021021.4010.100</v>
      </c>
    </row>
    <row r="377" spans="1:12" x14ac:dyDescent="0.2">
      <c r="A377" s="30">
        <v>346</v>
      </c>
      <c r="B377" s="30" t="s">
        <v>30</v>
      </c>
      <c r="C377" s="30">
        <v>12021021</v>
      </c>
      <c r="D377" s="30" t="s">
        <v>29</v>
      </c>
      <c r="E377" s="30">
        <v>100</v>
      </c>
      <c r="F377" s="30" t="s">
        <v>203</v>
      </c>
      <c r="G377" s="30">
        <v>4010.1</v>
      </c>
      <c r="H377" s="30">
        <v>513.22</v>
      </c>
      <c r="I377" s="30"/>
      <c r="J377" s="44" t="s">
        <v>12</v>
      </c>
      <c r="L377" s="15" t="str">
        <f t="shared" si="5"/>
        <v>12021021.4010.100</v>
      </c>
    </row>
    <row r="378" spans="1:12" x14ac:dyDescent="0.2">
      <c r="A378" s="30">
        <v>18960</v>
      </c>
      <c r="B378" s="30" t="s">
        <v>84</v>
      </c>
      <c r="C378" s="30">
        <v>12021021</v>
      </c>
      <c r="D378" s="30" t="s">
        <v>29</v>
      </c>
      <c r="E378" s="30">
        <v>100</v>
      </c>
      <c r="F378" s="30" t="s">
        <v>203</v>
      </c>
      <c r="G378" s="30">
        <v>4010.1</v>
      </c>
      <c r="H378" s="30">
        <v>720.18</v>
      </c>
      <c r="I378" s="30"/>
      <c r="J378" s="44" t="s">
        <v>12</v>
      </c>
      <c r="L378" s="15" t="str">
        <f t="shared" si="5"/>
        <v>12021021.4010.100</v>
      </c>
    </row>
    <row r="379" spans="1:12" x14ac:dyDescent="0.2">
      <c r="A379" s="30">
        <v>18659</v>
      </c>
      <c r="B379" s="30" t="s">
        <v>88</v>
      </c>
      <c r="C379" s="30">
        <v>12021021</v>
      </c>
      <c r="D379" s="30" t="s">
        <v>29</v>
      </c>
      <c r="E379" s="30">
        <v>100</v>
      </c>
      <c r="F379" s="30" t="s">
        <v>203</v>
      </c>
      <c r="G379" s="30">
        <v>4010.1</v>
      </c>
      <c r="H379" s="30">
        <v>2124.85</v>
      </c>
      <c r="I379" s="30"/>
      <c r="J379" s="44" t="s">
        <v>12</v>
      </c>
      <c r="L379" s="15" t="str">
        <f t="shared" si="5"/>
        <v>12021021.4010.100</v>
      </c>
    </row>
    <row r="380" spans="1:12" x14ac:dyDescent="0.2">
      <c r="A380" s="30">
        <v>18781</v>
      </c>
      <c r="B380" s="30" t="s">
        <v>82</v>
      </c>
      <c r="C380" s="30">
        <v>12021021</v>
      </c>
      <c r="D380" s="30" t="s">
        <v>29</v>
      </c>
      <c r="E380" s="30">
        <v>100</v>
      </c>
      <c r="F380" s="30" t="s">
        <v>203</v>
      </c>
      <c r="G380" s="30">
        <v>4010.1</v>
      </c>
      <c r="H380" s="30">
        <v>2566.09</v>
      </c>
      <c r="I380" s="30"/>
      <c r="J380" s="44" t="s">
        <v>12</v>
      </c>
      <c r="L380" s="15" t="str">
        <f t="shared" si="5"/>
        <v>12021021.4010.100</v>
      </c>
    </row>
    <row r="381" spans="1:12" x14ac:dyDescent="0.2">
      <c r="A381" s="30">
        <v>18894</v>
      </c>
      <c r="B381" s="30" t="s">
        <v>89</v>
      </c>
      <c r="C381" s="30">
        <v>12021021</v>
      </c>
      <c r="D381" s="30" t="s">
        <v>29</v>
      </c>
      <c r="E381" s="30">
        <v>100</v>
      </c>
      <c r="F381" s="30" t="s">
        <v>203</v>
      </c>
      <c r="G381" s="30">
        <v>4010.1</v>
      </c>
      <c r="H381" s="30">
        <v>1609.44</v>
      </c>
      <c r="I381" s="30"/>
      <c r="J381" s="44" t="s">
        <v>12</v>
      </c>
      <c r="L381" s="15" t="str">
        <f t="shared" si="5"/>
        <v>12021021.4010.100</v>
      </c>
    </row>
    <row r="382" spans="1:12" x14ac:dyDescent="0.2">
      <c r="A382" s="30">
        <v>18961</v>
      </c>
      <c r="B382" s="30" t="s">
        <v>90</v>
      </c>
      <c r="C382" s="30">
        <v>12022511</v>
      </c>
      <c r="D382" s="30" t="s">
        <v>32</v>
      </c>
      <c r="E382" s="30">
        <v>100</v>
      </c>
      <c r="F382" s="30" t="s">
        <v>203</v>
      </c>
      <c r="G382" s="30">
        <v>4010.1</v>
      </c>
      <c r="H382" s="30">
        <v>1960.45</v>
      </c>
      <c r="I382" s="30"/>
      <c r="J382" s="44" t="s">
        <v>12</v>
      </c>
      <c r="L382" s="15" t="str">
        <f t="shared" si="5"/>
        <v>12022511.4010.100</v>
      </c>
    </row>
    <row r="383" spans="1:12" x14ac:dyDescent="0.2">
      <c r="A383" s="30">
        <v>145</v>
      </c>
      <c r="B383" s="30" t="s">
        <v>91</v>
      </c>
      <c r="C383" s="30">
        <v>12022511</v>
      </c>
      <c r="D383" s="30" t="s">
        <v>32</v>
      </c>
      <c r="E383" s="30">
        <v>100</v>
      </c>
      <c r="F383" s="30" t="s">
        <v>203</v>
      </c>
      <c r="G383" s="30">
        <v>4010.1</v>
      </c>
      <c r="H383" s="30">
        <v>2074.06</v>
      </c>
      <c r="I383" s="30"/>
      <c r="J383" s="44" t="s">
        <v>12</v>
      </c>
      <c r="L383" s="15" t="str">
        <f t="shared" si="5"/>
        <v>12022511.4010.100</v>
      </c>
    </row>
    <row r="384" spans="1:12" x14ac:dyDescent="0.2">
      <c r="A384" s="30">
        <v>11229</v>
      </c>
      <c r="B384" s="30" t="s">
        <v>31</v>
      </c>
      <c r="C384" s="30">
        <v>12022511</v>
      </c>
      <c r="D384" s="30" t="s">
        <v>32</v>
      </c>
      <c r="E384" s="30">
        <v>100</v>
      </c>
      <c r="F384" s="30" t="s">
        <v>203</v>
      </c>
      <c r="G384" s="30">
        <v>4010.1</v>
      </c>
      <c r="H384" s="30">
        <v>1805.4</v>
      </c>
      <c r="I384" s="30"/>
      <c r="J384" s="44" t="s">
        <v>12</v>
      </c>
      <c r="L384" s="15" t="str">
        <f t="shared" si="5"/>
        <v>12022511.4010.100</v>
      </c>
    </row>
    <row r="385" spans="1:12" x14ac:dyDescent="0.2">
      <c r="A385" s="30">
        <v>141</v>
      </c>
      <c r="B385" s="30" t="s">
        <v>185</v>
      </c>
      <c r="C385" s="30">
        <v>12022511</v>
      </c>
      <c r="D385" s="30" t="s">
        <v>32</v>
      </c>
      <c r="E385" s="30">
        <v>100</v>
      </c>
      <c r="F385" s="30" t="s">
        <v>203</v>
      </c>
      <c r="G385" s="30">
        <v>4010.1</v>
      </c>
      <c r="H385" s="30">
        <v>1083.24</v>
      </c>
      <c r="I385" s="30"/>
      <c r="J385" s="44" t="s">
        <v>12</v>
      </c>
      <c r="L385" s="15" t="str">
        <f t="shared" si="5"/>
        <v>12022511.4010.100</v>
      </c>
    </row>
    <row r="386" spans="1:12" x14ac:dyDescent="0.2">
      <c r="A386" s="30">
        <v>18999</v>
      </c>
      <c r="B386" s="30" t="s">
        <v>92</v>
      </c>
      <c r="C386" s="30">
        <v>12023011</v>
      </c>
      <c r="D386" s="30" t="s">
        <v>93</v>
      </c>
      <c r="E386" s="30">
        <v>100</v>
      </c>
      <c r="F386" s="30" t="s">
        <v>203</v>
      </c>
      <c r="G386" s="30">
        <v>4010.1</v>
      </c>
      <c r="H386" s="30">
        <v>2221.5100000000002</v>
      </c>
      <c r="I386" s="30"/>
      <c r="J386" s="44" t="s">
        <v>12</v>
      </c>
      <c r="L386" s="15" t="str">
        <f t="shared" ref="L386:L449" si="6">C386&amp;"."&amp;G386&amp;J386</f>
        <v>12023011.4010.100</v>
      </c>
    </row>
    <row r="387" spans="1:12" x14ac:dyDescent="0.2">
      <c r="A387" s="30">
        <v>19026</v>
      </c>
      <c r="B387" s="30" t="s">
        <v>187</v>
      </c>
      <c r="C387" s="30">
        <v>12023011</v>
      </c>
      <c r="D387" s="30" t="s">
        <v>93</v>
      </c>
      <c r="E387" s="30">
        <v>100</v>
      </c>
      <c r="F387" s="30" t="s">
        <v>203</v>
      </c>
      <c r="G387" s="30">
        <v>4010.1</v>
      </c>
      <c r="H387" s="30">
        <v>1176.27</v>
      </c>
      <c r="I387" s="30"/>
      <c r="J387" s="44" t="s">
        <v>12</v>
      </c>
      <c r="L387" s="15" t="str">
        <f t="shared" si="6"/>
        <v>12023011.4010.100</v>
      </c>
    </row>
    <row r="388" spans="1:12" x14ac:dyDescent="0.2">
      <c r="A388" s="30">
        <v>19007</v>
      </c>
      <c r="B388" s="30" t="s">
        <v>189</v>
      </c>
      <c r="C388" s="30">
        <v>12023011</v>
      </c>
      <c r="D388" s="30" t="s">
        <v>93</v>
      </c>
      <c r="E388" s="30">
        <v>100</v>
      </c>
      <c r="F388" s="30" t="s">
        <v>203</v>
      </c>
      <c r="G388" s="30">
        <v>4010.1</v>
      </c>
      <c r="H388" s="30">
        <v>2156.5</v>
      </c>
      <c r="I388" s="30"/>
      <c r="J388" s="44" t="s">
        <v>12</v>
      </c>
      <c r="L388" s="15" t="str">
        <f t="shared" si="6"/>
        <v>12023011.4010.100</v>
      </c>
    </row>
    <row r="389" spans="1:12" x14ac:dyDescent="0.2">
      <c r="A389" s="30">
        <v>19032</v>
      </c>
      <c r="B389" s="30" t="s">
        <v>386</v>
      </c>
      <c r="C389" s="30">
        <v>12023011</v>
      </c>
      <c r="D389" s="30" t="s">
        <v>93</v>
      </c>
      <c r="E389" s="30">
        <v>100</v>
      </c>
      <c r="F389" s="30" t="s">
        <v>203</v>
      </c>
      <c r="G389" s="30">
        <v>4010.1</v>
      </c>
      <c r="H389" s="30">
        <v>588.14</v>
      </c>
      <c r="I389" s="30"/>
      <c r="J389" s="44" t="s">
        <v>12</v>
      </c>
      <c r="L389" s="15" t="str">
        <f t="shared" si="6"/>
        <v>12023011.4010.100</v>
      </c>
    </row>
    <row r="390" spans="1:12" x14ac:dyDescent="0.2">
      <c r="A390" s="30">
        <v>18974</v>
      </c>
      <c r="B390" s="30" t="s">
        <v>94</v>
      </c>
      <c r="C390" s="30">
        <v>12023011</v>
      </c>
      <c r="D390" s="30" t="s">
        <v>93</v>
      </c>
      <c r="E390" s="30">
        <v>100</v>
      </c>
      <c r="F390" s="30" t="s">
        <v>203</v>
      </c>
      <c r="G390" s="30">
        <v>4010.1</v>
      </c>
      <c r="H390" s="30">
        <v>2744.55</v>
      </c>
      <c r="I390" s="30"/>
      <c r="J390" s="44" t="s">
        <v>12</v>
      </c>
      <c r="L390" s="15" t="str">
        <f t="shared" si="6"/>
        <v>12023011.4010.100</v>
      </c>
    </row>
    <row r="391" spans="1:12" x14ac:dyDescent="0.2">
      <c r="A391" s="30">
        <v>18962</v>
      </c>
      <c r="B391" s="30" t="s">
        <v>148</v>
      </c>
      <c r="C391" s="30">
        <v>12023011</v>
      </c>
      <c r="D391" s="30" t="s">
        <v>93</v>
      </c>
      <c r="E391" s="30">
        <v>100</v>
      </c>
      <c r="F391" s="30" t="s">
        <v>203</v>
      </c>
      <c r="G391" s="30">
        <v>4010.1</v>
      </c>
      <c r="H391" s="30">
        <v>5000</v>
      </c>
      <c r="I391" s="30"/>
      <c r="J391" s="44" t="s">
        <v>12</v>
      </c>
      <c r="L391" s="15" t="str">
        <f t="shared" si="6"/>
        <v>12023011.4010.100</v>
      </c>
    </row>
    <row r="392" spans="1:12" x14ac:dyDescent="0.2">
      <c r="A392" s="30">
        <v>19006</v>
      </c>
      <c r="B392" s="30" t="s">
        <v>95</v>
      </c>
      <c r="C392" s="30">
        <v>12023011</v>
      </c>
      <c r="D392" s="30" t="s">
        <v>93</v>
      </c>
      <c r="E392" s="30">
        <v>100</v>
      </c>
      <c r="F392" s="30" t="s">
        <v>203</v>
      </c>
      <c r="G392" s="30">
        <v>4010.1</v>
      </c>
      <c r="H392" s="30">
        <v>1960.45</v>
      </c>
      <c r="I392" s="30"/>
      <c r="J392" s="44" t="s">
        <v>12</v>
      </c>
      <c r="L392" s="15" t="str">
        <f t="shared" si="6"/>
        <v>12023011.4010.100</v>
      </c>
    </row>
    <row r="393" spans="1:12" x14ac:dyDescent="0.2">
      <c r="A393" s="30">
        <v>18973</v>
      </c>
      <c r="B393" s="30" t="s">
        <v>188</v>
      </c>
      <c r="C393" s="30">
        <v>12023011</v>
      </c>
      <c r="D393" s="30" t="s">
        <v>93</v>
      </c>
      <c r="E393" s="30">
        <v>100</v>
      </c>
      <c r="F393" s="30" t="s">
        <v>203</v>
      </c>
      <c r="G393" s="30">
        <v>4010.1</v>
      </c>
      <c r="H393" s="30">
        <v>1645.89</v>
      </c>
      <c r="I393" s="30"/>
      <c r="J393" s="44" t="s">
        <v>12</v>
      </c>
      <c r="L393" s="15" t="str">
        <f t="shared" si="6"/>
        <v>12023011.4010.100</v>
      </c>
    </row>
    <row r="394" spans="1:12" x14ac:dyDescent="0.2">
      <c r="A394" s="30">
        <v>19002</v>
      </c>
      <c r="B394" s="30" t="s">
        <v>186</v>
      </c>
      <c r="C394" s="30">
        <v>12023011</v>
      </c>
      <c r="D394" s="30" t="s">
        <v>93</v>
      </c>
      <c r="E394" s="30">
        <v>100</v>
      </c>
      <c r="F394" s="30" t="s">
        <v>203</v>
      </c>
      <c r="G394" s="30">
        <v>4010.1</v>
      </c>
      <c r="H394" s="30">
        <v>889.49</v>
      </c>
      <c r="I394" s="30"/>
      <c r="J394" s="44" t="s">
        <v>12</v>
      </c>
      <c r="L394" s="15" t="str">
        <f t="shared" si="6"/>
        <v>12023011.4010.100</v>
      </c>
    </row>
    <row r="395" spans="1:12" x14ac:dyDescent="0.2">
      <c r="A395" s="30">
        <v>19016</v>
      </c>
      <c r="B395" s="30" t="s">
        <v>96</v>
      </c>
      <c r="C395" s="30">
        <v>12023011</v>
      </c>
      <c r="D395" s="30" t="s">
        <v>93</v>
      </c>
      <c r="E395" s="30">
        <v>100</v>
      </c>
      <c r="F395" s="30" t="s">
        <v>203</v>
      </c>
      <c r="G395" s="30">
        <v>4010.1</v>
      </c>
      <c r="H395" s="30">
        <v>2156.5</v>
      </c>
      <c r="I395" s="30"/>
      <c r="J395" s="44" t="s">
        <v>12</v>
      </c>
      <c r="L395" s="15" t="str">
        <f t="shared" si="6"/>
        <v>12023011.4010.100</v>
      </c>
    </row>
    <row r="396" spans="1:12" x14ac:dyDescent="0.2">
      <c r="A396" s="30">
        <v>19021</v>
      </c>
      <c r="B396" s="30" t="s">
        <v>99</v>
      </c>
      <c r="C396" s="30">
        <v>12023021</v>
      </c>
      <c r="D396" s="30" t="s">
        <v>98</v>
      </c>
      <c r="E396" s="30">
        <v>100</v>
      </c>
      <c r="F396" s="30" t="s">
        <v>203</v>
      </c>
      <c r="G396" s="30">
        <v>4010.1</v>
      </c>
      <c r="H396" s="30">
        <v>1700.22</v>
      </c>
      <c r="I396" s="30"/>
      <c r="J396" s="44" t="s">
        <v>12</v>
      </c>
      <c r="L396" s="15" t="str">
        <f t="shared" si="6"/>
        <v>12023021.4010.100</v>
      </c>
    </row>
    <row r="397" spans="1:12" x14ac:dyDescent="0.2">
      <c r="A397" s="30">
        <v>19027</v>
      </c>
      <c r="B397" s="30" t="s">
        <v>365</v>
      </c>
      <c r="C397" s="30">
        <v>12023021</v>
      </c>
      <c r="D397" s="30" t="s">
        <v>98</v>
      </c>
      <c r="E397" s="30">
        <v>100</v>
      </c>
      <c r="F397" s="30" t="s">
        <v>203</v>
      </c>
      <c r="G397" s="30">
        <v>4010.1</v>
      </c>
      <c r="H397" s="30">
        <v>2351.25</v>
      </c>
      <c r="I397" s="30"/>
      <c r="J397" s="44" t="s">
        <v>12</v>
      </c>
      <c r="L397" s="15" t="str">
        <f t="shared" si="6"/>
        <v>12023021.4010.100</v>
      </c>
    </row>
    <row r="398" spans="1:12" x14ac:dyDescent="0.2">
      <c r="A398" s="30">
        <v>18980</v>
      </c>
      <c r="B398" s="30" t="s">
        <v>97</v>
      </c>
      <c r="C398" s="30">
        <v>12023021</v>
      </c>
      <c r="D398" s="30" t="s">
        <v>98</v>
      </c>
      <c r="E398" s="30">
        <v>100</v>
      </c>
      <c r="F398" s="30" t="s">
        <v>203</v>
      </c>
      <c r="G398" s="30">
        <v>4010.1</v>
      </c>
      <c r="H398" s="30">
        <v>1959.59</v>
      </c>
      <c r="I398" s="30"/>
      <c r="J398" s="44" t="s">
        <v>12</v>
      </c>
      <c r="L398" s="15" t="str">
        <f t="shared" si="6"/>
        <v>12023021.4010.100</v>
      </c>
    </row>
    <row r="399" spans="1:12" x14ac:dyDescent="0.2">
      <c r="A399" s="30">
        <v>18581</v>
      </c>
      <c r="B399" s="30" t="s">
        <v>190</v>
      </c>
      <c r="C399" s="30">
        <v>12024021</v>
      </c>
      <c r="D399" s="30" t="s">
        <v>191</v>
      </c>
      <c r="E399" s="30">
        <v>100</v>
      </c>
      <c r="F399" s="30" t="s">
        <v>203</v>
      </c>
      <c r="G399" s="30">
        <v>4010.1</v>
      </c>
      <c r="H399" s="30">
        <v>3162.6</v>
      </c>
      <c r="I399" s="30"/>
      <c r="J399" s="44" t="s">
        <v>12</v>
      </c>
      <c r="L399" s="15" t="str">
        <f t="shared" si="6"/>
        <v>12024021.4010.100</v>
      </c>
    </row>
    <row r="400" spans="1:12" x14ac:dyDescent="0.2">
      <c r="A400" s="30">
        <v>44705</v>
      </c>
      <c r="B400" s="30" t="s">
        <v>149</v>
      </c>
      <c r="C400" s="30">
        <v>12028099</v>
      </c>
      <c r="D400" s="30" t="s">
        <v>150</v>
      </c>
      <c r="E400" s="30">
        <v>100</v>
      </c>
      <c r="F400" s="30" t="s">
        <v>203</v>
      </c>
      <c r="G400" s="30">
        <v>4010.1</v>
      </c>
      <c r="H400" s="30">
        <v>4846.1499999999996</v>
      </c>
      <c r="I400" s="30"/>
      <c r="J400" s="44" t="s">
        <v>12</v>
      </c>
      <c r="L400" s="15" t="str">
        <f t="shared" si="6"/>
        <v>12028099.4010.100</v>
      </c>
    </row>
    <row r="401" spans="1:12" x14ac:dyDescent="0.2">
      <c r="A401" s="30">
        <v>18945</v>
      </c>
      <c r="B401" s="30" t="s">
        <v>151</v>
      </c>
      <c r="C401" s="30">
        <v>12028099</v>
      </c>
      <c r="D401" s="30" t="s">
        <v>150</v>
      </c>
      <c r="E401" s="30">
        <v>100</v>
      </c>
      <c r="F401" s="30" t="s">
        <v>203</v>
      </c>
      <c r="G401" s="30">
        <v>4010.1</v>
      </c>
      <c r="H401" s="30">
        <v>2153.85</v>
      </c>
      <c r="I401" s="30"/>
      <c r="J401" s="44" t="s">
        <v>12</v>
      </c>
      <c r="L401" s="15" t="str">
        <f t="shared" si="6"/>
        <v>12028099.4010.100</v>
      </c>
    </row>
    <row r="402" spans="1:12" x14ac:dyDescent="0.2">
      <c r="A402" s="30">
        <v>18982</v>
      </c>
      <c r="B402" s="30" t="s">
        <v>100</v>
      </c>
      <c r="C402" s="30">
        <v>12030400</v>
      </c>
      <c r="D402" s="30" t="s">
        <v>62</v>
      </c>
      <c r="E402" s="30">
        <v>100</v>
      </c>
      <c r="F402" s="30" t="s">
        <v>203</v>
      </c>
      <c r="G402" s="30">
        <v>4010.1</v>
      </c>
      <c r="H402" s="30">
        <v>2173.08</v>
      </c>
      <c r="I402" s="30"/>
      <c r="J402" s="44" t="s">
        <v>12</v>
      </c>
      <c r="L402" s="15" t="str">
        <f t="shared" si="6"/>
        <v>12030400.4010.100</v>
      </c>
    </row>
    <row r="403" spans="1:12" x14ac:dyDescent="0.2">
      <c r="A403" s="30">
        <v>18805</v>
      </c>
      <c r="B403" s="30" t="s">
        <v>192</v>
      </c>
      <c r="C403" s="30">
        <v>12030400</v>
      </c>
      <c r="D403" s="30" t="s">
        <v>62</v>
      </c>
      <c r="E403" s="30">
        <v>100</v>
      </c>
      <c r="F403" s="30" t="s">
        <v>203</v>
      </c>
      <c r="G403" s="30">
        <v>4010.1</v>
      </c>
      <c r="H403" s="30">
        <v>2076.92</v>
      </c>
      <c r="I403" s="30"/>
      <c r="J403" s="44" t="s">
        <v>12</v>
      </c>
      <c r="L403" s="15" t="str">
        <f t="shared" si="6"/>
        <v>12030400.4010.100</v>
      </c>
    </row>
    <row r="404" spans="1:12" x14ac:dyDescent="0.2">
      <c r="A404" s="30">
        <v>302</v>
      </c>
      <c r="B404" s="30" t="s">
        <v>33</v>
      </c>
      <c r="C404" s="30">
        <v>12030500</v>
      </c>
      <c r="D404" s="30" t="s">
        <v>34</v>
      </c>
      <c r="E404" s="30">
        <v>100</v>
      </c>
      <c r="F404" s="30" t="s">
        <v>203</v>
      </c>
      <c r="G404" s="30">
        <v>4010.1</v>
      </c>
      <c r="H404" s="30">
        <v>2286.54</v>
      </c>
      <c r="I404" s="30"/>
      <c r="J404" s="44" t="s">
        <v>12</v>
      </c>
      <c r="L404" s="15" t="str">
        <f t="shared" si="6"/>
        <v>12030500.4010.100</v>
      </c>
    </row>
    <row r="405" spans="1:12" x14ac:dyDescent="0.2">
      <c r="A405" s="30">
        <v>18841</v>
      </c>
      <c r="B405" s="30" t="s">
        <v>193</v>
      </c>
      <c r="C405" s="30">
        <v>12030500</v>
      </c>
      <c r="D405" s="30" t="s">
        <v>34</v>
      </c>
      <c r="E405" s="30">
        <v>100</v>
      </c>
      <c r="F405" s="30" t="s">
        <v>203</v>
      </c>
      <c r="G405" s="30">
        <v>4010.1</v>
      </c>
      <c r="H405" s="30">
        <v>1938.46</v>
      </c>
      <c r="I405" s="30"/>
      <c r="J405" s="44" t="s">
        <v>12</v>
      </c>
      <c r="L405" s="15" t="str">
        <f t="shared" si="6"/>
        <v>12030500.4010.100</v>
      </c>
    </row>
    <row r="406" spans="1:12" x14ac:dyDescent="0.2">
      <c r="A406" s="30">
        <v>266</v>
      </c>
      <c r="B406" s="30" t="s">
        <v>194</v>
      </c>
      <c r="C406" s="30">
        <v>12030500</v>
      </c>
      <c r="D406" s="30" t="s">
        <v>34</v>
      </c>
      <c r="E406" s="30">
        <v>100</v>
      </c>
      <c r="F406" s="30" t="s">
        <v>203</v>
      </c>
      <c r="G406" s="30">
        <v>4010.1</v>
      </c>
      <c r="H406" s="30">
        <v>2475.8000000000002</v>
      </c>
      <c r="I406" s="30"/>
      <c r="J406" s="44" t="s">
        <v>12</v>
      </c>
      <c r="L406" s="15" t="str">
        <f t="shared" si="6"/>
        <v>12030500.4010.100</v>
      </c>
    </row>
    <row r="407" spans="1:12" x14ac:dyDescent="0.2">
      <c r="A407" s="30">
        <v>18827</v>
      </c>
      <c r="B407" s="30" t="s">
        <v>104</v>
      </c>
      <c r="C407" s="30">
        <v>12030611</v>
      </c>
      <c r="D407" s="30" t="s">
        <v>36</v>
      </c>
      <c r="E407" s="30">
        <v>100</v>
      </c>
      <c r="F407" s="30" t="s">
        <v>203</v>
      </c>
      <c r="G407" s="30">
        <v>4010.1</v>
      </c>
      <c r="H407" s="30">
        <v>2352.5500000000002</v>
      </c>
      <c r="I407" s="30"/>
      <c r="J407" s="44" t="s">
        <v>12</v>
      </c>
      <c r="L407" s="15" t="str">
        <f t="shared" si="6"/>
        <v>12030611.4010.100</v>
      </c>
    </row>
    <row r="408" spans="1:12" x14ac:dyDescent="0.2">
      <c r="A408" s="30">
        <v>18929</v>
      </c>
      <c r="B408" s="30" t="s">
        <v>106</v>
      </c>
      <c r="C408" s="30">
        <v>12030611</v>
      </c>
      <c r="D408" s="30" t="s">
        <v>36</v>
      </c>
      <c r="E408" s="30">
        <v>100</v>
      </c>
      <c r="F408" s="30" t="s">
        <v>203</v>
      </c>
      <c r="G408" s="30">
        <v>4010.1</v>
      </c>
      <c r="H408" s="30">
        <v>663.16</v>
      </c>
      <c r="I408" s="30"/>
      <c r="J408" s="44" t="s">
        <v>12</v>
      </c>
      <c r="L408" s="15" t="str">
        <f t="shared" si="6"/>
        <v>12030611.4010.100</v>
      </c>
    </row>
    <row r="409" spans="1:12" x14ac:dyDescent="0.2">
      <c r="A409" s="30">
        <v>18918</v>
      </c>
      <c r="B409" s="30" t="s">
        <v>38</v>
      </c>
      <c r="C409" s="30">
        <v>12030611</v>
      </c>
      <c r="D409" s="30" t="s">
        <v>36</v>
      </c>
      <c r="E409" s="30">
        <v>100</v>
      </c>
      <c r="F409" s="30" t="s">
        <v>203</v>
      </c>
      <c r="G409" s="30">
        <v>4010.1</v>
      </c>
      <c r="H409" s="30">
        <v>2155.86</v>
      </c>
      <c r="I409" s="30"/>
      <c r="J409" s="44" t="s">
        <v>12</v>
      </c>
      <c r="L409" s="15" t="str">
        <f t="shared" si="6"/>
        <v>12030611.4010.100</v>
      </c>
    </row>
    <row r="410" spans="1:12" x14ac:dyDescent="0.2">
      <c r="A410" s="30">
        <v>18887</v>
      </c>
      <c r="B410" s="30" t="s">
        <v>105</v>
      </c>
      <c r="C410" s="30">
        <v>12030611</v>
      </c>
      <c r="D410" s="30" t="s">
        <v>36</v>
      </c>
      <c r="E410" s="30">
        <v>100</v>
      </c>
      <c r="F410" s="30" t="s">
        <v>203</v>
      </c>
      <c r="G410" s="30">
        <v>4010.1</v>
      </c>
      <c r="H410" s="30">
        <v>1805.4</v>
      </c>
      <c r="I410" s="30"/>
      <c r="J410" s="44" t="s">
        <v>12</v>
      </c>
      <c r="L410" s="15" t="str">
        <f t="shared" si="6"/>
        <v>12030611.4010.100</v>
      </c>
    </row>
    <row r="411" spans="1:12" x14ac:dyDescent="0.2">
      <c r="A411" s="30">
        <v>18901</v>
      </c>
      <c r="B411" s="30" t="s">
        <v>37</v>
      </c>
      <c r="C411" s="30">
        <v>12030611</v>
      </c>
      <c r="D411" s="30" t="s">
        <v>36</v>
      </c>
      <c r="E411" s="30">
        <v>100</v>
      </c>
      <c r="F411" s="30" t="s">
        <v>203</v>
      </c>
      <c r="G411" s="30">
        <v>4010.1</v>
      </c>
      <c r="H411" s="30">
        <v>2342</v>
      </c>
      <c r="I411" s="30"/>
      <c r="J411" s="44" t="s">
        <v>12</v>
      </c>
      <c r="L411" s="15" t="str">
        <f t="shared" si="6"/>
        <v>12030611.4010.100</v>
      </c>
    </row>
    <row r="412" spans="1:12" x14ac:dyDescent="0.2">
      <c r="A412" s="30">
        <v>18949</v>
      </c>
      <c r="B412" s="30" t="s">
        <v>35</v>
      </c>
      <c r="C412" s="30">
        <v>12030611</v>
      </c>
      <c r="D412" s="30" t="s">
        <v>36</v>
      </c>
      <c r="E412" s="30">
        <v>100</v>
      </c>
      <c r="F412" s="30" t="s">
        <v>203</v>
      </c>
      <c r="G412" s="30">
        <v>4010.1</v>
      </c>
      <c r="H412" s="30">
        <v>1971.69</v>
      </c>
      <c r="I412" s="30"/>
      <c r="J412" s="44" t="s">
        <v>12</v>
      </c>
      <c r="L412" s="15" t="str">
        <f t="shared" si="6"/>
        <v>12030611.4010.100</v>
      </c>
    </row>
    <row r="413" spans="1:12" x14ac:dyDescent="0.2">
      <c r="A413" s="30">
        <v>18626</v>
      </c>
      <c r="B413" s="30" t="s">
        <v>195</v>
      </c>
      <c r="C413" s="30">
        <v>12030611</v>
      </c>
      <c r="D413" s="30" t="s">
        <v>36</v>
      </c>
      <c r="E413" s="30">
        <v>100</v>
      </c>
      <c r="F413" s="30" t="s">
        <v>203</v>
      </c>
      <c r="G413" s="30">
        <v>4010.1</v>
      </c>
      <c r="H413" s="30">
        <v>1038.46</v>
      </c>
      <c r="I413" s="30"/>
      <c r="J413" s="44" t="s">
        <v>12</v>
      </c>
      <c r="L413" s="15" t="str">
        <f t="shared" si="6"/>
        <v>12030611.4010.100</v>
      </c>
    </row>
    <row r="414" spans="1:12" x14ac:dyDescent="0.2">
      <c r="A414" s="30">
        <v>18979</v>
      </c>
      <c r="B414" s="30" t="s">
        <v>39</v>
      </c>
      <c r="C414" s="30">
        <v>12030611</v>
      </c>
      <c r="D414" s="30" t="s">
        <v>36</v>
      </c>
      <c r="E414" s="30">
        <v>100</v>
      </c>
      <c r="F414" s="30" t="s">
        <v>203</v>
      </c>
      <c r="G414" s="30">
        <v>4010.1</v>
      </c>
      <c r="H414" s="30">
        <v>1572.28</v>
      </c>
      <c r="I414" s="30"/>
      <c r="J414" s="44" t="s">
        <v>12</v>
      </c>
      <c r="L414" s="15" t="str">
        <f t="shared" si="6"/>
        <v>12030611.4010.100</v>
      </c>
    </row>
    <row r="415" spans="1:12" x14ac:dyDescent="0.2">
      <c r="A415" s="30">
        <v>134</v>
      </c>
      <c r="B415" s="30" t="s">
        <v>102</v>
      </c>
      <c r="C415" s="30">
        <v>12030611</v>
      </c>
      <c r="D415" s="30" t="s">
        <v>36</v>
      </c>
      <c r="E415" s="30">
        <v>100</v>
      </c>
      <c r="F415" s="30" t="s">
        <v>203</v>
      </c>
      <c r="G415" s="30">
        <v>4010.1</v>
      </c>
      <c r="H415" s="30">
        <v>950.21</v>
      </c>
      <c r="I415" s="30"/>
      <c r="J415" s="44" t="s">
        <v>12</v>
      </c>
      <c r="L415" s="15" t="str">
        <f t="shared" si="6"/>
        <v>12030611.4010.100</v>
      </c>
    </row>
    <row r="416" spans="1:12" x14ac:dyDescent="0.2">
      <c r="A416" s="30">
        <v>18797</v>
      </c>
      <c r="B416" s="30" t="s">
        <v>101</v>
      </c>
      <c r="C416" s="30">
        <v>12030611</v>
      </c>
      <c r="D416" s="30" t="s">
        <v>36</v>
      </c>
      <c r="E416" s="30">
        <v>100</v>
      </c>
      <c r="F416" s="30" t="s">
        <v>203</v>
      </c>
      <c r="G416" s="30">
        <v>4010.1</v>
      </c>
      <c r="H416" s="30">
        <v>2155.21</v>
      </c>
      <c r="I416" s="30"/>
      <c r="J416" s="44" t="s">
        <v>12</v>
      </c>
      <c r="L416" s="15" t="str">
        <f t="shared" si="6"/>
        <v>12030611.4010.100</v>
      </c>
    </row>
    <row r="417" spans="1:12" x14ac:dyDescent="0.2">
      <c r="A417" s="30">
        <v>18822</v>
      </c>
      <c r="B417" s="30" t="s">
        <v>103</v>
      </c>
      <c r="C417" s="30">
        <v>12030611</v>
      </c>
      <c r="D417" s="30" t="s">
        <v>36</v>
      </c>
      <c r="E417" s="30">
        <v>100</v>
      </c>
      <c r="F417" s="30" t="s">
        <v>203</v>
      </c>
      <c r="G417" s="30">
        <v>4010.1</v>
      </c>
      <c r="H417" s="30">
        <v>2153.92</v>
      </c>
      <c r="I417" s="30"/>
      <c r="J417" s="44" t="s">
        <v>12</v>
      </c>
      <c r="L417" s="15" t="str">
        <f t="shared" si="6"/>
        <v>12030611.4010.100</v>
      </c>
    </row>
    <row r="418" spans="1:12" x14ac:dyDescent="0.2">
      <c r="A418" s="30">
        <v>18692</v>
      </c>
      <c r="B418" s="30" t="s">
        <v>40</v>
      </c>
      <c r="C418" s="30">
        <v>12030711</v>
      </c>
      <c r="D418" s="30" t="s">
        <v>41</v>
      </c>
      <c r="E418" s="30">
        <v>100</v>
      </c>
      <c r="F418" s="30" t="s">
        <v>203</v>
      </c>
      <c r="G418" s="30">
        <v>4010.1</v>
      </c>
      <c r="H418" s="30">
        <v>2402.59</v>
      </c>
      <c r="I418" s="30"/>
      <c r="J418" s="44" t="s">
        <v>12</v>
      </c>
      <c r="L418" s="15" t="str">
        <f t="shared" si="6"/>
        <v>12030711.4010.100</v>
      </c>
    </row>
    <row r="419" spans="1:12" x14ac:dyDescent="0.2">
      <c r="A419" s="30">
        <v>18989</v>
      </c>
      <c r="B419" s="30" t="s">
        <v>107</v>
      </c>
      <c r="C419" s="30">
        <v>12030800</v>
      </c>
      <c r="D419" s="30" t="s">
        <v>59</v>
      </c>
      <c r="E419" s="30">
        <v>100</v>
      </c>
      <c r="F419" s="30" t="s">
        <v>203</v>
      </c>
      <c r="G419" s="30">
        <v>4010.1</v>
      </c>
      <c r="H419" s="30">
        <v>1977.62</v>
      </c>
      <c r="I419" s="30"/>
      <c r="J419" s="44" t="s">
        <v>12</v>
      </c>
      <c r="L419" s="15" t="str">
        <f t="shared" si="6"/>
        <v>12030800.4010.100</v>
      </c>
    </row>
    <row r="420" spans="1:12" x14ac:dyDescent="0.2">
      <c r="A420" s="30">
        <v>18736</v>
      </c>
      <c r="B420" s="30" t="s">
        <v>70</v>
      </c>
      <c r="C420" s="30">
        <v>12032511</v>
      </c>
      <c r="D420" s="30" t="s">
        <v>43</v>
      </c>
      <c r="E420" s="30">
        <v>100</v>
      </c>
      <c r="F420" s="30" t="s">
        <v>203</v>
      </c>
      <c r="G420" s="30">
        <v>4010.1</v>
      </c>
      <c r="H420" s="30">
        <v>1662.31</v>
      </c>
      <c r="I420" s="30"/>
      <c r="J420" s="44" t="s">
        <v>12</v>
      </c>
      <c r="L420" s="15" t="str">
        <f t="shared" si="6"/>
        <v>12032511.4010.100</v>
      </c>
    </row>
    <row r="421" spans="1:12" x14ac:dyDescent="0.2">
      <c r="A421" s="30">
        <v>18829</v>
      </c>
      <c r="B421" s="30" t="s">
        <v>115</v>
      </c>
      <c r="C421" s="30">
        <v>12033011</v>
      </c>
      <c r="D421" s="30" t="s">
        <v>45</v>
      </c>
      <c r="E421" s="30">
        <v>100</v>
      </c>
      <c r="F421" s="30" t="s">
        <v>203</v>
      </c>
      <c r="G421" s="30">
        <v>4010.1</v>
      </c>
      <c r="H421" s="30">
        <v>2221.52</v>
      </c>
      <c r="I421" s="30"/>
      <c r="J421" s="44" t="s">
        <v>12</v>
      </c>
      <c r="L421" s="15" t="str">
        <f t="shared" si="6"/>
        <v>12033011.4010.100</v>
      </c>
    </row>
    <row r="422" spans="1:12" x14ac:dyDescent="0.2">
      <c r="A422" s="30">
        <v>19017</v>
      </c>
      <c r="B422" s="30" t="s">
        <v>65</v>
      </c>
      <c r="C422" s="30">
        <v>12033011</v>
      </c>
      <c r="D422" s="30" t="s">
        <v>45</v>
      </c>
      <c r="E422" s="30">
        <v>100</v>
      </c>
      <c r="F422" s="30" t="s">
        <v>203</v>
      </c>
      <c r="G422" s="30">
        <v>4010.1</v>
      </c>
      <c r="H422" s="30">
        <v>1545.98</v>
      </c>
      <c r="I422" s="30"/>
      <c r="J422" s="44" t="s">
        <v>12</v>
      </c>
      <c r="L422" s="15" t="str">
        <f t="shared" si="6"/>
        <v>12033011.4010.100</v>
      </c>
    </row>
    <row r="423" spans="1:12" x14ac:dyDescent="0.2">
      <c r="A423" s="30">
        <v>19019</v>
      </c>
      <c r="B423" s="30" t="s">
        <v>108</v>
      </c>
      <c r="C423" s="30">
        <v>12033011</v>
      </c>
      <c r="D423" s="30" t="s">
        <v>45</v>
      </c>
      <c r="E423" s="30">
        <v>100</v>
      </c>
      <c r="F423" s="30" t="s">
        <v>203</v>
      </c>
      <c r="G423" s="30">
        <v>4010.1</v>
      </c>
      <c r="H423" s="30">
        <v>1949.12</v>
      </c>
      <c r="I423" s="30"/>
      <c r="J423" s="44" t="s">
        <v>12</v>
      </c>
      <c r="L423" s="15" t="str">
        <f t="shared" si="6"/>
        <v>12033011.4010.100</v>
      </c>
    </row>
    <row r="424" spans="1:12" x14ac:dyDescent="0.2">
      <c r="A424" s="30">
        <v>19028</v>
      </c>
      <c r="B424" s="30" t="s">
        <v>367</v>
      </c>
      <c r="C424" s="30">
        <v>12033011</v>
      </c>
      <c r="D424" s="30" t="s">
        <v>45</v>
      </c>
      <c r="E424" s="30">
        <v>100</v>
      </c>
      <c r="F424" s="30" t="s">
        <v>203</v>
      </c>
      <c r="G424" s="30">
        <v>4010.1</v>
      </c>
      <c r="H424" s="30">
        <v>1762.08</v>
      </c>
      <c r="I424" s="30"/>
      <c r="J424" s="44" t="s">
        <v>12</v>
      </c>
      <c r="L424" s="15" t="str">
        <f t="shared" si="6"/>
        <v>12033011.4010.100</v>
      </c>
    </row>
    <row r="425" spans="1:12" x14ac:dyDescent="0.2">
      <c r="A425" s="30">
        <v>18932</v>
      </c>
      <c r="B425" s="30" t="s">
        <v>44</v>
      </c>
      <c r="C425" s="30">
        <v>12033011</v>
      </c>
      <c r="D425" s="30" t="s">
        <v>45</v>
      </c>
      <c r="E425" s="30">
        <v>100</v>
      </c>
      <c r="F425" s="30" t="s">
        <v>203</v>
      </c>
      <c r="G425" s="30">
        <v>4010.1</v>
      </c>
      <c r="H425" s="30">
        <v>2223.25</v>
      </c>
      <c r="I425" s="30"/>
      <c r="J425" s="44" t="s">
        <v>12</v>
      </c>
      <c r="L425" s="15" t="str">
        <f t="shared" si="6"/>
        <v>12033011.4010.100</v>
      </c>
    </row>
    <row r="426" spans="1:12" x14ac:dyDescent="0.2">
      <c r="A426" s="30">
        <v>18983</v>
      </c>
      <c r="B426" s="30" t="s">
        <v>112</v>
      </c>
      <c r="C426" s="30">
        <v>12033011</v>
      </c>
      <c r="D426" s="30" t="s">
        <v>45</v>
      </c>
      <c r="E426" s="30">
        <v>100</v>
      </c>
      <c r="F426" s="30" t="s">
        <v>203</v>
      </c>
      <c r="G426" s="30">
        <v>4010.1</v>
      </c>
      <c r="H426" s="30">
        <v>178.16</v>
      </c>
      <c r="I426" s="30"/>
      <c r="J426" s="44" t="s">
        <v>12</v>
      </c>
      <c r="L426" s="15" t="str">
        <f t="shared" si="6"/>
        <v>12033011.4010.100</v>
      </c>
    </row>
    <row r="427" spans="1:12" x14ac:dyDescent="0.2">
      <c r="A427" s="30">
        <v>19011</v>
      </c>
      <c r="B427" s="30" t="s">
        <v>111</v>
      </c>
      <c r="C427" s="30">
        <v>12033011</v>
      </c>
      <c r="D427" s="30" t="s">
        <v>45</v>
      </c>
      <c r="E427" s="30">
        <v>100</v>
      </c>
      <c r="F427" s="30" t="s">
        <v>203</v>
      </c>
      <c r="G427" s="30">
        <v>4010.1</v>
      </c>
      <c r="H427" s="30">
        <v>1805.4</v>
      </c>
      <c r="I427" s="30"/>
      <c r="J427" s="44" t="s">
        <v>12</v>
      </c>
      <c r="L427" s="15" t="str">
        <f t="shared" si="6"/>
        <v>12033011.4010.100</v>
      </c>
    </row>
    <row r="428" spans="1:12" x14ac:dyDescent="0.2">
      <c r="A428" s="30">
        <v>18607</v>
      </c>
      <c r="B428" s="30" t="s">
        <v>109</v>
      </c>
      <c r="C428" s="30">
        <v>12033011</v>
      </c>
      <c r="D428" s="30" t="s">
        <v>45</v>
      </c>
      <c r="E428" s="30">
        <v>100</v>
      </c>
      <c r="F428" s="30" t="s">
        <v>203</v>
      </c>
      <c r="G428" s="30">
        <v>4010.1</v>
      </c>
      <c r="H428" s="30">
        <v>2213.4899999999998</v>
      </c>
      <c r="I428" s="30"/>
      <c r="J428" s="44" t="s">
        <v>12</v>
      </c>
      <c r="L428" s="15" t="str">
        <f t="shared" si="6"/>
        <v>12033011.4010.100</v>
      </c>
    </row>
    <row r="429" spans="1:12" x14ac:dyDescent="0.2">
      <c r="A429" s="30">
        <v>19009</v>
      </c>
      <c r="B429" s="30" t="s">
        <v>117</v>
      </c>
      <c r="C429" s="30">
        <v>12033011</v>
      </c>
      <c r="D429" s="30" t="s">
        <v>45</v>
      </c>
      <c r="E429" s="30">
        <v>100</v>
      </c>
      <c r="F429" s="30" t="s">
        <v>203</v>
      </c>
      <c r="G429" s="30">
        <v>4010.1</v>
      </c>
      <c r="H429" s="30">
        <v>1983.16</v>
      </c>
      <c r="I429" s="30"/>
      <c r="J429" s="44" t="s">
        <v>12</v>
      </c>
      <c r="L429" s="15" t="str">
        <f t="shared" si="6"/>
        <v>12033011.4010.100</v>
      </c>
    </row>
    <row r="430" spans="1:12" x14ac:dyDescent="0.2">
      <c r="A430" s="30">
        <v>19015</v>
      </c>
      <c r="B430" s="30" t="s">
        <v>116</v>
      </c>
      <c r="C430" s="30">
        <v>12033011</v>
      </c>
      <c r="D430" s="30" t="s">
        <v>45</v>
      </c>
      <c r="E430" s="30">
        <v>100</v>
      </c>
      <c r="F430" s="30" t="s">
        <v>203</v>
      </c>
      <c r="G430" s="30">
        <v>4010.1</v>
      </c>
      <c r="H430" s="30">
        <v>1949.12</v>
      </c>
      <c r="I430" s="30"/>
      <c r="J430" s="44" t="s">
        <v>12</v>
      </c>
      <c r="L430" s="15" t="str">
        <f t="shared" si="6"/>
        <v>12033011.4010.100</v>
      </c>
    </row>
    <row r="431" spans="1:12" x14ac:dyDescent="0.2">
      <c r="A431" s="30">
        <v>19012</v>
      </c>
      <c r="B431" s="30" t="s">
        <v>110</v>
      </c>
      <c r="C431" s="30">
        <v>12033011</v>
      </c>
      <c r="D431" s="30" t="s">
        <v>45</v>
      </c>
      <c r="E431" s="30">
        <v>100</v>
      </c>
      <c r="F431" s="30" t="s">
        <v>203</v>
      </c>
      <c r="G431" s="30">
        <v>4010.1</v>
      </c>
      <c r="H431" s="30">
        <v>1304.54</v>
      </c>
      <c r="I431" s="30"/>
      <c r="J431" s="44" t="s">
        <v>12</v>
      </c>
      <c r="L431" s="15" t="str">
        <f t="shared" si="6"/>
        <v>12033011.4010.100</v>
      </c>
    </row>
    <row r="432" spans="1:12" x14ac:dyDescent="0.2">
      <c r="A432" s="30">
        <v>19022</v>
      </c>
      <c r="B432" s="30" t="s">
        <v>113</v>
      </c>
      <c r="C432" s="30">
        <v>12033011</v>
      </c>
      <c r="D432" s="30" t="s">
        <v>45</v>
      </c>
      <c r="E432" s="30">
        <v>100</v>
      </c>
      <c r="F432" s="30" t="s">
        <v>203</v>
      </c>
      <c r="G432" s="30">
        <v>4010.1</v>
      </c>
      <c r="H432" s="30">
        <v>1706.81</v>
      </c>
      <c r="I432" s="30"/>
      <c r="J432" s="44" t="s">
        <v>12</v>
      </c>
      <c r="L432" s="15" t="str">
        <f t="shared" si="6"/>
        <v>12033011.4010.100</v>
      </c>
    </row>
    <row r="433" spans="1:12" x14ac:dyDescent="0.2">
      <c r="A433" s="30">
        <v>18679</v>
      </c>
      <c r="B433" s="30" t="s">
        <v>114</v>
      </c>
      <c r="C433" s="30">
        <v>12033011</v>
      </c>
      <c r="D433" s="30" t="s">
        <v>45</v>
      </c>
      <c r="E433" s="30">
        <v>100</v>
      </c>
      <c r="F433" s="30" t="s">
        <v>203</v>
      </c>
      <c r="G433" s="30">
        <v>4010.1</v>
      </c>
      <c r="H433" s="30">
        <v>344.97</v>
      </c>
      <c r="I433" s="30"/>
      <c r="J433" s="44" t="s">
        <v>12</v>
      </c>
      <c r="L433" s="15" t="str">
        <f t="shared" si="6"/>
        <v>12033011.4010.100</v>
      </c>
    </row>
    <row r="434" spans="1:12" x14ac:dyDescent="0.2">
      <c r="A434" s="30">
        <v>19029</v>
      </c>
      <c r="B434" s="30" t="s">
        <v>366</v>
      </c>
      <c r="C434" s="30">
        <v>12033011</v>
      </c>
      <c r="D434" s="30" t="s">
        <v>45</v>
      </c>
      <c r="E434" s="30">
        <v>100</v>
      </c>
      <c r="F434" s="30" t="s">
        <v>203</v>
      </c>
      <c r="G434" s="30">
        <v>4010.1</v>
      </c>
      <c r="H434" s="30">
        <v>1985.94</v>
      </c>
      <c r="I434" s="30"/>
      <c r="J434" s="44" t="s">
        <v>12</v>
      </c>
      <c r="L434" s="15" t="str">
        <f t="shared" si="6"/>
        <v>12033011.4010.100</v>
      </c>
    </row>
    <row r="435" spans="1:12" x14ac:dyDescent="0.2">
      <c r="A435" s="30">
        <v>19008</v>
      </c>
      <c r="B435" s="30" t="s">
        <v>118</v>
      </c>
      <c r="C435" s="30">
        <v>12033011</v>
      </c>
      <c r="D435" s="30" t="s">
        <v>45</v>
      </c>
      <c r="E435" s="30">
        <v>100</v>
      </c>
      <c r="F435" s="30" t="s">
        <v>203</v>
      </c>
      <c r="G435" s="30">
        <v>4010.1</v>
      </c>
      <c r="H435" s="30">
        <v>941.17</v>
      </c>
      <c r="I435" s="30"/>
      <c r="J435" s="44" t="s">
        <v>12</v>
      </c>
      <c r="L435" s="15" t="str">
        <f t="shared" si="6"/>
        <v>12033011.4010.100</v>
      </c>
    </row>
    <row r="436" spans="1:12" x14ac:dyDescent="0.2">
      <c r="A436" s="30">
        <v>18923</v>
      </c>
      <c r="B436" s="30" t="s">
        <v>46</v>
      </c>
      <c r="C436" s="30">
        <v>12033011</v>
      </c>
      <c r="D436" s="30" t="s">
        <v>45</v>
      </c>
      <c r="E436" s="30">
        <v>100</v>
      </c>
      <c r="F436" s="30" t="s">
        <v>203</v>
      </c>
      <c r="G436" s="30">
        <v>4010.1</v>
      </c>
      <c r="H436" s="30">
        <v>1608.68</v>
      </c>
      <c r="I436" s="30"/>
      <c r="J436" s="44" t="s">
        <v>12</v>
      </c>
      <c r="L436" s="15" t="str">
        <f t="shared" si="6"/>
        <v>12033011.4010.100</v>
      </c>
    </row>
    <row r="437" spans="1:12" x14ac:dyDescent="0.2">
      <c r="A437" s="30">
        <v>18998</v>
      </c>
      <c r="B437" s="30" t="s">
        <v>47</v>
      </c>
      <c r="C437" s="30">
        <v>12038099</v>
      </c>
      <c r="D437" s="30" t="s">
        <v>48</v>
      </c>
      <c r="E437" s="30">
        <v>100</v>
      </c>
      <c r="F437" s="30" t="s">
        <v>203</v>
      </c>
      <c r="G437" s="30">
        <v>4010.1</v>
      </c>
      <c r="H437" s="30">
        <v>2884.62</v>
      </c>
      <c r="I437" s="30"/>
      <c r="J437" s="44" t="s">
        <v>12</v>
      </c>
      <c r="L437" s="15" t="str">
        <f t="shared" si="6"/>
        <v>12038099.4010.100</v>
      </c>
    </row>
    <row r="438" spans="1:12" x14ac:dyDescent="0.2">
      <c r="A438" s="30">
        <v>18649</v>
      </c>
      <c r="B438" s="30" t="s">
        <v>152</v>
      </c>
      <c r="C438" s="30">
        <v>12040500</v>
      </c>
      <c r="D438" s="30" t="s">
        <v>67</v>
      </c>
      <c r="E438" s="30">
        <v>100</v>
      </c>
      <c r="F438" s="30" t="s">
        <v>203</v>
      </c>
      <c r="G438" s="30">
        <v>4010.1</v>
      </c>
      <c r="H438" s="30">
        <v>3076.92</v>
      </c>
      <c r="I438" s="30"/>
      <c r="J438" s="44" t="s">
        <v>12</v>
      </c>
      <c r="L438" s="15" t="str">
        <f t="shared" si="6"/>
        <v>12040500.4010.100</v>
      </c>
    </row>
    <row r="439" spans="1:12" x14ac:dyDescent="0.2">
      <c r="A439" s="30">
        <v>19020</v>
      </c>
      <c r="B439" s="30" t="s">
        <v>66</v>
      </c>
      <c r="C439" s="30">
        <v>12040500</v>
      </c>
      <c r="D439" s="30" t="s">
        <v>67</v>
      </c>
      <c r="E439" s="30">
        <v>100</v>
      </c>
      <c r="F439" s="30" t="s">
        <v>203</v>
      </c>
      <c r="G439" s="30">
        <v>4010.1</v>
      </c>
      <c r="H439" s="30">
        <v>2030.36</v>
      </c>
      <c r="I439" s="30"/>
      <c r="J439" s="44" t="s">
        <v>12</v>
      </c>
      <c r="L439" s="15" t="str">
        <f t="shared" si="6"/>
        <v>12040500.4010.100</v>
      </c>
    </row>
    <row r="440" spans="1:12" x14ac:dyDescent="0.2">
      <c r="A440" s="30">
        <v>18904</v>
      </c>
      <c r="B440" s="30" t="s">
        <v>119</v>
      </c>
      <c r="C440" s="30">
        <v>12040800</v>
      </c>
      <c r="D440" s="30" t="s">
        <v>120</v>
      </c>
      <c r="E440" s="30">
        <v>100</v>
      </c>
      <c r="F440" s="30" t="s">
        <v>203</v>
      </c>
      <c r="G440" s="30">
        <v>4010.1</v>
      </c>
      <c r="H440" s="30">
        <v>1950.99</v>
      </c>
      <c r="I440" s="30"/>
      <c r="J440" s="44" t="s">
        <v>12</v>
      </c>
      <c r="L440" s="15" t="str">
        <f t="shared" si="6"/>
        <v>12040800.4010.100</v>
      </c>
    </row>
    <row r="441" spans="1:12" x14ac:dyDescent="0.2">
      <c r="A441" s="30">
        <v>18839</v>
      </c>
      <c r="B441" s="30" t="s">
        <v>198</v>
      </c>
      <c r="C441" s="30">
        <v>12040800</v>
      </c>
      <c r="D441" s="30" t="s">
        <v>120</v>
      </c>
      <c r="E441" s="30">
        <v>100</v>
      </c>
      <c r="F441" s="30" t="s">
        <v>203</v>
      </c>
      <c r="G441" s="30">
        <v>4010.1</v>
      </c>
      <c r="H441" s="30">
        <v>1198.45</v>
      </c>
      <c r="I441" s="30"/>
      <c r="J441" s="44" t="s">
        <v>12</v>
      </c>
      <c r="L441" s="15" t="str">
        <f t="shared" si="6"/>
        <v>12040800.4010.100</v>
      </c>
    </row>
    <row r="442" spans="1:12" x14ac:dyDescent="0.2">
      <c r="A442" s="30">
        <v>18650</v>
      </c>
      <c r="B442" s="30" t="s">
        <v>49</v>
      </c>
      <c r="C442" s="30">
        <v>12042511</v>
      </c>
      <c r="D442" s="30" t="s">
        <v>50</v>
      </c>
      <c r="E442" s="30">
        <v>100</v>
      </c>
      <c r="F442" s="30" t="s">
        <v>203</v>
      </c>
      <c r="G442" s="30">
        <v>4010.1</v>
      </c>
      <c r="H442" s="30">
        <v>1842.76</v>
      </c>
      <c r="I442" s="30"/>
      <c r="J442" s="44" t="s">
        <v>12</v>
      </c>
      <c r="L442" s="15" t="str">
        <f t="shared" si="6"/>
        <v>12042511.4010.100</v>
      </c>
    </row>
    <row r="443" spans="1:12" x14ac:dyDescent="0.2">
      <c r="A443" s="30">
        <v>18990</v>
      </c>
      <c r="B443" s="30" t="s">
        <v>125</v>
      </c>
      <c r="C443" s="30">
        <v>12043011</v>
      </c>
      <c r="D443" s="30" t="s">
        <v>52</v>
      </c>
      <c r="E443" s="30">
        <v>100</v>
      </c>
      <c r="F443" s="30" t="s">
        <v>203</v>
      </c>
      <c r="G443" s="30">
        <v>4010.1</v>
      </c>
      <c r="H443" s="30">
        <v>1800.65</v>
      </c>
      <c r="I443" s="30"/>
      <c r="J443" s="44" t="s">
        <v>12</v>
      </c>
      <c r="L443" s="15" t="str">
        <f t="shared" si="6"/>
        <v>12043011.4010.100</v>
      </c>
    </row>
    <row r="444" spans="1:12" x14ac:dyDescent="0.2">
      <c r="A444" s="30">
        <v>18944</v>
      </c>
      <c r="B444" s="30" t="s">
        <v>199</v>
      </c>
      <c r="C444" s="30">
        <v>12043011</v>
      </c>
      <c r="D444" s="30" t="s">
        <v>52</v>
      </c>
      <c r="E444" s="30">
        <v>100</v>
      </c>
      <c r="F444" s="30" t="s">
        <v>203</v>
      </c>
      <c r="G444" s="30">
        <v>4010.1</v>
      </c>
      <c r="H444" s="30">
        <v>2332.33</v>
      </c>
      <c r="I444" s="30"/>
      <c r="J444" s="44" t="s">
        <v>12</v>
      </c>
      <c r="L444" s="15" t="str">
        <f t="shared" si="6"/>
        <v>12043011.4010.100</v>
      </c>
    </row>
    <row r="445" spans="1:12" x14ac:dyDescent="0.2">
      <c r="A445" s="30">
        <v>18986</v>
      </c>
      <c r="B445" s="30" t="s">
        <v>153</v>
      </c>
      <c r="C445" s="30">
        <v>12043011</v>
      </c>
      <c r="D445" s="30" t="s">
        <v>52</v>
      </c>
      <c r="E445" s="30">
        <v>100</v>
      </c>
      <c r="F445" s="30" t="s">
        <v>203</v>
      </c>
      <c r="G445" s="30">
        <v>4010.1</v>
      </c>
      <c r="H445" s="30">
        <v>1795.5</v>
      </c>
      <c r="I445" s="30"/>
      <c r="J445" s="44" t="s">
        <v>12</v>
      </c>
      <c r="L445" s="15" t="str">
        <f t="shared" si="6"/>
        <v>12043011.4010.100</v>
      </c>
    </row>
    <row r="446" spans="1:12" x14ac:dyDescent="0.2">
      <c r="A446" s="30">
        <v>19023</v>
      </c>
      <c r="B446" s="30" t="s">
        <v>69</v>
      </c>
      <c r="C446" s="30">
        <v>12043011</v>
      </c>
      <c r="D446" s="30" t="s">
        <v>52</v>
      </c>
      <c r="E446" s="30">
        <v>100</v>
      </c>
      <c r="F446" s="30" t="s">
        <v>203</v>
      </c>
      <c r="G446" s="30">
        <v>4010.1</v>
      </c>
      <c r="H446" s="30">
        <v>103.53</v>
      </c>
      <c r="I446" s="30"/>
      <c r="J446" s="44" t="s">
        <v>12</v>
      </c>
      <c r="L446" s="15" t="str">
        <f t="shared" si="6"/>
        <v>12043011.4010.100</v>
      </c>
    </row>
    <row r="447" spans="1:12" x14ac:dyDescent="0.2">
      <c r="A447" s="30">
        <v>18703</v>
      </c>
      <c r="B447" s="30" t="s">
        <v>126</v>
      </c>
      <c r="C447" s="30">
        <v>12043011</v>
      </c>
      <c r="D447" s="30" t="s">
        <v>52</v>
      </c>
      <c r="E447" s="30">
        <v>100</v>
      </c>
      <c r="F447" s="30" t="s">
        <v>203</v>
      </c>
      <c r="G447" s="30">
        <v>4010.1</v>
      </c>
      <c r="H447" s="30">
        <v>2376.2399999999998</v>
      </c>
      <c r="I447" s="30"/>
      <c r="J447" s="44" t="s">
        <v>12</v>
      </c>
      <c r="L447" s="15" t="str">
        <f t="shared" si="6"/>
        <v>12043011.4010.100</v>
      </c>
    </row>
    <row r="448" spans="1:12" x14ac:dyDescent="0.2">
      <c r="A448" s="30">
        <v>18850</v>
      </c>
      <c r="B448" s="30" t="s">
        <v>123</v>
      </c>
      <c r="C448" s="30">
        <v>12043011</v>
      </c>
      <c r="D448" s="30" t="s">
        <v>52</v>
      </c>
      <c r="E448" s="30">
        <v>100</v>
      </c>
      <c r="F448" s="30" t="s">
        <v>203</v>
      </c>
      <c r="G448" s="30">
        <v>4010.1</v>
      </c>
      <c r="H448" s="30">
        <v>2017.34</v>
      </c>
      <c r="I448" s="30"/>
      <c r="J448" s="44" t="s">
        <v>12</v>
      </c>
      <c r="L448" s="15" t="str">
        <f t="shared" si="6"/>
        <v>12043011.4010.100</v>
      </c>
    </row>
    <row r="449" spans="1:12" x14ac:dyDescent="0.2">
      <c r="A449" s="30">
        <v>18858</v>
      </c>
      <c r="B449" s="30" t="s">
        <v>122</v>
      </c>
      <c r="C449" s="30">
        <v>12043011</v>
      </c>
      <c r="D449" s="30" t="s">
        <v>52</v>
      </c>
      <c r="E449" s="30">
        <v>100</v>
      </c>
      <c r="F449" s="30" t="s">
        <v>203</v>
      </c>
      <c r="G449" s="30">
        <v>4010.1</v>
      </c>
      <c r="H449" s="30">
        <v>2211.7800000000002</v>
      </c>
      <c r="I449" s="30"/>
      <c r="J449" s="44" t="s">
        <v>12</v>
      </c>
      <c r="L449" s="15" t="str">
        <f t="shared" si="6"/>
        <v>12043011.4010.100</v>
      </c>
    </row>
    <row r="450" spans="1:12" x14ac:dyDescent="0.2">
      <c r="A450" s="30">
        <v>18713</v>
      </c>
      <c r="B450" s="30" t="s">
        <v>154</v>
      </c>
      <c r="C450" s="30">
        <v>12043011</v>
      </c>
      <c r="D450" s="30" t="s">
        <v>52</v>
      </c>
      <c r="E450" s="30">
        <v>100</v>
      </c>
      <c r="F450" s="30" t="s">
        <v>203</v>
      </c>
      <c r="G450" s="30">
        <v>4010.1</v>
      </c>
      <c r="H450" s="30">
        <v>3154.33</v>
      </c>
      <c r="I450" s="30"/>
      <c r="J450" s="44" t="s">
        <v>12</v>
      </c>
      <c r="L450" s="15" t="str">
        <f t="shared" ref="L450:L472" si="7">C450&amp;"."&amp;G450&amp;J450</f>
        <v>12043011.4010.100</v>
      </c>
    </row>
    <row r="451" spans="1:12" x14ac:dyDescent="0.2">
      <c r="A451" s="30">
        <v>18646</v>
      </c>
      <c r="B451" s="30" t="s">
        <v>124</v>
      </c>
      <c r="C451" s="30">
        <v>12043011</v>
      </c>
      <c r="D451" s="30" t="s">
        <v>52</v>
      </c>
      <c r="E451" s="30">
        <v>100</v>
      </c>
      <c r="F451" s="30" t="s">
        <v>203</v>
      </c>
      <c r="G451" s="30">
        <v>4010.1</v>
      </c>
      <c r="H451" s="30">
        <v>1438.79</v>
      </c>
      <c r="I451" s="30"/>
      <c r="J451" s="44" t="s">
        <v>12</v>
      </c>
      <c r="L451" s="15" t="str">
        <f t="shared" si="7"/>
        <v>12043011.4010.100</v>
      </c>
    </row>
    <row r="452" spans="1:12" x14ac:dyDescent="0.2">
      <c r="A452" s="30">
        <v>18942</v>
      </c>
      <c r="B452" s="30" t="s">
        <v>51</v>
      </c>
      <c r="C452" s="30">
        <v>12043011</v>
      </c>
      <c r="D452" s="30" t="s">
        <v>52</v>
      </c>
      <c r="E452" s="30">
        <v>100</v>
      </c>
      <c r="F452" s="30" t="s">
        <v>203</v>
      </c>
      <c r="G452" s="30">
        <v>4010.1</v>
      </c>
      <c r="H452" s="30">
        <v>2319.44</v>
      </c>
      <c r="I452" s="30"/>
      <c r="J452" s="44" t="s">
        <v>12</v>
      </c>
      <c r="L452" s="15" t="str">
        <f t="shared" si="7"/>
        <v>12043011.4010.100</v>
      </c>
    </row>
    <row r="453" spans="1:12" x14ac:dyDescent="0.2">
      <c r="A453" s="30">
        <v>18924</v>
      </c>
      <c r="B453" s="30" t="s">
        <v>121</v>
      </c>
      <c r="C453" s="30">
        <v>12043011</v>
      </c>
      <c r="D453" s="30" t="s">
        <v>52</v>
      </c>
      <c r="E453" s="30">
        <v>100</v>
      </c>
      <c r="F453" s="30" t="s">
        <v>203</v>
      </c>
      <c r="G453" s="30">
        <v>4010.1</v>
      </c>
      <c r="H453" s="30">
        <v>1068.19</v>
      </c>
      <c r="I453" s="30"/>
      <c r="J453" s="44" t="s">
        <v>12</v>
      </c>
      <c r="L453" s="15" t="str">
        <f t="shared" si="7"/>
        <v>12043011.4010.100</v>
      </c>
    </row>
    <row r="454" spans="1:12" x14ac:dyDescent="0.2">
      <c r="A454" s="30">
        <v>18970</v>
      </c>
      <c r="B454" s="30" t="s">
        <v>200</v>
      </c>
      <c r="C454" s="30">
        <v>12043123</v>
      </c>
      <c r="D454" s="30" t="s">
        <v>201</v>
      </c>
      <c r="E454" s="30">
        <v>100</v>
      </c>
      <c r="F454" s="30" t="s">
        <v>203</v>
      </c>
      <c r="G454" s="30">
        <v>4010.1</v>
      </c>
      <c r="H454" s="30">
        <v>1434.02</v>
      </c>
      <c r="I454" s="30"/>
      <c r="J454" s="44" t="s">
        <v>12</v>
      </c>
      <c r="L454" s="15" t="str">
        <f t="shared" si="7"/>
        <v>12043123.4010.100</v>
      </c>
    </row>
    <row r="455" spans="1:12" x14ac:dyDescent="0.2">
      <c r="A455" s="30">
        <v>19001</v>
      </c>
      <c r="B455" s="30" t="s">
        <v>155</v>
      </c>
      <c r="C455" s="30">
        <v>12048099</v>
      </c>
      <c r="D455" s="30" t="s">
        <v>156</v>
      </c>
      <c r="E455" s="30">
        <v>100</v>
      </c>
      <c r="F455" s="30" t="s">
        <v>203</v>
      </c>
      <c r="G455" s="30">
        <v>4010.1</v>
      </c>
      <c r="H455" s="30">
        <v>2769.23</v>
      </c>
      <c r="I455" s="30"/>
      <c r="J455" s="44" t="s">
        <v>12</v>
      </c>
      <c r="L455" s="15" t="str">
        <f t="shared" si="7"/>
        <v>12048099.4010.100</v>
      </c>
    </row>
    <row r="456" spans="1:12" x14ac:dyDescent="0.2">
      <c r="A456" s="30">
        <v>18976</v>
      </c>
      <c r="B456" s="30" t="s">
        <v>202</v>
      </c>
      <c r="C456" s="30">
        <v>12048099</v>
      </c>
      <c r="D456" s="30" t="s">
        <v>156</v>
      </c>
      <c r="E456" s="30">
        <v>100</v>
      </c>
      <c r="F456" s="30" t="s">
        <v>203</v>
      </c>
      <c r="G456" s="30">
        <v>4010.1</v>
      </c>
      <c r="H456" s="30">
        <v>2192.31</v>
      </c>
      <c r="I456" s="30"/>
      <c r="J456" s="44" t="s">
        <v>12</v>
      </c>
      <c r="L456" s="15" t="str">
        <f t="shared" si="7"/>
        <v>12048099.4010.100</v>
      </c>
    </row>
    <row r="457" spans="1:12" x14ac:dyDescent="0.2">
      <c r="A457" s="30">
        <v>19031</v>
      </c>
      <c r="B457" s="30" t="s">
        <v>387</v>
      </c>
      <c r="C457" s="30">
        <v>12048099</v>
      </c>
      <c r="D457" s="30" t="s">
        <v>156</v>
      </c>
      <c r="E457" s="30">
        <v>100</v>
      </c>
      <c r="F457" s="30" t="s">
        <v>203</v>
      </c>
      <c r="G457" s="30">
        <v>4010.1</v>
      </c>
      <c r="H457" s="30">
        <v>2288.46</v>
      </c>
      <c r="I457" s="30"/>
      <c r="J457" s="44" t="s">
        <v>12</v>
      </c>
      <c r="L457" s="15" t="str">
        <f t="shared" si="7"/>
        <v>12048099.4010.100</v>
      </c>
    </row>
    <row r="458" spans="1:12" x14ac:dyDescent="0.2">
      <c r="A458" s="30">
        <v>18442</v>
      </c>
      <c r="B458" s="30" t="s">
        <v>157</v>
      </c>
      <c r="C458" s="30">
        <v>12060400</v>
      </c>
      <c r="D458" s="30" t="s">
        <v>158</v>
      </c>
      <c r="E458" s="30">
        <v>100</v>
      </c>
      <c r="F458" s="30" t="s">
        <v>203</v>
      </c>
      <c r="G458" s="30">
        <v>4010.1</v>
      </c>
      <c r="H458" s="30">
        <v>2192.34</v>
      </c>
      <c r="I458" s="30"/>
      <c r="J458" s="44" t="s">
        <v>12</v>
      </c>
      <c r="L458" s="15" t="str">
        <f t="shared" si="7"/>
        <v>12060400.4010.100</v>
      </c>
    </row>
    <row r="459" spans="1:12" x14ac:dyDescent="0.2">
      <c r="A459" s="30">
        <v>18996</v>
      </c>
      <c r="B459" s="30" t="s">
        <v>127</v>
      </c>
      <c r="C459" s="30">
        <v>12060611</v>
      </c>
      <c r="D459" s="30" t="s">
        <v>54</v>
      </c>
      <c r="E459" s="30">
        <v>100</v>
      </c>
      <c r="F459" s="30" t="s">
        <v>203</v>
      </c>
      <c r="G459" s="30">
        <v>4010.1</v>
      </c>
      <c r="H459" s="30">
        <v>1126.6199999999999</v>
      </c>
      <c r="I459" s="30"/>
      <c r="J459" s="44" t="s">
        <v>12</v>
      </c>
      <c r="L459" s="15" t="str">
        <f t="shared" si="7"/>
        <v>12060611.4010.100</v>
      </c>
    </row>
    <row r="460" spans="1:12" x14ac:dyDescent="0.2">
      <c r="A460" s="30">
        <v>18927</v>
      </c>
      <c r="B460" s="30" t="s">
        <v>55</v>
      </c>
      <c r="C460" s="30">
        <v>12060611</v>
      </c>
      <c r="D460" s="30" t="s">
        <v>54</v>
      </c>
      <c r="E460" s="30">
        <v>100</v>
      </c>
      <c r="F460" s="30" t="s">
        <v>203</v>
      </c>
      <c r="G460" s="30">
        <v>4010.1</v>
      </c>
      <c r="H460" s="30">
        <v>1262.69</v>
      </c>
      <c r="I460" s="30"/>
      <c r="J460" s="44" t="s">
        <v>12</v>
      </c>
      <c r="L460" s="15" t="str">
        <f t="shared" si="7"/>
        <v>12060611.4010.100</v>
      </c>
    </row>
    <row r="461" spans="1:12" x14ac:dyDescent="0.2">
      <c r="A461" s="30">
        <v>18823</v>
      </c>
      <c r="B461" s="30" t="s">
        <v>53</v>
      </c>
      <c r="C461" s="30">
        <v>12060611</v>
      </c>
      <c r="D461" s="30" t="s">
        <v>54</v>
      </c>
      <c r="E461" s="30">
        <v>100</v>
      </c>
      <c r="F461" s="30" t="s">
        <v>203</v>
      </c>
      <c r="G461" s="30">
        <v>4010.1</v>
      </c>
      <c r="H461" s="30">
        <v>1657.71</v>
      </c>
      <c r="I461" s="30"/>
      <c r="J461" s="44" t="s">
        <v>12</v>
      </c>
      <c r="L461" s="15" t="str">
        <f t="shared" si="7"/>
        <v>12060611.4010.100</v>
      </c>
    </row>
    <row r="462" spans="1:12" x14ac:dyDescent="0.2">
      <c r="A462" s="30">
        <v>18895</v>
      </c>
      <c r="B462" s="30" t="s">
        <v>128</v>
      </c>
      <c r="C462" s="30">
        <v>12060611</v>
      </c>
      <c r="D462" s="30" t="s">
        <v>54</v>
      </c>
      <c r="E462" s="30">
        <v>100</v>
      </c>
      <c r="F462" s="30" t="s">
        <v>203</v>
      </c>
      <c r="G462" s="30">
        <v>4010.1</v>
      </c>
      <c r="H462" s="30">
        <v>1585.53</v>
      </c>
      <c r="I462" s="30"/>
      <c r="J462" s="44" t="s">
        <v>12</v>
      </c>
      <c r="L462" s="15" t="str">
        <f t="shared" si="7"/>
        <v>12060611.4010.100</v>
      </c>
    </row>
    <row r="463" spans="1:12" x14ac:dyDescent="0.2">
      <c r="A463" s="30">
        <v>18634</v>
      </c>
      <c r="B463" s="30" t="s">
        <v>129</v>
      </c>
      <c r="C463" s="30">
        <v>12060611</v>
      </c>
      <c r="D463" s="30" t="s">
        <v>54</v>
      </c>
      <c r="E463" s="30">
        <v>100</v>
      </c>
      <c r="F463" s="30" t="s">
        <v>203</v>
      </c>
      <c r="G463" s="30">
        <v>4010.1</v>
      </c>
      <c r="H463" s="30">
        <v>1206.2</v>
      </c>
      <c r="I463" s="30"/>
      <c r="J463" s="44" t="s">
        <v>12</v>
      </c>
      <c r="L463" s="15" t="str">
        <f t="shared" si="7"/>
        <v>12060611.4010.100</v>
      </c>
    </row>
    <row r="464" spans="1:12" x14ac:dyDescent="0.2">
      <c r="A464" s="30">
        <v>261</v>
      </c>
      <c r="B464" s="30" t="s">
        <v>159</v>
      </c>
      <c r="C464" s="30">
        <v>12060611</v>
      </c>
      <c r="D464" s="30" t="s">
        <v>54</v>
      </c>
      <c r="E464" s="30">
        <v>100</v>
      </c>
      <c r="F464" s="30" t="s">
        <v>203</v>
      </c>
      <c r="G464" s="30">
        <v>4010.1</v>
      </c>
      <c r="H464" s="30">
        <v>2926.92</v>
      </c>
      <c r="I464" s="30"/>
      <c r="J464" s="44" t="s">
        <v>12</v>
      </c>
      <c r="L464" s="15" t="str">
        <f t="shared" si="7"/>
        <v>12060611.4010.100</v>
      </c>
    </row>
    <row r="465" spans="1:12" x14ac:dyDescent="0.2">
      <c r="A465" s="30">
        <v>18790</v>
      </c>
      <c r="B465" s="30" t="s">
        <v>131</v>
      </c>
      <c r="C465" s="30">
        <v>12060611</v>
      </c>
      <c r="D465" s="30" t="s">
        <v>54</v>
      </c>
      <c r="E465" s="30">
        <v>100</v>
      </c>
      <c r="F465" s="30" t="s">
        <v>203</v>
      </c>
      <c r="G465" s="30">
        <v>4010.1</v>
      </c>
      <c r="H465" s="30">
        <v>1524.51</v>
      </c>
      <c r="I465" s="30"/>
      <c r="J465" s="44" t="s">
        <v>12</v>
      </c>
      <c r="L465" s="15" t="str">
        <f t="shared" si="7"/>
        <v>12060611.4010.100</v>
      </c>
    </row>
    <row r="466" spans="1:12" x14ac:dyDescent="0.2">
      <c r="A466" s="30">
        <v>18898</v>
      </c>
      <c r="B466" s="30" t="s">
        <v>130</v>
      </c>
      <c r="C466" s="30">
        <v>12060611</v>
      </c>
      <c r="D466" s="30" t="s">
        <v>54</v>
      </c>
      <c r="E466" s="30">
        <v>100</v>
      </c>
      <c r="F466" s="30" t="s">
        <v>203</v>
      </c>
      <c r="G466" s="30">
        <v>4010.1</v>
      </c>
      <c r="H466" s="30">
        <v>1907.14</v>
      </c>
      <c r="I466" s="30"/>
      <c r="J466" s="44" t="s">
        <v>12</v>
      </c>
      <c r="L466" s="15" t="str">
        <f t="shared" si="7"/>
        <v>12060611.4010.100</v>
      </c>
    </row>
    <row r="467" spans="1:12" x14ac:dyDescent="0.2">
      <c r="A467" s="30">
        <v>18791</v>
      </c>
      <c r="B467" s="30" t="s">
        <v>132</v>
      </c>
      <c r="C467" s="30">
        <v>12060711</v>
      </c>
      <c r="D467" s="30" t="s">
        <v>133</v>
      </c>
      <c r="E467" s="30">
        <v>100</v>
      </c>
      <c r="F467" s="30" t="s">
        <v>203</v>
      </c>
      <c r="G467" s="30">
        <v>4010.1</v>
      </c>
      <c r="H467" s="30">
        <v>2784.04</v>
      </c>
      <c r="I467" s="30"/>
      <c r="J467" s="44" t="s">
        <v>12</v>
      </c>
      <c r="L467" s="15" t="str">
        <f t="shared" si="7"/>
        <v>12060711.4010.100</v>
      </c>
    </row>
    <row r="468" spans="1:12" x14ac:dyDescent="0.2">
      <c r="A468" s="30">
        <v>18953</v>
      </c>
      <c r="B468" s="30" t="s">
        <v>136</v>
      </c>
      <c r="C468" s="30">
        <v>12060800</v>
      </c>
      <c r="D468" s="30" t="s">
        <v>135</v>
      </c>
      <c r="E468" s="30">
        <v>100</v>
      </c>
      <c r="F468" s="30" t="s">
        <v>203</v>
      </c>
      <c r="G468" s="30">
        <v>4010.1</v>
      </c>
      <c r="H468" s="30">
        <v>1803.81</v>
      </c>
      <c r="I468" s="30"/>
      <c r="J468" s="44" t="s">
        <v>12</v>
      </c>
      <c r="L468" s="15" t="str">
        <f t="shared" si="7"/>
        <v>12060800.4010.100</v>
      </c>
    </row>
    <row r="469" spans="1:12" x14ac:dyDescent="0.2">
      <c r="A469" s="30">
        <v>18561</v>
      </c>
      <c r="B469" s="30" t="s">
        <v>134</v>
      </c>
      <c r="C469" s="30">
        <v>12060800</v>
      </c>
      <c r="D469" s="30" t="s">
        <v>135</v>
      </c>
      <c r="E469" s="30">
        <v>100</v>
      </c>
      <c r="F469" s="30" t="s">
        <v>203</v>
      </c>
      <c r="G469" s="30">
        <v>4010.1</v>
      </c>
      <c r="H469" s="30">
        <v>2515.5500000000002</v>
      </c>
      <c r="I469" s="30"/>
      <c r="J469" s="44" t="s">
        <v>12</v>
      </c>
      <c r="L469" s="15" t="str">
        <f t="shared" si="7"/>
        <v>12060800.4010.100</v>
      </c>
    </row>
    <row r="470" spans="1:12" x14ac:dyDescent="0.2">
      <c r="A470" s="30">
        <v>18792</v>
      </c>
      <c r="B470" s="30" t="s">
        <v>56</v>
      </c>
      <c r="C470" s="30">
        <v>12062511</v>
      </c>
      <c r="D470" s="30" t="s">
        <v>57</v>
      </c>
      <c r="E470" s="30">
        <v>100</v>
      </c>
      <c r="F470" s="30" t="s">
        <v>203</v>
      </c>
      <c r="G470" s="30">
        <v>4010.1</v>
      </c>
      <c r="H470" s="30">
        <v>1954</v>
      </c>
      <c r="I470" s="30"/>
      <c r="J470" s="44" t="s">
        <v>12</v>
      </c>
      <c r="L470" s="15" t="str">
        <f t="shared" si="7"/>
        <v>12062511.4010.100</v>
      </c>
    </row>
    <row r="471" spans="1:12" x14ac:dyDescent="0.2">
      <c r="A471" s="30">
        <v>156</v>
      </c>
      <c r="B471" s="30" t="s">
        <v>137</v>
      </c>
      <c r="C471" s="30">
        <v>12062511</v>
      </c>
      <c r="D471" s="30" t="s">
        <v>57</v>
      </c>
      <c r="E471" s="30">
        <v>100</v>
      </c>
      <c r="F471" s="30" t="s">
        <v>203</v>
      </c>
      <c r="G471" s="30">
        <v>4010.1</v>
      </c>
      <c r="H471" s="30">
        <v>551.94000000000005</v>
      </c>
      <c r="I471" s="30"/>
      <c r="J471" s="44" t="s">
        <v>12</v>
      </c>
      <c r="L471" s="15" t="str">
        <f t="shared" si="7"/>
        <v>12062511.4010.100</v>
      </c>
    </row>
    <row r="472" spans="1:12" x14ac:dyDescent="0.2">
      <c r="A472" s="30">
        <v>18876</v>
      </c>
      <c r="B472" s="30" t="s">
        <v>160</v>
      </c>
      <c r="C472" s="30">
        <v>12068099</v>
      </c>
      <c r="D472" s="30" t="s">
        <v>161</v>
      </c>
      <c r="E472" s="30">
        <v>100</v>
      </c>
      <c r="F472" s="30" t="s">
        <v>203</v>
      </c>
      <c r="G472" s="30">
        <v>4010.1</v>
      </c>
      <c r="H472" s="30">
        <v>2884.62</v>
      </c>
      <c r="I472" s="30"/>
      <c r="J472" s="44" t="s">
        <v>12</v>
      </c>
      <c r="L472" s="15" t="str">
        <f t="shared" si="7"/>
        <v>12068099.4010.100</v>
      </c>
    </row>
    <row r="473" spans="1:12" x14ac:dyDescent="0.2">
      <c r="A473" s="30">
        <v>18647</v>
      </c>
      <c r="B473" s="30" t="s">
        <v>167</v>
      </c>
      <c r="C473" s="30">
        <v>12010500</v>
      </c>
      <c r="D473" s="30" t="s">
        <v>60</v>
      </c>
      <c r="E473" s="30">
        <v>151</v>
      </c>
      <c r="F473" s="30" t="s">
        <v>205</v>
      </c>
      <c r="G473" s="30" t="s">
        <v>206</v>
      </c>
      <c r="H473" s="30"/>
      <c r="I473" s="30">
        <v>416.71</v>
      </c>
      <c r="J473" s="44" t="s">
        <v>12</v>
      </c>
      <c r="L473" s="15" t="str">
        <f t="shared" ref="L473:L536" si="8">G473</f>
        <v>112.2160.100</v>
      </c>
    </row>
    <row r="474" spans="1:12" x14ac:dyDescent="0.2">
      <c r="A474" s="30">
        <v>18997</v>
      </c>
      <c r="B474" s="30" t="s">
        <v>141</v>
      </c>
      <c r="C474" s="30">
        <v>12013250</v>
      </c>
      <c r="D474" s="30" t="s">
        <v>10</v>
      </c>
      <c r="E474" s="30">
        <v>151</v>
      </c>
      <c r="F474" s="30" t="s">
        <v>205</v>
      </c>
      <c r="G474" s="30" t="s">
        <v>206</v>
      </c>
      <c r="H474" s="30"/>
      <c r="I474" s="30">
        <v>974.19</v>
      </c>
      <c r="J474" s="44" t="s">
        <v>12</v>
      </c>
      <c r="L474" s="15" t="str">
        <f t="shared" si="8"/>
        <v>112.2160.100</v>
      </c>
    </row>
    <row r="475" spans="1:12" x14ac:dyDescent="0.2">
      <c r="A475" s="30">
        <v>18939</v>
      </c>
      <c r="B475" s="30" t="s">
        <v>177</v>
      </c>
      <c r="C475" s="30">
        <v>12018199</v>
      </c>
      <c r="D475" s="30" t="s">
        <v>178</v>
      </c>
      <c r="E475" s="30">
        <v>151</v>
      </c>
      <c r="F475" s="30" t="s">
        <v>205</v>
      </c>
      <c r="G475" s="30" t="s">
        <v>206</v>
      </c>
      <c r="H475" s="30"/>
      <c r="I475" s="30">
        <v>178.5</v>
      </c>
      <c r="J475" s="44" t="s">
        <v>12</v>
      </c>
      <c r="L475" s="15" t="str">
        <f t="shared" si="8"/>
        <v>112.2160.100</v>
      </c>
    </row>
    <row r="476" spans="1:12" x14ac:dyDescent="0.2">
      <c r="A476" s="30">
        <v>18853</v>
      </c>
      <c r="B476" s="30" t="s">
        <v>146</v>
      </c>
      <c r="C476" s="30">
        <v>12019199</v>
      </c>
      <c r="D476" s="30" t="s">
        <v>147</v>
      </c>
      <c r="E476" s="30">
        <v>151</v>
      </c>
      <c r="F476" s="30" t="s">
        <v>205</v>
      </c>
      <c r="G476" s="30" t="s">
        <v>206</v>
      </c>
      <c r="H476" s="30"/>
      <c r="I476" s="30">
        <v>1821.14</v>
      </c>
      <c r="J476" s="44" t="s">
        <v>12</v>
      </c>
      <c r="L476" s="15" t="str">
        <f t="shared" si="8"/>
        <v>112.2160.100</v>
      </c>
    </row>
    <row r="477" spans="1:12" x14ac:dyDescent="0.2">
      <c r="A477" s="30">
        <v>18550</v>
      </c>
      <c r="B477" s="30" t="s">
        <v>165</v>
      </c>
      <c r="C477" s="30">
        <v>12019199</v>
      </c>
      <c r="D477" s="30" t="s">
        <v>147</v>
      </c>
      <c r="E477" s="30">
        <v>151</v>
      </c>
      <c r="F477" s="30" t="s">
        <v>205</v>
      </c>
      <c r="G477" s="30" t="s">
        <v>206</v>
      </c>
      <c r="H477" s="30"/>
      <c r="I477" s="30">
        <v>259.58</v>
      </c>
      <c r="J477" s="44" t="s">
        <v>12</v>
      </c>
      <c r="L477" s="15" t="str">
        <f t="shared" si="8"/>
        <v>112.2160.100</v>
      </c>
    </row>
    <row r="478" spans="1:12" x14ac:dyDescent="0.2">
      <c r="A478" s="30">
        <v>18741</v>
      </c>
      <c r="B478" s="30" t="s">
        <v>179</v>
      </c>
      <c r="C478" s="30">
        <v>12019199</v>
      </c>
      <c r="D478" s="30" t="s">
        <v>147</v>
      </c>
      <c r="E478" s="30">
        <v>151</v>
      </c>
      <c r="F478" s="30" t="s">
        <v>205</v>
      </c>
      <c r="G478" s="30" t="s">
        <v>206</v>
      </c>
      <c r="H478" s="30"/>
      <c r="I478" s="30">
        <v>1869.23</v>
      </c>
      <c r="J478" s="44" t="s">
        <v>12</v>
      </c>
      <c r="L478" s="15" t="str">
        <f t="shared" si="8"/>
        <v>112.2160.100</v>
      </c>
    </row>
    <row r="479" spans="1:12" x14ac:dyDescent="0.2">
      <c r="A479" s="30">
        <v>18903</v>
      </c>
      <c r="B479" s="30" t="s">
        <v>73</v>
      </c>
      <c r="C479" s="30">
        <v>12020611</v>
      </c>
      <c r="D479" s="30" t="s">
        <v>23</v>
      </c>
      <c r="E479" s="30">
        <v>151</v>
      </c>
      <c r="F479" s="30" t="s">
        <v>205</v>
      </c>
      <c r="G479" s="30" t="s">
        <v>206</v>
      </c>
      <c r="H479" s="30"/>
      <c r="I479" s="30">
        <v>66.430000000000007</v>
      </c>
      <c r="J479" s="44" t="s">
        <v>12</v>
      </c>
      <c r="L479" s="15" t="str">
        <f t="shared" si="8"/>
        <v>112.2160.100</v>
      </c>
    </row>
    <row r="480" spans="1:12" x14ac:dyDescent="0.2">
      <c r="A480" s="30">
        <v>18831</v>
      </c>
      <c r="B480" s="30" t="s">
        <v>22</v>
      </c>
      <c r="C480" s="30">
        <v>12020611</v>
      </c>
      <c r="D480" s="30" t="s">
        <v>23</v>
      </c>
      <c r="E480" s="30">
        <v>151</v>
      </c>
      <c r="F480" s="30" t="s">
        <v>205</v>
      </c>
      <c r="G480" s="30" t="s">
        <v>206</v>
      </c>
      <c r="H480" s="30"/>
      <c r="I480" s="30">
        <v>64.489999999999995</v>
      </c>
      <c r="J480" s="44" t="s">
        <v>12</v>
      </c>
      <c r="L480" s="15" t="str">
        <f t="shared" si="8"/>
        <v>112.2160.100</v>
      </c>
    </row>
    <row r="481" spans="1:12" x14ac:dyDescent="0.2">
      <c r="A481" s="30">
        <v>18954</v>
      </c>
      <c r="B481" s="30" t="s">
        <v>183</v>
      </c>
      <c r="C481" s="30">
        <v>12020711</v>
      </c>
      <c r="D481" s="30" t="s">
        <v>25</v>
      </c>
      <c r="E481" s="30">
        <v>151</v>
      </c>
      <c r="F481" s="30" t="s">
        <v>205</v>
      </c>
      <c r="G481" s="30" t="s">
        <v>206</v>
      </c>
      <c r="H481" s="30"/>
      <c r="I481" s="30">
        <v>865.38</v>
      </c>
      <c r="J481" s="44" t="s">
        <v>12</v>
      </c>
      <c r="L481" s="15" t="str">
        <f t="shared" si="8"/>
        <v>112.2160.100</v>
      </c>
    </row>
    <row r="482" spans="1:12" x14ac:dyDescent="0.2">
      <c r="A482" s="30">
        <v>18659</v>
      </c>
      <c r="B482" s="30" t="s">
        <v>88</v>
      </c>
      <c r="C482" s="30">
        <v>12021021</v>
      </c>
      <c r="D482" s="30" t="s">
        <v>29</v>
      </c>
      <c r="E482" s="30">
        <v>151</v>
      </c>
      <c r="F482" s="30" t="s">
        <v>205</v>
      </c>
      <c r="G482" s="30" t="s">
        <v>206</v>
      </c>
      <c r="H482" s="30"/>
      <c r="I482" s="30">
        <v>236.27</v>
      </c>
      <c r="J482" s="44" t="s">
        <v>12</v>
      </c>
      <c r="L482" s="15" t="str">
        <f t="shared" si="8"/>
        <v>112.2160.100</v>
      </c>
    </row>
    <row r="483" spans="1:12" x14ac:dyDescent="0.2">
      <c r="A483" s="30">
        <v>18911</v>
      </c>
      <c r="B483" s="30" t="s">
        <v>28</v>
      </c>
      <c r="C483" s="30">
        <v>12021021</v>
      </c>
      <c r="D483" s="30" t="s">
        <v>29</v>
      </c>
      <c r="E483" s="30">
        <v>151</v>
      </c>
      <c r="F483" s="30" t="s">
        <v>205</v>
      </c>
      <c r="G483" s="30" t="s">
        <v>206</v>
      </c>
      <c r="H483" s="30"/>
      <c r="I483" s="30">
        <v>2515.5</v>
      </c>
      <c r="J483" s="44" t="s">
        <v>12</v>
      </c>
      <c r="L483" s="15" t="str">
        <f t="shared" si="8"/>
        <v>112.2160.100</v>
      </c>
    </row>
    <row r="484" spans="1:12" x14ac:dyDescent="0.2">
      <c r="A484" s="30">
        <v>18974</v>
      </c>
      <c r="B484" s="30" t="s">
        <v>94</v>
      </c>
      <c r="C484" s="30">
        <v>12023011</v>
      </c>
      <c r="D484" s="30" t="s">
        <v>93</v>
      </c>
      <c r="E484" s="30">
        <v>151</v>
      </c>
      <c r="F484" s="30" t="s">
        <v>205</v>
      </c>
      <c r="G484" s="30" t="s">
        <v>206</v>
      </c>
      <c r="H484" s="30"/>
      <c r="I484" s="30">
        <v>146.30000000000001</v>
      </c>
      <c r="J484" s="44" t="s">
        <v>12</v>
      </c>
      <c r="L484" s="15" t="str">
        <f t="shared" si="8"/>
        <v>112.2160.100</v>
      </c>
    </row>
    <row r="485" spans="1:12" x14ac:dyDescent="0.2">
      <c r="A485" s="30">
        <v>44705</v>
      </c>
      <c r="B485" s="30" t="s">
        <v>149</v>
      </c>
      <c r="C485" s="30">
        <v>12028099</v>
      </c>
      <c r="D485" s="30" t="s">
        <v>150</v>
      </c>
      <c r="E485" s="30">
        <v>151</v>
      </c>
      <c r="F485" s="30" t="s">
        <v>205</v>
      </c>
      <c r="G485" s="30" t="s">
        <v>206</v>
      </c>
      <c r="H485" s="30"/>
      <c r="I485" s="30">
        <v>538.46</v>
      </c>
      <c r="J485" s="44" t="s">
        <v>12</v>
      </c>
      <c r="L485" s="15" t="str">
        <f t="shared" si="8"/>
        <v>112.2160.100</v>
      </c>
    </row>
    <row r="486" spans="1:12" x14ac:dyDescent="0.2">
      <c r="A486" s="30">
        <v>18805</v>
      </c>
      <c r="B486" s="30" t="s">
        <v>192</v>
      </c>
      <c r="C486" s="30">
        <v>12030400</v>
      </c>
      <c r="D486" s="30" t="s">
        <v>62</v>
      </c>
      <c r="E486" s="30">
        <v>151</v>
      </c>
      <c r="F486" s="30" t="s">
        <v>205</v>
      </c>
      <c r="G486" s="30" t="s">
        <v>206</v>
      </c>
      <c r="H486" s="30"/>
      <c r="I486" s="30">
        <v>230.77</v>
      </c>
      <c r="J486" s="44" t="s">
        <v>12</v>
      </c>
      <c r="L486" s="15" t="str">
        <f t="shared" si="8"/>
        <v>112.2160.100</v>
      </c>
    </row>
    <row r="487" spans="1:12" x14ac:dyDescent="0.2">
      <c r="A487" s="30">
        <v>18841</v>
      </c>
      <c r="B487" s="30" t="s">
        <v>193</v>
      </c>
      <c r="C487" s="30">
        <v>12030500</v>
      </c>
      <c r="D487" s="30" t="s">
        <v>34</v>
      </c>
      <c r="E487" s="30">
        <v>151</v>
      </c>
      <c r="F487" s="30" t="s">
        <v>205</v>
      </c>
      <c r="G487" s="30" t="s">
        <v>206</v>
      </c>
      <c r="H487" s="30"/>
      <c r="I487" s="30">
        <v>215.38</v>
      </c>
      <c r="J487" s="44" t="s">
        <v>12</v>
      </c>
      <c r="L487" s="15" t="str">
        <f t="shared" si="8"/>
        <v>112.2160.100</v>
      </c>
    </row>
    <row r="488" spans="1:12" x14ac:dyDescent="0.2">
      <c r="A488" s="30">
        <v>18626</v>
      </c>
      <c r="B488" s="30" t="s">
        <v>195</v>
      </c>
      <c r="C488" s="30">
        <v>12030611</v>
      </c>
      <c r="D488" s="30" t="s">
        <v>36</v>
      </c>
      <c r="E488" s="30">
        <v>151</v>
      </c>
      <c r="F488" s="30" t="s">
        <v>205</v>
      </c>
      <c r="G488" s="30" t="s">
        <v>206</v>
      </c>
      <c r="H488" s="30"/>
      <c r="I488" s="30">
        <v>2423.08</v>
      </c>
      <c r="J488" s="44" t="s">
        <v>12</v>
      </c>
      <c r="L488" s="15" t="str">
        <f t="shared" si="8"/>
        <v>112.2160.100</v>
      </c>
    </row>
    <row r="489" spans="1:12" x14ac:dyDescent="0.2">
      <c r="A489" s="30">
        <v>18979</v>
      </c>
      <c r="B489" s="30" t="s">
        <v>39</v>
      </c>
      <c r="C489" s="30">
        <v>12030611</v>
      </c>
      <c r="D489" s="30" t="s">
        <v>36</v>
      </c>
      <c r="E489" s="30">
        <v>151</v>
      </c>
      <c r="F489" s="30" t="s">
        <v>205</v>
      </c>
      <c r="G489" s="30" t="s">
        <v>206</v>
      </c>
      <c r="H489" s="30"/>
      <c r="I489" s="30">
        <v>174.78</v>
      </c>
      <c r="J489" s="44" t="s">
        <v>12</v>
      </c>
      <c r="L489" s="15" t="str">
        <f t="shared" si="8"/>
        <v>112.2160.100</v>
      </c>
    </row>
    <row r="490" spans="1:12" x14ac:dyDescent="0.2">
      <c r="A490" s="30">
        <v>18929</v>
      </c>
      <c r="B490" s="30" t="s">
        <v>106</v>
      </c>
      <c r="C490" s="30">
        <v>12030611</v>
      </c>
      <c r="D490" s="30" t="s">
        <v>36</v>
      </c>
      <c r="E490" s="30">
        <v>151</v>
      </c>
      <c r="F490" s="30" t="s">
        <v>205</v>
      </c>
      <c r="G490" s="30" t="s">
        <v>206</v>
      </c>
      <c r="H490" s="30"/>
      <c r="I490" s="30">
        <v>196.05</v>
      </c>
      <c r="J490" s="44" t="s">
        <v>12</v>
      </c>
      <c r="L490" s="15" t="str">
        <f t="shared" si="8"/>
        <v>112.2160.100</v>
      </c>
    </row>
    <row r="491" spans="1:12" x14ac:dyDescent="0.2">
      <c r="A491" s="30">
        <v>18916</v>
      </c>
      <c r="B491" s="30" t="s">
        <v>42</v>
      </c>
      <c r="C491" s="30">
        <v>12032511</v>
      </c>
      <c r="D491" s="30" t="s">
        <v>43</v>
      </c>
      <c r="E491" s="30">
        <v>151</v>
      </c>
      <c r="F491" s="30" t="s">
        <v>205</v>
      </c>
      <c r="G491" s="30" t="s">
        <v>206</v>
      </c>
      <c r="H491" s="30"/>
      <c r="I491" s="30">
        <v>1568.4</v>
      </c>
      <c r="J491" s="44" t="s">
        <v>12</v>
      </c>
      <c r="L491" s="15" t="str">
        <f t="shared" si="8"/>
        <v>112.2160.100</v>
      </c>
    </row>
    <row r="492" spans="1:12" x14ac:dyDescent="0.2">
      <c r="A492" s="30">
        <v>18983</v>
      </c>
      <c r="B492" s="30" t="s">
        <v>112</v>
      </c>
      <c r="C492" s="30">
        <v>12033011</v>
      </c>
      <c r="D492" s="30" t="s">
        <v>45</v>
      </c>
      <c r="E492" s="30">
        <v>151</v>
      </c>
      <c r="F492" s="30" t="s">
        <v>205</v>
      </c>
      <c r="G492" s="30" t="s">
        <v>206</v>
      </c>
      <c r="H492" s="30"/>
      <c r="I492" s="30">
        <v>1624.86</v>
      </c>
      <c r="J492" s="44" t="s">
        <v>12</v>
      </c>
      <c r="L492" s="15" t="str">
        <f t="shared" si="8"/>
        <v>112.2160.100</v>
      </c>
    </row>
    <row r="493" spans="1:12" x14ac:dyDescent="0.2">
      <c r="A493" s="30">
        <v>18679</v>
      </c>
      <c r="B493" s="30" t="s">
        <v>114</v>
      </c>
      <c r="C493" s="30">
        <v>12033011</v>
      </c>
      <c r="D493" s="30" t="s">
        <v>45</v>
      </c>
      <c r="E493" s="30">
        <v>151</v>
      </c>
      <c r="F493" s="30" t="s">
        <v>205</v>
      </c>
      <c r="G493" s="30" t="s">
        <v>206</v>
      </c>
      <c r="H493" s="30"/>
      <c r="I493" s="30">
        <v>1398.24</v>
      </c>
      <c r="J493" s="44" t="s">
        <v>12</v>
      </c>
      <c r="L493" s="15" t="str">
        <f t="shared" si="8"/>
        <v>112.2160.100</v>
      </c>
    </row>
    <row r="494" spans="1:12" x14ac:dyDescent="0.2">
      <c r="A494" s="30">
        <v>19012</v>
      </c>
      <c r="B494" s="30" t="s">
        <v>110</v>
      </c>
      <c r="C494" s="30">
        <v>12033011</v>
      </c>
      <c r="D494" s="30" t="s">
        <v>45</v>
      </c>
      <c r="E494" s="30">
        <v>151</v>
      </c>
      <c r="F494" s="30" t="s">
        <v>205</v>
      </c>
      <c r="G494" s="30" t="s">
        <v>206</v>
      </c>
      <c r="H494" s="30"/>
      <c r="I494" s="30">
        <v>524.34</v>
      </c>
      <c r="J494" s="44" t="s">
        <v>12</v>
      </c>
      <c r="L494" s="15" t="str">
        <f t="shared" si="8"/>
        <v>112.2160.100</v>
      </c>
    </row>
    <row r="495" spans="1:12" x14ac:dyDescent="0.2">
      <c r="A495" s="30">
        <v>115</v>
      </c>
      <c r="B495" s="30" t="s">
        <v>196</v>
      </c>
      <c r="C495" s="30">
        <v>12040400</v>
      </c>
      <c r="D495" s="30" t="s">
        <v>197</v>
      </c>
      <c r="E495" s="30">
        <v>151</v>
      </c>
      <c r="F495" s="30" t="s">
        <v>205</v>
      </c>
      <c r="G495" s="30" t="s">
        <v>206</v>
      </c>
      <c r="H495" s="30"/>
      <c r="I495" s="30">
        <v>1479.81</v>
      </c>
      <c r="J495" s="44" t="s">
        <v>12</v>
      </c>
      <c r="L495" s="15" t="str">
        <f t="shared" si="8"/>
        <v>112.2160.100</v>
      </c>
    </row>
    <row r="496" spans="1:12" x14ac:dyDescent="0.2">
      <c r="A496" s="30">
        <v>18850</v>
      </c>
      <c r="B496" s="30" t="s">
        <v>123</v>
      </c>
      <c r="C496" s="30">
        <v>12043011</v>
      </c>
      <c r="D496" s="30" t="s">
        <v>52</v>
      </c>
      <c r="E496" s="30">
        <v>151</v>
      </c>
      <c r="F496" s="30" t="s">
        <v>205</v>
      </c>
      <c r="G496" s="30" t="s">
        <v>206</v>
      </c>
      <c r="H496" s="30"/>
      <c r="I496" s="30">
        <v>201.96</v>
      </c>
      <c r="J496" s="44" t="s">
        <v>12</v>
      </c>
      <c r="L496" s="15" t="str">
        <f t="shared" si="8"/>
        <v>112.2160.100</v>
      </c>
    </row>
    <row r="497" spans="1:12" x14ac:dyDescent="0.2">
      <c r="A497" s="30">
        <v>18944</v>
      </c>
      <c r="B497" s="30" t="s">
        <v>199</v>
      </c>
      <c r="C497" s="30">
        <v>12043011</v>
      </c>
      <c r="D497" s="30" t="s">
        <v>52</v>
      </c>
      <c r="E497" s="30">
        <v>151</v>
      </c>
      <c r="F497" s="30" t="s">
        <v>205</v>
      </c>
      <c r="G497" s="30" t="s">
        <v>206</v>
      </c>
      <c r="H497" s="30"/>
      <c r="I497" s="30">
        <v>392.1</v>
      </c>
      <c r="J497" s="44" t="s">
        <v>12</v>
      </c>
      <c r="L497" s="15" t="str">
        <f t="shared" si="8"/>
        <v>112.2160.100</v>
      </c>
    </row>
    <row r="498" spans="1:12" x14ac:dyDescent="0.2">
      <c r="A498" s="30">
        <v>19001</v>
      </c>
      <c r="B498" s="30" t="s">
        <v>155</v>
      </c>
      <c r="C498" s="30">
        <v>12048099</v>
      </c>
      <c r="D498" s="30" t="s">
        <v>156</v>
      </c>
      <c r="E498" s="30">
        <v>151</v>
      </c>
      <c r="F498" s="30" t="s">
        <v>205</v>
      </c>
      <c r="G498" s="30" t="s">
        <v>206</v>
      </c>
      <c r="H498" s="30"/>
      <c r="I498" s="30">
        <v>692.31</v>
      </c>
      <c r="J498" s="44" t="s">
        <v>12</v>
      </c>
      <c r="L498" s="15" t="str">
        <f t="shared" si="8"/>
        <v>112.2160.100</v>
      </c>
    </row>
    <row r="499" spans="1:12" x14ac:dyDescent="0.2">
      <c r="A499" s="30">
        <v>18823</v>
      </c>
      <c r="B499" s="30" t="s">
        <v>53</v>
      </c>
      <c r="C499" s="30">
        <v>12060611</v>
      </c>
      <c r="D499" s="30" t="s">
        <v>54</v>
      </c>
      <c r="E499" s="30">
        <v>151</v>
      </c>
      <c r="F499" s="30" t="s">
        <v>205</v>
      </c>
      <c r="G499" s="30" t="s">
        <v>206</v>
      </c>
      <c r="H499" s="30"/>
      <c r="I499" s="30">
        <v>190.44</v>
      </c>
      <c r="J499" s="44" t="s">
        <v>12</v>
      </c>
      <c r="L499" s="15" t="str">
        <f t="shared" si="8"/>
        <v>112.2160.100</v>
      </c>
    </row>
    <row r="500" spans="1:12" x14ac:dyDescent="0.2">
      <c r="A500" s="30">
        <v>115</v>
      </c>
      <c r="B500" s="30" t="s">
        <v>196</v>
      </c>
      <c r="C500" s="30">
        <v>12040400</v>
      </c>
      <c r="D500" s="30" t="s">
        <v>197</v>
      </c>
      <c r="E500" s="30">
        <v>154</v>
      </c>
      <c r="F500" s="30" t="s">
        <v>390</v>
      </c>
      <c r="G500" s="30" t="s">
        <v>206</v>
      </c>
      <c r="H500" s="30"/>
      <c r="I500" s="30">
        <v>1479.81</v>
      </c>
      <c r="J500" s="44" t="s">
        <v>12</v>
      </c>
      <c r="L500" s="15" t="str">
        <f t="shared" si="8"/>
        <v>112.2160.100</v>
      </c>
    </row>
    <row r="501" spans="1:12" x14ac:dyDescent="0.2">
      <c r="A501" s="30">
        <v>18726</v>
      </c>
      <c r="B501" s="30" t="s">
        <v>162</v>
      </c>
      <c r="C501" s="30">
        <v>12010500</v>
      </c>
      <c r="D501" s="30" t="s">
        <v>60</v>
      </c>
      <c r="E501" s="30">
        <v>235</v>
      </c>
      <c r="F501" s="30" t="s">
        <v>207</v>
      </c>
      <c r="G501" s="30">
        <v>112.215</v>
      </c>
      <c r="H501" s="30"/>
      <c r="I501" s="30">
        <v>706</v>
      </c>
      <c r="J501" s="44" t="s">
        <v>12</v>
      </c>
      <c r="L501" s="15">
        <f t="shared" si="8"/>
        <v>112.215</v>
      </c>
    </row>
    <row r="502" spans="1:12" x14ac:dyDescent="0.2">
      <c r="A502" s="30">
        <v>18647</v>
      </c>
      <c r="B502" s="30" t="s">
        <v>167</v>
      </c>
      <c r="C502" s="30">
        <v>12010500</v>
      </c>
      <c r="D502" s="30" t="s">
        <v>60</v>
      </c>
      <c r="E502" s="30">
        <v>235</v>
      </c>
      <c r="F502" s="30" t="s">
        <v>207</v>
      </c>
      <c r="G502" s="30">
        <v>112.215</v>
      </c>
      <c r="H502" s="30"/>
      <c r="I502" s="30">
        <v>1072</v>
      </c>
      <c r="J502" s="44" t="s">
        <v>12</v>
      </c>
      <c r="L502" s="15">
        <f t="shared" si="8"/>
        <v>112.215</v>
      </c>
    </row>
    <row r="503" spans="1:12" x14ac:dyDescent="0.2">
      <c r="A503" s="30">
        <v>18517</v>
      </c>
      <c r="B503" s="30" t="s">
        <v>140</v>
      </c>
      <c r="C503" s="30">
        <v>12010500</v>
      </c>
      <c r="D503" s="30" t="s">
        <v>60</v>
      </c>
      <c r="E503" s="30">
        <v>235</v>
      </c>
      <c r="F503" s="30" t="s">
        <v>207</v>
      </c>
      <c r="G503" s="30">
        <v>112.215</v>
      </c>
      <c r="H503" s="30"/>
      <c r="I503" s="30">
        <v>2180</v>
      </c>
      <c r="J503" s="44" t="s">
        <v>12</v>
      </c>
      <c r="L503" s="15">
        <f t="shared" si="8"/>
        <v>112.215</v>
      </c>
    </row>
    <row r="504" spans="1:12" x14ac:dyDescent="0.2">
      <c r="A504" s="30">
        <v>18871</v>
      </c>
      <c r="B504" s="30" t="s">
        <v>168</v>
      </c>
      <c r="C504" s="30">
        <v>12010500</v>
      </c>
      <c r="D504" s="30" t="s">
        <v>60</v>
      </c>
      <c r="E504" s="30">
        <v>235</v>
      </c>
      <c r="F504" s="30" t="s">
        <v>207</v>
      </c>
      <c r="G504" s="30">
        <v>112.215</v>
      </c>
      <c r="H504" s="30"/>
      <c r="I504" s="30">
        <v>1094</v>
      </c>
      <c r="J504" s="44" t="s">
        <v>12</v>
      </c>
      <c r="L504" s="15">
        <f t="shared" si="8"/>
        <v>112.215</v>
      </c>
    </row>
    <row r="505" spans="1:12" x14ac:dyDescent="0.2">
      <c r="A505" s="30">
        <v>18845</v>
      </c>
      <c r="B505" s="30" t="s">
        <v>138</v>
      </c>
      <c r="C505" s="30">
        <v>12010500</v>
      </c>
      <c r="D505" s="30" t="s">
        <v>60</v>
      </c>
      <c r="E505" s="30">
        <v>235</v>
      </c>
      <c r="F505" s="30" t="s">
        <v>207</v>
      </c>
      <c r="G505" s="30">
        <v>112.215</v>
      </c>
      <c r="H505" s="30"/>
      <c r="I505" s="30">
        <v>5990</v>
      </c>
      <c r="J505" s="44" t="s">
        <v>12</v>
      </c>
      <c r="L505" s="15">
        <f t="shared" si="8"/>
        <v>112.215</v>
      </c>
    </row>
    <row r="506" spans="1:12" x14ac:dyDescent="0.2">
      <c r="A506" s="30">
        <v>152</v>
      </c>
      <c r="B506" s="30" t="s">
        <v>169</v>
      </c>
      <c r="C506" s="30">
        <v>12010700</v>
      </c>
      <c r="D506" s="30" t="s">
        <v>170</v>
      </c>
      <c r="E506" s="30">
        <v>235</v>
      </c>
      <c r="F506" s="30" t="s">
        <v>207</v>
      </c>
      <c r="G506" s="30">
        <v>112.215</v>
      </c>
      <c r="H506" s="30"/>
      <c r="I506" s="30">
        <v>962</v>
      </c>
      <c r="J506" s="44" t="s">
        <v>12</v>
      </c>
      <c r="L506" s="15">
        <f t="shared" si="8"/>
        <v>112.215</v>
      </c>
    </row>
    <row r="507" spans="1:12" x14ac:dyDescent="0.2">
      <c r="A507" s="30">
        <v>19014</v>
      </c>
      <c r="B507" s="30" t="s">
        <v>171</v>
      </c>
      <c r="C507" s="30">
        <v>12013012</v>
      </c>
      <c r="D507" s="30" t="s">
        <v>71</v>
      </c>
      <c r="E507" s="30">
        <v>235</v>
      </c>
      <c r="F507" s="30" t="s">
        <v>207</v>
      </c>
      <c r="G507" s="30">
        <v>112.215</v>
      </c>
      <c r="H507" s="30"/>
      <c r="I507" s="30">
        <v>574</v>
      </c>
      <c r="J507" s="44" t="s">
        <v>12</v>
      </c>
      <c r="L507" s="15">
        <f t="shared" si="8"/>
        <v>112.215</v>
      </c>
    </row>
    <row r="508" spans="1:12" x14ac:dyDescent="0.2">
      <c r="A508" s="30">
        <v>18736</v>
      </c>
      <c r="B508" s="30" t="s">
        <v>70</v>
      </c>
      <c r="C508" s="30">
        <v>12013012</v>
      </c>
      <c r="D508" s="30" t="s">
        <v>71</v>
      </c>
      <c r="E508" s="30">
        <v>235</v>
      </c>
      <c r="F508" s="30" t="s">
        <v>207</v>
      </c>
      <c r="G508" s="30">
        <v>112.215</v>
      </c>
      <c r="H508" s="30"/>
      <c r="I508" s="30">
        <v>123</v>
      </c>
      <c r="J508" s="44" t="s">
        <v>12</v>
      </c>
      <c r="L508" s="15">
        <f t="shared" si="8"/>
        <v>112.215</v>
      </c>
    </row>
    <row r="509" spans="1:12" x14ac:dyDescent="0.2">
      <c r="A509" s="30">
        <v>18987</v>
      </c>
      <c r="B509" s="30" t="s">
        <v>173</v>
      </c>
      <c r="C509" s="30">
        <v>12013250</v>
      </c>
      <c r="D509" s="30" t="s">
        <v>10</v>
      </c>
      <c r="E509" s="30">
        <v>235</v>
      </c>
      <c r="F509" s="30" t="s">
        <v>207</v>
      </c>
      <c r="G509" s="30">
        <v>112.215</v>
      </c>
      <c r="H509" s="30"/>
      <c r="I509" s="30">
        <v>696</v>
      </c>
      <c r="J509" s="44" t="s">
        <v>12</v>
      </c>
      <c r="L509" s="15">
        <f t="shared" si="8"/>
        <v>112.215</v>
      </c>
    </row>
    <row r="510" spans="1:12" x14ac:dyDescent="0.2">
      <c r="A510" s="30">
        <v>18946</v>
      </c>
      <c r="B510" s="30" t="s">
        <v>13</v>
      </c>
      <c r="C510" s="30">
        <v>12013250</v>
      </c>
      <c r="D510" s="30" t="s">
        <v>10</v>
      </c>
      <c r="E510" s="30">
        <v>235</v>
      </c>
      <c r="F510" s="30" t="s">
        <v>207</v>
      </c>
      <c r="G510" s="30">
        <v>112.215</v>
      </c>
      <c r="H510" s="30"/>
      <c r="I510" s="30">
        <v>364</v>
      </c>
      <c r="J510" s="44" t="s">
        <v>12</v>
      </c>
      <c r="L510" s="15">
        <f t="shared" si="8"/>
        <v>112.215</v>
      </c>
    </row>
    <row r="511" spans="1:12" x14ac:dyDescent="0.2">
      <c r="A511" s="30">
        <v>18920</v>
      </c>
      <c r="B511" s="30" t="s">
        <v>9</v>
      </c>
      <c r="C511" s="30">
        <v>12013250</v>
      </c>
      <c r="D511" s="30" t="s">
        <v>10</v>
      </c>
      <c r="E511" s="30">
        <v>235</v>
      </c>
      <c r="F511" s="30" t="s">
        <v>207</v>
      </c>
      <c r="G511" s="30">
        <v>112.215</v>
      </c>
      <c r="H511" s="30"/>
      <c r="I511" s="30">
        <v>1322</v>
      </c>
      <c r="J511" s="44" t="s">
        <v>12</v>
      </c>
      <c r="L511" s="15">
        <f t="shared" si="8"/>
        <v>112.215</v>
      </c>
    </row>
    <row r="512" spans="1:12" x14ac:dyDescent="0.2">
      <c r="A512" s="30">
        <v>18997</v>
      </c>
      <c r="B512" s="30" t="s">
        <v>141</v>
      </c>
      <c r="C512" s="30">
        <v>12013250</v>
      </c>
      <c r="D512" s="30" t="s">
        <v>10</v>
      </c>
      <c r="E512" s="30">
        <v>235</v>
      </c>
      <c r="F512" s="30" t="s">
        <v>207</v>
      </c>
      <c r="G512" s="30">
        <v>112.215</v>
      </c>
      <c r="H512" s="30"/>
      <c r="I512" s="30">
        <v>1228</v>
      </c>
      <c r="J512" s="44" t="s">
        <v>12</v>
      </c>
      <c r="L512" s="15">
        <f t="shared" si="8"/>
        <v>112.215</v>
      </c>
    </row>
    <row r="513" spans="1:12" x14ac:dyDescent="0.2">
      <c r="A513" s="30">
        <v>18995</v>
      </c>
      <c r="B513" s="30" t="s">
        <v>174</v>
      </c>
      <c r="C513" s="30">
        <v>12013250</v>
      </c>
      <c r="D513" s="30" t="s">
        <v>10</v>
      </c>
      <c r="E513" s="30">
        <v>235</v>
      </c>
      <c r="F513" s="30" t="s">
        <v>207</v>
      </c>
      <c r="G513" s="30">
        <v>112.215</v>
      </c>
      <c r="H513" s="30"/>
      <c r="I513" s="30">
        <v>430</v>
      </c>
      <c r="J513" s="44" t="s">
        <v>12</v>
      </c>
      <c r="L513" s="15">
        <f t="shared" si="8"/>
        <v>112.215</v>
      </c>
    </row>
    <row r="514" spans="1:12" x14ac:dyDescent="0.2">
      <c r="A514" s="30">
        <v>18721</v>
      </c>
      <c r="B514" s="30" t="s">
        <v>172</v>
      </c>
      <c r="C514" s="30">
        <v>12013250</v>
      </c>
      <c r="D514" s="30" t="s">
        <v>10</v>
      </c>
      <c r="E514" s="30">
        <v>235</v>
      </c>
      <c r="F514" s="30" t="s">
        <v>207</v>
      </c>
      <c r="G514" s="30">
        <v>112.215</v>
      </c>
      <c r="H514" s="30"/>
      <c r="I514" s="30">
        <v>604</v>
      </c>
      <c r="J514" s="44" t="s">
        <v>12</v>
      </c>
      <c r="L514" s="15">
        <f t="shared" si="8"/>
        <v>112.215</v>
      </c>
    </row>
    <row r="515" spans="1:12" x14ac:dyDescent="0.2">
      <c r="A515" s="30">
        <v>18988</v>
      </c>
      <c r="B515" s="30" t="s">
        <v>175</v>
      </c>
      <c r="C515" s="30">
        <v>12013250</v>
      </c>
      <c r="D515" s="30" t="s">
        <v>10</v>
      </c>
      <c r="E515" s="30">
        <v>235</v>
      </c>
      <c r="F515" s="30" t="s">
        <v>207</v>
      </c>
      <c r="G515" s="30">
        <v>112.215</v>
      </c>
      <c r="H515" s="30"/>
      <c r="I515" s="30">
        <v>564</v>
      </c>
      <c r="J515" s="44" t="s">
        <v>12</v>
      </c>
      <c r="L515" s="15">
        <f t="shared" si="8"/>
        <v>112.215</v>
      </c>
    </row>
    <row r="516" spans="1:12" x14ac:dyDescent="0.2">
      <c r="A516" s="30">
        <v>220</v>
      </c>
      <c r="B516" s="30" t="s">
        <v>14</v>
      </c>
      <c r="C516" s="30">
        <v>12013300</v>
      </c>
      <c r="D516" s="30" t="s">
        <v>15</v>
      </c>
      <c r="E516" s="30">
        <v>235</v>
      </c>
      <c r="F516" s="30" t="s">
        <v>207</v>
      </c>
      <c r="G516" s="30">
        <v>112.215</v>
      </c>
      <c r="H516" s="30"/>
      <c r="I516" s="30">
        <v>770</v>
      </c>
      <c r="J516" s="44" t="s">
        <v>12</v>
      </c>
      <c r="L516" s="15">
        <f t="shared" si="8"/>
        <v>112.215</v>
      </c>
    </row>
    <row r="517" spans="1:12" x14ac:dyDescent="0.2">
      <c r="A517" s="30">
        <v>18772</v>
      </c>
      <c r="B517" s="30" t="s">
        <v>176</v>
      </c>
      <c r="C517" s="30">
        <v>12013300</v>
      </c>
      <c r="D517" s="30" t="s">
        <v>15</v>
      </c>
      <c r="E517" s="30">
        <v>235</v>
      </c>
      <c r="F517" s="30" t="s">
        <v>207</v>
      </c>
      <c r="G517" s="30">
        <v>112.215</v>
      </c>
      <c r="H517" s="30"/>
      <c r="I517" s="30">
        <v>1300</v>
      </c>
      <c r="J517" s="44" t="s">
        <v>12</v>
      </c>
      <c r="L517" s="15">
        <f t="shared" si="8"/>
        <v>112.215</v>
      </c>
    </row>
    <row r="518" spans="1:12" x14ac:dyDescent="0.2">
      <c r="A518" s="30">
        <v>18948</v>
      </c>
      <c r="B518" s="30" t="s">
        <v>142</v>
      </c>
      <c r="C518" s="30">
        <v>12018099</v>
      </c>
      <c r="D518" s="30" t="s">
        <v>17</v>
      </c>
      <c r="E518" s="30">
        <v>235</v>
      </c>
      <c r="F518" s="30" t="s">
        <v>207</v>
      </c>
      <c r="G518" s="30">
        <v>112.215</v>
      </c>
      <c r="H518" s="30"/>
      <c r="I518" s="30">
        <v>498</v>
      </c>
      <c r="J518" s="44" t="s">
        <v>12</v>
      </c>
      <c r="L518" s="15">
        <f t="shared" si="8"/>
        <v>112.215</v>
      </c>
    </row>
    <row r="519" spans="1:12" x14ac:dyDescent="0.2">
      <c r="A519" s="30">
        <v>18716</v>
      </c>
      <c r="B519" s="30" t="s">
        <v>16</v>
      </c>
      <c r="C519" s="30">
        <v>12018099</v>
      </c>
      <c r="D519" s="30" t="s">
        <v>17</v>
      </c>
      <c r="E519" s="30">
        <v>235</v>
      </c>
      <c r="F519" s="30" t="s">
        <v>207</v>
      </c>
      <c r="G519" s="30">
        <v>112.215</v>
      </c>
      <c r="H519" s="30"/>
      <c r="I519" s="30">
        <v>1798</v>
      </c>
      <c r="J519" s="44" t="s">
        <v>12</v>
      </c>
      <c r="L519" s="15">
        <f t="shared" si="8"/>
        <v>112.215</v>
      </c>
    </row>
    <row r="520" spans="1:12" x14ac:dyDescent="0.2">
      <c r="A520" s="30">
        <v>18939</v>
      </c>
      <c r="B520" s="30" t="s">
        <v>177</v>
      </c>
      <c r="C520" s="30">
        <v>12018199</v>
      </c>
      <c r="D520" s="30" t="s">
        <v>178</v>
      </c>
      <c r="E520" s="30">
        <v>235</v>
      </c>
      <c r="F520" s="30" t="s">
        <v>207</v>
      </c>
      <c r="G520" s="30">
        <v>112.215</v>
      </c>
      <c r="H520" s="30"/>
      <c r="I520" s="30">
        <v>866</v>
      </c>
      <c r="J520" s="44" t="s">
        <v>12</v>
      </c>
      <c r="L520" s="15">
        <f t="shared" si="8"/>
        <v>112.215</v>
      </c>
    </row>
    <row r="521" spans="1:12" x14ac:dyDescent="0.2">
      <c r="A521" s="30">
        <v>18969</v>
      </c>
      <c r="B521" s="30" t="s">
        <v>143</v>
      </c>
      <c r="C521" s="30">
        <v>12018599</v>
      </c>
      <c r="D521" s="30" t="s">
        <v>144</v>
      </c>
      <c r="E521" s="30">
        <v>235</v>
      </c>
      <c r="F521" s="30" t="s">
        <v>207</v>
      </c>
      <c r="G521" s="30">
        <v>112.215</v>
      </c>
      <c r="H521" s="30"/>
      <c r="I521" s="30">
        <v>1618</v>
      </c>
      <c r="J521" s="44" t="s">
        <v>12</v>
      </c>
      <c r="L521" s="15">
        <f t="shared" si="8"/>
        <v>112.215</v>
      </c>
    </row>
    <row r="522" spans="1:12" x14ac:dyDescent="0.2">
      <c r="A522" s="30">
        <v>18862</v>
      </c>
      <c r="B522" s="30" t="s">
        <v>145</v>
      </c>
      <c r="C522" s="30">
        <v>12018599</v>
      </c>
      <c r="D522" s="30" t="s">
        <v>144</v>
      </c>
      <c r="E522" s="30">
        <v>235</v>
      </c>
      <c r="F522" s="30" t="s">
        <v>207</v>
      </c>
      <c r="G522" s="30">
        <v>112.215</v>
      </c>
      <c r="H522" s="30"/>
      <c r="I522" s="30">
        <v>630</v>
      </c>
      <c r="J522" s="44" t="s">
        <v>12</v>
      </c>
      <c r="L522" s="15">
        <f t="shared" si="8"/>
        <v>112.215</v>
      </c>
    </row>
    <row r="523" spans="1:12" x14ac:dyDescent="0.2">
      <c r="A523" s="30">
        <v>18886</v>
      </c>
      <c r="B523" s="30" t="s">
        <v>18</v>
      </c>
      <c r="C523" s="30">
        <v>12019099</v>
      </c>
      <c r="D523" s="30" t="s">
        <v>19</v>
      </c>
      <c r="E523" s="30">
        <v>235</v>
      </c>
      <c r="F523" s="30" t="s">
        <v>207</v>
      </c>
      <c r="G523" s="30">
        <v>112.215</v>
      </c>
      <c r="H523" s="30"/>
      <c r="I523" s="30">
        <v>2710</v>
      </c>
      <c r="J523" s="44" t="s">
        <v>12</v>
      </c>
      <c r="L523" s="15">
        <f t="shared" si="8"/>
        <v>112.215</v>
      </c>
    </row>
    <row r="524" spans="1:12" x14ac:dyDescent="0.2">
      <c r="A524" s="30">
        <v>19025</v>
      </c>
      <c r="B524" s="30" t="s">
        <v>180</v>
      </c>
      <c r="C524" s="30">
        <v>12019199</v>
      </c>
      <c r="D524" s="30" t="s">
        <v>147</v>
      </c>
      <c r="E524" s="30">
        <v>235</v>
      </c>
      <c r="F524" s="30" t="s">
        <v>207</v>
      </c>
      <c r="G524" s="30">
        <v>112.215</v>
      </c>
      <c r="H524" s="30"/>
      <c r="I524" s="30">
        <v>498</v>
      </c>
      <c r="J524" s="44" t="s">
        <v>12</v>
      </c>
      <c r="L524" s="15">
        <f t="shared" si="8"/>
        <v>112.215</v>
      </c>
    </row>
    <row r="525" spans="1:12" x14ac:dyDescent="0.2">
      <c r="A525" s="10">
        <v>18968</v>
      </c>
      <c r="B525" s="10" t="s">
        <v>164</v>
      </c>
      <c r="C525" s="10">
        <v>12019199</v>
      </c>
      <c r="D525" t="s">
        <v>147</v>
      </c>
      <c r="E525">
        <v>235</v>
      </c>
      <c r="F525" s="45" t="s">
        <v>207</v>
      </c>
      <c r="G525" s="23">
        <v>112.215</v>
      </c>
      <c r="I525" s="10">
        <v>526</v>
      </c>
      <c r="J525" s="44" t="s">
        <v>12</v>
      </c>
      <c r="L525" s="15">
        <f t="shared" si="8"/>
        <v>112.215</v>
      </c>
    </row>
    <row r="526" spans="1:12" x14ac:dyDescent="0.2">
      <c r="A526" s="10">
        <v>19003</v>
      </c>
      <c r="B526" s="10" t="s">
        <v>388</v>
      </c>
      <c r="C526" s="10">
        <v>12019199</v>
      </c>
      <c r="D526" t="s">
        <v>147</v>
      </c>
      <c r="E526">
        <v>235</v>
      </c>
      <c r="F526" s="45" t="s">
        <v>207</v>
      </c>
      <c r="G526" s="23">
        <v>112.215</v>
      </c>
      <c r="I526" s="10">
        <v>710</v>
      </c>
      <c r="J526" s="44" t="s">
        <v>12</v>
      </c>
      <c r="L526" s="15">
        <f t="shared" si="8"/>
        <v>112.215</v>
      </c>
    </row>
    <row r="527" spans="1:12" x14ac:dyDescent="0.2">
      <c r="A527" s="10">
        <v>18993</v>
      </c>
      <c r="B527" s="10" t="s">
        <v>181</v>
      </c>
      <c r="C527" s="10">
        <v>12019199</v>
      </c>
      <c r="D527" t="s">
        <v>147</v>
      </c>
      <c r="E527">
        <v>235</v>
      </c>
      <c r="F527" s="45" t="s">
        <v>207</v>
      </c>
      <c r="G527" s="23">
        <v>112.215</v>
      </c>
      <c r="I527" s="10">
        <v>530</v>
      </c>
      <c r="J527" s="44" t="s">
        <v>12</v>
      </c>
      <c r="L527" s="15">
        <f t="shared" si="8"/>
        <v>112.215</v>
      </c>
    </row>
    <row r="528" spans="1:12" x14ac:dyDescent="0.2">
      <c r="A528" s="10">
        <v>18853</v>
      </c>
      <c r="B528" s="10" t="s">
        <v>146</v>
      </c>
      <c r="C528" s="10">
        <v>12019199</v>
      </c>
      <c r="D528" t="s">
        <v>147</v>
      </c>
      <c r="E528">
        <v>235</v>
      </c>
      <c r="F528" s="45" t="s">
        <v>207</v>
      </c>
      <c r="G528" s="23">
        <v>112.215</v>
      </c>
      <c r="I528" s="10">
        <v>2064</v>
      </c>
      <c r="J528" s="44" t="s">
        <v>12</v>
      </c>
      <c r="L528" s="15">
        <f t="shared" si="8"/>
        <v>112.215</v>
      </c>
    </row>
    <row r="529" spans="1:12" x14ac:dyDescent="0.2">
      <c r="A529" s="10">
        <v>18550</v>
      </c>
      <c r="B529" s="10" t="s">
        <v>165</v>
      </c>
      <c r="C529" s="10">
        <v>12019199</v>
      </c>
      <c r="D529" t="s">
        <v>147</v>
      </c>
      <c r="E529">
        <v>235</v>
      </c>
      <c r="F529" s="45" t="s">
        <v>207</v>
      </c>
      <c r="G529" s="23">
        <v>112.215</v>
      </c>
      <c r="I529" s="10">
        <v>258</v>
      </c>
      <c r="J529" s="44" t="s">
        <v>12</v>
      </c>
      <c r="L529" s="15">
        <f t="shared" si="8"/>
        <v>112.215</v>
      </c>
    </row>
    <row r="530" spans="1:12" x14ac:dyDescent="0.2">
      <c r="A530" s="10">
        <v>18741</v>
      </c>
      <c r="B530" s="10" t="s">
        <v>179</v>
      </c>
      <c r="C530" s="10">
        <v>12019199</v>
      </c>
      <c r="D530" t="s">
        <v>147</v>
      </c>
      <c r="E530">
        <v>235</v>
      </c>
      <c r="F530" s="45" t="s">
        <v>207</v>
      </c>
      <c r="G530" s="23">
        <v>112.215</v>
      </c>
      <c r="I530" s="10">
        <v>710</v>
      </c>
      <c r="J530" s="44" t="s">
        <v>12</v>
      </c>
      <c r="L530" s="15">
        <f t="shared" si="8"/>
        <v>112.215</v>
      </c>
    </row>
    <row r="531" spans="1:12" x14ac:dyDescent="0.2">
      <c r="A531" s="10">
        <v>18836</v>
      </c>
      <c r="B531" s="10" t="s">
        <v>182</v>
      </c>
      <c r="C531" s="10">
        <v>12020400</v>
      </c>
      <c r="D531" t="s">
        <v>21</v>
      </c>
      <c r="E531">
        <v>235</v>
      </c>
      <c r="F531" s="45" t="s">
        <v>207</v>
      </c>
      <c r="G531" s="23">
        <v>112.215</v>
      </c>
      <c r="I531" s="10">
        <v>610</v>
      </c>
      <c r="J531" s="44" t="s">
        <v>12</v>
      </c>
      <c r="L531" s="15">
        <f t="shared" si="8"/>
        <v>112.215</v>
      </c>
    </row>
    <row r="532" spans="1:12" x14ac:dyDescent="0.2">
      <c r="A532" s="10">
        <v>18619</v>
      </c>
      <c r="B532" s="10" t="s">
        <v>20</v>
      </c>
      <c r="C532" s="10">
        <v>12020400</v>
      </c>
      <c r="D532" t="s">
        <v>21</v>
      </c>
      <c r="E532">
        <v>235</v>
      </c>
      <c r="F532" s="45" t="s">
        <v>207</v>
      </c>
      <c r="G532" s="23">
        <v>112.215</v>
      </c>
      <c r="I532" s="10">
        <v>442</v>
      </c>
      <c r="J532" s="44" t="s">
        <v>12</v>
      </c>
      <c r="L532" s="15">
        <f t="shared" si="8"/>
        <v>112.215</v>
      </c>
    </row>
    <row r="533" spans="1:12" x14ac:dyDescent="0.2">
      <c r="A533" s="10">
        <v>18589</v>
      </c>
      <c r="B533" s="10" t="s">
        <v>75</v>
      </c>
      <c r="C533" s="10">
        <v>12020611</v>
      </c>
      <c r="D533" t="s">
        <v>23</v>
      </c>
      <c r="E533">
        <v>235</v>
      </c>
      <c r="F533" s="45" t="s">
        <v>207</v>
      </c>
      <c r="G533" s="23">
        <v>112.215</v>
      </c>
      <c r="I533" s="10">
        <v>556</v>
      </c>
      <c r="J533" s="44" t="s">
        <v>12</v>
      </c>
      <c r="L533" s="15">
        <f t="shared" si="8"/>
        <v>112.215</v>
      </c>
    </row>
    <row r="534" spans="1:12" x14ac:dyDescent="0.2">
      <c r="A534" s="10">
        <v>18891</v>
      </c>
      <c r="B534" s="10" t="s">
        <v>77</v>
      </c>
      <c r="C534" s="10">
        <v>12020611</v>
      </c>
      <c r="D534" t="s">
        <v>23</v>
      </c>
      <c r="E534">
        <v>235</v>
      </c>
      <c r="F534" s="45" t="s">
        <v>207</v>
      </c>
      <c r="G534" s="23">
        <v>112.215</v>
      </c>
      <c r="I534" s="10">
        <v>278</v>
      </c>
      <c r="J534" s="44" t="s">
        <v>12</v>
      </c>
      <c r="L534" s="15">
        <f t="shared" si="8"/>
        <v>112.215</v>
      </c>
    </row>
    <row r="535" spans="1:12" x14ac:dyDescent="0.2">
      <c r="A535" s="10">
        <v>18903</v>
      </c>
      <c r="B535" s="10" t="s">
        <v>73</v>
      </c>
      <c r="C535" s="10">
        <v>12020611</v>
      </c>
      <c r="D535" t="s">
        <v>23</v>
      </c>
      <c r="E535">
        <v>235</v>
      </c>
      <c r="F535" s="45" t="s">
        <v>207</v>
      </c>
      <c r="G535" s="23">
        <v>112.215</v>
      </c>
      <c r="I535" s="10">
        <v>484</v>
      </c>
      <c r="J535" s="44" t="s">
        <v>12</v>
      </c>
      <c r="L535" s="15">
        <f t="shared" si="8"/>
        <v>112.215</v>
      </c>
    </row>
    <row r="536" spans="1:12" x14ac:dyDescent="0.2">
      <c r="A536" s="10">
        <v>18957</v>
      </c>
      <c r="B536" s="10" t="s">
        <v>74</v>
      </c>
      <c r="C536" s="10">
        <v>12020611</v>
      </c>
      <c r="D536" t="s">
        <v>23</v>
      </c>
      <c r="E536">
        <v>235</v>
      </c>
      <c r="F536" s="45" t="s">
        <v>207</v>
      </c>
      <c r="G536" s="23">
        <v>112.215</v>
      </c>
      <c r="I536" s="10">
        <v>248</v>
      </c>
      <c r="J536" s="44" t="s">
        <v>12</v>
      </c>
      <c r="L536" s="15">
        <f t="shared" si="8"/>
        <v>112.215</v>
      </c>
    </row>
    <row r="537" spans="1:12" x14ac:dyDescent="0.2">
      <c r="A537" s="10">
        <v>18831</v>
      </c>
      <c r="B537" s="10" t="s">
        <v>22</v>
      </c>
      <c r="C537" s="10">
        <v>12020611</v>
      </c>
      <c r="D537" t="s">
        <v>23</v>
      </c>
      <c r="E537">
        <v>235</v>
      </c>
      <c r="F537" s="45" t="s">
        <v>207</v>
      </c>
      <c r="G537" s="23">
        <v>112.215</v>
      </c>
      <c r="I537" s="10">
        <v>220</v>
      </c>
      <c r="J537" s="44" t="s">
        <v>12</v>
      </c>
      <c r="L537" s="15">
        <f t="shared" ref="L537:L600" si="9">G537</f>
        <v>112.215</v>
      </c>
    </row>
    <row r="538" spans="1:12" x14ac:dyDescent="0.2">
      <c r="A538" s="10">
        <v>18866</v>
      </c>
      <c r="B538" s="10" t="s">
        <v>76</v>
      </c>
      <c r="C538" s="10">
        <v>12020611</v>
      </c>
      <c r="D538" t="s">
        <v>23</v>
      </c>
      <c r="E538">
        <v>235</v>
      </c>
      <c r="F538" s="45" t="s">
        <v>207</v>
      </c>
      <c r="G538" s="23">
        <v>112.215</v>
      </c>
      <c r="I538" s="10">
        <v>600</v>
      </c>
      <c r="J538" s="44" t="s">
        <v>12</v>
      </c>
      <c r="L538" s="15">
        <f t="shared" si="9"/>
        <v>112.215</v>
      </c>
    </row>
    <row r="539" spans="1:12" x14ac:dyDescent="0.2">
      <c r="A539" s="10">
        <v>18</v>
      </c>
      <c r="B539" s="10" t="s">
        <v>24</v>
      </c>
      <c r="C539" s="10">
        <v>12020711</v>
      </c>
      <c r="D539" t="s">
        <v>25</v>
      </c>
      <c r="E539">
        <v>235</v>
      </c>
      <c r="F539" s="45" t="s">
        <v>207</v>
      </c>
      <c r="G539" s="23">
        <v>112.215</v>
      </c>
      <c r="I539" s="10">
        <v>104</v>
      </c>
      <c r="J539" s="44" t="s">
        <v>12</v>
      </c>
      <c r="L539" s="15">
        <f t="shared" si="9"/>
        <v>112.215</v>
      </c>
    </row>
    <row r="540" spans="1:12" x14ac:dyDescent="0.2">
      <c r="A540" s="10">
        <v>18631</v>
      </c>
      <c r="B540" s="10" t="s">
        <v>80</v>
      </c>
      <c r="C540" s="10">
        <v>12020711</v>
      </c>
      <c r="D540" t="s">
        <v>25</v>
      </c>
      <c r="E540">
        <v>235</v>
      </c>
      <c r="F540" s="45" t="s">
        <v>207</v>
      </c>
      <c r="G540" s="23">
        <v>112.215</v>
      </c>
      <c r="I540" s="10">
        <v>260</v>
      </c>
      <c r="J540" s="44" t="s">
        <v>12</v>
      </c>
      <c r="L540" s="15">
        <f t="shared" si="9"/>
        <v>112.215</v>
      </c>
    </row>
    <row r="541" spans="1:12" x14ac:dyDescent="0.2">
      <c r="A541" s="10">
        <v>18879</v>
      </c>
      <c r="B541" s="10" t="s">
        <v>79</v>
      </c>
      <c r="C541" s="10">
        <v>12020711</v>
      </c>
      <c r="D541" t="s">
        <v>25</v>
      </c>
      <c r="E541">
        <v>235</v>
      </c>
      <c r="F541" s="45" t="s">
        <v>207</v>
      </c>
      <c r="G541" s="23">
        <v>112.215</v>
      </c>
      <c r="I541" s="10">
        <v>802</v>
      </c>
      <c r="J541" s="44" t="s">
        <v>12</v>
      </c>
      <c r="L541" s="15">
        <f t="shared" si="9"/>
        <v>112.215</v>
      </c>
    </row>
    <row r="542" spans="1:12" x14ac:dyDescent="0.2">
      <c r="A542" s="10">
        <v>18954</v>
      </c>
      <c r="B542" s="10" t="s">
        <v>183</v>
      </c>
      <c r="C542" s="10">
        <v>12020711</v>
      </c>
      <c r="D542" t="s">
        <v>25</v>
      </c>
      <c r="E542">
        <v>235</v>
      </c>
      <c r="F542" s="45" t="s">
        <v>207</v>
      </c>
      <c r="G542" s="23">
        <v>112.215</v>
      </c>
      <c r="I542" s="10">
        <v>630</v>
      </c>
      <c r="J542" s="44" t="s">
        <v>12</v>
      </c>
      <c r="L542" s="15">
        <f t="shared" si="9"/>
        <v>112.215</v>
      </c>
    </row>
    <row r="543" spans="1:12" x14ac:dyDescent="0.2">
      <c r="A543" s="10">
        <v>19000</v>
      </c>
      <c r="B543" s="10" t="s">
        <v>26</v>
      </c>
      <c r="C543" s="10">
        <v>12020800</v>
      </c>
      <c r="D543" t="s">
        <v>27</v>
      </c>
      <c r="E543">
        <v>235</v>
      </c>
      <c r="F543" s="45" t="s">
        <v>207</v>
      </c>
      <c r="G543" s="23">
        <v>112.215</v>
      </c>
      <c r="I543" s="10">
        <v>452</v>
      </c>
      <c r="J543" s="44" t="s">
        <v>12</v>
      </c>
      <c r="L543" s="15">
        <f t="shared" si="9"/>
        <v>112.215</v>
      </c>
    </row>
    <row r="544" spans="1:12" x14ac:dyDescent="0.2">
      <c r="A544" s="10">
        <v>18630</v>
      </c>
      <c r="B544" s="10" t="s">
        <v>204</v>
      </c>
      <c r="C544" s="10">
        <v>12020800</v>
      </c>
      <c r="D544" t="s">
        <v>27</v>
      </c>
      <c r="E544">
        <v>235</v>
      </c>
      <c r="F544" s="45" t="s">
        <v>207</v>
      </c>
      <c r="G544" s="23">
        <v>112.215</v>
      </c>
      <c r="I544" s="10">
        <v>206</v>
      </c>
      <c r="J544" s="44" t="s">
        <v>12</v>
      </c>
      <c r="L544" s="15">
        <f t="shared" si="9"/>
        <v>112.215</v>
      </c>
    </row>
    <row r="545" spans="1:12" x14ac:dyDescent="0.2">
      <c r="A545" s="10">
        <v>19013</v>
      </c>
      <c r="B545" s="10" t="s">
        <v>81</v>
      </c>
      <c r="C545" s="10">
        <v>12020800</v>
      </c>
      <c r="D545" t="s">
        <v>27</v>
      </c>
      <c r="E545">
        <v>235</v>
      </c>
      <c r="F545" s="45" t="s">
        <v>207</v>
      </c>
      <c r="G545" s="23">
        <v>112.215</v>
      </c>
      <c r="I545" s="10">
        <v>792</v>
      </c>
      <c r="J545" s="44" t="s">
        <v>12</v>
      </c>
      <c r="L545" s="15">
        <f t="shared" si="9"/>
        <v>112.215</v>
      </c>
    </row>
    <row r="546" spans="1:12" x14ac:dyDescent="0.2">
      <c r="A546" s="10">
        <v>18733</v>
      </c>
      <c r="B546" s="10" t="s">
        <v>86</v>
      </c>
      <c r="C546" s="10">
        <v>12021021</v>
      </c>
      <c r="D546" t="s">
        <v>29</v>
      </c>
      <c r="E546">
        <v>235</v>
      </c>
      <c r="F546" s="45" t="s">
        <v>207</v>
      </c>
      <c r="G546" s="23">
        <v>112.215</v>
      </c>
      <c r="I546" s="10">
        <v>424</v>
      </c>
      <c r="J546" s="44" t="s">
        <v>12</v>
      </c>
      <c r="L546" s="15">
        <f t="shared" si="9"/>
        <v>112.215</v>
      </c>
    </row>
    <row r="547" spans="1:12" x14ac:dyDescent="0.2">
      <c r="A547" s="10">
        <v>18892</v>
      </c>
      <c r="B547" s="10" t="s">
        <v>184</v>
      </c>
      <c r="C547" s="10">
        <v>12021021</v>
      </c>
      <c r="D547" t="s">
        <v>29</v>
      </c>
      <c r="E547">
        <v>235</v>
      </c>
      <c r="F547" s="45" t="s">
        <v>207</v>
      </c>
      <c r="G547" s="23">
        <v>112.215</v>
      </c>
      <c r="I547" s="10">
        <v>290</v>
      </c>
      <c r="J547" s="44" t="s">
        <v>12</v>
      </c>
      <c r="L547" s="15">
        <f t="shared" si="9"/>
        <v>112.215</v>
      </c>
    </row>
    <row r="548" spans="1:12" x14ac:dyDescent="0.2">
      <c r="A548" s="10">
        <v>18659</v>
      </c>
      <c r="B548" s="10" t="s">
        <v>88</v>
      </c>
      <c r="C548" s="10">
        <v>12021021</v>
      </c>
      <c r="D548" t="s">
        <v>29</v>
      </c>
      <c r="E548">
        <v>235</v>
      </c>
      <c r="F548" s="45" t="s">
        <v>207</v>
      </c>
      <c r="G548" s="23">
        <v>112.215</v>
      </c>
      <c r="I548" s="10">
        <v>550</v>
      </c>
      <c r="J548" s="44" t="s">
        <v>12</v>
      </c>
      <c r="L548" s="15">
        <f t="shared" si="9"/>
        <v>112.215</v>
      </c>
    </row>
    <row r="549" spans="1:12" x14ac:dyDescent="0.2">
      <c r="A549" s="10">
        <v>18559</v>
      </c>
      <c r="B549" s="10" t="s">
        <v>87</v>
      </c>
      <c r="C549" s="10">
        <v>12021021</v>
      </c>
      <c r="D549" t="s">
        <v>29</v>
      </c>
      <c r="E549">
        <v>235</v>
      </c>
      <c r="F549" s="45" t="s">
        <v>207</v>
      </c>
      <c r="G549" s="23">
        <v>112.215</v>
      </c>
      <c r="I549" s="10">
        <v>1308</v>
      </c>
      <c r="J549" s="44" t="s">
        <v>12</v>
      </c>
      <c r="L549" s="15">
        <f t="shared" si="9"/>
        <v>112.215</v>
      </c>
    </row>
    <row r="550" spans="1:12" x14ac:dyDescent="0.2">
      <c r="A550" s="10">
        <v>18687</v>
      </c>
      <c r="B550" s="10" t="s">
        <v>83</v>
      </c>
      <c r="C550" s="10">
        <v>12021021</v>
      </c>
      <c r="D550" t="s">
        <v>29</v>
      </c>
      <c r="E550">
        <v>235</v>
      </c>
      <c r="F550" s="45" t="s">
        <v>207</v>
      </c>
      <c r="G550" s="23">
        <v>112.215</v>
      </c>
      <c r="I550" s="10">
        <v>564</v>
      </c>
      <c r="J550" s="44" t="s">
        <v>12</v>
      </c>
      <c r="L550" s="15">
        <f t="shared" si="9"/>
        <v>112.215</v>
      </c>
    </row>
    <row r="551" spans="1:12" x14ac:dyDescent="0.2">
      <c r="A551" s="10">
        <v>18960</v>
      </c>
      <c r="B551" s="10" t="s">
        <v>84</v>
      </c>
      <c r="C551" s="10">
        <v>12021021</v>
      </c>
      <c r="D551" t="s">
        <v>29</v>
      </c>
      <c r="E551">
        <v>235</v>
      </c>
      <c r="F551" s="45" t="s">
        <v>207</v>
      </c>
      <c r="G551" s="23">
        <v>112.215</v>
      </c>
      <c r="I551" s="10">
        <v>20</v>
      </c>
      <c r="J551" s="44" t="s">
        <v>12</v>
      </c>
      <c r="L551" s="15">
        <f t="shared" si="9"/>
        <v>112.215</v>
      </c>
    </row>
    <row r="552" spans="1:12" x14ac:dyDescent="0.2">
      <c r="A552" s="10">
        <v>346</v>
      </c>
      <c r="B552" s="10" t="s">
        <v>30</v>
      </c>
      <c r="C552" s="10">
        <v>12021021</v>
      </c>
      <c r="D552" t="s">
        <v>29</v>
      </c>
      <c r="E552">
        <v>235</v>
      </c>
      <c r="F552" s="45" t="s">
        <v>207</v>
      </c>
      <c r="G552" s="23">
        <v>112.215</v>
      </c>
      <c r="I552" s="10">
        <v>4264</v>
      </c>
      <c r="J552" s="44" t="s">
        <v>12</v>
      </c>
      <c r="L552" s="15">
        <f t="shared" si="9"/>
        <v>112.215</v>
      </c>
    </row>
    <row r="553" spans="1:12" x14ac:dyDescent="0.2">
      <c r="A553" s="10">
        <v>18911</v>
      </c>
      <c r="B553" s="10" t="s">
        <v>28</v>
      </c>
      <c r="C553" s="10">
        <v>12021021</v>
      </c>
      <c r="D553" t="s">
        <v>29</v>
      </c>
      <c r="E553">
        <v>235</v>
      </c>
      <c r="F553" s="45" t="s">
        <v>207</v>
      </c>
      <c r="G553" s="23">
        <v>112.215</v>
      </c>
      <c r="I553" s="10">
        <v>502</v>
      </c>
      <c r="J553" s="44" t="s">
        <v>12</v>
      </c>
      <c r="L553" s="15">
        <f t="shared" si="9"/>
        <v>112.215</v>
      </c>
    </row>
    <row r="554" spans="1:12" x14ac:dyDescent="0.2">
      <c r="A554" s="10">
        <v>18781</v>
      </c>
      <c r="B554" s="10" t="s">
        <v>82</v>
      </c>
      <c r="C554" s="10">
        <v>12021021</v>
      </c>
      <c r="D554" t="s">
        <v>29</v>
      </c>
      <c r="E554">
        <v>235</v>
      </c>
      <c r="F554" s="45" t="s">
        <v>207</v>
      </c>
      <c r="G554" s="23">
        <v>112.215</v>
      </c>
      <c r="I554" s="10">
        <v>590</v>
      </c>
      <c r="J554" s="44" t="s">
        <v>12</v>
      </c>
      <c r="L554" s="15">
        <f t="shared" si="9"/>
        <v>112.215</v>
      </c>
    </row>
    <row r="555" spans="1:12" x14ac:dyDescent="0.2">
      <c r="A555" s="10">
        <v>18967</v>
      </c>
      <c r="B555" s="10" t="s">
        <v>85</v>
      </c>
      <c r="C555" s="10">
        <v>12021021</v>
      </c>
      <c r="D555" t="s">
        <v>29</v>
      </c>
      <c r="E555">
        <v>235</v>
      </c>
      <c r="F555" s="45" t="s">
        <v>207</v>
      </c>
      <c r="G555" s="23">
        <v>112.215</v>
      </c>
      <c r="I555" s="10">
        <v>698</v>
      </c>
      <c r="J555" s="44" t="s">
        <v>12</v>
      </c>
      <c r="L555" s="15">
        <f t="shared" si="9"/>
        <v>112.215</v>
      </c>
    </row>
    <row r="556" spans="1:12" x14ac:dyDescent="0.2">
      <c r="A556" s="10">
        <v>18894</v>
      </c>
      <c r="B556" s="10" t="s">
        <v>89</v>
      </c>
      <c r="C556" s="10">
        <v>12021021</v>
      </c>
      <c r="D556" t="s">
        <v>29</v>
      </c>
      <c r="E556">
        <v>235</v>
      </c>
      <c r="F556" s="45" t="s">
        <v>207</v>
      </c>
      <c r="G556" s="23">
        <v>112.215</v>
      </c>
      <c r="I556" s="10">
        <v>310</v>
      </c>
      <c r="J556" s="44" t="s">
        <v>12</v>
      </c>
      <c r="L556" s="15">
        <f t="shared" si="9"/>
        <v>112.215</v>
      </c>
    </row>
    <row r="557" spans="1:12" x14ac:dyDescent="0.2">
      <c r="A557" s="10">
        <v>18961</v>
      </c>
      <c r="B557" s="10" t="s">
        <v>90</v>
      </c>
      <c r="C557" s="10">
        <v>12022511</v>
      </c>
      <c r="D557" t="s">
        <v>32</v>
      </c>
      <c r="E557">
        <v>235</v>
      </c>
      <c r="F557" s="45" t="s">
        <v>207</v>
      </c>
      <c r="G557" s="23">
        <v>112.215</v>
      </c>
      <c r="I557" s="10">
        <v>734</v>
      </c>
      <c r="J557" s="44" t="s">
        <v>12</v>
      </c>
      <c r="L557" s="15">
        <f t="shared" si="9"/>
        <v>112.215</v>
      </c>
    </row>
    <row r="558" spans="1:12" x14ac:dyDescent="0.2">
      <c r="A558" s="10">
        <v>11229</v>
      </c>
      <c r="B558" s="10" t="s">
        <v>31</v>
      </c>
      <c r="C558" s="10">
        <v>12022511</v>
      </c>
      <c r="D558" t="s">
        <v>32</v>
      </c>
      <c r="E558">
        <v>235</v>
      </c>
      <c r="F558" s="45" t="s">
        <v>207</v>
      </c>
      <c r="G558" s="23">
        <v>112.215</v>
      </c>
      <c r="I558" s="10">
        <v>394</v>
      </c>
      <c r="J558" s="44" t="s">
        <v>12</v>
      </c>
      <c r="L558" s="15">
        <f t="shared" si="9"/>
        <v>112.215</v>
      </c>
    </row>
    <row r="559" spans="1:12" x14ac:dyDescent="0.2">
      <c r="A559" s="10">
        <v>141</v>
      </c>
      <c r="B559" s="10" t="s">
        <v>185</v>
      </c>
      <c r="C559" s="10">
        <v>12022511</v>
      </c>
      <c r="D559" t="s">
        <v>32</v>
      </c>
      <c r="E559">
        <v>235</v>
      </c>
      <c r="F559" s="45" t="s">
        <v>207</v>
      </c>
      <c r="G559" s="23">
        <v>112.215</v>
      </c>
      <c r="I559" s="10">
        <v>112</v>
      </c>
      <c r="J559" s="44" t="s">
        <v>12</v>
      </c>
      <c r="L559" s="15">
        <f t="shared" si="9"/>
        <v>112.215</v>
      </c>
    </row>
    <row r="560" spans="1:12" x14ac:dyDescent="0.2">
      <c r="A560" s="10">
        <v>145</v>
      </c>
      <c r="B560" s="10" t="s">
        <v>91</v>
      </c>
      <c r="C560" s="10">
        <v>12022511</v>
      </c>
      <c r="D560" t="s">
        <v>32</v>
      </c>
      <c r="E560">
        <v>235</v>
      </c>
      <c r="F560" s="45" t="s">
        <v>207</v>
      </c>
      <c r="G560" s="23">
        <v>112.215</v>
      </c>
      <c r="I560" s="10">
        <v>518</v>
      </c>
      <c r="J560" s="44" t="s">
        <v>12</v>
      </c>
      <c r="L560" s="15">
        <f t="shared" si="9"/>
        <v>112.215</v>
      </c>
    </row>
    <row r="561" spans="1:12" x14ac:dyDescent="0.2">
      <c r="A561" s="10">
        <v>18973</v>
      </c>
      <c r="B561" s="10" t="s">
        <v>188</v>
      </c>
      <c r="C561" s="10">
        <v>12023011</v>
      </c>
      <c r="D561" t="s">
        <v>93</v>
      </c>
      <c r="E561">
        <v>235</v>
      </c>
      <c r="F561" s="45" t="s">
        <v>207</v>
      </c>
      <c r="G561" s="23">
        <v>112.215</v>
      </c>
      <c r="I561" s="10">
        <v>210</v>
      </c>
      <c r="J561" s="44" t="s">
        <v>12</v>
      </c>
      <c r="L561" s="15">
        <f t="shared" si="9"/>
        <v>112.215</v>
      </c>
    </row>
    <row r="562" spans="1:12" x14ac:dyDescent="0.2">
      <c r="A562" s="10">
        <v>19016</v>
      </c>
      <c r="B562" s="10" t="s">
        <v>96</v>
      </c>
      <c r="C562" s="10">
        <v>12023011</v>
      </c>
      <c r="D562" t="s">
        <v>93</v>
      </c>
      <c r="E562">
        <v>235</v>
      </c>
      <c r="F562" s="45" t="s">
        <v>207</v>
      </c>
      <c r="G562" s="23">
        <v>112.215</v>
      </c>
      <c r="I562" s="10">
        <v>398</v>
      </c>
      <c r="J562" s="44" t="s">
        <v>12</v>
      </c>
      <c r="L562" s="15">
        <f t="shared" si="9"/>
        <v>112.215</v>
      </c>
    </row>
    <row r="563" spans="1:12" x14ac:dyDescent="0.2">
      <c r="A563" s="10">
        <v>19007</v>
      </c>
      <c r="B563" s="10" t="s">
        <v>189</v>
      </c>
      <c r="C563" s="10">
        <v>12023011</v>
      </c>
      <c r="D563" t="s">
        <v>93</v>
      </c>
      <c r="E563">
        <v>235</v>
      </c>
      <c r="F563" s="45" t="s">
        <v>207</v>
      </c>
      <c r="G563" s="23">
        <v>112.215</v>
      </c>
      <c r="I563" s="10">
        <v>620</v>
      </c>
      <c r="J563" s="44" t="s">
        <v>12</v>
      </c>
      <c r="L563" s="15">
        <f t="shared" si="9"/>
        <v>112.215</v>
      </c>
    </row>
    <row r="564" spans="1:12" x14ac:dyDescent="0.2">
      <c r="A564" s="10">
        <v>19002</v>
      </c>
      <c r="B564" s="10" t="s">
        <v>186</v>
      </c>
      <c r="C564" s="10">
        <v>12023011</v>
      </c>
      <c r="D564" t="s">
        <v>93</v>
      </c>
      <c r="E564">
        <v>235</v>
      </c>
      <c r="F564" s="45" t="s">
        <v>207</v>
      </c>
      <c r="G564" s="23">
        <v>112.215</v>
      </c>
      <c r="I564" s="10">
        <v>198</v>
      </c>
      <c r="J564" s="44" t="s">
        <v>12</v>
      </c>
      <c r="L564" s="15">
        <f t="shared" si="9"/>
        <v>112.215</v>
      </c>
    </row>
    <row r="565" spans="1:12" x14ac:dyDescent="0.2">
      <c r="A565" s="10">
        <v>18962</v>
      </c>
      <c r="B565" s="10" t="s">
        <v>148</v>
      </c>
      <c r="C565" s="10">
        <v>12023011</v>
      </c>
      <c r="D565" t="s">
        <v>93</v>
      </c>
      <c r="E565">
        <v>235</v>
      </c>
      <c r="F565" s="45" t="s">
        <v>207</v>
      </c>
      <c r="G565" s="23">
        <v>112.215</v>
      </c>
      <c r="I565" s="10">
        <v>1468</v>
      </c>
      <c r="J565" s="44" t="s">
        <v>12</v>
      </c>
      <c r="L565" s="15">
        <f t="shared" si="9"/>
        <v>112.215</v>
      </c>
    </row>
    <row r="566" spans="1:12" x14ac:dyDescent="0.2">
      <c r="A566" s="10">
        <v>19026</v>
      </c>
      <c r="B566" s="10" t="s">
        <v>187</v>
      </c>
      <c r="C566" s="10">
        <v>12023011</v>
      </c>
      <c r="D566" t="s">
        <v>93</v>
      </c>
      <c r="E566">
        <v>235</v>
      </c>
      <c r="F566" s="45" t="s">
        <v>207</v>
      </c>
      <c r="G566" s="23">
        <v>112.215</v>
      </c>
      <c r="I566" s="10">
        <v>280</v>
      </c>
      <c r="J566" s="44" t="s">
        <v>12</v>
      </c>
      <c r="L566" s="15">
        <f t="shared" si="9"/>
        <v>112.215</v>
      </c>
    </row>
    <row r="567" spans="1:12" x14ac:dyDescent="0.2">
      <c r="A567" s="10">
        <v>19006</v>
      </c>
      <c r="B567" s="10" t="s">
        <v>95</v>
      </c>
      <c r="C567" s="10">
        <v>12023011</v>
      </c>
      <c r="D567" t="s">
        <v>93</v>
      </c>
      <c r="E567">
        <v>235</v>
      </c>
      <c r="F567" s="45" t="s">
        <v>207</v>
      </c>
      <c r="G567" s="23">
        <v>112.215</v>
      </c>
      <c r="I567" s="10">
        <v>560</v>
      </c>
      <c r="J567" s="44" t="s">
        <v>12</v>
      </c>
      <c r="L567" s="15">
        <f t="shared" si="9"/>
        <v>112.215</v>
      </c>
    </row>
    <row r="568" spans="1:12" x14ac:dyDescent="0.2">
      <c r="A568" s="10">
        <v>19032</v>
      </c>
      <c r="B568" s="10" t="s">
        <v>386</v>
      </c>
      <c r="C568" s="10">
        <v>12023011</v>
      </c>
      <c r="D568" t="s">
        <v>93</v>
      </c>
      <c r="E568">
        <v>235</v>
      </c>
      <c r="F568" s="45" t="s">
        <v>207</v>
      </c>
      <c r="G568" s="23">
        <v>112.215</v>
      </c>
      <c r="I568" s="10">
        <v>48</v>
      </c>
      <c r="J568" s="44" t="s">
        <v>12</v>
      </c>
      <c r="L568" s="15">
        <f t="shared" si="9"/>
        <v>112.215</v>
      </c>
    </row>
    <row r="569" spans="1:12" x14ac:dyDescent="0.2">
      <c r="A569" s="10">
        <v>18974</v>
      </c>
      <c r="B569" s="10" t="s">
        <v>94</v>
      </c>
      <c r="C569" s="10">
        <v>12023011</v>
      </c>
      <c r="D569" t="s">
        <v>93</v>
      </c>
      <c r="E569">
        <v>235</v>
      </c>
      <c r="F569" s="45" t="s">
        <v>207</v>
      </c>
      <c r="G569" s="23">
        <v>112.215</v>
      </c>
      <c r="I569" s="10">
        <v>762</v>
      </c>
      <c r="J569" s="44" t="s">
        <v>12</v>
      </c>
      <c r="L569" s="15">
        <f t="shared" si="9"/>
        <v>112.215</v>
      </c>
    </row>
    <row r="570" spans="1:12" x14ac:dyDescent="0.2">
      <c r="A570" s="10">
        <v>18999</v>
      </c>
      <c r="B570" s="10" t="s">
        <v>92</v>
      </c>
      <c r="C570" s="10">
        <v>12023011</v>
      </c>
      <c r="D570" t="s">
        <v>93</v>
      </c>
      <c r="E570">
        <v>235</v>
      </c>
      <c r="F570" s="45" t="s">
        <v>207</v>
      </c>
      <c r="G570" s="23">
        <v>112.215</v>
      </c>
      <c r="I570" s="10">
        <v>434</v>
      </c>
      <c r="J570" s="44" t="s">
        <v>12</v>
      </c>
      <c r="L570" s="15">
        <f t="shared" si="9"/>
        <v>112.215</v>
      </c>
    </row>
    <row r="571" spans="1:12" x14ac:dyDescent="0.2">
      <c r="A571" s="10">
        <v>19021</v>
      </c>
      <c r="B571" s="10" t="s">
        <v>99</v>
      </c>
      <c r="C571" s="10">
        <v>12023021</v>
      </c>
      <c r="D571" t="s">
        <v>98</v>
      </c>
      <c r="E571">
        <v>235</v>
      </c>
      <c r="F571" s="45" t="s">
        <v>207</v>
      </c>
      <c r="G571" s="23">
        <v>112.215</v>
      </c>
      <c r="I571" s="10">
        <v>342</v>
      </c>
      <c r="J571" s="44" t="s">
        <v>12</v>
      </c>
      <c r="L571" s="15">
        <f t="shared" si="9"/>
        <v>112.215</v>
      </c>
    </row>
    <row r="572" spans="1:12" x14ac:dyDescent="0.2">
      <c r="A572" s="10">
        <v>18980</v>
      </c>
      <c r="B572" s="10" t="s">
        <v>97</v>
      </c>
      <c r="C572" s="10">
        <v>12023021</v>
      </c>
      <c r="D572" t="s">
        <v>98</v>
      </c>
      <c r="E572">
        <v>235</v>
      </c>
      <c r="F572" s="45" t="s">
        <v>207</v>
      </c>
      <c r="G572" s="23">
        <v>112.215</v>
      </c>
      <c r="I572" s="10">
        <v>340</v>
      </c>
      <c r="J572" s="44" t="s">
        <v>12</v>
      </c>
      <c r="L572" s="15">
        <f t="shared" si="9"/>
        <v>112.215</v>
      </c>
    </row>
    <row r="573" spans="1:12" x14ac:dyDescent="0.2">
      <c r="A573" s="10">
        <v>19027</v>
      </c>
      <c r="B573" s="10" t="s">
        <v>365</v>
      </c>
      <c r="C573" s="10">
        <v>12023021</v>
      </c>
      <c r="D573" t="s">
        <v>98</v>
      </c>
      <c r="E573">
        <v>235</v>
      </c>
      <c r="F573" s="45" t="s">
        <v>207</v>
      </c>
      <c r="G573" s="23">
        <v>112.215</v>
      </c>
      <c r="I573" s="10">
        <v>502</v>
      </c>
      <c r="J573" s="44" t="s">
        <v>12</v>
      </c>
      <c r="L573" s="15">
        <f t="shared" si="9"/>
        <v>112.215</v>
      </c>
    </row>
    <row r="574" spans="1:12" x14ac:dyDescent="0.2">
      <c r="A574" s="10">
        <v>18581</v>
      </c>
      <c r="B574" s="10" t="s">
        <v>190</v>
      </c>
      <c r="C574" s="10">
        <v>12024021</v>
      </c>
      <c r="D574" t="s">
        <v>191</v>
      </c>
      <c r="E574">
        <v>235</v>
      </c>
      <c r="F574" s="45" t="s">
        <v>207</v>
      </c>
      <c r="G574" s="23">
        <v>112.215</v>
      </c>
      <c r="I574" s="10">
        <v>726</v>
      </c>
      <c r="J574" s="44" t="s">
        <v>12</v>
      </c>
      <c r="L574" s="15">
        <f t="shared" si="9"/>
        <v>112.215</v>
      </c>
    </row>
    <row r="575" spans="1:12" x14ac:dyDescent="0.2">
      <c r="A575" s="10">
        <v>18945</v>
      </c>
      <c r="B575" s="10" t="s">
        <v>151</v>
      </c>
      <c r="C575" s="10">
        <v>12028099</v>
      </c>
      <c r="D575" t="s">
        <v>150</v>
      </c>
      <c r="E575">
        <v>235</v>
      </c>
      <c r="F575" s="45" t="s">
        <v>207</v>
      </c>
      <c r="G575" s="23">
        <v>112.215</v>
      </c>
      <c r="I575" s="10">
        <v>1636</v>
      </c>
      <c r="J575" s="44" t="s">
        <v>12</v>
      </c>
      <c r="L575" s="15">
        <f t="shared" si="9"/>
        <v>112.215</v>
      </c>
    </row>
    <row r="576" spans="1:12" x14ac:dyDescent="0.2">
      <c r="A576" s="10">
        <v>44705</v>
      </c>
      <c r="B576" s="10" t="s">
        <v>149</v>
      </c>
      <c r="C576" s="10">
        <v>12028099</v>
      </c>
      <c r="D576" t="s">
        <v>150</v>
      </c>
      <c r="E576">
        <v>235</v>
      </c>
      <c r="F576" s="45" t="s">
        <v>207</v>
      </c>
      <c r="G576" s="23">
        <v>112.215</v>
      </c>
      <c r="I576" s="10">
        <v>1858</v>
      </c>
      <c r="J576" s="44" t="s">
        <v>12</v>
      </c>
      <c r="L576" s="15">
        <f t="shared" si="9"/>
        <v>112.215</v>
      </c>
    </row>
    <row r="577" spans="1:12" x14ac:dyDescent="0.2">
      <c r="A577" s="10">
        <v>18805</v>
      </c>
      <c r="B577" s="10" t="s">
        <v>192</v>
      </c>
      <c r="C577" s="10">
        <v>12030400</v>
      </c>
      <c r="D577" t="s">
        <v>62</v>
      </c>
      <c r="E577">
        <v>235</v>
      </c>
      <c r="F577" s="45" t="s">
        <v>207</v>
      </c>
      <c r="G577" s="23">
        <v>112.215</v>
      </c>
      <c r="I577" s="10">
        <v>430</v>
      </c>
      <c r="J577" s="44" t="s">
        <v>12</v>
      </c>
      <c r="L577" s="15">
        <f t="shared" si="9"/>
        <v>112.215</v>
      </c>
    </row>
    <row r="578" spans="1:12" x14ac:dyDescent="0.2">
      <c r="A578" s="10">
        <v>18982</v>
      </c>
      <c r="B578" s="10" t="s">
        <v>100</v>
      </c>
      <c r="C578" s="10">
        <v>12030400</v>
      </c>
      <c r="D578" t="s">
        <v>62</v>
      </c>
      <c r="E578">
        <v>235</v>
      </c>
      <c r="F578" s="45" t="s">
        <v>207</v>
      </c>
      <c r="G578" s="23">
        <v>112.215</v>
      </c>
      <c r="I578" s="10">
        <v>428</v>
      </c>
      <c r="J578" s="44" t="s">
        <v>12</v>
      </c>
      <c r="L578" s="15">
        <f t="shared" si="9"/>
        <v>112.215</v>
      </c>
    </row>
    <row r="579" spans="1:12" x14ac:dyDescent="0.2">
      <c r="A579" s="10">
        <v>266</v>
      </c>
      <c r="B579" s="10" t="s">
        <v>194</v>
      </c>
      <c r="C579" s="10">
        <v>12030500</v>
      </c>
      <c r="D579" t="s">
        <v>34</v>
      </c>
      <c r="E579">
        <v>235</v>
      </c>
      <c r="F579" s="45" t="s">
        <v>207</v>
      </c>
      <c r="G579" s="23">
        <v>112.215</v>
      </c>
      <c r="I579" s="10">
        <v>488</v>
      </c>
      <c r="J579" s="44" t="s">
        <v>12</v>
      </c>
      <c r="L579" s="15">
        <f t="shared" si="9"/>
        <v>112.215</v>
      </c>
    </row>
    <row r="580" spans="1:12" x14ac:dyDescent="0.2">
      <c r="A580" s="10">
        <v>18841</v>
      </c>
      <c r="B580" s="10" t="s">
        <v>193</v>
      </c>
      <c r="C580" s="10">
        <v>12030500</v>
      </c>
      <c r="D580" t="s">
        <v>34</v>
      </c>
      <c r="E580">
        <v>235</v>
      </c>
      <c r="F580" s="45" t="s">
        <v>207</v>
      </c>
      <c r="G580" s="23">
        <v>112.215</v>
      </c>
      <c r="I580" s="10">
        <v>420</v>
      </c>
      <c r="J580" s="44" t="s">
        <v>12</v>
      </c>
      <c r="L580" s="15">
        <f t="shared" si="9"/>
        <v>112.215</v>
      </c>
    </row>
    <row r="581" spans="1:12" x14ac:dyDescent="0.2">
      <c r="A581" s="10">
        <v>302</v>
      </c>
      <c r="B581" s="10" t="s">
        <v>33</v>
      </c>
      <c r="C581" s="10">
        <v>12030500</v>
      </c>
      <c r="D581" t="s">
        <v>34</v>
      </c>
      <c r="E581">
        <v>235</v>
      </c>
      <c r="F581" s="45" t="s">
        <v>207</v>
      </c>
      <c r="G581" s="23">
        <v>112.215</v>
      </c>
      <c r="I581" s="10">
        <v>424</v>
      </c>
      <c r="J581" s="44" t="s">
        <v>12</v>
      </c>
      <c r="L581" s="15">
        <f t="shared" si="9"/>
        <v>112.215</v>
      </c>
    </row>
    <row r="582" spans="1:12" x14ac:dyDescent="0.2">
      <c r="A582" s="10">
        <v>18626</v>
      </c>
      <c r="B582" s="10" t="s">
        <v>195</v>
      </c>
      <c r="C582" s="10">
        <v>12030611</v>
      </c>
      <c r="D582" t="s">
        <v>36</v>
      </c>
      <c r="E582">
        <v>235</v>
      </c>
      <c r="F582" s="45" t="s">
        <v>207</v>
      </c>
      <c r="G582" s="23">
        <v>112.215</v>
      </c>
      <c r="I582" s="10">
        <v>828</v>
      </c>
      <c r="J582" s="44" t="s">
        <v>12</v>
      </c>
      <c r="L582" s="15">
        <f t="shared" si="9"/>
        <v>112.215</v>
      </c>
    </row>
    <row r="583" spans="1:12" x14ac:dyDescent="0.2">
      <c r="A583" s="10">
        <v>18949</v>
      </c>
      <c r="B583" s="10" t="s">
        <v>35</v>
      </c>
      <c r="C583" s="10">
        <v>12030611</v>
      </c>
      <c r="D583" t="s">
        <v>36</v>
      </c>
      <c r="E583">
        <v>235</v>
      </c>
      <c r="F583" s="45" t="s">
        <v>207</v>
      </c>
      <c r="G583" s="23">
        <v>112.215</v>
      </c>
      <c r="I583" s="10">
        <v>542</v>
      </c>
      <c r="J583" s="44" t="s">
        <v>12</v>
      </c>
      <c r="L583" s="15">
        <f t="shared" si="9"/>
        <v>112.215</v>
      </c>
    </row>
    <row r="584" spans="1:12" x14ac:dyDescent="0.2">
      <c r="A584" s="10">
        <v>18979</v>
      </c>
      <c r="B584" s="10" t="s">
        <v>39</v>
      </c>
      <c r="C584" s="10">
        <v>12030611</v>
      </c>
      <c r="D584" t="s">
        <v>36</v>
      </c>
      <c r="E584">
        <v>235</v>
      </c>
      <c r="F584" s="45" t="s">
        <v>207</v>
      </c>
      <c r="G584" s="23">
        <v>112.215</v>
      </c>
      <c r="I584" s="10">
        <v>362</v>
      </c>
      <c r="J584" s="44" t="s">
        <v>12</v>
      </c>
      <c r="L584" s="15">
        <f t="shared" si="9"/>
        <v>112.215</v>
      </c>
    </row>
    <row r="585" spans="1:12" x14ac:dyDescent="0.2">
      <c r="A585" s="10">
        <v>18827</v>
      </c>
      <c r="B585" s="10" t="s">
        <v>104</v>
      </c>
      <c r="C585" s="10">
        <v>12030611</v>
      </c>
      <c r="D585" t="s">
        <v>36</v>
      </c>
      <c r="E585">
        <v>235</v>
      </c>
      <c r="F585" s="45" t="s">
        <v>207</v>
      </c>
      <c r="G585" s="23">
        <v>112.215</v>
      </c>
      <c r="I585" s="10">
        <v>524</v>
      </c>
      <c r="J585" s="44" t="s">
        <v>12</v>
      </c>
      <c r="L585" s="15">
        <f t="shared" si="9"/>
        <v>112.215</v>
      </c>
    </row>
    <row r="586" spans="1:12" x14ac:dyDescent="0.2">
      <c r="A586" s="10">
        <v>18929</v>
      </c>
      <c r="B586" s="10" t="s">
        <v>106</v>
      </c>
      <c r="C586" s="10">
        <v>12030611</v>
      </c>
      <c r="D586" t="s">
        <v>36</v>
      </c>
      <c r="E586">
        <v>235</v>
      </c>
      <c r="F586" s="45" t="s">
        <v>207</v>
      </c>
      <c r="G586" s="23">
        <v>112.215</v>
      </c>
      <c r="I586" s="10">
        <v>26</v>
      </c>
      <c r="J586" s="44" t="s">
        <v>12</v>
      </c>
      <c r="L586" s="15">
        <f t="shared" si="9"/>
        <v>112.215</v>
      </c>
    </row>
    <row r="587" spans="1:12" x14ac:dyDescent="0.2">
      <c r="A587" s="10">
        <v>18918</v>
      </c>
      <c r="B587" s="10" t="s">
        <v>38</v>
      </c>
      <c r="C587" s="10">
        <v>12030611</v>
      </c>
      <c r="D587" t="s">
        <v>36</v>
      </c>
      <c r="E587">
        <v>235</v>
      </c>
      <c r="F587" s="45" t="s">
        <v>207</v>
      </c>
      <c r="G587" s="23">
        <v>112.215</v>
      </c>
      <c r="I587" s="10">
        <v>578</v>
      </c>
      <c r="J587" s="44" t="s">
        <v>12</v>
      </c>
      <c r="L587" s="15">
        <f t="shared" si="9"/>
        <v>112.215</v>
      </c>
    </row>
    <row r="588" spans="1:12" x14ac:dyDescent="0.2">
      <c r="A588" s="10">
        <v>18887</v>
      </c>
      <c r="B588" s="10" t="s">
        <v>105</v>
      </c>
      <c r="C588" s="10">
        <v>12030611</v>
      </c>
      <c r="D588" t="s">
        <v>36</v>
      </c>
      <c r="E588">
        <v>235</v>
      </c>
      <c r="F588" s="45" t="s">
        <v>207</v>
      </c>
      <c r="G588" s="23">
        <v>112.215</v>
      </c>
      <c r="I588" s="10">
        <v>344</v>
      </c>
      <c r="J588" s="44" t="s">
        <v>12</v>
      </c>
      <c r="L588" s="15">
        <f t="shared" si="9"/>
        <v>112.215</v>
      </c>
    </row>
    <row r="589" spans="1:12" x14ac:dyDescent="0.2">
      <c r="A589" s="10">
        <v>18901</v>
      </c>
      <c r="B589" s="10" t="s">
        <v>37</v>
      </c>
      <c r="C589" s="10">
        <v>12030611</v>
      </c>
      <c r="D589" t="s">
        <v>36</v>
      </c>
      <c r="E589">
        <v>235</v>
      </c>
      <c r="F589" s="45" t="s">
        <v>207</v>
      </c>
      <c r="G589" s="23">
        <v>112.215</v>
      </c>
      <c r="I589" s="10">
        <v>802</v>
      </c>
      <c r="J589" s="44" t="s">
        <v>12</v>
      </c>
      <c r="L589" s="15">
        <f t="shared" si="9"/>
        <v>112.215</v>
      </c>
    </row>
    <row r="590" spans="1:12" x14ac:dyDescent="0.2">
      <c r="A590" s="10">
        <v>134</v>
      </c>
      <c r="B590" s="10" t="s">
        <v>102</v>
      </c>
      <c r="C590" s="10">
        <v>12030611</v>
      </c>
      <c r="D590" t="s">
        <v>36</v>
      </c>
      <c r="E590">
        <v>235</v>
      </c>
      <c r="F590" s="45" t="s">
        <v>207</v>
      </c>
      <c r="G590" s="23">
        <v>112.215</v>
      </c>
      <c r="I590" s="10">
        <v>168</v>
      </c>
      <c r="J590" s="44" t="s">
        <v>12</v>
      </c>
      <c r="L590" s="15">
        <f t="shared" si="9"/>
        <v>112.215</v>
      </c>
    </row>
    <row r="591" spans="1:12" x14ac:dyDescent="0.2">
      <c r="A591" s="10">
        <v>18797</v>
      </c>
      <c r="B591" s="10" t="s">
        <v>101</v>
      </c>
      <c r="C591" s="10">
        <v>12030611</v>
      </c>
      <c r="D591" t="s">
        <v>36</v>
      </c>
      <c r="E591">
        <v>235</v>
      </c>
      <c r="F591" s="45" t="s">
        <v>207</v>
      </c>
      <c r="G591" s="23">
        <v>112.215</v>
      </c>
      <c r="I591" s="10">
        <v>426</v>
      </c>
      <c r="J591" s="44" t="s">
        <v>12</v>
      </c>
      <c r="L591" s="15">
        <f t="shared" si="9"/>
        <v>112.215</v>
      </c>
    </row>
    <row r="592" spans="1:12" x14ac:dyDescent="0.2">
      <c r="A592" s="10">
        <v>18822</v>
      </c>
      <c r="B592" s="10" t="s">
        <v>103</v>
      </c>
      <c r="C592" s="10">
        <v>12030611</v>
      </c>
      <c r="D592" t="s">
        <v>36</v>
      </c>
      <c r="E592">
        <v>235</v>
      </c>
      <c r="F592" s="45" t="s">
        <v>207</v>
      </c>
      <c r="G592" s="23">
        <v>112.215</v>
      </c>
      <c r="I592" s="10">
        <v>418</v>
      </c>
      <c r="J592" s="44" t="s">
        <v>12</v>
      </c>
      <c r="L592" s="15">
        <f t="shared" si="9"/>
        <v>112.215</v>
      </c>
    </row>
    <row r="593" spans="1:12" x14ac:dyDescent="0.2">
      <c r="A593" s="10">
        <v>18692</v>
      </c>
      <c r="B593" s="10" t="s">
        <v>40</v>
      </c>
      <c r="C593" s="10">
        <v>12030711</v>
      </c>
      <c r="D593" t="s">
        <v>41</v>
      </c>
      <c r="E593">
        <v>235</v>
      </c>
      <c r="F593" s="45" t="s">
        <v>207</v>
      </c>
      <c r="G593" s="23">
        <v>112.215</v>
      </c>
      <c r="I593" s="10">
        <v>516</v>
      </c>
      <c r="J593" s="44" t="s">
        <v>12</v>
      </c>
      <c r="L593" s="15">
        <f t="shared" si="9"/>
        <v>112.215</v>
      </c>
    </row>
    <row r="594" spans="1:12" x14ac:dyDescent="0.2">
      <c r="A594" s="10">
        <v>18989</v>
      </c>
      <c r="B594" s="10" t="s">
        <v>107</v>
      </c>
      <c r="C594" s="10">
        <v>12030800</v>
      </c>
      <c r="D594" t="s">
        <v>59</v>
      </c>
      <c r="E594">
        <v>235</v>
      </c>
      <c r="F594" s="45" t="s">
        <v>207</v>
      </c>
      <c r="G594" s="23">
        <v>112.215</v>
      </c>
      <c r="I594" s="10">
        <v>398</v>
      </c>
      <c r="J594" s="44" t="s">
        <v>12</v>
      </c>
      <c r="L594" s="15">
        <f t="shared" si="9"/>
        <v>112.215</v>
      </c>
    </row>
    <row r="595" spans="1:12" x14ac:dyDescent="0.2">
      <c r="A595" s="10">
        <v>18916</v>
      </c>
      <c r="B595" s="10" t="s">
        <v>42</v>
      </c>
      <c r="C595" s="10">
        <v>12032511</v>
      </c>
      <c r="D595" t="s">
        <v>43</v>
      </c>
      <c r="E595">
        <v>235</v>
      </c>
      <c r="F595" s="45" t="s">
        <v>207</v>
      </c>
      <c r="G595" s="23">
        <v>112.215</v>
      </c>
      <c r="I595" s="10">
        <v>194</v>
      </c>
      <c r="J595" s="44" t="s">
        <v>12</v>
      </c>
      <c r="L595" s="15">
        <f t="shared" si="9"/>
        <v>112.215</v>
      </c>
    </row>
    <row r="596" spans="1:12" x14ac:dyDescent="0.2">
      <c r="A596" s="10">
        <v>18736</v>
      </c>
      <c r="B596" s="10" t="s">
        <v>70</v>
      </c>
      <c r="C596" s="10">
        <v>12032511</v>
      </c>
      <c r="D596" t="s">
        <v>43</v>
      </c>
      <c r="E596">
        <v>235</v>
      </c>
      <c r="F596" s="45" t="s">
        <v>207</v>
      </c>
      <c r="G596" s="23">
        <v>112.215</v>
      </c>
      <c r="I596" s="10">
        <v>369</v>
      </c>
      <c r="J596" s="44" t="s">
        <v>12</v>
      </c>
      <c r="L596" s="15">
        <f t="shared" si="9"/>
        <v>112.215</v>
      </c>
    </row>
    <row r="597" spans="1:12" x14ac:dyDescent="0.2">
      <c r="A597" s="10">
        <v>19022</v>
      </c>
      <c r="B597" s="10" t="s">
        <v>113</v>
      </c>
      <c r="C597" s="10">
        <v>12033011</v>
      </c>
      <c r="D597" t="s">
        <v>45</v>
      </c>
      <c r="E597">
        <v>235</v>
      </c>
      <c r="F597" s="45" t="s">
        <v>207</v>
      </c>
      <c r="G597" s="23">
        <v>112.215</v>
      </c>
      <c r="I597" s="10">
        <v>234</v>
      </c>
      <c r="J597" s="44" t="s">
        <v>12</v>
      </c>
      <c r="L597" s="15">
        <f t="shared" si="9"/>
        <v>112.215</v>
      </c>
    </row>
    <row r="598" spans="1:12" x14ac:dyDescent="0.2">
      <c r="A598" s="10">
        <v>19011</v>
      </c>
      <c r="B598" s="10" t="s">
        <v>111</v>
      </c>
      <c r="C598" s="10">
        <v>12033011</v>
      </c>
      <c r="D598" t="s">
        <v>45</v>
      </c>
      <c r="E598">
        <v>235</v>
      </c>
      <c r="F598" s="45" t="s">
        <v>207</v>
      </c>
      <c r="G598" s="23">
        <v>112.215</v>
      </c>
      <c r="I598" s="10">
        <v>370</v>
      </c>
      <c r="J598" s="44" t="s">
        <v>12</v>
      </c>
      <c r="L598" s="15">
        <f t="shared" si="9"/>
        <v>112.215</v>
      </c>
    </row>
    <row r="599" spans="1:12" x14ac:dyDescent="0.2">
      <c r="A599" s="10">
        <v>19028</v>
      </c>
      <c r="B599" s="10" t="s">
        <v>367</v>
      </c>
      <c r="C599" s="10">
        <v>12033011</v>
      </c>
      <c r="D599" t="s">
        <v>45</v>
      </c>
      <c r="E599">
        <v>235</v>
      </c>
      <c r="F599" s="45" t="s">
        <v>207</v>
      </c>
      <c r="G599" s="23">
        <v>112.215</v>
      </c>
      <c r="I599" s="10">
        <v>464</v>
      </c>
      <c r="J599" s="44" t="s">
        <v>12</v>
      </c>
      <c r="L599" s="15">
        <f t="shared" si="9"/>
        <v>112.215</v>
      </c>
    </row>
    <row r="600" spans="1:12" x14ac:dyDescent="0.2">
      <c r="A600" s="10">
        <v>18607</v>
      </c>
      <c r="B600" s="10" t="s">
        <v>109</v>
      </c>
      <c r="C600" s="10">
        <v>12033011</v>
      </c>
      <c r="D600" t="s">
        <v>45</v>
      </c>
      <c r="E600">
        <v>235</v>
      </c>
      <c r="F600" s="45" t="s">
        <v>207</v>
      </c>
      <c r="G600" s="23">
        <v>112.215</v>
      </c>
      <c r="I600" s="10">
        <v>452</v>
      </c>
      <c r="J600" s="44" t="s">
        <v>12</v>
      </c>
      <c r="L600" s="15">
        <f t="shared" si="9"/>
        <v>112.215</v>
      </c>
    </row>
    <row r="601" spans="1:12" x14ac:dyDescent="0.2">
      <c r="A601" s="10">
        <v>19009</v>
      </c>
      <c r="B601" s="10" t="s">
        <v>117</v>
      </c>
      <c r="C601" s="10">
        <v>12033011</v>
      </c>
      <c r="D601" t="s">
        <v>45</v>
      </c>
      <c r="E601">
        <v>235</v>
      </c>
      <c r="F601" s="45" t="s">
        <v>207</v>
      </c>
      <c r="G601" s="23">
        <v>112.215</v>
      </c>
      <c r="I601" s="10">
        <v>426</v>
      </c>
      <c r="J601" s="44" t="s">
        <v>12</v>
      </c>
      <c r="L601" s="15">
        <f t="shared" ref="L601:L664" si="10">G601</f>
        <v>112.215</v>
      </c>
    </row>
    <row r="602" spans="1:12" x14ac:dyDescent="0.2">
      <c r="A602" s="10">
        <v>18679</v>
      </c>
      <c r="B602" s="10" t="s">
        <v>114</v>
      </c>
      <c r="C602" s="10">
        <v>12033011</v>
      </c>
      <c r="D602" t="s">
        <v>45</v>
      </c>
      <c r="E602">
        <v>235</v>
      </c>
      <c r="F602" s="45" t="s">
        <v>207</v>
      </c>
      <c r="G602" s="23">
        <v>112.215</v>
      </c>
      <c r="I602" s="10">
        <v>234</v>
      </c>
      <c r="J602" s="44" t="s">
        <v>12</v>
      </c>
      <c r="L602" s="15">
        <f t="shared" si="10"/>
        <v>112.215</v>
      </c>
    </row>
    <row r="603" spans="1:12" x14ac:dyDescent="0.2">
      <c r="A603" s="10">
        <v>18829</v>
      </c>
      <c r="B603" s="10" t="s">
        <v>115</v>
      </c>
      <c r="C603" s="10">
        <v>12033011</v>
      </c>
      <c r="D603" t="s">
        <v>45</v>
      </c>
      <c r="E603">
        <v>235</v>
      </c>
      <c r="F603" s="45" t="s">
        <v>207</v>
      </c>
      <c r="G603" s="23">
        <v>112.215</v>
      </c>
      <c r="I603" s="10">
        <v>662</v>
      </c>
      <c r="J603" s="44" t="s">
        <v>12</v>
      </c>
      <c r="L603" s="15">
        <f t="shared" si="10"/>
        <v>112.215</v>
      </c>
    </row>
    <row r="604" spans="1:12" x14ac:dyDescent="0.2">
      <c r="A604" s="10">
        <v>19017</v>
      </c>
      <c r="B604" s="10" t="s">
        <v>65</v>
      </c>
      <c r="C604" s="10">
        <v>12033011</v>
      </c>
      <c r="D604" t="s">
        <v>45</v>
      </c>
      <c r="E604">
        <v>235</v>
      </c>
      <c r="F604" s="45" t="s">
        <v>207</v>
      </c>
      <c r="G604" s="23">
        <v>112.215</v>
      </c>
      <c r="I604" s="10">
        <v>190</v>
      </c>
      <c r="J604" s="44" t="s">
        <v>12</v>
      </c>
      <c r="L604" s="15">
        <f t="shared" si="10"/>
        <v>112.215</v>
      </c>
    </row>
    <row r="605" spans="1:12" x14ac:dyDescent="0.2">
      <c r="A605" s="10">
        <v>18932</v>
      </c>
      <c r="B605" s="10" t="s">
        <v>44</v>
      </c>
      <c r="C605" s="10">
        <v>12033011</v>
      </c>
      <c r="D605" t="s">
        <v>45</v>
      </c>
      <c r="E605">
        <v>235</v>
      </c>
      <c r="F605" s="45" t="s">
        <v>207</v>
      </c>
      <c r="G605" s="23">
        <v>112.215</v>
      </c>
      <c r="I605" s="10">
        <v>614</v>
      </c>
      <c r="J605" s="44" t="s">
        <v>12</v>
      </c>
      <c r="L605" s="15">
        <f t="shared" si="10"/>
        <v>112.215</v>
      </c>
    </row>
    <row r="606" spans="1:12" x14ac:dyDescent="0.2">
      <c r="A606" s="10">
        <v>19015</v>
      </c>
      <c r="B606" s="10" t="s">
        <v>116</v>
      </c>
      <c r="C606" s="10">
        <v>12033011</v>
      </c>
      <c r="D606" t="s">
        <v>45</v>
      </c>
      <c r="E606">
        <v>235</v>
      </c>
      <c r="F606" s="45" t="s">
        <v>207</v>
      </c>
      <c r="G606" s="23">
        <v>112.215</v>
      </c>
      <c r="I606" s="10">
        <v>544</v>
      </c>
      <c r="J606" s="44" t="s">
        <v>12</v>
      </c>
      <c r="L606" s="15">
        <f t="shared" si="10"/>
        <v>112.215</v>
      </c>
    </row>
    <row r="607" spans="1:12" x14ac:dyDescent="0.2">
      <c r="A607" s="10">
        <v>18923</v>
      </c>
      <c r="B607" s="10" t="s">
        <v>46</v>
      </c>
      <c r="C607" s="10">
        <v>12033011</v>
      </c>
      <c r="D607" t="s">
        <v>45</v>
      </c>
      <c r="E607">
        <v>235</v>
      </c>
      <c r="F607" s="45" t="s">
        <v>207</v>
      </c>
      <c r="G607" s="23">
        <v>112.215</v>
      </c>
      <c r="I607" s="10">
        <v>212</v>
      </c>
      <c r="J607" s="44" t="s">
        <v>12</v>
      </c>
      <c r="L607" s="15">
        <f t="shared" si="10"/>
        <v>112.215</v>
      </c>
    </row>
    <row r="608" spans="1:12" x14ac:dyDescent="0.2">
      <c r="A608" s="10">
        <v>19019</v>
      </c>
      <c r="B608" s="10" t="s">
        <v>108</v>
      </c>
      <c r="C608" s="10">
        <v>12033011</v>
      </c>
      <c r="D608" t="s">
        <v>45</v>
      </c>
      <c r="E608">
        <v>235</v>
      </c>
      <c r="F608" s="45" t="s">
        <v>207</v>
      </c>
      <c r="G608" s="23">
        <v>112.215</v>
      </c>
      <c r="I608" s="10">
        <v>510</v>
      </c>
      <c r="J608" s="44" t="s">
        <v>12</v>
      </c>
      <c r="L608" s="15">
        <f t="shared" si="10"/>
        <v>112.215</v>
      </c>
    </row>
    <row r="609" spans="1:12" x14ac:dyDescent="0.2">
      <c r="A609" s="10">
        <v>19008</v>
      </c>
      <c r="B609" s="10" t="s">
        <v>118</v>
      </c>
      <c r="C609" s="10">
        <v>12033011</v>
      </c>
      <c r="D609" t="s">
        <v>45</v>
      </c>
      <c r="E609">
        <v>235</v>
      </c>
      <c r="F609" s="45" t="s">
        <v>207</v>
      </c>
      <c r="G609" s="23">
        <v>112.215</v>
      </c>
      <c r="I609" s="10">
        <v>152</v>
      </c>
      <c r="J609" s="44" t="s">
        <v>12</v>
      </c>
      <c r="L609" s="15">
        <f t="shared" si="10"/>
        <v>112.215</v>
      </c>
    </row>
    <row r="610" spans="1:12" x14ac:dyDescent="0.2">
      <c r="A610" s="10">
        <v>18983</v>
      </c>
      <c r="B610" s="10" t="s">
        <v>112</v>
      </c>
      <c r="C610" s="10">
        <v>12033011</v>
      </c>
      <c r="D610" t="s">
        <v>45</v>
      </c>
      <c r="E610">
        <v>235</v>
      </c>
      <c r="F610" s="45" t="s">
        <v>207</v>
      </c>
      <c r="G610" s="23">
        <v>112.215</v>
      </c>
      <c r="I610" s="10">
        <v>254</v>
      </c>
      <c r="J610" s="44" t="s">
        <v>12</v>
      </c>
      <c r="L610" s="15">
        <f t="shared" si="10"/>
        <v>112.215</v>
      </c>
    </row>
    <row r="611" spans="1:12" x14ac:dyDescent="0.2">
      <c r="A611" s="10">
        <v>19012</v>
      </c>
      <c r="B611" s="10" t="s">
        <v>110</v>
      </c>
      <c r="C611" s="10">
        <v>12033011</v>
      </c>
      <c r="D611" t="s">
        <v>45</v>
      </c>
      <c r="E611">
        <v>235</v>
      </c>
      <c r="F611" s="45" t="s">
        <v>207</v>
      </c>
      <c r="G611" s="23">
        <v>112.215</v>
      </c>
      <c r="I611" s="10">
        <v>328</v>
      </c>
      <c r="J611" s="44" t="s">
        <v>12</v>
      </c>
      <c r="L611" s="15">
        <f t="shared" si="10"/>
        <v>112.215</v>
      </c>
    </row>
    <row r="612" spans="1:12" x14ac:dyDescent="0.2">
      <c r="A612" s="10">
        <v>19030</v>
      </c>
      <c r="B612" s="10" t="s">
        <v>364</v>
      </c>
      <c r="C612" s="10">
        <v>12033011</v>
      </c>
      <c r="D612" t="s">
        <v>45</v>
      </c>
      <c r="E612">
        <v>235</v>
      </c>
      <c r="F612" s="45" t="s">
        <v>207</v>
      </c>
      <c r="G612" s="23">
        <v>112.215</v>
      </c>
      <c r="I612" s="10">
        <v>216</v>
      </c>
      <c r="J612" s="44" t="s">
        <v>12</v>
      </c>
      <c r="L612" s="15">
        <f t="shared" si="10"/>
        <v>112.215</v>
      </c>
    </row>
    <row r="613" spans="1:12" x14ac:dyDescent="0.2">
      <c r="A613" s="10">
        <v>19029</v>
      </c>
      <c r="B613" s="10" t="s">
        <v>366</v>
      </c>
      <c r="C613" s="10">
        <v>12033011</v>
      </c>
      <c r="D613" t="s">
        <v>45</v>
      </c>
      <c r="E613">
        <v>235</v>
      </c>
      <c r="F613" s="45" t="s">
        <v>207</v>
      </c>
      <c r="G613" s="23">
        <v>112.215</v>
      </c>
      <c r="I613" s="10">
        <v>524</v>
      </c>
      <c r="J613" s="44" t="s">
        <v>12</v>
      </c>
      <c r="L613" s="15">
        <f t="shared" si="10"/>
        <v>112.215</v>
      </c>
    </row>
    <row r="614" spans="1:12" x14ac:dyDescent="0.2">
      <c r="A614" s="10">
        <v>18998</v>
      </c>
      <c r="B614" s="10" t="s">
        <v>47</v>
      </c>
      <c r="C614" s="10">
        <v>12038099</v>
      </c>
      <c r="D614" t="s">
        <v>48</v>
      </c>
      <c r="E614">
        <v>235</v>
      </c>
      <c r="F614" s="45" t="s">
        <v>207</v>
      </c>
      <c r="G614" s="23">
        <v>112.215</v>
      </c>
      <c r="I614" s="10">
        <v>1082</v>
      </c>
      <c r="J614" s="44" t="s">
        <v>12</v>
      </c>
      <c r="L614" s="15">
        <f t="shared" si="10"/>
        <v>112.215</v>
      </c>
    </row>
    <row r="615" spans="1:12" x14ac:dyDescent="0.2">
      <c r="A615" s="10">
        <v>115</v>
      </c>
      <c r="B615" s="10" t="s">
        <v>196</v>
      </c>
      <c r="C615" s="10">
        <v>12040400</v>
      </c>
      <c r="D615" t="s">
        <v>197</v>
      </c>
      <c r="E615">
        <v>235</v>
      </c>
      <c r="F615" s="45" t="s">
        <v>207</v>
      </c>
      <c r="G615" s="23">
        <v>112.215</v>
      </c>
      <c r="I615" s="10">
        <v>676</v>
      </c>
      <c r="J615" s="44" t="s">
        <v>12</v>
      </c>
      <c r="L615" s="15">
        <f t="shared" si="10"/>
        <v>112.215</v>
      </c>
    </row>
    <row r="616" spans="1:12" x14ac:dyDescent="0.2">
      <c r="A616" s="10">
        <v>18649</v>
      </c>
      <c r="B616" s="10" t="s">
        <v>152</v>
      </c>
      <c r="C616" s="10">
        <v>12040500</v>
      </c>
      <c r="D616" t="s">
        <v>67</v>
      </c>
      <c r="E616">
        <v>235</v>
      </c>
      <c r="F616" s="45" t="s">
        <v>207</v>
      </c>
      <c r="G616" s="23">
        <v>112.215</v>
      </c>
      <c r="I616" s="10">
        <v>796</v>
      </c>
      <c r="J616" s="44" t="s">
        <v>12</v>
      </c>
      <c r="L616" s="15">
        <f t="shared" si="10"/>
        <v>112.215</v>
      </c>
    </row>
    <row r="617" spans="1:12" x14ac:dyDescent="0.2">
      <c r="A617" s="10">
        <v>19020</v>
      </c>
      <c r="B617" s="10" t="s">
        <v>66</v>
      </c>
      <c r="C617" s="10">
        <v>12040500</v>
      </c>
      <c r="D617" t="s">
        <v>67</v>
      </c>
      <c r="E617">
        <v>235</v>
      </c>
      <c r="F617" s="45" t="s">
        <v>207</v>
      </c>
      <c r="G617" s="23">
        <v>112.215</v>
      </c>
      <c r="I617" s="10">
        <v>334</v>
      </c>
      <c r="J617" s="44" t="s">
        <v>12</v>
      </c>
      <c r="L617" s="15">
        <f t="shared" si="10"/>
        <v>112.215</v>
      </c>
    </row>
    <row r="618" spans="1:12" x14ac:dyDescent="0.2">
      <c r="A618" s="10">
        <v>18904</v>
      </c>
      <c r="B618" s="10" t="s">
        <v>119</v>
      </c>
      <c r="C618" s="10">
        <v>12040800</v>
      </c>
      <c r="D618" t="s">
        <v>120</v>
      </c>
      <c r="E618">
        <v>235</v>
      </c>
      <c r="F618" s="45" t="s">
        <v>207</v>
      </c>
      <c r="G618" s="23">
        <v>112.215</v>
      </c>
      <c r="I618" s="10">
        <v>320</v>
      </c>
      <c r="J618" s="44" t="s">
        <v>12</v>
      </c>
      <c r="L618" s="15">
        <f t="shared" si="10"/>
        <v>112.215</v>
      </c>
    </row>
    <row r="619" spans="1:12" x14ac:dyDescent="0.2">
      <c r="A619" s="10">
        <v>18839</v>
      </c>
      <c r="B619" s="10" t="s">
        <v>198</v>
      </c>
      <c r="C619" s="10">
        <v>12040800</v>
      </c>
      <c r="D619" t="s">
        <v>120</v>
      </c>
      <c r="E619">
        <v>235</v>
      </c>
      <c r="F619" s="45" t="s">
        <v>207</v>
      </c>
      <c r="G619" s="23">
        <v>112.215</v>
      </c>
      <c r="I619" s="10">
        <v>116</v>
      </c>
      <c r="J619" s="44" t="s">
        <v>12</v>
      </c>
      <c r="L619" s="15">
        <f t="shared" si="10"/>
        <v>112.215</v>
      </c>
    </row>
    <row r="620" spans="1:12" x14ac:dyDescent="0.2">
      <c r="A620" s="10">
        <v>18650</v>
      </c>
      <c r="B620" s="10" t="s">
        <v>49</v>
      </c>
      <c r="C620" s="10">
        <v>12042511</v>
      </c>
      <c r="D620" t="s">
        <v>50</v>
      </c>
      <c r="E620">
        <v>235</v>
      </c>
      <c r="F620" s="45" t="s">
        <v>207</v>
      </c>
      <c r="G620" s="23">
        <v>112.215</v>
      </c>
      <c r="I620" s="10">
        <v>268</v>
      </c>
      <c r="J620" s="44" t="s">
        <v>12</v>
      </c>
      <c r="L620" s="15">
        <f t="shared" si="10"/>
        <v>112.215</v>
      </c>
    </row>
    <row r="621" spans="1:12" x14ac:dyDescent="0.2">
      <c r="A621" s="10">
        <v>18944</v>
      </c>
      <c r="B621" s="10" t="s">
        <v>199</v>
      </c>
      <c r="C621" s="10">
        <v>12043011</v>
      </c>
      <c r="D621" t="s">
        <v>52</v>
      </c>
      <c r="E621">
        <v>235</v>
      </c>
      <c r="F621" s="45" t="s">
        <v>207</v>
      </c>
      <c r="G621" s="23">
        <v>112.215</v>
      </c>
      <c r="I621" s="10">
        <v>574</v>
      </c>
      <c r="J621" s="44" t="s">
        <v>12</v>
      </c>
      <c r="L621" s="15">
        <f t="shared" si="10"/>
        <v>112.215</v>
      </c>
    </row>
    <row r="622" spans="1:12" x14ac:dyDescent="0.2">
      <c r="A622" s="10">
        <v>19023</v>
      </c>
      <c r="B622" s="10" t="s">
        <v>69</v>
      </c>
      <c r="C622" s="10">
        <v>12043011</v>
      </c>
      <c r="D622" t="s">
        <v>52</v>
      </c>
      <c r="E622">
        <v>235</v>
      </c>
      <c r="F622" s="45" t="s">
        <v>207</v>
      </c>
      <c r="G622" s="23">
        <v>112.215</v>
      </c>
      <c r="I622" s="10">
        <v>60</v>
      </c>
      <c r="J622" s="44" t="s">
        <v>12</v>
      </c>
      <c r="L622" s="15">
        <f t="shared" si="10"/>
        <v>112.215</v>
      </c>
    </row>
    <row r="623" spans="1:12" x14ac:dyDescent="0.2">
      <c r="A623" s="10">
        <v>18850</v>
      </c>
      <c r="B623" s="10" t="s">
        <v>123</v>
      </c>
      <c r="C623" s="10">
        <v>12043011</v>
      </c>
      <c r="D623" t="s">
        <v>52</v>
      </c>
      <c r="E623">
        <v>235</v>
      </c>
      <c r="F623" s="45" t="s">
        <v>207</v>
      </c>
      <c r="G623" s="23">
        <v>112.215</v>
      </c>
      <c r="I623" s="10">
        <v>442</v>
      </c>
      <c r="J623" s="44" t="s">
        <v>12</v>
      </c>
      <c r="L623" s="15">
        <f t="shared" si="10"/>
        <v>112.215</v>
      </c>
    </row>
    <row r="624" spans="1:12" x14ac:dyDescent="0.2">
      <c r="A624" s="10">
        <v>18942</v>
      </c>
      <c r="B624" s="10" t="s">
        <v>51</v>
      </c>
      <c r="C624" s="10">
        <v>12043011</v>
      </c>
      <c r="D624" t="s">
        <v>52</v>
      </c>
      <c r="E624">
        <v>235</v>
      </c>
      <c r="F624" s="45" t="s">
        <v>207</v>
      </c>
      <c r="G624" s="23">
        <v>112.215</v>
      </c>
      <c r="I624" s="10">
        <v>476</v>
      </c>
      <c r="J624" s="44" t="s">
        <v>12</v>
      </c>
      <c r="L624" s="15">
        <f t="shared" si="10"/>
        <v>112.215</v>
      </c>
    </row>
    <row r="625" spans="1:12" x14ac:dyDescent="0.2">
      <c r="A625" s="10">
        <v>18986</v>
      </c>
      <c r="B625" s="10" t="s">
        <v>153</v>
      </c>
      <c r="C625" s="10">
        <v>12043011</v>
      </c>
      <c r="D625" t="s">
        <v>52</v>
      </c>
      <c r="E625">
        <v>235</v>
      </c>
      <c r="F625" s="45" t="s">
        <v>207</v>
      </c>
      <c r="G625" s="23">
        <v>112.215</v>
      </c>
      <c r="I625" s="10">
        <v>346</v>
      </c>
      <c r="J625" s="44" t="s">
        <v>12</v>
      </c>
      <c r="L625" s="15">
        <f t="shared" si="10"/>
        <v>112.215</v>
      </c>
    </row>
    <row r="626" spans="1:12" x14ac:dyDescent="0.2">
      <c r="A626" s="10">
        <v>18924</v>
      </c>
      <c r="B626" s="10" t="s">
        <v>121</v>
      </c>
      <c r="C626" s="10">
        <v>12043011</v>
      </c>
      <c r="D626" t="s">
        <v>52</v>
      </c>
      <c r="E626">
        <v>235</v>
      </c>
      <c r="F626" s="45" t="s">
        <v>207</v>
      </c>
      <c r="G626" s="23">
        <v>112.215</v>
      </c>
      <c r="I626" s="10">
        <v>98</v>
      </c>
      <c r="J626" s="44" t="s">
        <v>12</v>
      </c>
      <c r="L626" s="15">
        <f t="shared" si="10"/>
        <v>112.215</v>
      </c>
    </row>
    <row r="627" spans="1:12" x14ac:dyDescent="0.2">
      <c r="A627" s="10">
        <v>18713</v>
      </c>
      <c r="B627" s="10" t="s">
        <v>154</v>
      </c>
      <c r="C627" s="10">
        <v>12043011</v>
      </c>
      <c r="D627" t="s">
        <v>52</v>
      </c>
      <c r="E627">
        <v>235</v>
      </c>
      <c r="F627" s="45" t="s">
        <v>207</v>
      </c>
      <c r="G627" s="23">
        <v>112.215</v>
      </c>
      <c r="I627" s="10">
        <v>802</v>
      </c>
      <c r="J627" s="44" t="s">
        <v>12</v>
      </c>
      <c r="L627" s="15">
        <f t="shared" si="10"/>
        <v>112.215</v>
      </c>
    </row>
    <row r="628" spans="1:12" x14ac:dyDescent="0.2">
      <c r="A628" s="10">
        <v>18646</v>
      </c>
      <c r="B628" s="10" t="s">
        <v>124</v>
      </c>
      <c r="C628" s="10">
        <v>12043011</v>
      </c>
      <c r="D628" t="s">
        <v>52</v>
      </c>
      <c r="E628">
        <v>235</v>
      </c>
      <c r="F628" s="45" t="s">
        <v>207</v>
      </c>
      <c r="G628" s="23">
        <v>112.215</v>
      </c>
      <c r="I628" s="10">
        <v>176</v>
      </c>
      <c r="J628" s="44" t="s">
        <v>12</v>
      </c>
      <c r="L628" s="15">
        <f t="shared" si="10"/>
        <v>112.215</v>
      </c>
    </row>
    <row r="629" spans="1:12" x14ac:dyDescent="0.2">
      <c r="A629" s="10">
        <v>18703</v>
      </c>
      <c r="B629" s="10" t="s">
        <v>126</v>
      </c>
      <c r="C629" s="10">
        <v>12043011</v>
      </c>
      <c r="D629" t="s">
        <v>52</v>
      </c>
      <c r="E629">
        <v>235</v>
      </c>
      <c r="F629" s="45" t="s">
        <v>207</v>
      </c>
      <c r="G629" s="23">
        <v>112.215</v>
      </c>
      <c r="I629" s="10">
        <v>514</v>
      </c>
      <c r="J629" s="44" t="s">
        <v>12</v>
      </c>
      <c r="L629" s="15">
        <f t="shared" si="10"/>
        <v>112.215</v>
      </c>
    </row>
    <row r="630" spans="1:12" x14ac:dyDescent="0.2">
      <c r="A630" s="10">
        <v>18858</v>
      </c>
      <c r="B630" s="10" t="s">
        <v>122</v>
      </c>
      <c r="C630" s="10">
        <v>12043011</v>
      </c>
      <c r="D630" t="s">
        <v>52</v>
      </c>
      <c r="E630">
        <v>235</v>
      </c>
      <c r="F630" s="45" t="s">
        <v>207</v>
      </c>
      <c r="G630" s="23">
        <v>112.215</v>
      </c>
      <c r="I630" s="10">
        <v>400</v>
      </c>
      <c r="J630" s="44" t="s">
        <v>12</v>
      </c>
      <c r="L630" s="15">
        <f t="shared" si="10"/>
        <v>112.215</v>
      </c>
    </row>
    <row r="631" spans="1:12" x14ac:dyDescent="0.2">
      <c r="A631" s="10">
        <v>18990</v>
      </c>
      <c r="B631" s="10" t="s">
        <v>125</v>
      </c>
      <c r="C631" s="10">
        <v>12043011</v>
      </c>
      <c r="D631" t="s">
        <v>52</v>
      </c>
      <c r="E631">
        <v>235</v>
      </c>
      <c r="F631" s="45" t="s">
        <v>207</v>
      </c>
      <c r="G631" s="23">
        <v>112.215</v>
      </c>
      <c r="I631" s="10">
        <v>268</v>
      </c>
      <c r="J631" s="44" t="s">
        <v>12</v>
      </c>
      <c r="L631" s="15">
        <f t="shared" si="10"/>
        <v>112.215</v>
      </c>
    </row>
    <row r="632" spans="1:12" x14ac:dyDescent="0.2">
      <c r="A632" s="10">
        <v>18970</v>
      </c>
      <c r="B632" s="10" t="s">
        <v>200</v>
      </c>
      <c r="C632" s="10">
        <v>12043123</v>
      </c>
      <c r="D632" t="s">
        <v>201</v>
      </c>
      <c r="E632">
        <v>235</v>
      </c>
      <c r="F632" s="45" t="s">
        <v>207</v>
      </c>
      <c r="G632" s="23">
        <v>112.215</v>
      </c>
      <c r="I632" s="10">
        <v>164</v>
      </c>
      <c r="J632" s="44" t="s">
        <v>12</v>
      </c>
      <c r="L632" s="15">
        <f t="shared" si="10"/>
        <v>112.215</v>
      </c>
    </row>
    <row r="633" spans="1:12" x14ac:dyDescent="0.2">
      <c r="A633" s="10">
        <v>18976</v>
      </c>
      <c r="B633" s="10" t="s">
        <v>202</v>
      </c>
      <c r="C633" s="10">
        <v>12048099</v>
      </c>
      <c r="D633" t="s">
        <v>156</v>
      </c>
      <c r="E633">
        <v>235</v>
      </c>
      <c r="F633" s="45" t="s">
        <v>207</v>
      </c>
      <c r="G633" s="23">
        <v>112.215</v>
      </c>
      <c r="I633" s="10">
        <v>390</v>
      </c>
      <c r="J633" s="44" t="s">
        <v>12</v>
      </c>
      <c r="L633" s="15">
        <f t="shared" si="10"/>
        <v>112.215</v>
      </c>
    </row>
    <row r="634" spans="1:12" x14ac:dyDescent="0.2">
      <c r="A634" s="10">
        <v>19001</v>
      </c>
      <c r="B634" s="10" t="s">
        <v>155</v>
      </c>
      <c r="C634" s="10">
        <v>12048099</v>
      </c>
      <c r="D634" t="s">
        <v>156</v>
      </c>
      <c r="E634">
        <v>235</v>
      </c>
      <c r="F634" s="45" t="s">
        <v>207</v>
      </c>
      <c r="G634" s="23">
        <v>112.215</v>
      </c>
      <c r="I634" s="10">
        <v>1068</v>
      </c>
      <c r="J634" s="44" t="s">
        <v>12</v>
      </c>
      <c r="L634" s="15">
        <f t="shared" si="10"/>
        <v>112.215</v>
      </c>
    </row>
    <row r="635" spans="1:12" x14ac:dyDescent="0.2">
      <c r="A635" s="10">
        <v>19031</v>
      </c>
      <c r="B635" s="10" t="s">
        <v>387</v>
      </c>
      <c r="C635" s="10">
        <v>12048099</v>
      </c>
      <c r="D635" t="s">
        <v>156</v>
      </c>
      <c r="E635">
        <v>235</v>
      </c>
      <c r="F635" s="45" t="s">
        <v>207</v>
      </c>
      <c r="G635" s="23">
        <v>112.215</v>
      </c>
      <c r="I635" s="10">
        <v>592</v>
      </c>
      <c r="J635" s="44" t="s">
        <v>12</v>
      </c>
      <c r="L635" s="15">
        <f t="shared" si="10"/>
        <v>112.215</v>
      </c>
    </row>
    <row r="636" spans="1:12" x14ac:dyDescent="0.2">
      <c r="A636" s="10">
        <v>18442</v>
      </c>
      <c r="B636" s="10" t="s">
        <v>157</v>
      </c>
      <c r="C636" s="10">
        <v>12060400</v>
      </c>
      <c r="D636" t="s">
        <v>158</v>
      </c>
      <c r="E636">
        <v>235</v>
      </c>
      <c r="F636" s="45" t="s">
        <v>207</v>
      </c>
      <c r="G636" s="23">
        <v>112.215</v>
      </c>
      <c r="I636" s="10">
        <v>390</v>
      </c>
      <c r="J636" s="44" t="s">
        <v>12</v>
      </c>
      <c r="L636" s="15">
        <f t="shared" si="10"/>
        <v>112.215</v>
      </c>
    </row>
    <row r="637" spans="1:12" x14ac:dyDescent="0.2">
      <c r="A637" s="10">
        <v>18634</v>
      </c>
      <c r="B637" s="10" t="s">
        <v>129</v>
      </c>
      <c r="C637" s="10">
        <v>12060611</v>
      </c>
      <c r="D637" t="s">
        <v>54</v>
      </c>
      <c r="E637">
        <v>235</v>
      </c>
      <c r="F637" s="45" t="s">
        <v>207</v>
      </c>
      <c r="G637" s="23">
        <v>112.215</v>
      </c>
      <c r="I637" s="10">
        <v>122</v>
      </c>
      <c r="J637" s="44" t="s">
        <v>12</v>
      </c>
      <c r="L637" s="15">
        <f t="shared" si="10"/>
        <v>112.215</v>
      </c>
    </row>
    <row r="638" spans="1:12" x14ac:dyDescent="0.2">
      <c r="A638" s="10">
        <v>18790</v>
      </c>
      <c r="B638" s="10" t="s">
        <v>131</v>
      </c>
      <c r="C638" s="10">
        <v>12060611</v>
      </c>
      <c r="D638" t="s">
        <v>54</v>
      </c>
      <c r="E638">
        <v>235</v>
      </c>
      <c r="F638" s="45" t="s">
        <v>207</v>
      </c>
      <c r="G638" s="23">
        <v>112.215</v>
      </c>
      <c r="I638" s="10">
        <v>190</v>
      </c>
      <c r="J638" s="44" t="s">
        <v>12</v>
      </c>
      <c r="L638" s="15">
        <f t="shared" si="10"/>
        <v>112.215</v>
      </c>
    </row>
    <row r="639" spans="1:12" x14ac:dyDescent="0.2">
      <c r="A639" s="10">
        <v>18898</v>
      </c>
      <c r="B639" s="10" t="s">
        <v>130</v>
      </c>
      <c r="C639" s="10">
        <v>12060611</v>
      </c>
      <c r="D639" t="s">
        <v>54</v>
      </c>
      <c r="E639">
        <v>235</v>
      </c>
      <c r="F639" s="45" t="s">
        <v>207</v>
      </c>
      <c r="G639" s="23">
        <v>112.215</v>
      </c>
      <c r="I639" s="10">
        <v>310</v>
      </c>
      <c r="J639" s="44" t="s">
        <v>12</v>
      </c>
      <c r="L639" s="15">
        <f t="shared" si="10"/>
        <v>112.215</v>
      </c>
    </row>
    <row r="640" spans="1:12" x14ac:dyDescent="0.2">
      <c r="A640" s="10">
        <v>18996</v>
      </c>
      <c r="B640" s="10" t="s">
        <v>127</v>
      </c>
      <c r="C640" s="10">
        <v>12060611</v>
      </c>
      <c r="D640" t="s">
        <v>54</v>
      </c>
      <c r="E640">
        <v>235</v>
      </c>
      <c r="F640" s="45" t="s">
        <v>207</v>
      </c>
      <c r="G640" s="23">
        <v>112.215</v>
      </c>
      <c r="I640" s="10">
        <v>294</v>
      </c>
      <c r="J640" s="44" t="s">
        <v>12</v>
      </c>
      <c r="L640" s="15">
        <f t="shared" si="10"/>
        <v>112.215</v>
      </c>
    </row>
    <row r="641" spans="1:12" x14ac:dyDescent="0.2">
      <c r="A641" s="10">
        <v>18823</v>
      </c>
      <c r="B641" s="10" t="s">
        <v>53</v>
      </c>
      <c r="C641" s="10">
        <v>12060611</v>
      </c>
      <c r="D641" t="s">
        <v>54</v>
      </c>
      <c r="E641">
        <v>235</v>
      </c>
      <c r="F641" s="45" t="s">
        <v>207</v>
      </c>
      <c r="G641" s="23">
        <v>112.215</v>
      </c>
      <c r="I641" s="10">
        <v>298</v>
      </c>
      <c r="J641" s="44" t="s">
        <v>12</v>
      </c>
      <c r="L641" s="15">
        <f t="shared" si="10"/>
        <v>112.215</v>
      </c>
    </row>
    <row r="642" spans="1:12" x14ac:dyDescent="0.2">
      <c r="A642" s="10">
        <v>18895</v>
      </c>
      <c r="B642" s="10" t="s">
        <v>128</v>
      </c>
      <c r="C642" s="10">
        <v>12060611</v>
      </c>
      <c r="D642" t="s">
        <v>54</v>
      </c>
      <c r="E642">
        <v>235</v>
      </c>
      <c r="F642" s="45" t="s">
        <v>207</v>
      </c>
      <c r="G642" s="23">
        <v>112.215</v>
      </c>
      <c r="I642" s="10">
        <v>228</v>
      </c>
      <c r="J642" s="44" t="s">
        <v>12</v>
      </c>
      <c r="L642" s="15">
        <f t="shared" si="10"/>
        <v>112.215</v>
      </c>
    </row>
    <row r="643" spans="1:12" x14ac:dyDescent="0.2">
      <c r="A643" s="10">
        <v>18927</v>
      </c>
      <c r="B643" s="10" t="s">
        <v>55</v>
      </c>
      <c r="C643" s="10">
        <v>12060611</v>
      </c>
      <c r="D643" t="s">
        <v>54</v>
      </c>
      <c r="E643">
        <v>235</v>
      </c>
      <c r="F643" s="45" t="s">
        <v>207</v>
      </c>
      <c r="G643" s="23">
        <v>112.215</v>
      </c>
      <c r="I643" s="10">
        <v>128</v>
      </c>
      <c r="J643" s="44" t="s">
        <v>12</v>
      </c>
      <c r="L643" s="15">
        <f t="shared" si="10"/>
        <v>112.215</v>
      </c>
    </row>
    <row r="644" spans="1:12" x14ac:dyDescent="0.2">
      <c r="A644" s="10">
        <v>261</v>
      </c>
      <c r="B644" s="10" t="s">
        <v>159</v>
      </c>
      <c r="C644" s="10">
        <v>12060611</v>
      </c>
      <c r="D644" t="s">
        <v>54</v>
      </c>
      <c r="E644">
        <v>235</v>
      </c>
      <c r="F644" s="45" t="s">
        <v>207</v>
      </c>
      <c r="G644" s="23">
        <v>112.215</v>
      </c>
      <c r="I644" s="10">
        <v>644</v>
      </c>
      <c r="J644" s="44" t="s">
        <v>12</v>
      </c>
      <c r="L644" s="15">
        <f t="shared" si="10"/>
        <v>112.215</v>
      </c>
    </row>
    <row r="645" spans="1:12" x14ac:dyDescent="0.2">
      <c r="A645" s="10">
        <v>18791</v>
      </c>
      <c r="B645" s="10" t="s">
        <v>132</v>
      </c>
      <c r="C645" s="10">
        <v>12060711</v>
      </c>
      <c r="D645" t="s">
        <v>133</v>
      </c>
      <c r="E645">
        <v>235</v>
      </c>
      <c r="F645" s="45" t="s">
        <v>207</v>
      </c>
      <c r="G645" s="23">
        <v>112.215</v>
      </c>
      <c r="I645" s="10">
        <v>638</v>
      </c>
      <c r="J645" s="44" t="s">
        <v>12</v>
      </c>
      <c r="L645" s="15">
        <f t="shared" si="10"/>
        <v>112.215</v>
      </c>
    </row>
    <row r="646" spans="1:12" x14ac:dyDescent="0.2">
      <c r="A646" s="10">
        <v>18561</v>
      </c>
      <c r="B646" s="10" t="s">
        <v>134</v>
      </c>
      <c r="C646" s="10">
        <v>12060800</v>
      </c>
      <c r="D646" t="s">
        <v>135</v>
      </c>
      <c r="E646">
        <v>235</v>
      </c>
      <c r="F646" s="45" t="s">
        <v>207</v>
      </c>
      <c r="G646" s="23">
        <v>112.215</v>
      </c>
      <c r="I646" s="10">
        <v>584</v>
      </c>
      <c r="J646" s="44" t="s">
        <v>12</v>
      </c>
      <c r="L646" s="15">
        <f t="shared" si="10"/>
        <v>112.215</v>
      </c>
    </row>
    <row r="647" spans="1:12" x14ac:dyDescent="0.2">
      <c r="A647" s="10">
        <v>18953</v>
      </c>
      <c r="B647" s="10" t="s">
        <v>136</v>
      </c>
      <c r="C647" s="10">
        <v>12060800</v>
      </c>
      <c r="D647" t="s">
        <v>135</v>
      </c>
      <c r="E647">
        <v>235</v>
      </c>
      <c r="F647" s="45" t="s">
        <v>207</v>
      </c>
      <c r="G647" s="23">
        <v>112.215</v>
      </c>
      <c r="I647" s="10">
        <v>284</v>
      </c>
      <c r="J647" s="44" t="s">
        <v>12</v>
      </c>
      <c r="L647" s="15">
        <f t="shared" si="10"/>
        <v>112.215</v>
      </c>
    </row>
    <row r="648" spans="1:12" x14ac:dyDescent="0.2">
      <c r="A648" s="10">
        <v>18792</v>
      </c>
      <c r="B648" s="10" t="s">
        <v>56</v>
      </c>
      <c r="C648" s="10">
        <v>12062511</v>
      </c>
      <c r="D648" t="s">
        <v>57</v>
      </c>
      <c r="E648">
        <v>235</v>
      </c>
      <c r="F648" s="45" t="s">
        <v>207</v>
      </c>
      <c r="G648" s="23">
        <v>112.215</v>
      </c>
      <c r="I648" s="10">
        <v>314</v>
      </c>
      <c r="J648" s="44" t="s">
        <v>12</v>
      </c>
      <c r="L648" s="15">
        <f t="shared" si="10"/>
        <v>112.215</v>
      </c>
    </row>
    <row r="649" spans="1:12" x14ac:dyDescent="0.2">
      <c r="A649" s="10">
        <v>18876</v>
      </c>
      <c r="B649" s="10" t="s">
        <v>160</v>
      </c>
      <c r="C649" s="10">
        <v>12068099</v>
      </c>
      <c r="D649" t="s">
        <v>161</v>
      </c>
      <c r="E649">
        <v>235</v>
      </c>
      <c r="F649" s="45" t="s">
        <v>207</v>
      </c>
      <c r="G649" s="23">
        <v>112.215</v>
      </c>
      <c r="I649" s="10">
        <v>1082</v>
      </c>
      <c r="J649" s="44" t="s">
        <v>12</v>
      </c>
      <c r="L649" s="15">
        <f t="shared" si="10"/>
        <v>112.215</v>
      </c>
    </row>
    <row r="650" spans="1:12" x14ac:dyDescent="0.2">
      <c r="A650" s="10">
        <v>18517</v>
      </c>
      <c r="B650" s="10" t="s">
        <v>140</v>
      </c>
      <c r="C650" s="10">
        <v>12010500</v>
      </c>
      <c r="D650" t="s">
        <v>60</v>
      </c>
      <c r="E650">
        <v>299</v>
      </c>
      <c r="F650" s="45" t="s">
        <v>208</v>
      </c>
      <c r="G650" s="23" t="s">
        <v>206</v>
      </c>
      <c r="I650" s="10">
        <v>3435.39</v>
      </c>
      <c r="J650" s="44" t="s">
        <v>12</v>
      </c>
      <c r="L650" s="15" t="str">
        <f t="shared" si="10"/>
        <v>112.2160.100</v>
      </c>
    </row>
    <row r="651" spans="1:12" x14ac:dyDescent="0.2">
      <c r="A651" s="10">
        <v>18871</v>
      </c>
      <c r="B651" s="10" t="s">
        <v>168</v>
      </c>
      <c r="C651" s="10">
        <v>12010500</v>
      </c>
      <c r="D651" t="s">
        <v>60</v>
      </c>
      <c r="E651">
        <v>299</v>
      </c>
      <c r="F651" s="45" t="s">
        <v>208</v>
      </c>
      <c r="G651" s="23" t="s">
        <v>206</v>
      </c>
      <c r="I651" s="10">
        <v>3136.78</v>
      </c>
      <c r="J651" s="44" t="s">
        <v>12</v>
      </c>
      <c r="L651" s="15" t="str">
        <f t="shared" si="10"/>
        <v>112.2160.100</v>
      </c>
    </row>
    <row r="652" spans="1:12" x14ac:dyDescent="0.2">
      <c r="A652" s="10">
        <v>18647</v>
      </c>
      <c r="B652" s="10" t="s">
        <v>167</v>
      </c>
      <c r="C652" s="10">
        <v>12010500</v>
      </c>
      <c r="D652" t="s">
        <v>60</v>
      </c>
      <c r="E652">
        <v>299</v>
      </c>
      <c r="F652" s="45" t="s">
        <v>208</v>
      </c>
      <c r="G652" s="23" t="s">
        <v>206</v>
      </c>
      <c r="I652" s="10">
        <v>2678.41</v>
      </c>
      <c r="J652" s="44" t="s">
        <v>12</v>
      </c>
      <c r="L652" s="15" t="str">
        <f t="shared" si="10"/>
        <v>112.2160.100</v>
      </c>
    </row>
    <row r="653" spans="1:12" x14ac:dyDescent="0.2">
      <c r="A653" s="10">
        <v>18726</v>
      </c>
      <c r="B653" s="10" t="s">
        <v>162</v>
      </c>
      <c r="C653" s="10">
        <v>12010500</v>
      </c>
      <c r="D653" t="s">
        <v>60</v>
      </c>
      <c r="E653">
        <v>299</v>
      </c>
      <c r="F653" s="45" t="s">
        <v>208</v>
      </c>
      <c r="G653" s="23" t="s">
        <v>206</v>
      </c>
      <c r="I653" s="10">
        <v>2398.23</v>
      </c>
      <c r="J653" s="44" t="s">
        <v>12</v>
      </c>
      <c r="L653" s="15" t="str">
        <f t="shared" si="10"/>
        <v>112.2160.100</v>
      </c>
    </row>
    <row r="654" spans="1:12" x14ac:dyDescent="0.2">
      <c r="A654" s="10">
        <v>18845</v>
      </c>
      <c r="B654" s="10" t="s">
        <v>138</v>
      </c>
      <c r="C654" s="10">
        <v>12010500</v>
      </c>
      <c r="D654" t="s">
        <v>60</v>
      </c>
      <c r="E654">
        <v>299</v>
      </c>
      <c r="F654" s="45" t="s">
        <v>208</v>
      </c>
      <c r="G654" s="23" t="s">
        <v>206</v>
      </c>
      <c r="I654" s="10">
        <v>10605.48</v>
      </c>
      <c r="J654" s="44" t="s">
        <v>12</v>
      </c>
      <c r="L654" s="15" t="str">
        <f t="shared" si="10"/>
        <v>112.2160.100</v>
      </c>
    </row>
    <row r="655" spans="1:12" x14ac:dyDescent="0.2">
      <c r="A655" s="10">
        <v>152</v>
      </c>
      <c r="B655" s="10" t="s">
        <v>169</v>
      </c>
      <c r="C655" s="10">
        <v>12010700</v>
      </c>
      <c r="D655" t="s">
        <v>170</v>
      </c>
      <c r="E655">
        <v>299</v>
      </c>
      <c r="F655" s="45" t="s">
        <v>208</v>
      </c>
      <c r="G655" s="23" t="s">
        <v>206</v>
      </c>
      <c r="I655" s="10">
        <v>2884.16</v>
      </c>
      <c r="J655" s="44" t="s">
        <v>12</v>
      </c>
      <c r="L655" s="15" t="str">
        <f t="shared" si="10"/>
        <v>112.2160.100</v>
      </c>
    </row>
    <row r="656" spans="1:12" x14ac:dyDescent="0.2">
      <c r="A656" s="10">
        <v>19014</v>
      </c>
      <c r="B656" s="10" t="s">
        <v>171</v>
      </c>
      <c r="C656" s="10">
        <v>12013012</v>
      </c>
      <c r="D656" t="s">
        <v>71</v>
      </c>
      <c r="E656">
        <v>299</v>
      </c>
      <c r="F656" s="45" t="s">
        <v>208</v>
      </c>
      <c r="G656" s="23" t="s">
        <v>206</v>
      </c>
      <c r="I656" s="10">
        <v>1926</v>
      </c>
      <c r="J656" s="44" t="s">
        <v>12</v>
      </c>
      <c r="L656" s="15" t="str">
        <f t="shared" si="10"/>
        <v>112.2160.100</v>
      </c>
    </row>
    <row r="657" spans="1:12" x14ac:dyDescent="0.2">
      <c r="A657" s="10">
        <v>18736</v>
      </c>
      <c r="B657" s="10" t="s">
        <v>70</v>
      </c>
      <c r="C657" s="10">
        <v>12013012</v>
      </c>
      <c r="D657" t="s">
        <v>71</v>
      </c>
      <c r="E657">
        <v>299</v>
      </c>
      <c r="F657" s="45" t="s">
        <v>208</v>
      </c>
      <c r="G657" s="23" t="s">
        <v>206</v>
      </c>
      <c r="I657" s="10">
        <v>498.59</v>
      </c>
      <c r="J657" s="44" t="s">
        <v>12</v>
      </c>
      <c r="L657" s="15" t="str">
        <f t="shared" si="10"/>
        <v>112.2160.100</v>
      </c>
    </row>
    <row r="658" spans="1:12" x14ac:dyDescent="0.2">
      <c r="A658" s="10">
        <v>18946</v>
      </c>
      <c r="B658" s="10" t="s">
        <v>13</v>
      </c>
      <c r="C658" s="10">
        <v>12013250</v>
      </c>
      <c r="D658" t="s">
        <v>10</v>
      </c>
      <c r="E658">
        <v>299</v>
      </c>
      <c r="F658" s="45" t="s">
        <v>208</v>
      </c>
      <c r="G658" s="23" t="s">
        <v>206</v>
      </c>
      <c r="I658" s="10">
        <v>1750.42</v>
      </c>
      <c r="J658" s="44" t="s">
        <v>12</v>
      </c>
      <c r="L658" s="15" t="str">
        <f t="shared" si="10"/>
        <v>112.2160.100</v>
      </c>
    </row>
    <row r="659" spans="1:12" x14ac:dyDescent="0.2">
      <c r="A659" s="10">
        <v>18988</v>
      </c>
      <c r="B659" s="10" t="s">
        <v>175</v>
      </c>
      <c r="C659" s="10">
        <v>12013250</v>
      </c>
      <c r="D659" t="s">
        <v>10</v>
      </c>
      <c r="E659">
        <v>299</v>
      </c>
      <c r="F659" s="45" t="s">
        <v>208</v>
      </c>
      <c r="G659" s="23" t="s">
        <v>206</v>
      </c>
      <c r="I659" s="10">
        <v>2128.31</v>
      </c>
      <c r="J659" s="44" t="s">
        <v>12</v>
      </c>
      <c r="L659" s="15" t="str">
        <f t="shared" si="10"/>
        <v>112.2160.100</v>
      </c>
    </row>
    <row r="660" spans="1:12" x14ac:dyDescent="0.2">
      <c r="A660" s="10">
        <v>18721</v>
      </c>
      <c r="B660" s="10" t="s">
        <v>172</v>
      </c>
      <c r="C660" s="10">
        <v>12013250</v>
      </c>
      <c r="D660" t="s">
        <v>10</v>
      </c>
      <c r="E660">
        <v>299</v>
      </c>
      <c r="F660" s="45" t="s">
        <v>208</v>
      </c>
      <c r="G660" s="23" t="s">
        <v>206</v>
      </c>
      <c r="I660" s="10">
        <v>2203.6999999999998</v>
      </c>
      <c r="J660" s="44" t="s">
        <v>12</v>
      </c>
      <c r="L660" s="15" t="str">
        <f t="shared" si="10"/>
        <v>112.2160.100</v>
      </c>
    </row>
    <row r="661" spans="1:12" x14ac:dyDescent="0.2">
      <c r="A661" s="10">
        <v>18987</v>
      </c>
      <c r="B661" s="10" t="s">
        <v>173</v>
      </c>
      <c r="C661" s="10">
        <v>12013250</v>
      </c>
      <c r="D661" t="s">
        <v>10</v>
      </c>
      <c r="E661">
        <v>299</v>
      </c>
      <c r="F661" s="45" t="s">
        <v>208</v>
      </c>
      <c r="G661" s="23" t="s">
        <v>206</v>
      </c>
      <c r="I661" s="10">
        <v>2380.9299999999998</v>
      </c>
      <c r="J661" s="44" t="s">
        <v>12</v>
      </c>
      <c r="L661" s="15" t="str">
        <f t="shared" si="10"/>
        <v>112.2160.100</v>
      </c>
    </row>
    <row r="662" spans="1:12" x14ac:dyDescent="0.2">
      <c r="A662" s="10">
        <v>18920</v>
      </c>
      <c r="B662" s="10" t="s">
        <v>9</v>
      </c>
      <c r="C662" s="10">
        <v>12013250</v>
      </c>
      <c r="D662" t="s">
        <v>10</v>
      </c>
      <c r="E662">
        <v>299</v>
      </c>
      <c r="F662" s="45" t="s">
        <v>208</v>
      </c>
      <c r="G662" s="23" t="s">
        <v>206</v>
      </c>
      <c r="I662" s="10">
        <v>3538.57</v>
      </c>
      <c r="J662" s="44" t="s">
        <v>12</v>
      </c>
      <c r="L662" s="15" t="str">
        <f t="shared" si="10"/>
        <v>112.2160.100</v>
      </c>
    </row>
    <row r="663" spans="1:12" x14ac:dyDescent="0.2">
      <c r="A663" s="10">
        <v>18997</v>
      </c>
      <c r="B663" s="10" t="s">
        <v>141</v>
      </c>
      <c r="C663" s="10">
        <v>12013250</v>
      </c>
      <c r="D663" t="s">
        <v>10</v>
      </c>
      <c r="E663">
        <v>299</v>
      </c>
      <c r="F663" s="45" t="s">
        <v>208</v>
      </c>
      <c r="G663" s="23" t="s">
        <v>206</v>
      </c>
      <c r="I663" s="10">
        <v>2413.1999999999998</v>
      </c>
      <c r="J663" s="44" t="s">
        <v>12</v>
      </c>
      <c r="L663" s="15" t="str">
        <f t="shared" si="10"/>
        <v>112.2160.100</v>
      </c>
    </row>
    <row r="664" spans="1:12" x14ac:dyDescent="0.2">
      <c r="A664" s="10">
        <v>18995</v>
      </c>
      <c r="B664" s="10" t="s">
        <v>174</v>
      </c>
      <c r="C664" s="10">
        <v>12013250</v>
      </c>
      <c r="D664" t="s">
        <v>10</v>
      </c>
      <c r="E664">
        <v>299</v>
      </c>
      <c r="F664" s="45" t="s">
        <v>208</v>
      </c>
      <c r="G664" s="23" t="s">
        <v>206</v>
      </c>
      <c r="I664" s="10">
        <v>1877.69</v>
      </c>
      <c r="J664" s="44" t="s">
        <v>12</v>
      </c>
      <c r="L664" s="15" t="str">
        <f t="shared" si="10"/>
        <v>112.2160.100</v>
      </c>
    </row>
    <row r="665" spans="1:12" x14ac:dyDescent="0.2">
      <c r="A665" s="10">
        <v>18772</v>
      </c>
      <c r="B665" s="10" t="s">
        <v>176</v>
      </c>
      <c r="C665" s="10">
        <v>12013300</v>
      </c>
      <c r="D665" t="s">
        <v>15</v>
      </c>
      <c r="E665">
        <v>299</v>
      </c>
      <c r="F665" s="45" t="s">
        <v>208</v>
      </c>
      <c r="G665" s="23" t="s">
        <v>206</v>
      </c>
      <c r="I665" s="10">
        <v>3501.85</v>
      </c>
      <c r="J665" s="44" t="s">
        <v>12</v>
      </c>
      <c r="L665" s="15" t="str">
        <f t="shared" ref="L665:L728" si="11">G665</f>
        <v>112.2160.100</v>
      </c>
    </row>
    <row r="666" spans="1:12" x14ac:dyDescent="0.2">
      <c r="A666" s="10">
        <v>220</v>
      </c>
      <c r="B666" s="10" t="s">
        <v>14</v>
      </c>
      <c r="C666" s="10">
        <v>12013300</v>
      </c>
      <c r="D666" t="s">
        <v>15</v>
      </c>
      <c r="E666">
        <v>299</v>
      </c>
      <c r="F666" s="45" t="s">
        <v>208</v>
      </c>
      <c r="G666" s="23" t="s">
        <v>206</v>
      </c>
      <c r="I666" s="10">
        <v>2373.1</v>
      </c>
      <c r="J666" s="44" t="s">
        <v>12</v>
      </c>
      <c r="L666" s="15" t="str">
        <f t="shared" si="11"/>
        <v>112.2160.100</v>
      </c>
    </row>
    <row r="667" spans="1:12" x14ac:dyDescent="0.2">
      <c r="A667" s="10">
        <v>18948</v>
      </c>
      <c r="B667" s="10" t="s">
        <v>142</v>
      </c>
      <c r="C667" s="10">
        <v>12018099</v>
      </c>
      <c r="D667" t="s">
        <v>17</v>
      </c>
      <c r="E667">
        <v>299</v>
      </c>
      <c r="F667" s="45" t="s">
        <v>208</v>
      </c>
      <c r="G667" s="23" t="s">
        <v>206</v>
      </c>
      <c r="I667" s="10">
        <v>2002.01</v>
      </c>
      <c r="J667" s="44" t="s">
        <v>12</v>
      </c>
      <c r="L667" s="15" t="str">
        <f t="shared" si="11"/>
        <v>112.2160.100</v>
      </c>
    </row>
    <row r="668" spans="1:12" x14ac:dyDescent="0.2">
      <c r="A668" s="10">
        <v>18716</v>
      </c>
      <c r="B668" s="10" t="s">
        <v>16</v>
      </c>
      <c r="C668" s="10">
        <v>12018099</v>
      </c>
      <c r="D668" t="s">
        <v>17</v>
      </c>
      <c r="E668">
        <v>299</v>
      </c>
      <c r="F668" s="45" t="s">
        <v>208</v>
      </c>
      <c r="G668" s="23" t="s">
        <v>206</v>
      </c>
      <c r="I668" s="10">
        <v>4278.93</v>
      </c>
      <c r="J668" s="44" t="s">
        <v>12</v>
      </c>
      <c r="L668" s="15" t="str">
        <f t="shared" si="11"/>
        <v>112.2160.100</v>
      </c>
    </row>
    <row r="669" spans="1:12" x14ac:dyDescent="0.2">
      <c r="A669" s="10">
        <v>18939</v>
      </c>
      <c r="B669" s="10" t="s">
        <v>177</v>
      </c>
      <c r="C669" s="10">
        <v>12018199</v>
      </c>
      <c r="D669" t="s">
        <v>178</v>
      </c>
      <c r="E669">
        <v>299</v>
      </c>
      <c r="F669" s="45" t="s">
        <v>208</v>
      </c>
      <c r="G669" s="23" t="s">
        <v>206</v>
      </c>
      <c r="I669" s="10">
        <v>2525.5</v>
      </c>
      <c r="J669" s="44" t="s">
        <v>12</v>
      </c>
      <c r="L669" s="15" t="str">
        <f t="shared" si="11"/>
        <v>112.2160.100</v>
      </c>
    </row>
    <row r="670" spans="1:12" x14ac:dyDescent="0.2">
      <c r="A670" s="10">
        <v>18862</v>
      </c>
      <c r="B670" s="10" t="s">
        <v>145</v>
      </c>
      <c r="C670" s="10">
        <v>12018599</v>
      </c>
      <c r="D670" t="s">
        <v>144</v>
      </c>
      <c r="E670">
        <v>299</v>
      </c>
      <c r="F670" s="45" t="s">
        <v>208</v>
      </c>
      <c r="G670" s="23" t="s">
        <v>206</v>
      </c>
      <c r="I670" s="10">
        <v>2021.85</v>
      </c>
      <c r="J670" s="44" t="s">
        <v>12</v>
      </c>
      <c r="L670" s="15" t="str">
        <f t="shared" si="11"/>
        <v>112.2160.100</v>
      </c>
    </row>
    <row r="671" spans="1:12" x14ac:dyDescent="0.2">
      <c r="A671" s="10">
        <v>18969</v>
      </c>
      <c r="B671" s="10" t="s">
        <v>143</v>
      </c>
      <c r="C671" s="10">
        <v>12018599</v>
      </c>
      <c r="D671" t="s">
        <v>144</v>
      </c>
      <c r="E671">
        <v>299</v>
      </c>
      <c r="F671" s="45" t="s">
        <v>208</v>
      </c>
      <c r="G671" s="23" t="s">
        <v>206</v>
      </c>
      <c r="I671" s="10">
        <v>4033.85</v>
      </c>
      <c r="J671" s="44" t="s">
        <v>12</v>
      </c>
      <c r="L671" s="15" t="str">
        <f t="shared" si="11"/>
        <v>112.2160.100</v>
      </c>
    </row>
    <row r="672" spans="1:12" x14ac:dyDescent="0.2">
      <c r="A672" s="10">
        <v>18886</v>
      </c>
      <c r="B672" s="10" t="s">
        <v>18</v>
      </c>
      <c r="C672" s="10">
        <v>12019099</v>
      </c>
      <c r="D672" t="s">
        <v>19</v>
      </c>
      <c r="E672">
        <v>299</v>
      </c>
      <c r="F672" s="45" t="s">
        <v>208</v>
      </c>
      <c r="G672" s="23" t="s">
        <v>206</v>
      </c>
      <c r="I672" s="10">
        <v>6148.2</v>
      </c>
      <c r="J672" s="44" t="s">
        <v>12</v>
      </c>
      <c r="L672" s="15" t="str">
        <f t="shared" si="11"/>
        <v>112.2160.100</v>
      </c>
    </row>
    <row r="673" spans="1:12" x14ac:dyDescent="0.2">
      <c r="A673" s="10">
        <v>18968</v>
      </c>
      <c r="B673" s="10" t="s">
        <v>164</v>
      </c>
      <c r="C673" s="10">
        <v>12019199</v>
      </c>
      <c r="D673" t="s">
        <v>147</v>
      </c>
      <c r="E673">
        <v>299</v>
      </c>
      <c r="F673" s="45" t="s">
        <v>208</v>
      </c>
      <c r="G673" s="23" t="s">
        <v>206</v>
      </c>
      <c r="I673" s="10">
        <v>1766.31</v>
      </c>
      <c r="J673" s="44" t="s">
        <v>12</v>
      </c>
      <c r="L673" s="15" t="str">
        <f t="shared" si="11"/>
        <v>112.2160.100</v>
      </c>
    </row>
    <row r="674" spans="1:12" x14ac:dyDescent="0.2">
      <c r="A674" s="10">
        <v>18853</v>
      </c>
      <c r="B674" s="10" t="s">
        <v>146</v>
      </c>
      <c r="C674" s="10">
        <v>12019199</v>
      </c>
      <c r="D674" t="s">
        <v>147</v>
      </c>
      <c r="E674">
        <v>299</v>
      </c>
      <c r="F674" s="45" t="s">
        <v>208</v>
      </c>
      <c r="G674" s="23" t="s">
        <v>206</v>
      </c>
      <c r="I674" s="10">
        <v>2877.64</v>
      </c>
      <c r="J674" s="44" t="s">
        <v>12</v>
      </c>
      <c r="L674" s="15" t="str">
        <f t="shared" si="11"/>
        <v>112.2160.100</v>
      </c>
    </row>
    <row r="675" spans="1:12" x14ac:dyDescent="0.2">
      <c r="A675" s="10">
        <v>18993</v>
      </c>
      <c r="B675" s="10" t="s">
        <v>181</v>
      </c>
      <c r="C675" s="10">
        <v>12019199</v>
      </c>
      <c r="D675" t="s">
        <v>147</v>
      </c>
      <c r="E675">
        <v>299</v>
      </c>
      <c r="F675" s="45" t="s">
        <v>208</v>
      </c>
      <c r="G675" s="23" t="s">
        <v>206</v>
      </c>
      <c r="I675" s="10">
        <v>2066.15</v>
      </c>
      <c r="J675" s="44" t="s">
        <v>12</v>
      </c>
      <c r="L675" s="15" t="str">
        <f t="shared" si="11"/>
        <v>112.2160.100</v>
      </c>
    </row>
    <row r="676" spans="1:12" x14ac:dyDescent="0.2">
      <c r="A676" s="10">
        <v>18550</v>
      </c>
      <c r="B676" s="10" t="s">
        <v>165</v>
      </c>
      <c r="C676" s="10">
        <v>12019199</v>
      </c>
      <c r="D676" t="s">
        <v>147</v>
      </c>
      <c r="E676">
        <v>299</v>
      </c>
      <c r="F676" s="45" t="s">
        <v>208</v>
      </c>
      <c r="G676" s="23" t="s">
        <v>206</v>
      </c>
      <c r="I676" s="10">
        <v>1298.26</v>
      </c>
      <c r="J676" s="44" t="s">
        <v>12</v>
      </c>
      <c r="L676" s="15" t="str">
        <f t="shared" si="11"/>
        <v>112.2160.100</v>
      </c>
    </row>
    <row r="677" spans="1:12" x14ac:dyDescent="0.2">
      <c r="A677" s="10">
        <v>19025</v>
      </c>
      <c r="B677" s="10" t="s">
        <v>180</v>
      </c>
      <c r="C677" s="10">
        <v>12019199</v>
      </c>
      <c r="D677" t="s">
        <v>147</v>
      </c>
      <c r="E677">
        <v>299</v>
      </c>
      <c r="F677" s="45" t="s">
        <v>208</v>
      </c>
      <c r="G677" s="23" t="s">
        <v>206</v>
      </c>
      <c r="I677" s="10">
        <v>2002</v>
      </c>
      <c r="J677" s="44" t="s">
        <v>12</v>
      </c>
      <c r="L677" s="15" t="str">
        <f t="shared" si="11"/>
        <v>112.2160.100</v>
      </c>
    </row>
    <row r="678" spans="1:12" x14ac:dyDescent="0.2">
      <c r="A678" s="10">
        <v>18741</v>
      </c>
      <c r="B678" s="10" t="s">
        <v>179</v>
      </c>
      <c r="C678" s="10">
        <v>12019199</v>
      </c>
      <c r="D678" t="s">
        <v>147</v>
      </c>
      <c r="E678">
        <v>299</v>
      </c>
      <c r="F678" s="45" t="s">
        <v>208</v>
      </c>
      <c r="G678" s="23" t="s">
        <v>206</v>
      </c>
      <c r="I678" s="10">
        <v>536.15</v>
      </c>
      <c r="J678" s="44" t="s">
        <v>12</v>
      </c>
      <c r="L678" s="15" t="str">
        <f t="shared" si="11"/>
        <v>112.2160.100</v>
      </c>
    </row>
    <row r="679" spans="1:12" x14ac:dyDescent="0.2">
      <c r="A679" s="10">
        <v>19003</v>
      </c>
      <c r="B679" s="10" t="s">
        <v>388</v>
      </c>
      <c r="C679" s="10">
        <v>12019199</v>
      </c>
      <c r="D679" t="s">
        <v>147</v>
      </c>
      <c r="E679">
        <v>299</v>
      </c>
      <c r="F679" s="45" t="s">
        <v>208</v>
      </c>
      <c r="G679" s="23" t="s">
        <v>206</v>
      </c>
      <c r="I679" s="10">
        <v>2405.38</v>
      </c>
      <c r="J679" s="44" t="s">
        <v>12</v>
      </c>
      <c r="L679" s="15" t="str">
        <f t="shared" si="11"/>
        <v>112.2160.100</v>
      </c>
    </row>
    <row r="680" spans="1:12" x14ac:dyDescent="0.2">
      <c r="A680" s="10">
        <v>18619</v>
      </c>
      <c r="B680" s="10" t="s">
        <v>20</v>
      </c>
      <c r="C680" s="10">
        <v>12020400</v>
      </c>
      <c r="D680" t="s">
        <v>21</v>
      </c>
      <c r="E680">
        <v>299</v>
      </c>
      <c r="F680" s="45" t="s">
        <v>208</v>
      </c>
      <c r="G680" s="23" t="s">
        <v>206</v>
      </c>
      <c r="I680" s="10">
        <v>1900.31</v>
      </c>
      <c r="J680" s="44" t="s">
        <v>12</v>
      </c>
      <c r="L680" s="15" t="str">
        <f t="shared" si="11"/>
        <v>112.2160.100</v>
      </c>
    </row>
    <row r="681" spans="1:12" x14ac:dyDescent="0.2">
      <c r="A681" s="10">
        <v>18836</v>
      </c>
      <c r="B681" s="10" t="s">
        <v>182</v>
      </c>
      <c r="C681" s="10">
        <v>12020400</v>
      </c>
      <c r="D681" t="s">
        <v>21</v>
      </c>
      <c r="E681">
        <v>299</v>
      </c>
      <c r="F681" s="45" t="s">
        <v>208</v>
      </c>
      <c r="G681" s="23" t="s">
        <v>206</v>
      </c>
      <c r="I681" s="10">
        <v>1953.7</v>
      </c>
      <c r="J681" s="44" t="s">
        <v>12</v>
      </c>
      <c r="L681" s="15" t="str">
        <f t="shared" si="11"/>
        <v>112.2160.100</v>
      </c>
    </row>
    <row r="682" spans="1:12" x14ac:dyDescent="0.2">
      <c r="A682" s="10">
        <v>18831</v>
      </c>
      <c r="B682" s="10" t="s">
        <v>22</v>
      </c>
      <c r="C682" s="10">
        <v>12020611</v>
      </c>
      <c r="D682" t="s">
        <v>23</v>
      </c>
      <c r="E682">
        <v>299</v>
      </c>
      <c r="F682" s="45" t="s">
        <v>208</v>
      </c>
      <c r="G682" s="23" t="s">
        <v>206</v>
      </c>
      <c r="I682" s="10">
        <v>1401.5</v>
      </c>
      <c r="J682" s="44" t="s">
        <v>12</v>
      </c>
      <c r="L682" s="15" t="str">
        <f t="shared" si="11"/>
        <v>112.2160.100</v>
      </c>
    </row>
    <row r="683" spans="1:12" x14ac:dyDescent="0.2">
      <c r="A683" s="10">
        <v>18866</v>
      </c>
      <c r="B683" s="10" t="s">
        <v>76</v>
      </c>
      <c r="C683" s="10">
        <v>12020611</v>
      </c>
      <c r="D683" t="s">
        <v>23</v>
      </c>
      <c r="E683">
        <v>299</v>
      </c>
      <c r="F683" s="45" t="s">
        <v>208</v>
      </c>
      <c r="G683" s="23" t="s">
        <v>206</v>
      </c>
      <c r="I683" s="10">
        <v>2235.61</v>
      </c>
      <c r="J683" s="44" t="s">
        <v>12</v>
      </c>
      <c r="L683" s="15" t="str">
        <f t="shared" si="11"/>
        <v>112.2160.100</v>
      </c>
    </row>
    <row r="684" spans="1:12" x14ac:dyDescent="0.2">
      <c r="A684" s="10">
        <v>18957</v>
      </c>
      <c r="B684" s="10" t="s">
        <v>74</v>
      </c>
      <c r="C684" s="10">
        <v>12020611</v>
      </c>
      <c r="D684" t="s">
        <v>23</v>
      </c>
      <c r="E684">
        <v>299</v>
      </c>
      <c r="F684" s="45" t="s">
        <v>208</v>
      </c>
      <c r="G684" s="23" t="s">
        <v>206</v>
      </c>
      <c r="I684" s="10">
        <v>1534.06</v>
      </c>
      <c r="J684" s="44" t="s">
        <v>12</v>
      </c>
      <c r="L684" s="15" t="str">
        <f t="shared" si="11"/>
        <v>112.2160.100</v>
      </c>
    </row>
    <row r="685" spans="1:12" x14ac:dyDescent="0.2">
      <c r="A685" s="10">
        <v>18589</v>
      </c>
      <c r="B685" s="10" t="s">
        <v>75</v>
      </c>
      <c r="C685" s="10">
        <v>12020611</v>
      </c>
      <c r="D685" t="s">
        <v>23</v>
      </c>
      <c r="E685">
        <v>299</v>
      </c>
      <c r="F685" s="45" t="s">
        <v>208</v>
      </c>
      <c r="G685" s="23" t="s">
        <v>206</v>
      </c>
      <c r="I685" s="10">
        <v>2112.48</v>
      </c>
      <c r="J685" s="44" t="s">
        <v>12</v>
      </c>
      <c r="L685" s="15" t="str">
        <f t="shared" si="11"/>
        <v>112.2160.100</v>
      </c>
    </row>
    <row r="686" spans="1:12" x14ac:dyDescent="0.2">
      <c r="A686" s="10">
        <v>18903</v>
      </c>
      <c r="B686" s="10" t="s">
        <v>73</v>
      </c>
      <c r="C686" s="10">
        <v>12020611</v>
      </c>
      <c r="D686" t="s">
        <v>23</v>
      </c>
      <c r="E686">
        <v>299</v>
      </c>
      <c r="F686" s="45" t="s">
        <v>208</v>
      </c>
      <c r="G686" s="23" t="s">
        <v>206</v>
      </c>
      <c r="I686" s="10">
        <v>1913.43</v>
      </c>
      <c r="J686" s="44" t="s">
        <v>12</v>
      </c>
      <c r="L686" s="15" t="str">
        <f t="shared" si="11"/>
        <v>112.2160.100</v>
      </c>
    </row>
    <row r="687" spans="1:12" x14ac:dyDescent="0.2">
      <c r="A687" s="10">
        <v>18614</v>
      </c>
      <c r="B687" s="10" t="s">
        <v>78</v>
      </c>
      <c r="C687" s="10">
        <v>12020611</v>
      </c>
      <c r="D687" t="s">
        <v>23</v>
      </c>
      <c r="E687">
        <v>299</v>
      </c>
      <c r="F687" s="45" t="s">
        <v>208</v>
      </c>
      <c r="G687" s="23" t="s">
        <v>206</v>
      </c>
      <c r="I687" s="10">
        <v>668.58</v>
      </c>
      <c r="J687" s="44" t="s">
        <v>12</v>
      </c>
      <c r="L687" s="15" t="str">
        <f t="shared" si="11"/>
        <v>112.2160.100</v>
      </c>
    </row>
    <row r="688" spans="1:12" x14ac:dyDescent="0.2">
      <c r="A688" s="10">
        <v>18891</v>
      </c>
      <c r="B688" s="10" t="s">
        <v>77</v>
      </c>
      <c r="C688" s="10">
        <v>12020611</v>
      </c>
      <c r="D688" t="s">
        <v>23</v>
      </c>
      <c r="E688">
        <v>299</v>
      </c>
      <c r="F688" s="45" t="s">
        <v>208</v>
      </c>
      <c r="G688" s="23" t="s">
        <v>206</v>
      </c>
      <c r="I688" s="10">
        <v>1593.33</v>
      </c>
      <c r="J688" s="44" t="s">
        <v>12</v>
      </c>
      <c r="L688" s="15" t="str">
        <f t="shared" si="11"/>
        <v>112.2160.100</v>
      </c>
    </row>
    <row r="689" spans="1:12" x14ac:dyDescent="0.2">
      <c r="A689" s="10">
        <v>18631</v>
      </c>
      <c r="B689" s="10" t="s">
        <v>80</v>
      </c>
      <c r="C689" s="10">
        <v>12020711</v>
      </c>
      <c r="D689" t="s">
        <v>25</v>
      </c>
      <c r="E689">
        <v>299</v>
      </c>
      <c r="F689" s="45" t="s">
        <v>208</v>
      </c>
      <c r="G689" s="23" t="s">
        <v>206</v>
      </c>
      <c r="I689" s="10">
        <v>1594.06</v>
      </c>
      <c r="J689" s="44" t="s">
        <v>12</v>
      </c>
      <c r="L689" s="15" t="str">
        <f t="shared" si="11"/>
        <v>112.2160.100</v>
      </c>
    </row>
    <row r="690" spans="1:12" x14ac:dyDescent="0.2">
      <c r="A690" s="10">
        <v>18954</v>
      </c>
      <c r="B690" s="10" t="s">
        <v>183</v>
      </c>
      <c r="C690" s="10">
        <v>12020711</v>
      </c>
      <c r="D690" t="s">
        <v>25</v>
      </c>
      <c r="E690">
        <v>299</v>
      </c>
      <c r="F690" s="45" t="s">
        <v>208</v>
      </c>
      <c r="G690" s="23" t="s">
        <v>206</v>
      </c>
      <c r="I690" s="10">
        <v>1389.23</v>
      </c>
      <c r="J690" s="44" t="s">
        <v>12</v>
      </c>
      <c r="L690" s="15" t="str">
        <f t="shared" si="11"/>
        <v>112.2160.100</v>
      </c>
    </row>
    <row r="691" spans="1:12" x14ac:dyDescent="0.2">
      <c r="A691" s="10">
        <v>18879</v>
      </c>
      <c r="B691" s="10" t="s">
        <v>79</v>
      </c>
      <c r="C691" s="10">
        <v>12020711</v>
      </c>
      <c r="D691" t="s">
        <v>25</v>
      </c>
      <c r="E691">
        <v>299</v>
      </c>
      <c r="F691" s="45" t="s">
        <v>208</v>
      </c>
      <c r="G691" s="23" t="s">
        <v>206</v>
      </c>
      <c r="I691" s="10">
        <v>2230.62</v>
      </c>
      <c r="J691" s="44" t="s">
        <v>12</v>
      </c>
      <c r="L691" s="15" t="str">
        <f t="shared" si="11"/>
        <v>112.2160.100</v>
      </c>
    </row>
    <row r="692" spans="1:12" x14ac:dyDescent="0.2">
      <c r="A692" s="10">
        <v>18</v>
      </c>
      <c r="B692" s="10" t="s">
        <v>24</v>
      </c>
      <c r="C692" s="10">
        <v>12020711</v>
      </c>
      <c r="D692" t="s">
        <v>25</v>
      </c>
      <c r="E692">
        <v>299</v>
      </c>
      <c r="F692" s="45" t="s">
        <v>208</v>
      </c>
      <c r="G692" s="23" t="s">
        <v>206</v>
      </c>
      <c r="I692" s="10">
        <v>1044.0899999999999</v>
      </c>
      <c r="J692" s="44" t="s">
        <v>12</v>
      </c>
      <c r="L692" s="15" t="str">
        <f t="shared" si="11"/>
        <v>112.2160.100</v>
      </c>
    </row>
    <row r="693" spans="1:12" x14ac:dyDescent="0.2">
      <c r="A693" s="10">
        <v>19000</v>
      </c>
      <c r="B693" s="10" t="s">
        <v>26</v>
      </c>
      <c r="C693" s="10">
        <v>12020800</v>
      </c>
      <c r="D693" t="s">
        <v>27</v>
      </c>
      <c r="E693">
        <v>299</v>
      </c>
      <c r="F693" s="45" t="s">
        <v>208</v>
      </c>
      <c r="G693" s="23" t="s">
        <v>206</v>
      </c>
      <c r="I693" s="10">
        <v>1918.6</v>
      </c>
      <c r="J693" s="44" t="s">
        <v>12</v>
      </c>
      <c r="L693" s="15" t="str">
        <f t="shared" si="11"/>
        <v>112.2160.100</v>
      </c>
    </row>
    <row r="694" spans="1:12" x14ac:dyDescent="0.2">
      <c r="A694" s="10">
        <v>19013</v>
      </c>
      <c r="B694" s="10" t="s">
        <v>81</v>
      </c>
      <c r="C694" s="10">
        <v>12020800</v>
      </c>
      <c r="D694" t="s">
        <v>27</v>
      </c>
      <c r="E694">
        <v>299</v>
      </c>
      <c r="F694" s="45" t="s">
        <v>208</v>
      </c>
      <c r="G694" s="23" t="s">
        <v>206</v>
      </c>
      <c r="I694" s="10">
        <v>2170.39</v>
      </c>
      <c r="J694" s="44" t="s">
        <v>12</v>
      </c>
      <c r="L694" s="15" t="str">
        <f t="shared" si="11"/>
        <v>112.2160.100</v>
      </c>
    </row>
    <row r="695" spans="1:12" x14ac:dyDescent="0.2">
      <c r="A695" s="10">
        <v>18630</v>
      </c>
      <c r="B695" s="10" t="s">
        <v>204</v>
      </c>
      <c r="C695" s="10">
        <v>12020800</v>
      </c>
      <c r="D695" t="s">
        <v>27</v>
      </c>
      <c r="E695">
        <v>299</v>
      </c>
      <c r="F695" s="45" t="s">
        <v>208</v>
      </c>
      <c r="G695" s="23" t="s">
        <v>206</v>
      </c>
      <c r="I695" s="10">
        <v>1418.9</v>
      </c>
      <c r="J695" s="44" t="s">
        <v>12</v>
      </c>
      <c r="L695" s="15" t="str">
        <f t="shared" si="11"/>
        <v>112.2160.100</v>
      </c>
    </row>
    <row r="696" spans="1:12" x14ac:dyDescent="0.2">
      <c r="A696" s="10">
        <v>18960</v>
      </c>
      <c r="B696" s="10" t="s">
        <v>84</v>
      </c>
      <c r="C696" s="10">
        <v>12021021</v>
      </c>
      <c r="D696" t="s">
        <v>29</v>
      </c>
      <c r="E696">
        <v>299</v>
      </c>
      <c r="F696" s="45" t="s">
        <v>208</v>
      </c>
      <c r="G696" s="23" t="s">
        <v>206</v>
      </c>
      <c r="I696" s="10">
        <v>799.48</v>
      </c>
      <c r="J696" s="44" t="s">
        <v>12</v>
      </c>
      <c r="L696" s="15" t="str">
        <f t="shared" si="11"/>
        <v>112.2160.100</v>
      </c>
    </row>
    <row r="697" spans="1:12" x14ac:dyDescent="0.2">
      <c r="A697" s="10">
        <v>346</v>
      </c>
      <c r="B697" s="10" t="s">
        <v>30</v>
      </c>
      <c r="C697" s="10">
        <v>12021021</v>
      </c>
      <c r="D697" t="s">
        <v>29</v>
      </c>
      <c r="E697">
        <v>299</v>
      </c>
      <c r="F697" s="45" t="s">
        <v>208</v>
      </c>
      <c r="G697" s="23" t="s">
        <v>206</v>
      </c>
      <c r="I697" s="10">
        <v>12463.37</v>
      </c>
      <c r="J697" s="44" t="s">
        <v>12</v>
      </c>
      <c r="L697" s="15" t="str">
        <f t="shared" si="11"/>
        <v>112.2160.100</v>
      </c>
    </row>
    <row r="698" spans="1:12" x14ac:dyDescent="0.2">
      <c r="A698" s="10">
        <v>18894</v>
      </c>
      <c r="B698" s="10" t="s">
        <v>89</v>
      </c>
      <c r="C698" s="10">
        <v>12021021</v>
      </c>
      <c r="D698" t="s">
        <v>29</v>
      </c>
      <c r="E698">
        <v>299</v>
      </c>
      <c r="F698" s="45" t="s">
        <v>208</v>
      </c>
      <c r="G698" s="23" t="s">
        <v>206</v>
      </c>
      <c r="I698" s="10">
        <v>1648.43</v>
      </c>
      <c r="J698" s="44" t="s">
        <v>12</v>
      </c>
      <c r="L698" s="15" t="str">
        <f t="shared" si="11"/>
        <v>112.2160.100</v>
      </c>
    </row>
    <row r="699" spans="1:12" x14ac:dyDescent="0.2">
      <c r="A699" s="10">
        <v>18967</v>
      </c>
      <c r="B699" s="10" t="s">
        <v>85</v>
      </c>
      <c r="C699" s="10">
        <v>12021021</v>
      </c>
      <c r="D699" t="s">
        <v>29</v>
      </c>
      <c r="E699">
        <v>299</v>
      </c>
      <c r="F699" s="45" t="s">
        <v>208</v>
      </c>
      <c r="G699" s="23" t="s">
        <v>206</v>
      </c>
      <c r="I699" s="10">
        <v>2380.1799999999998</v>
      </c>
      <c r="J699" s="44" t="s">
        <v>12</v>
      </c>
      <c r="L699" s="15" t="str">
        <f t="shared" si="11"/>
        <v>112.2160.100</v>
      </c>
    </row>
    <row r="700" spans="1:12" x14ac:dyDescent="0.2">
      <c r="A700" s="10">
        <v>18733</v>
      </c>
      <c r="B700" s="10" t="s">
        <v>86</v>
      </c>
      <c r="C700" s="10">
        <v>12021021</v>
      </c>
      <c r="D700" t="s">
        <v>29</v>
      </c>
      <c r="E700">
        <v>299</v>
      </c>
      <c r="F700" s="45" t="s">
        <v>208</v>
      </c>
      <c r="G700" s="23" t="s">
        <v>206</v>
      </c>
      <c r="I700" s="10">
        <v>1863.62</v>
      </c>
      <c r="J700" s="44" t="s">
        <v>12</v>
      </c>
      <c r="L700" s="15" t="str">
        <f t="shared" si="11"/>
        <v>112.2160.100</v>
      </c>
    </row>
    <row r="701" spans="1:12" x14ac:dyDescent="0.2">
      <c r="A701" s="10">
        <v>18911</v>
      </c>
      <c r="B701" s="10" t="s">
        <v>28</v>
      </c>
      <c r="C701" s="10">
        <v>12021021</v>
      </c>
      <c r="D701" t="s">
        <v>29</v>
      </c>
      <c r="E701">
        <v>299</v>
      </c>
      <c r="F701" s="45" t="s">
        <v>208</v>
      </c>
      <c r="G701" s="23" t="s">
        <v>206</v>
      </c>
      <c r="I701" s="10">
        <v>-465.54</v>
      </c>
      <c r="J701" s="44" t="s">
        <v>12</v>
      </c>
      <c r="L701" s="15" t="str">
        <f t="shared" si="11"/>
        <v>112.2160.100</v>
      </c>
    </row>
    <row r="702" spans="1:12" x14ac:dyDescent="0.2">
      <c r="A702" s="10">
        <v>18781</v>
      </c>
      <c r="B702" s="10" t="s">
        <v>82</v>
      </c>
      <c r="C702" s="10">
        <v>12021021</v>
      </c>
      <c r="D702" t="s">
        <v>29</v>
      </c>
      <c r="E702">
        <v>299</v>
      </c>
      <c r="F702" s="45" t="s">
        <v>208</v>
      </c>
      <c r="G702" s="23" t="s">
        <v>206</v>
      </c>
      <c r="I702" s="10">
        <v>2176.9899999999998</v>
      </c>
      <c r="J702" s="44" t="s">
        <v>12</v>
      </c>
      <c r="L702" s="15" t="str">
        <f t="shared" si="11"/>
        <v>112.2160.100</v>
      </c>
    </row>
    <row r="703" spans="1:12" x14ac:dyDescent="0.2">
      <c r="A703" s="10">
        <v>18659</v>
      </c>
      <c r="B703" s="10" t="s">
        <v>88</v>
      </c>
      <c r="C703" s="10">
        <v>12021021</v>
      </c>
      <c r="D703" t="s">
        <v>29</v>
      </c>
      <c r="E703">
        <v>299</v>
      </c>
      <c r="F703" s="45" t="s">
        <v>208</v>
      </c>
      <c r="G703" s="23" t="s">
        <v>206</v>
      </c>
      <c r="I703" s="10">
        <v>1650.24</v>
      </c>
      <c r="J703" s="44" t="s">
        <v>12</v>
      </c>
      <c r="L703" s="15" t="str">
        <f t="shared" si="11"/>
        <v>112.2160.100</v>
      </c>
    </row>
    <row r="704" spans="1:12" x14ac:dyDescent="0.2">
      <c r="A704" s="10">
        <v>19033</v>
      </c>
      <c r="B704" s="10" t="s">
        <v>389</v>
      </c>
      <c r="C704" s="10">
        <v>12021021</v>
      </c>
      <c r="D704" t="s">
        <v>29</v>
      </c>
      <c r="E704">
        <v>299</v>
      </c>
      <c r="F704" s="45" t="s">
        <v>208</v>
      </c>
      <c r="G704" s="23" t="s">
        <v>206</v>
      </c>
      <c r="I704" s="10">
        <v>368.21</v>
      </c>
      <c r="J704" s="44" t="s">
        <v>12</v>
      </c>
      <c r="L704" s="15" t="str">
        <f t="shared" si="11"/>
        <v>112.2160.100</v>
      </c>
    </row>
    <row r="705" spans="1:12" x14ac:dyDescent="0.2">
      <c r="A705" s="10">
        <v>18559</v>
      </c>
      <c r="B705" s="10" t="s">
        <v>87</v>
      </c>
      <c r="C705" s="10">
        <v>12021021</v>
      </c>
      <c r="D705" t="s">
        <v>29</v>
      </c>
      <c r="E705">
        <v>299</v>
      </c>
      <c r="F705" s="45" t="s">
        <v>208</v>
      </c>
      <c r="G705" s="23" t="s">
        <v>206</v>
      </c>
      <c r="I705" s="10">
        <v>3514.04</v>
      </c>
      <c r="J705" s="44" t="s">
        <v>12</v>
      </c>
      <c r="L705" s="15" t="str">
        <f t="shared" si="11"/>
        <v>112.2160.100</v>
      </c>
    </row>
    <row r="706" spans="1:12" x14ac:dyDescent="0.2">
      <c r="A706" s="10">
        <v>18687</v>
      </c>
      <c r="B706" s="10" t="s">
        <v>83</v>
      </c>
      <c r="C706" s="10">
        <v>12021021</v>
      </c>
      <c r="D706" t="s">
        <v>29</v>
      </c>
      <c r="E706">
        <v>299</v>
      </c>
      <c r="F706" s="45" t="s">
        <v>208</v>
      </c>
      <c r="G706" s="23" t="s">
        <v>206</v>
      </c>
      <c r="I706" s="10">
        <v>2128.8200000000002</v>
      </c>
      <c r="J706" s="44" t="s">
        <v>12</v>
      </c>
      <c r="L706" s="15" t="str">
        <f t="shared" si="11"/>
        <v>112.2160.100</v>
      </c>
    </row>
    <row r="707" spans="1:12" x14ac:dyDescent="0.2">
      <c r="A707" s="10">
        <v>18892</v>
      </c>
      <c r="B707" s="10" t="s">
        <v>184</v>
      </c>
      <c r="C707" s="10">
        <v>12021021</v>
      </c>
      <c r="D707" t="s">
        <v>29</v>
      </c>
      <c r="E707">
        <v>299</v>
      </c>
      <c r="F707" s="45" t="s">
        <v>208</v>
      </c>
      <c r="G707" s="23" t="s">
        <v>206</v>
      </c>
      <c r="I707" s="10">
        <v>1613.83</v>
      </c>
      <c r="J707" s="44" t="s">
        <v>12</v>
      </c>
      <c r="L707" s="15" t="str">
        <f t="shared" si="11"/>
        <v>112.2160.100</v>
      </c>
    </row>
    <row r="708" spans="1:12" x14ac:dyDescent="0.2">
      <c r="A708" s="10">
        <v>141</v>
      </c>
      <c r="B708" s="10" t="s">
        <v>185</v>
      </c>
      <c r="C708" s="10">
        <v>12022511</v>
      </c>
      <c r="D708" t="s">
        <v>32</v>
      </c>
      <c r="E708">
        <v>299</v>
      </c>
      <c r="F708" s="45" t="s">
        <v>208</v>
      </c>
      <c r="G708" s="23" t="s">
        <v>206</v>
      </c>
      <c r="I708" s="10">
        <v>1024.69</v>
      </c>
      <c r="J708" s="44" t="s">
        <v>12</v>
      </c>
      <c r="L708" s="15" t="str">
        <f t="shared" si="11"/>
        <v>112.2160.100</v>
      </c>
    </row>
    <row r="709" spans="1:12" x14ac:dyDescent="0.2">
      <c r="A709" s="10">
        <v>18961</v>
      </c>
      <c r="B709" s="10" t="s">
        <v>90</v>
      </c>
      <c r="C709" s="10">
        <v>12022511</v>
      </c>
      <c r="D709" t="s">
        <v>32</v>
      </c>
      <c r="E709">
        <v>299</v>
      </c>
      <c r="F709" s="45" t="s">
        <v>208</v>
      </c>
      <c r="G709" s="23" t="s">
        <v>206</v>
      </c>
      <c r="I709" s="10">
        <v>1752.68</v>
      </c>
      <c r="J709" s="44" t="s">
        <v>12</v>
      </c>
      <c r="L709" s="15" t="str">
        <f t="shared" si="11"/>
        <v>112.2160.100</v>
      </c>
    </row>
    <row r="710" spans="1:12" x14ac:dyDescent="0.2">
      <c r="A710" s="10">
        <v>145</v>
      </c>
      <c r="B710" s="10" t="s">
        <v>91</v>
      </c>
      <c r="C710" s="10">
        <v>12022511</v>
      </c>
      <c r="D710" t="s">
        <v>32</v>
      </c>
      <c r="E710">
        <v>299</v>
      </c>
      <c r="F710" s="45" t="s">
        <v>208</v>
      </c>
      <c r="G710" s="23" t="s">
        <v>206</v>
      </c>
      <c r="I710" s="10">
        <v>1867.17</v>
      </c>
      <c r="J710" s="44" t="s">
        <v>12</v>
      </c>
      <c r="L710" s="15" t="str">
        <f t="shared" si="11"/>
        <v>112.2160.100</v>
      </c>
    </row>
    <row r="711" spans="1:12" x14ac:dyDescent="0.2">
      <c r="A711" s="10">
        <v>11229</v>
      </c>
      <c r="B711" s="10" t="s">
        <v>31</v>
      </c>
      <c r="C711" s="10">
        <v>12022511</v>
      </c>
      <c r="D711" t="s">
        <v>32</v>
      </c>
      <c r="E711">
        <v>299</v>
      </c>
      <c r="F711" s="45" t="s">
        <v>208</v>
      </c>
      <c r="G711" s="23" t="s">
        <v>206</v>
      </c>
      <c r="I711" s="10">
        <v>1806.92</v>
      </c>
      <c r="J711" s="44" t="s">
        <v>12</v>
      </c>
      <c r="L711" s="15" t="str">
        <f t="shared" si="11"/>
        <v>112.2160.100</v>
      </c>
    </row>
    <row r="712" spans="1:12" x14ac:dyDescent="0.2">
      <c r="A712" s="10">
        <v>18999</v>
      </c>
      <c r="B712" s="10" t="s">
        <v>92</v>
      </c>
      <c r="C712" s="10">
        <v>12023011</v>
      </c>
      <c r="D712" t="s">
        <v>93</v>
      </c>
      <c r="E712">
        <v>299</v>
      </c>
      <c r="F712" s="45" t="s">
        <v>208</v>
      </c>
      <c r="G712" s="23" t="s">
        <v>206</v>
      </c>
      <c r="I712" s="10">
        <v>1887.16</v>
      </c>
      <c r="J712" s="44" t="s">
        <v>12</v>
      </c>
      <c r="L712" s="15" t="str">
        <f t="shared" si="11"/>
        <v>112.2160.100</v>
      </c>
    </row>
    <row r="713" spans="1:12" x14ac:dyDescent="0.2">
      <c r="A713" s="10">
        <v>19007</v>
      </c>
      <c r="B713" s="10" t="s">
        <v>189</v>
      </c>
      <c r="C713" s="10">
        <v>12023011</v>
      </c>
      <c r="D713" t="s">
        <v>93</v>
      </c>
      <c r="E713">
        <v>299</v>
      </c>
      <c r="F713" s="45" t="s">
        <v>208</v>
      </c>
      <c r="G713" s="23" t="s">
        <v>206</v>
      </c>
      <c r="I713" s="10">
        <v>1536.5</v>
      </c>
      <c r="J713" s="44" t="s">
        <v>12</v>
      </c>
      <c r="L713" s="15" t="str">
        <f t="shared" si="11"/>
        <v>112.2160.100</v>
      </c>
    </row>
    <row r="714" spans="1:12" x14ac:dyDescent="0.2">
      <c r="A714" s="10">
        <v>19016</v>
      </c>
      <c r="B714" s="10" t="s">
        <v>96</v>
      </c>
      <c r="C714" s="10">
        <v>12023011</v>
      </c>
      <c r="D714" t="s">
        <v>93</v>
      </c>
      <c r="E714">
        <v>299</v>
      </c>
      <c r="F714" s="45" t="s">
        <v>208</v>
      </c>
      <c r="G714" s="23" t="s">
        <v>206</v>
      </c>
      <c r="I714" s="10">
        <v>1816.54</v>
      </c>
      <c r="J714" s="44" t="s">
        <v>12</v>
      </c>
      <c r="L714" s="15" t="str">
        <f t="shared" si="11"/>
        <v>112.2160.100</v>
      </c>
    </row>
    <row r="715" spans="1:12" x14ac:dyDescent="0.2">
      <c r="A715" s="10">
        <v>19032</v>
      </c>
      <c r="B715" s="10" t="s">
        <v>386</v>
      </c>
      <c r="C715" s="10">
        <v>12023011</v>
      </c>
      <c r="D715" t="s">
        <v>93</v>
      </c>
      <c r="E715">
        <v>299</v>
      </c>
      <c r="F715" s="45" t="s">
        <v>208</v>
      </c>
      <c r="G715" s="23" t="s">
        <v>206</v>
      </c>
      <c r="I715" s="10">
        <v>893.54</v>
      </c>
      <c r="J715" s="44" t="s">
        <v>12</v>
      </c>
      <c r="L715" s="15" t="str">
        <f t="shared" si="11"/>
        <v>112.2160.100</v>
      </c>
    </row>
    <row r="716" spans="1:12" x14ac:dyDescent="0.2">
      <c r="A716" s="10">
        <v>18974</v>
      </c>
      <c r="B716" s="10" t="s">
        <v>94</v>
      </c>
      <c r="C716" s="10">
        <v>12023011</v>
      </c>
      <c r="D716" t="s">
        <v>93</v>
      </c>
      <c r="E716">
        <v>299</v>
      </c>
      <c r="F716" s="45" t="s">
        <v>208</v>
      </c>
      <c r="G716" s="23" t="s">
        <v>206</v>
      </c>
      <c r="I716" s="10">
        <v>2019.01</v>
      </c>
      <c r="J716" s="44" t="s">
        <v>12</v>
      </c>
      <c r="L716" s="15" t="str">
        <f t="shared" si="11"/>
        <v>112.2160.100</v>
      </c>
    </row>
    <row r="717" spans="1:12" x14ac:dyDescent="0.2">
      <c r="A717" s="10">
        <v>19026</v>
      </c>
      <c r="B717" s="10" t="s">
        <v>187</v>
      </c>
      <c r="C717" s="10">
        <v>12023011</v>
      </c>
      <c r="D717" t="s">
        <v>93</v>
      </c>
      <c r="E717">
        <v>299</v>
      </c>
      <c r="F717" s="45" t="s">
        <v>208</v>
      </c>
      <c r="G717" s="23" t="s">
        <v>206</v>
      </c>
      <c r="I717" s="10">
        <v>896.27</v>
      </c>
      <c r="J717" s="44" t="s">
        <v>12</v>
      </c>
      <c r="L717" s="15" t="str">
        <f t="shared" si="11"/>
        <v>112.2160.100</v>
      </c>
    </row>
    <row r="718" spans="1:12" x14ac:dyDescent="0.2">
      <c r="A718" s="10">
        <v>19002</v>
      </c>
      <c r="B718" s="10" t="s">
        <v>186</v>
      </c>
      <c r="C718" s="10">
        <v>12023011</v>
      </c>
      <c r="D718" t="s">
        <v>93</v>
      </c>
      <c r="E718">
        <v>299</v>
      </c>
      <c r="F718" s="45" t="s">
        <v>208</v>
      </c>
      <c r="G718" s="23" t="s">
        <v>206</v>
      </c>
      <c r="I718" s="10">
        <v>691.49</v>
      </c>
      <c r="J718" s="44" t="s">
        <v>12</v>
      </c>
      <c r="L718" s="15" t="str">
        <f t="shared" si="11"/>
        <v>112.2160.100</v>
      </c>
    </row>
    <row r="719" spans="1:12" x14ac:dyDescent="0.2">
      <c r="A719" s="10">
        <v>18962</v>
      </c>
      <c r="B719" s="10" t="s">
        <v>148</v>
      </c>
      <c r="C719" s="10">
        <v>12023011</v>
      </c>
      <c r="D719" t="s">
        <v>93</v>
      </c>
      <c r="E719">
        <v>299</v>
      </c>
      <c r="F719" s="45" t="s">
        <v>208</v>
      </c>
      <c r="G719" s="23" t="s">
        <v>206</v>
      </c>
      <c r="I719" s="10">
        <v>3762.77</v>
      </c>
      <c r="J719" s="44" t="s">
        <v>12</v>
      </c>
      <c r="L719" s="15" t="str">
        <f t="shared" si="11"/>
        <v>112.2160.100</v>
      </c>
    </row>
    <row r="720" spans="1:12" x14ac:dyDescent="0.2">
      <c r="A720" s="10">
        <v>19006</v>
      </c>
      <c r="B720" s="10" t="s">
        <v>95</v>
      </c>
      <c r="C720" s="10">
        <v>12023011</v>
      </c>
      <c r="D720" t="s">
        <v>93</v>
      </c>
      <c r="E720">
        <v>299</v>
      </c>
      <c r="F720" s="45" t="s">
        <v>208</v>
      </c>
      <c r="G720" s="23" t="s">
        <v>206</v>
      </c>
      <c r="I720" s="10">
        <v>1907.33</v>
      </c>
      <c r="J720" s="44" t="s">
        <v>12</v>
      </c>
      <c r="L720" s="15" t="str">
        <f t="shared" si="11"/>
        <v>112.2160.100</v>
      </c>
    </row>
    <row r="721" spans="1:12" x14ac:dyDescent="0.2">
      <c r="A721" s="10">
        <v>18973</v>
      </c>
      <c r="B721" s="10" t="s">
        <v>188</v>
      </c>
      <c r="C721" s="10">
        <v>12023011</v>
      </c>
      <c r="D721" t="s">
        <v>93</v>
      </c>
      <c r="E721">
        <v>299</v>
      </c>
      <c r="F721" s="45" t="s">
        <v>208</v>
      </c>
      <c r="G721" s="23" t="s">
        <v>206</v>
      </c>
      <c r="I721" s="10">
        <v>1435.89</v>
      </c>
      <c r="J721" s="44" t="s">
        <v>12</v>
      </c>
      <c r="L721" s="15" t="str">
        <f t="shared" si="11"/>
        <v>112.2160.100</v>
      </c>
    </row>
    <row r="722" spans="1:12" x14ac:dyDescent="0.2">
      <c r="A722" s="10">
        <v>19021</v>
      </c>
      <c r="B722" s="10" t="s">
        <v>99</v>
      </c>
      <c r="C722" s="10">
        <v>12023021</v>
      </c>
      <c r="D722" t="s">
        <v>98</v>
      </c>
      <c r="E722">
        <v>299</v>
      </c>
      <c r="F722" s="45" t="s">
        <v>208</v>
      </c>
      <c r="G722" s="23" t="s">
        <v>206</v>
      </c>
      <c r="I722" s="10">
        <v>1708.43</v>
      </c>
      <c r="J722" s="44" t="s">
        <v>12</v>
      </c>
      <c r="L722" s="15" t="str">
        <f t="shared" si="11"/>
        <v>112.2160.100</v>
      </c>
    </row>
    <row r="723" spans="1:12" x14ac:dyDescent="0.2">
      <c r="A723" s="10">
        <v>19027</v>
      </c>
      <c r="B723" s="10" t="s">
        <v>365</v>
      </c>
      <c r="C723" s="10">
        <v>12023021</v>
      </c>
      <c r="D723" t="s">
        <v>98</v>
      </c>
      <c r="E723">
        <v>299</v>
      </c>
      <c r="F723" s="45" t="s">
        <v>208</v>
      </c>
      <c r="G723" s="23" t="s">
        <v>206</v>
      </c>
      <c r="I723" s="10">
        <v>2010.9</v>
      </c>
      <c r="J723" s="44" t="s">
        <v>12</v>
      </c>
      <c r="L723" s="15" t="str">
        <f t="shared" si="11"/>
        <v>112.2160.100</v>
      </c>
    </row>
    <row r="724" spans="1:12" x14ac:dyDescent="0.2">
      <c r="A724" s="10">
        <v>18980</v>
      </c>
      <c r="B724" s="10" t="s">
        <v>97</v>
      </c>
      <c r="C724" s="10">
        <v>12023021</v>
      </c>
      <c r="D724" t="s">
        <v>98</v>
      </c>
      <c r="E724">
        <v>299</v>
      </c>
      <c r="F724" s="45" t="s">
        <v>208</v>
      </c>
      <c r="G724" s="23" t="s">
        <v>206</v>
      </c>
      <c r="I724" s="10">
        <v>1707.3</v>
      </c>
      <c r="J724" s="44" t="s">
        <v>12</v>
      </c>
      <c r="L724" s="15" t="str">
        <f t="shared" si="11"/>
        <v>112.2160.100</v>
      </c>
    </row>
    <row r="725" spans="1:12" x14ac:dyDescent="0.2">
      <c r="A725" s="10">
        <v>18581</v>
      </c>
      <c r="B725" s="10" t="s">
        <v>190</v>
      </c>
      <c r="C725" s="10">
        <v>12024021</v>
      </c>
      <c r="D725" t="s">
        <v>191</v>
      </c>
      <c r="E725">
        <v>299</v>
      </c>
      <c r="F725" s="45" t="s">
        <v>208</v>
      </c>
      <c r="G725" s="23" t="s">
        <v>206</v>
      </c>
      <c r="I725" s="10">
        <v>2436.6</v>
      </c>
      <c r="J725" s="44" t="s">
        <v>12</v>
      </c>
      <c r="L725" s="15" t="str">
        <f t="shared" si="11"/>
        <v>112.2160.100</v>
      </c>
    </row>
    <row r="726" spans="1:12" x14ac:dyDescent="0.2">
      <c r="A726" s="10">
        <v>44705</v>
      </c>
      <c r="B726" s="10" t="s">
        <v>149</v>
      </c>
      <c r="C726" s="10">
        <v>12028099</v>
      </c>
      <c r="D726" t="s">
        <v>150</v>
      </c>
      <c r="E726">
        <v>299</v>
      </c>
      <c r="F726" s="45" t="s">
        <v>208</v>
      </c>
      <c r="G726" s="23" t="s">
        <v>206</v>
      </c>
      <c r="I726" s="10">
        <v>3834.3</v>
      </c>
      <c r="J726" s="44" t="s">
        <v>12</v>
      </c>
      <c r="L726" s="15" t="str">
        <f t="shared" si="11"/>
        <v>112.2160.100</v>
      </c>
    </row>
    <row r="727" spans="1:12" x14ac:dyDescent="0.2">
      <c r="A727" s="10">
        <v>18945</v>
      </c>
      <c r="B727" s="10" t="s">
        <v>151</v>
      </c>
      <c r="C727" s="10">
        <v>12028099</v>
      </c>
      <c r="D727" t="s">
        <v>150</v>
      </c>
      <c r="E727">
        <v>299</v>
      </c>
      <c r="F727" s="45" t="s">
        <v>208</v>
      </c>
      <c r="G727" s="23" t="s">
        <v>206</v>
      </c>
      <c r="I727" s="10">
        <v>4016.37</v>
      </c>
      <c r="J727" s="44" t="s">
        <v>12</v>
      </c>
      <c r="L727" s="15" t="str">
        <f t="shared" si="11"/>
        <v>112.2160.100</v>
      </c>
    </row>
    <row r="728" spans="1:12" x14ac:dyDescent="0.2">
      <c r="A728" s="10">
        <v>18982</v>
      </c>
      <c r="B728" s="10" t="s">
        <v>100</v>
      </c>
      <c r="C728" s="10">
        <v>12030400</v>
      </c>
      <c r="D728" t="s">
        <v>62</v>
      </c>
      <c r="E728">
        <v>299</v>
      </c>
      <c r="F728" s="45" t="s">
        <v>208</v>
      </c>
      <c r="G728" s="23" t="s">
        <v>206</v>
      </c>
      <c r="I728" s="10">
        <v>1745.08</v>
      </c>
      <c r="J728" s="44" t="s">
        <v>12</v>
      </c>
      <c r="L728" s="15" t="str">
        <f t="shared" si="11"/>
        <v>112.2160.100</v>
      </c>
    </row>
    <row r="729" spans="1:12" x14ac:dyDescent="0.2">
      <c r="A729" s="10">
        <v>18805</v>
      </c>
      <c r="B729" s="10" t="s">
        <v>192</v>
      </c>
      <c r="C729" s="10">
        <v>12030400</v>
      </c>
      <c r="D729" t="s">
        <v>62</v>
      </c>
      <c r="E729">
        <v>299</v>
      </c>
      <c r="F729" s="45" t="s">
        <v>208</v>
      </c>
      <c r="G729" s="23" t="s">
        <v>206</v>
      </c>
      <c r="I729" s="10">
        <v>1646.92</v>
      </c>
      <c r="J729" s="44" t="s">
        <v>12</v>
      </c>
      <c r="L729" s="15" t="str">
        <f t="shared" ref="L729:L792" si="12">G729</f>
        <v>112.2160.100</v>
      </c>
    </row>
    <row r="730" spans="1:12" x14ac:dyDescent="0.2">
      <c r="A730" s="10">
        <v>302</v>
      </c>
      <c r="B730" s="10" t="s">
        <v>33</v>
      </c>
      <c r="C730" s="10">
        <v>12030500</v>
      </c>
      <c r="D730" t="s">
        <v>34</v>
      </c>
      <c r="E730">
        <v>299</v>
      </c>
      <c r="F730" s="45" t="s">
        <v>208</v>
      </c>
      <c r="G730" s="23" t="s">
        <v>206</v>
      </c>
      <c r="I730" s="10">
        <v>1862.54</v>
      </c>
      <c r="J730" s="44" t="s">
        <v>12</v>
      </c>
      <c r="L730" s="15" t="str">
        <f t="shared" si="12"/>
        <v>112.2160.100</v>
      </c>
    </row>
    <row r="731" spans="1:12" x14ac:dyDescent="0.2">
      <c r="A731" s="10">
        <v>18841</v>
      </c>
      <c r="B731" s="10" t="s">
        <v>193</v>
      </c>
      <c r="C731" s="10">
        <v>12030500</v>
      </c>
      <c r="D731" t="s">
        <v>34</v>
      </c>
      <c r="E731">
        <v>299</v>
      </c>
      <c r="F731" s="45" t="s">
        <v>208</v>
      </c>
      <c r="G731" s="23" t="s">
        <v>206</v>
      </c>
      <c r="I731" s="10">
        <v>1518.46</v>
      </c>
      <c r="J731" s="44" t="s">
        <v>12</v>
      </c>
      <c r="L731" s="15" t="str">
        <f t="shared" si="12"/>
        <v>112.2160.100</v>
      </c>
    </row>
    <row r="732" spans="1:12" x14ac:dyDescent="0.2">
      <c r="A732" s="10">
        <v>266</v>
      </c>
      <c r="B732" s="10" t="s">
        <v>194</v>
      </c>
      <c r="C732" s="10">
        <v>12030500</v>
      </c>
      <c r="D732" t="s">
        <v>34</v>
      </c>
      <c r="E732">
        <v>299</v>
      </c>
      <c r="F732" s="45" t="s">
        <v>208</v>
      </c>
      <c r="G732" s="23" t="s">
        <v>206</v>
      </c>
      <c r="I732" s="10">
        <v>1987.8</v>
      </c>
      <c r="J732" s="44" t="s">
        <v>12</v>
      </c>
      <c r="L732" s="15" t="str">
        <f t="shared" si="12"/>
        <v>112.2160.100</v>
      </c>
    </row>
    <row r="733" spans="1:12" x14ac:dyDescent="0.2">
      <c r="A733" s="10">
        <v>18822</v>
      </c>
      <c r="B733" s="10" t="s">
        <v>103</v>
      </c>
      <c r="C733" s="10">
        <v>12030611</v>
      </c>
      <c r="D733" t="s">
        <v>36</v>
      </c>
      <c r="E733">
        <v>299</v>
      </c>
      <c r="F733" s="45" t="s">
        <v>208</v>
      </c>
      <c r="G733" s="23" t="s">
        <v>206</v>
      </c>
      <c r="I733" s="10">
        <v>1852.01</v>
      </c>
      <c r="J733" s="44" t="s">
        <v>12</v>
      </c>
      <c r="L733" s="15" t="str">
        <f t="shared" si="12"/>
        <v>112.2160.100</v>
      </c>
    </row>
    <row r="734" spans="1:12" x14ac:dyDescent="0.2">
      <c r="A734" s="10">
        <v>18901</v>
      </c>
      <c r="B734" s="10" t="s">
        <v>37</v>
      </c>
      <c r="C734" s="10">
        <v>12030611</v>
      </c>
      <c r="D734" t="s">
        <v>36</v>
      </c>
      <c r="E734">
        <v>299</v>
      </c>
      <c r="F734" s="45" t="s">
        <v>208</v>
      </c>
      <c r="G734" s="23" t="s">
        <v>206</v>
      </c>
      <c r="I734" s="10">
        <v>2582.71</v>
      </c>
      <c r="J734" s="44" t="s">
        <v>12</v>
      </c>
      <c r="L734" s="15" t="str">
        <f t="shared" si="12"/>
        <v>112.2160.100</v>
      </c>
    </row>
    <row r="735" spans="1:12" x14ac:dyDescent="0.2">
      <c r="A735" s="10">
        <v>18918</v>
      </c>
      <c r="B735" s="10" t="s">
        <v>38</v>
      </c>
      <c r="C735" s="10">
        <v>12030611</v>
      </c>
      <c r="D735" t="s">
        <v>36</v>
      </c>
      <c r="E735">
        <v>299</v>
      </c>
      <c r="F735" s="45" t="s">
        <v>208</v>
      </c>
      <c r="G735" s="23" t="s">
        <v>206</v>
      </c>
      <c r="I735" s="10">
        <v>2154.09</v>
      </c>
      <c r="J735" s="44" t="s">
        <v>12</v>
      </c>
      <c r="L735" s="15" t="str">
        <f t="shared" si="12"/>
        <v>112.2160.100</v>
      </c>
    </row>
    <row r="736" spans="1:12" x14ac:dyDescent="0.2">
      <c r="A736" s="10">
        <v>134</v>
      </c>
      <c r="B736" s="10" t="s">
        <v>102</v>
      </c>
      <c r="C736" s="10">
        <v>12030611</v>
      </c>
      <c r="D736" t="s">
        <v>36</v>
      </c>
      <c r="E736">
        <v>299</v>
      </c>
      <c r="F736" s="45" t="s">
        <v>208</v>
      </c>
      <c r="G736" s="23" t="s">
        <v>206</v>
      </c>
      <c r="I736" s="10">
        <v>1283.6400000000001</v>
      </c>
      <c r="J736" s="44" t="s">
        <v>12</v>
      </c>
      <c r="L736" s="15" t="str">
        <f t="shared" si="12"/>
        <v>112.2160.100</v>
      </c>
    </row>
    <row r="737" spans="1:12" x14ac:dyDescent="0.2">
      <c r="A737" s="10">
        <v>18949</v>
      </c>
      <c r="B737" s="10" t="s">
        <v>35</v>
      </c>
      <c r="C737" s="10">
        <v>12030611</v>
      </c>
      <c r="D737" t="s">
        <v>36</v>
      </c>
      <c r="E737">
        <v>299</v>
      </c>
      <c r="F737" s="45" t="s">
        <v>208</v>
      </c>
      <c r="G737" s="23" t="s">
        <v>206</v>
      </c>
      <c r="I737" s="10">
        <v>2085.13</v>
      </c>
      <c r="J737" s="44" t="s">
        <v>12</v>
      </c>
      <c r="L737" s="15" t="str">
        <f t="shared" si="12"/>
        <v>112.2160.100</v>
      </c>
    </row>
    <row r="738" spans="1:12" x14ac:dyDescent="0.2">
      <c r="A738" s="10">
        <v>18626</v>
      </c>
      <c r="B738" s="10" t="s">
        <v>195</v>
      </c>
      <c r="C738" s="10">
        <v>12030611</v>
      </c>
      <c r="D738" t="s">
        <v>36</v>
      </c>
      <c r="E738">
        <v>299</v>
      </c>
      <c r="F738" s="45" t="s">
        <v>208</v>
      </c>
      <c r="G738" s="23" t="s">
        <v>206</v>
      </c>
      <c r="I738" s="10">
        <v>210.46</v>
      </c>
      <c r="J738" s="44" t="s">
        <v>12</v>
      </c>
      <c r="L738" s="15" t="str">
        <f t="shared" si="12"/>
        <v>112.2160.100</v>
      </c>
    </row>
    <row r="739" spans="1:12" x14ac:dyDescent="0.2">
      <c r="A739" s="10">
        <v>18827</v>
      </c>
      <c r="B739" s="10" t="s">
        <v>104</v>
      </c>
      <c r="C739" s="10">
        <v>12030611</v>
      </c>
      <c r="D739" t="s">
        <v>36</v>
      </c>
      <c r="E739">
        <v>299</v>
      </c>
      <c r="F739" s="45" t="s">
        <v>208</v>
      </c>
      <c r="G739" s="23" t="s">
        <v>206</v>
      </c>
      <c r="I739" s="10">
        <v>2054.2600000000002</v>
      </c>
      <c r="J739" s="44" t="s">
        <v>12</v>
      </c>
      <c r="L739" s="15" t="str">
        <f t="shared" si="12"/>
        <v>112.2160.100</v>
      </c>
    </row>
    <row r="740" spans="1:12" x14ac:dyDescent="0.2">
      <c r="A740" s="10">
        <v>18979</v>
      </c>
      <c r="B740" s="10" t="s">
        <v>39</v>
      </c>
      <c r="C740" s="10">
        <v>12030611</v>
      </c>
      <c r="D740" t="s">
        <v>36</v>
      </c>
      <c r="E740">
        <v>299</v>
      </c>
      <c r="F740" s="45" t="s">
        <v>208</v>
      </c>
      <c r="G740" s="23" t="s">
        <v>206</v>
      </c>
      <c r="I740" s="10">
        <v>1574.21</v>
      </c>
      <c r="J740" s="44" t="s">
        <v>12</v>
      </c>
      <c r="L740" s="15" t="str">
        <f t="shared" si="12"/>
        <v>112.2160.100</v>
      </c>
    </row>
    <row r="741" spans="1:12" x14ac:dyDescent="0.2">
      <c r="A741" s="10">
        <v>18887</v>
      </c>
      <c r="B741" s="10" t="s">
        <v>105</v>
      </c>
      <c r="C741" s="10">
        <v>12030611</v>
      </c>
      <c r="D741" t="s">
        <v>36</v>
      </c>
      <c r="E741">
        <v>299</v>
      </c>
      <c r="F741" s="45" t="s">
        <v>208</v>
      </c>
      <c r="G741" s="23" t="s">
        <v>206</v>
      </c>
      <c r="I741" s="10">
        <v>1716.77</v>
      </c>
      <c r="J741" s="44" t="s">
        <v>12</v>
      </c>
      <c r="L741" s="15" t="str">
        <f t="shared" si="12"/>
        <v>112.2160.100</v>
      </c>
    </row>
    <row r="742" spans="1:12" x14ac:dyDescent="0.2">
      <c r="A742" s="10">
        <v>18929</v>
      </c>
      <c r="B742" s="10" t="s">
        <v>106</v>
      </c>
      <c r="C742" s="10">
        <v>12030611</v>
      </c>
      <c r="D742" t="s">
        <v>36</v>
      </c>
      <c r="E742">
        <v>299</v>
      </c>
      <c r="F742" s="45" t="s">
        <v>208</v>
      </c>
      <c r="G742" s="23" t="s">
        <v>206</v>
      </c>
      <c r="I742" s="10">
        <v>637.16</v>
      </c>
      <c r="J742" s="44" t="s">
        <v>12</v>
      </c>
      <c r="L742" s="15" t="str">
        <f t="shared" si="12"/>
        <v>112.2160.100</v>
      </c>
    </row>
    <row r="743" spans="1:12" x14ac:dyDescent="0.2">
      <c r="A743" s="10">
        <v>18797</v>
      </c>
      <c r="B743" s="10" t="s">
        <v>101</v>
      </c>
      <c r="C743" s="10">
        <v>12030611</v>
      </c>
      <c r="D743" t="s">
        <v>36</v>
      </c>
      <c r="E743">
        <v>299</v>
      </c>
      <c r="F743" s="45" t="s">
        <v>208</v>
      </c>
      <c r="G743" s="23" t="s">
        <v>206</v>
      </c>
      <c r="I743" s="10">
        <v>1866.57</v>
      </c>
      <c r="J743" s="44" t="s">
        <v>12</v>
      </c>
      <c r="L743" s="15" t="str">
        <f t="shared" si="12"/>
        <v>112.2160.100</v>
      </c>
    </row>
    <row r="744" spans="1:12" x14ac:dyDescent="0.2">
      <c r="A744" s="10">
        <v>18994</v>
      </c>
      <c r="B744" s="10" t="s">
        <v>363</v>
      </c>
      <c r="C744" s="10">
        <v>12030611</v>
      </c>
      <c r="D744" t="s">
        <v>36</v>
      </c>
      <c r="E744">
        <v>299</v>
      </c>
      <c r="F744" s="45" t="s">
        <v>208</v>
      </c>
      <c r="G744" s="23" t="s">
        <v>206</v>
      </c>
      <c r="I744" s="10">
        <v>581.16</v>
      </c>
      <c r="J744" s="44" t="s">
        <v>12</v>
      </c>
      <c r="L744" s="15" t="str">
        <f t="shared" si="12"/>
        <v>112.2160.100</v>
      </c>
    </row>
    <row r="745" spans="1:12" x14ac:dyDescent="0.2">
      <c r="A745" s="10">
        <v>18692</v>
      </c>
      <c r="B745" s="10" t="s">
        <v>40</v>
      </c>
      <c r="C745" s="10">
        <v>12030711</v>
      </c>
      <c r="D745" t="s">
        <v>41</v>
      </c>
      <c r="E745">
        <v>299</v>
      </c>
      <c r="F745" s="45" t="s">
        <v>208</v>
      </c>
      <c r="G745" s="23" t="s">
        <v>206</v>
      </c>
      <c r="I745" s="10">
        <v>2076.38</v>
      </c>
      <c r="J745" s="44" t="s">
        <v>12</v>
      </c>
      <c r="L745" s="15" t="str">
        <f t="shared" si="12"/>
        <v>112.2160.100</v>
      </c>
    </row>
    <row r="746" spans="1:12" x14ac:dyDescent="0.2">
      <c r="A746" s="10">
        <v>18989</v>
      </c>
      <c r="B746" s="10" t="s">
        <v>107</v>
      </c>
      <c r="C746" s="10">
        <v>12030800</v>
      </c>
      <c r="D746" t="s">
        <v>59</v>
      </c>
      <c r="E746">
        <v>299</v>
      </c>
      <c r="F746" s="45" t="s">
        <v>208</v>
      </c>
      <c r="G746" s="23" t="s">
        <v>206</v>
      </c>
      <c r="I746" s="10">
        <v>1814.8</v>
      </c>
      <c r="J746" s="44" t="s">
        <v>12</v>
      </c>
      <c r="L746" s="15" t="str">
        <f t="shared" si="12"/>
        <v>112.2160.100</v>
      </c>
    </row>
    <row r="747" spans="1:12" x14ac:dyDescent="0.2">
      <c r="A747" s="10">
        <v>18916</v>
      </c>
      <c r="B747" s="10" t="s">
        <v>42</v>
      </c>
      <c r="C747" s="10">
        <v>12032511</v>
      </c>
      <c r="D747" t="s">
        <v>43</v>
      </c>
      <c r="E747">
        <v>299</v>
      </c>
      <c r="F747" s="45" t="s">
        <v>208</v>
      </c>
      <c r="G747" s="23" t="s">
        <v>206</v>
      </c>
      <c r="I747" s="10">
        <v>-194</v>
      </c>
      <c r="J747" s="44" t="s">
        <v>12</v>
      </c>
      <c r="L747" s="15" t="str">
        <f t="shared" si="12"/>
        <v>112.2160.100</v>
      </c>
    </row>
    <row r="748" spans="1:12" x14ac:dyDescent="0.2">
      <c r="A748" s="10">
        <v>18736</v>
      </c>
      <c r="B748" s="10" t="s">
        <v>70</v>
      </c>
      <c r="C748" s="10">
        <v>12032511</v>
      </c>
      <c r="D748" t="s">
        <v>43</v>
      </c>
      <c r="E748">
        <v>299</v>
      </c>
      <c r="F748" s="45" t="s">
        <v>208</v>
      </c>
      <c r="G748" s="23" t="s">
        <v>206</v>
      </c>
      <c r="I748" s="10">
        <v>1495.75</v>
      </c>
      <c r="J748" s="44" t="s">
        <v>12</v>
      </c>
      <c r="L748" s="15" t="str">
        <f t="shared" si="12"/>
        <v>112.2160.100</v>
      </c>
    </row>
    <row r="749" spans="1:12" x14ac:dyDescent="0.2">
      <c r="A749" s="10">
        <v>19030</v>
      </c>
      <c r="B749" s="10" t="s">
        <v>364</v>
      </c>
      <c r="C749" s="10">
        <v>12033011</v>
      </c>
      <c r="D749" t="s">
        <v>45</v>
      </c>
      <c r="E749">
        <v>299</v>
      </c>
      <c r="F749" s="45" t="s">
        <v>208</v>
      </c>
      <c r="G749" s="23" t="s">
        <v>206</v>
      </c>
      <c r="I749" s="10">
        <v>1451.81</v>
      </c>
      <c r="J749" s="44" t="s">
        <v>12</v>
      </c>
      <c r="L749" s="15" t="str">
        <f t="shared" si="12"/>
        <v>112.2160.100</v>
      </c>
    </row>
    <row r="750" spans="1:12" x14ac:dyDescent="0.2">
      <c r="A750" s="10">
        <v>19029</v>
      </c>
      <c r="B750" s="10" t="s">
        <v>366</v>
      </c>
      <c r="C750" s="10">
        <v>12033011</v>
      </c>
      <c r="D750" t="s">
        <v>45</v>
      </c>
      <c r="E750">
        <v>299</v>
      </c>
      <c r="F750" s="45" t="s">
        <v>208</v>
      </c>
      <c r="G750" s="23" t="s">
        <v>206</v>
      </c>
      <c r="I750" s="10">
        <v>2054.63</v>
      </c>
      <c r="J750" s="44" t="s">
        <v>12</v>
      </c>
      <c r="L750" s="15" t="str">
        <f t="shared" si="12"/>
        <v>112.2160.100</v>
      </c>
    </row>
    <row r="751" spans="1:12" x14ac:dyDescent="0.2">
      <c r="A751" s="10">
        <v>19012</v>
      </c>
      <c r="B751" s="10" t="s">
        <v>110</v>
      </c>
      <c r="C751" s="10">
        <v>12033011</v>
      </c>
      <c r="D751" t="s">
        <v>45</v>
      </c>
      <c r="E751">
        <v>299</v>
      </c>
      <c r="F751" s="45" t="s">
        <v>208</v>
      </c>
      <c r="G751" s="23" t="s">
        <v>206</v>
      </c>
      <c r="I751" s="10">
        <v>1158.6099999999999</v>
      </c>
      <c r="J751" s="44" t="s">
        <v>12</v>
      </c>
      <c r="L751" s="15" t="str">
        <f t="shared" si="12"/>
        <v>112.2160.100</v>
      </c>
    </row>
    <row r="752" spans="1:12" x14ac:dyDescent="0.2">
      <c r="A752" s="10">
        <v>19009</v>
      </c>
      <c r="B752" s="10" t="s">
        <v>117</v>
      </c>
      <c r="C752" s="10">
        <v>12033011</v>
      </c>
      <c r="D752" t="s">
        <v>45</v>
      </c>
      <c r="E752">
        <v>299</v>
      </c>
      <c r="F752" s="45" t="s">
        <v>208</v>
      </c>
      <c r="G752" s="23" t="s">
        <v>206</v>
      </c>
      <c r="I752" s="10">
        <v>1867.16</v>
      </c>
      <c r="J752" s="44" t="s">
        <v>12</v>
      </c>
      <c r="L752" s="15" t="str">
        <f t="shared" si="12"/>
        <v>112.2160.100</v>
      </c>
    </row>
    <row r="753" spans="1:12" x14ac:dyDescent="0.2">
      <c r="A753" s="10">
        <v>19015</v>
      </c>
      <c r="B753" s="10" t="s">
        <v>116</v>
      </c>
      <c r="C753" s="10">
        <v>12033011</v>
      </c>
      <c r="D753" t="s">
        <v>45</v>
      </c>
      <c r="E753">
        <v>299</v>
      </c>
      <c r="F753" s="45" t="s">
        <v>208</v>
      </c>
      <c r="G753" s="23" t="s">
        <v>206</v>
      </c>
      <c r="I753" s="10">
        <v>2089.27</v>
      </c>
      <c r="J753" s="44" t="s">
        <v>12</v>
      </c>
      <c r="L753" s="15" t="str">
        <f t="shared" si="12"/>
        <v>112.2160.100</v>
      </c>
    </row>
    <row r="754" spans="1:12" x14ac:dyDescent="0.2">
      <c r="A754" s="10">
        <v>18679</v>
      </c>
      <c r="B754" s="10" t="s">
        <v>114</v>
      </c>
      <c r="C754" s="10">
        <v>12033011</v>
      </c>
      <c r="D754" t="s">
        <v>45</v>
      </c>
      <c r="E754">
        <v>299</v>
      </c>
      <c r="F754" s="45" t="s">
        <v>208</v>
      </c>
      <c r="G754" s="23" t="s">
        <v>206</v>
      </c>
      <c r="I754" s="10">
        <v>110.97</v>
      </c>
      <c r="J754" s="44" t="s">
        <v>12</v>
      </c>
      <c r="L754" s="15" t="str">
        <f t="shared" si="12"/>
        <v>112.2160.100</v>
      </c>
    </row>
    <row r="755" spans="1:12" x14ac:dyDescent="0.2">
      <c r="A755" s="10">
        <v>19019</v>
      </c>
      <c r="B755" s="10" t="s">
        <v>108</v>
      </c>
      <c r="C755" s="10">
        <v>12033011</v>
      </c>
      <c r="D755" t="s">
        <v>45</v>
      </c>
      <c r="E755">
        <v>299</v>
      </c>
      <c r="F755" s="45" t="s">
        <v>208</v>
      </c>
      <c r="G755" s="23" t="s">
        <v>206</v>
      </c>
      <c r="I755" s="10">
        <v>2026.66</v>
      </c>
      <c r="J755" s="44" t="s">
        <v>12</v>
      </c>
      <c r="L755" s="15" t="str">
        <f t="shared" si="12"/>
        <v>112.2160.100</v>
      </c>
    </row>
    <row r="756" spans="1:12" x14ac:dyDescent="0.2">
      <c r="A756" s="10">
        <v>18923</v>
      </c>
      <c r="B756" s="10" t="s">
        <v>46</v>
      </c>
      <c r="C756" s="10">
        <v>12033011</v>
      </c>
      <c r="D756" t="s">
        <v>45</v>
      </c>
      <c r="E756">
        <v>299</v>
      </c>
      <c r="F756" s="45" t="s">
        <v>208</v>
      </c>
      <c r="G756" s="23" t="s">
        <v>206</v>
      </c>
      <c r="I756" s="10">
        <v>1441.53</v>
      </c>
      <c r="J756" s="44" t="s">
        <v>12</v>
      </c>
      <c r="L756" s="15" t="str">
        <f t="shared" si="12"/>
        <v>112.2160.100</v>
      </c>
    </row>
    <row r="757" spans="1:12" x14ac:dyDescent="0.2">
      <c r="A757" s="10">
        <v>19008</v>
      </c>
      <c r="B757" s="10" t="s">
        <v>118</v>
      </c>
      <c r="C757" s="10">
        <v>12033011</v>
      </c>
      <c r="D757" t="s">
        <v>45</v>
      </c>
      <c r="E757">
        <v>299</v>
      </c>
      <c r="F757" s="45" t="s">
        <v>208</v>
      </c>
      <c r="G757" s="23" t="s">
        <v>206</v>
      </c>
      <c r="I757" s="10">
        <v>1216.1600000000001</v>
      </c>
      <c r="J757" s="44" t="s">
        <v>12</v>
      </c>
      <c r="L757" s="15" t="str">
        <f t="shared" si="12"/>
        <v>112.2160.100</v>
      </c>
    </row>
    <row r="758" spans="1:12" x14ac:dyDescent="0.2">
      <c r="A758" s="10">
        <v>18983</v>
      </c>
      <c r="B758" s="10" t="s">
        <v>112</v>
      </c>
      <c r="C758" s="10">
        <v>12033011</v>
      </c>
      <c r="D758" t="s">
        <v>45</v>
      </c>
      <c r="E758">
        <v>299</v>
      </c>
      <c r="F758" s="45" t="s">
        <v>208</v>
      </c>
      <c r="G758" s="23" t="s">
        <v>206</v>
      </c>
      <c r="I758" s="10">
        <v>-75.84</v>
      </c>
      <c r="J758" s="44" t="s">
        <v>12</v>
      </c>
      <c r="L758" s="15" t="str">
        <f t="shared" si="12"/>
        <v>112.2160.100</v>
      </c>
    </row>
    <row r="759" spans="1:12" x14ac:dyDescent="0.2">
      <c r="A759" s="10">
        <v>19028</v>
      </c>
      <c r="B759" s="10" t="s">
        <v>367</v>
      </c>
      <c r="C759" s="10">
        <v>12033011</v>
      </c>
      <c r="D759" t="s">
        <v>45</v>
      </c>
      <c r="E759">
        <v>299</v>
      </c>
      <c r="F759" s="45" t="s">
        <v>208</v>
      </c>
      <c r="G759" s="23" t="s">
        <v>206</v>
      </c>
      <c r="I759" s="10">
        <v>1938.89</v>
      </c>
      <c r="J759" s="44" t="s">
        <v>12</v>
      </c>
      <c r="L759" s="15" t="str">
        <f t="shared" si="12"/>
        <v>112.2160.100</v>
      </c>
    </row>
    <row r="760" spans="1:12" x14ac:dyDescent="0.2">
      <c r="A760" s="10">
        <v>19011</v>
      </c>
      <c r="B760" s="10" t="s">
        <v>111</v>
      </c>
      <c r="C760" s="10">
        <v>12033011</v>
      </c>
      <c r="D760" t="s">
        <v>45</v>
      </c>
      <c r="E760">
        <v>299</v>
      </c>
      <c r="F760" s="45" t="s">
        <v>208</v>
      </c>
      <c r="G760" s="23" t="s">
        <v>206</v>
      </c>
      <c r="I760" s="10">
        <v>1765.01</v>
      </c>
      <c r="J760" s="44" t="s">
        <v>12</v>
      </c>
      <c r="L760" s="15" t="str">
        <f t="shared" si="12"/>
        <v>112.2160.100</v>
      </c>
    </row>
    <row r="761" spans="1:12" x14ac:dyDescent="0.2">
      <c r="A761" s="10">
        <v>18932</v>
      </c>
      <c r="B761" s="10" t="s">
        <v>44</v>
      </c>
      <c r="C761" s="10">
        <v>12033011</v>
      </c>
      <c r="D761" t="s">
        <v>45</v>
      </c>
      <c r="E761">
        <v>299</v>
      </c>
      <c r="F761" s="45" t="s">
        <v>208</v>
      </c>
      <c r="G761" s="23" t="s">
        <v>206</v>
      </c>
      <c r="I761" s="10">
        <v>2227.85</v>
      </c>
      <c r="J761" s="44" t="s">
        <v>12</v>
      </c>
      <c r="L761" s="15" t="str">
        <f t="shared" si="12"/>
        <v>112.2160.100</v>
      </c>
    </row>
    <row r="762" spans="1:12" x14ac:dyDescent="0.2">
      <c r="A762" s="10">
        <v>19017</v>
      </c>
      <c r="B762" s="10" t="s">
        <v>65</v>
      </c>
      <c r="C762" s="10">
        <v>12033011</v>
      </c>
      <c r="D762" t="s">
        <v>45</v>
      </c>
      <c r="E762">
        <v>299</v>
      </c>
      <c r="F762" s="45" t="s">
        <v>208</v>
      </c>
      <c r="G762" s="23" t="s">
        <v>206</v>
      </c>
      <c r="I762" s="10">
        <v>1363.63</v>
      </c>
      <c r="J762" s="44" t="s">
        <v>12</v>
      </c>
      <c r="L762" s="15" t="str">
        <f t="shared" si="12"/>
        <v>112.2160.100</v>
      </c>
    </row>
    <row r="763" spans="1:12" x14ac:dyDescent="0.2">
      <c r="A763" s="10">
        <v>18607</v>
      </c>
      <c r="B763" s="10" t="s">
        <v>109</v>
      </c>
      <c r="C763" s="10">
        <v>12033011</v>
      </c>
      <c r="D763" t="s">
        <v>45</v>
      </c>
      <c r="E763">
        <v>299</v>
      </c>
      <c r="F763" s="45" t="s">
        <v>208</v>
      </c>
      <c r="G763" s="23" t="s">
        <v>206</v>
      </c>
      <c r="I763" s="10">
        <v>1919.49</v>
      </c>
      <c r="J763" s="44" t="s">
        <v>12</v>
      </c>
      <c r="L763" s="15" t="str">
        <f t="shared" si="12"/>
        <v>112.2160.100</v>
      </c>
    </row>
    <row r="764" spans="1:12" x14ac:dyDescent="0.2">
      <c r="A764" s="10">
        <v>18829</v>
      </c>
      <c r="B764" s="10" t="s">
        <v>115</v>
      </c>
      <c r="C764" s="10">
        <v>12033011</v>
      </c>
      <c r="D764" t="s">
        <v>45</v>
      </c>
      <c r="E764">
        <v>299</v>
      </c>
      <c r="F764" s="45" t="s">
        <v>208</v>
      </c>
      <c r="G764" s="23" t="s">
        <v>206</v>
      </c>
      <c r="I764" s="10">
        <v>2044.25</v>
      </c>
      <c r="J764" s="44" t="s">
        <v>12</v>
      </c>
      <c r="L764" s="15" t="str">
        <f t="shared" si="12"/>
        <v>112.2160.100</v>
      </c>
    </row>
    <row r="765" spans="1:12" x14ac:dyDescent="0.2">
      <c r="A765" s="10">
        <v>19022</v>
      </c>
      <c r="B765" s="10" t="s">
        <v>113</v>
      </c>
      <c r="C765" s="10">
        <v>12033011</v>
      </c>
      <c r="D765" t="s">
        <v>45</v>
      </c>
      <c r="E765">
        <v>299</v>
      </c>
      <c r="F765" s="45" t="s">
        <v>208</v>
      </c>
      <c r="G765" s="23" t="s">
        <v>206</v>
      </c>
      <c r="I765" s="10">
        <v>1508.46</v>
      </c>
      <c r="J765" s="44" t="s">
        <v>12</v>
      </c>
      <c r="L765" s="15" t="str">
        <f t="shared" si="12"/>
        <v>112.2160.100</v>
      </c>
    </row>
    <row r="766" spans="1:12" x14ac:dyDescent="0.2">
      <c r="A766" s="10">
        <v>18998</v>
      </c>
      <c r="B766" s="10" t="s">
        <v>47</v>
      </c>
      <c r="C766" s="10">
        <v>12038099</v>
      </c>
      <c r="D766" t="s">
        <v>48</v>
      </c>
      <c r="E766">
        <v>299</v>
      </c>
      <c r="F766" s="45" t="s">
        <v>208</v>
      </c>
      <c r="G766" s="23" t="s">
        <v>206</v>
      </c>
      <c r="I766" s="10">
        <v>2494.9299999999998</v>
      </c>
      <c r="J766" s="44" t="s">
        <v>12</v>
      </c>
      <c r="L766" s="15" t="str">
        <f t="shared" si="12"/>
        <v>112.2160.100</v>
      </c>
    </row>
    <row r="767" spans="1:12" x14ac:dyDescent="0.2">
      <c r="A767" s="10">
        <v>115</v>
      </c>
      <c r="B767" s="10" t="s">
        <v>196</v>
      </c>
      <c r="C767" s="10">
        <v>12040400</v>
      </c>
      <c r="D767" t="s">
        <v>197</v>
      </c>
      <c r="E767">
        <v>299</v>
      </c>
      <c r="F767" s="45" t="s">
        <v>208</v>
      </c>
      <c r="G767" s="23" t="s">
        <v>206</v>
      </c>
      <c r="I767" s="10">
        <v>-676</v>
      </c>
      <c r="J767" s="44" t="s">
        <v>12</v>
      </c>
      <c r="L767" s="15" t="str">
        <f t="shared" si="12"/>
        <v>112.2160.100</v>
      </c>
    </row>
    <row r="768" spans="1:12" x14ac:dyDescent="0.2">
      <c r="A768" s="10">
        <v>18649</v>
      </c>
      <c r="B768" s="10" t="s">
        <v>152</v>
      </c>
      <c r="C768" s="10">
        <v>12040500</v>
      </c>
      <c r="D768" t="s">
        <v>67</v>
      </c>
      <c r="E768">
        <v>299</v>
      </c>
      <c r="F768" s="45" t="s">
        <v>208</v>
      </c>
      <c r="G768" s="23" t="s">
        <v>206</v>
      </c>
      <c r="I768" s="10">
        <v>2317.38</v>
      </c>
      <c r="J768" s="44" t="s">
        <v>12</v>
      </c>
      <c r="L768" s="15" t="str">
        <f t="shared" si="12"/>
        <v>112.2160.100</v>
      </c>
    </row>
    <row r="769" spans="1:12" x14ac:dyDescent="0.2">
      <c r="A769" s="10">
        <v>19020</v>
      </c>
      <c r="B769" s="10" t="s">
        <v>66</v>
      </c>
      <c r="C769" s="10">
        <v>12040500</v>
      </c>
      <c r="D769" t="s">
        <v>67</v>
      </c>
      <c r="E769">
        <v>299</v>
      </c>
      <c r="F769" s="45" t="s">
        <v>208</v>
      </c>
      <c r="G769" s="23" t="s">
        <v>206</v>
      </c>
      <c r="I769" s="10">
        <v>1696.36</v>
      </c>
      <c r="J769" s="44" t="s">
        <v>12</v>
      </c>
      <c r="L769" s="15" t="str">
        <f t="shared" si="12"/>
        <v>112.2160.100</v>
      </c>
    </row>
    <row r="770" spans="1:12" x14ac:dyDescent="0.2">
      <c r="A770" s="10">
        <v>18839</v>
      </c>
      <c r="B770" s="10" t="s">
        <v>198</v>
      </c>
      <c r="C770" s="10">
        <v>12040800</v>
      </c>
      <c r="D770" t="s">
        <v>120</v>
      </c>
      <c r="E770">
        <v>299</v>
      </c>
      <c r="F770" s="45" t="s">
        <v>208</v>
      </c>
      <c r="G770" s="23" t="s">
        <v>206</v>
      </c>
      <c r="I770" s="10">
        <v>1082.45</v>
      </c>
      <c r="J770" s="44" t="s">
        <v>12</v>
      </c>
      <c r="L770" s="15" t="str">
        <f t="shared" si="12"/>
        <v>112.2160.100</v>
      </c>
    </row>
    <row r="771" spans="1:12" x14ac:dyDescent="0.2">
      <c r="A771" s="10">
        <v>18904</v>
      </c>
      <c r="B771" s="10" t="s">
        <v>119</v>
      </c>
      <c r="C771" s="10">
        <v>12040800</v>
      </c>
      <c r="D771" t="s">
        <v>120</v>
      </c>
      <c r="E771">
        <v>299</v>
      </c>
      <c r="F771" s="45" t="s">
        <v>208</v>
      </c>
      <c r="G771" s="23" t="s">
        <v>206</v>
      </c>
      <c r="I771" s="10">
        <v>1672.26</v>
      </c>
      <c r="J771" s="44" t="s">
        <v>12</v>
      </c>
      <c r="L771" s="15" t="str">
        <f t="shared" si="12"/>
        <v>112.2160.100</v>
      </c>
    </row>
    <row r="772" spans="1:12" x14ac:dyDescent="0.2">
      <c r="A772" s="10">
        <v>18650</v>
      </c>
      <c r="B772" s="10" t="s">
        <v>49</v>
      </c>
      <c r="C772" s="10">
        <v>12042511</v>
      </c>
      <c r="D772" t="s">
        <v>50</v>
      </c>
      <c r="E772">
        <v>299</v>
      </c>
      <c r="F772" s="45" t="s">
        <v>208</v>
      </c>
      <c r="G772" s="23" t="s">
        <v>206</v>
      </c>
      <c r="I772" s="10">
        <v>1574.76</v>
      </c>
      <c r="J772" s="44" t="s">
        <v>12</v>
      </c>
      <c r="L772" s="15" t="str">
        <f t="shared" si="12"/>
        <v>112.2160.100</v>
      </c>
    </row>
    <row r="773" spans="1:12" x14ac:dyDescent="0.2">
      <c r="A773" s="10">
        <v>18703</v>
      </c>
      <c r="B773" s="10" t="s">
        <v>126</v>
      </c>
      <c r="C773" s="10">
        <v>12043011</v>
      </c>
      <c r="D773" t="s">
        <v>52</v>
      </c>
      <c r="E773">
        <v>299</v>
      </c>
      <c r="F773" s="45" t="s">
        <v>208</v>
      </c>
      <c r="G773" s="23" t="s">
        <v>206</v>
      </c>
      <c r="I773" s="10">
        <v>1862.24</v>
      </c>
      <c r="J773" s="44" t="s">
        <v>12</v>
      </c>
      <c r="L773" s="15" t="str">
        <f t="shared" si="12"/>
        <v>112.2160.100</v>
      </c>
    </row>
    <row r="774" spans="1:12" x14ac:dyDescent="0.2">
      <c r="A774" s="10">
        <v>18917</v>
      </c>
      <c r="B774" s="10" t="s">
        <v>68</v>
      </c>
      <c r="C774" s="10">
        <v>12043011</v>
      </c>
      <c r="D774" t="s">
        <v>52</v>
      </c>
      <c r="E774">
        <v>299</v>
      </c>
      <c r="F774" s="45" t="s">
        <v>208</v>
      </c>
      <c r="G774" s="23" t="s">
        <v>206</v>
      </c>
      <c r="I774" s="10">
        <v>481.04</v>
      </c>
      <c r="J774" s="44" t="s">
        <v>12</v>
      </c>
      <c r="L774" s="15" t="str">
        <f t="shared" si="12"/>
        <v>112.2160.100</v>
      </c>
    </row>
    <row r="775" spans="1:12" x14ac:dyDescent="0.2">
      <c r="A775" s="10">
        <v>18713</v>
      </c>
      <c r="B775" s="10" t="s">
        <v>154</v>
      </c>
      <c r="C775" s="10">
        <v>12043011</v>
      </c>
      <c r="D775" t="s">
        <v>52</v>
      </c>
      <c r="E775">
        <v>299</v>
      </c>
      <c r="F775" s="45" t="s">
        <v>208</v>
      </c>
      <c r="G775" s="23" t="s">
        <v>206</v>
      </c>
      <c r="I775" s="10">
        <v>2619.5500000000002</v>
      </c>
      <c r="J775" s="44" t="s">
        <v>12</v>
      </c>
      <c r="L775" s="15" t="str">
        <f t="shared" si="12"/>
        <v>112.2160.100</v>
      </c>
    </row>
    <row r="776" spans="1:12" x14ac:dyDescent="0.2">
      <c r="A776" s="10">
        <v>18990</v>
      </c>
      <c r="B776" s="10" t="s">
        <v>125</v>
      </c>
      <c r="C776" s="10">
        <v>12043011</v>
      </c>
      <c r="D776" t="s">
        <v>52</v>
      </c>
      <c r="E776">
        <v>299</v>
      </c>
      <c r="F776" s="45" t="s">
        <v>208</v>
      </c>
      <c r="G776" s="23" t="s">
        <v>206</v>
      </c>
      <c r="I776" s="10">
        <v>1574.81</v>
      </c>
      <c r="J776" s="44" t="s">
        <v>12</v>
      </c>
      <c r="L776" s="15" t="str">
        <f t="shared" si="12"/>
        <v>112.2160.100</v>
      </c>
    </row>
    <row r="777" spans="1:12" x14ac:dyDescent="0.2">
      <c r="A777" s="10">
        <v>18646</v>
      </c>
      <c r="B777" s="10" t="s">
        <v>124</v>
      </c>
      <c r="C777" s="10">
        <v>12043011</v>
      </c>
      <c r="D777" t="s">
        <v>52</v>
      </c>
      <c r="E777">
        <v>299</v>
      </c>
      <c r="F777" s="45" t="s">
        <v>208</v>
      </c>
      <c r="G777" s="23" t="s">
        <v>206</v>
      </c>
      <c r="I777" s="10">
        <v>1307.0999999999999</v>
      </c>
      <c r="J777" s="44" t="s">
        <v>12</v>
      </c>
      <c r="L777" s="15" t="str">
        <f t="shared" si="12"/>
        <v>112.2160.100</v>
      </c>
    </row>
    <row r="778" spans="1:12" x14ac:dyDescent="0.2">
      <c r="A778" s="10">
        <v>18858</v>
      </c>
      <c r="B778" s="10" t="s">
        <v>122</v>
      </c>
      <c r="C778" s="10">
        <v>12043011</v>
      </c>
      <c r="D778" t="s">
        <v>52</v>
      </c>
      <c r="E778">
        <v>299</v>
      </c>
      <c r="F778" s="45" t="s">
        <v>208</v>
      </c>
      <c r="G778" s="23" t="s">
        <v>206</v>
      </c>
      <c r="I778" s="10">
        <v>1854.88</v>
      </c>
      <c r="J778" s="44" t="s">
        <v>12</v>
      </c>
      <c r="L778" s="15" t="str">
        <f t="shared" si="12"/>
        <v>112.2160.100</v>
      </c>
    </row>
    <row r="779" spans="1:12" x14ac:dyDescent="0.2">
      <c r="A779" s="10">
        <v>18850</v>
      </c>
      <c r="B779" s="10" t="s">
        <v>123</v>
      </c>
      <c r="C779" s="10">
        <v>12043011</v>
      </c>
      <c r="D779" t="s">
        <v>52</v>
      </c>
      <c r="E779">
        <v>299</v>
      </c>
      <c r="F779" s="45" t="s">
        <v>208</v>
      </c>
      <c r="G779" s="23" t="s">
        <v>206</v>
      </c>
      <c r="I779" s="10">
        <v>1700.16</v>
      </c>
      <c r="J779" s="44" t="s">
        <v>12</v>
      </c>
      <c r="L779" s="15" t="str">
        <f t="shared" si="12"/>
        <v>112.2160.100</v>
      </c>
    </row>
    <row r="780" spans="1:12" x14ac:dyDescent="0.2">
      <c r="A780" s="10">
        <v>18942</v>
      </c>
      <c r="B780" s="10" t="s">
        <v>51</v>
      </c>
      <c r="C780" s="10">
        <v>12043011</v>
      </c>
      <c r="D780" t="s">
        <v>52</v>
      </c>
      <c r="E780">
        <v>299</v>
      </c>
      <c r="F780" s="45" t="s">
        <v>208</v>
      </c>
      <c r="G780" s="23" t="s">
        <v>206</v>
      </c>
      <c r="I780" s="10">
        <v>1961.07</v>
      </c>
      <c r="J780" s="44" t="s">
        <v>12</v>
      </c>
      <c r="L780" s="15" t="str">
        <f t="shared" si="12"/>
        <v>112.2160.100</v>
      </c>
    </row>
    <row r="781" spans="1:12" x14ac:dyDescent="0.2">
      <c r="A781" s="10">
        <v>18986</v>
      </c>
      <c r="B781" s="10" t="s">
        <v>153</v>
      </c>
      <c r="C781" s="10">
        <v>12043011</v>
      </c>
      <c r="D781" t="s">
        <v>52</v>
      </c>
      <c r="E781">
        <v>299</v>
      </c>
      <c r="F781" s="45" t="s">
        <v>208</v>
      </c>
      <c r="G781" s="23" t="s">
        <v>206</v>
      </c>
      <c r="I781" s="10">
        <v>1720.31</v>
      </c>
      <c r="J781" s="44" t="s">
        <v>12</v>
      </c>
      <c r="L781" s="15" t="str">
        <f t="shared" si="12"/>
        <v>112.2160.100</v>
      </c>
    </row>
    <row r="782" spans="1:12" x14ac:dyDescent="0.2">
      <c r="A782" s="10">
        <v>19023</v>
      </c>
      <c r="B782" s="10" t="s">
        <v>69</v>
      </c>
      <c r="C782" s="10">
        <v>12043011</v>
      </c>
      <c r="D782" t="s">
        <v>52</v>
      </c>
      <c r="E782">
        <v>299</v>
      </c>
      <c r="F782" s="45" t="s">
        <v>208</v>
      </c>
      <c r="G782" s="23" t="s">
        <v>206</v>
      </c>
      <c r="I782" s="10">
        <v>923.77</v>
      </c>
      <c r="J782" s="44" t="s">
        <v>12</v>
      </c>
      <c r="L782" s="15" t="str">
        <f t="shared" si="12"/>
        <v>112.2160.100</v>
      </c>
    </row>
    <row r="783" spans="1:12" x14ac:dyDescent="0.2">
      <c r="A783" s="10">
        <v>18944</v>
      </c>
      <c r="B783" s="10" t="s">
        <v>199</v>
      </c>
      <c r="C783" s="10">
        <v>12043011</v>
      </c>
      <c r="D783" t="s">
        <v>52</v>
      </c>
      <c r="E783">
        <v>299</v>
      </c>
      <c r="F783" s="45" t="s">
        <v>208</v>
      </c>
      <c r="G783" s="23" t="s">
        <v>206</v>
      </c>
      <c r="I783" s="10">
        <v>1758.33</v>
      </c>
      <c r="J783" s="44" t="s">
        <v>12</v>
      </c>
      <c r="L783" s="15" t="str">
        <f t="shared" si="12"/>
        <v>112.2160.100</v>
      </c>
    </row>
    <row r="784" spans="1:12" x14ac:dyDescent="0.2">
      <c r="A784" s="10">
        <v>18924</v>
      </c>
      <c r="B784" s="10" t="s">
        <v>121</v>
      </c>
      <c r="C784" s="10">
        <v>12043011</v>
      </c>
      <c r="D784" t="s">
        <v>52</v>
      </c>
      <c r="E784">
        <v>299</v>
      </c>
      <c r="F784" s="45" t="s">
        <v>208</v>
      </c>
      <c r="G784" s="23" t="s">
        <v>206</v>
      </c>
      <c r="I784" s="10">
        <v>1023.04</v>
      </c>
      <c r="J784" s="44" t="s">
        <v>12</v>
      </c>
      <c r="L784" s="15" t="str">
        <f t="shared" si="12"/>
        <v>112.2160.100</v>
      </c>
    </row>
    <row r="785" spans="1:12" x14ac:dyDescent="0.2">
      <c r="A785" s="10">
        <v>18970</v>
      </c>
      <c r="B785" s="10" t="s">
        <v>200</v>
      </c>
      <c r="C785" s="10">
        <v>12043123</v>
      </c>
      <c r="D785" t="s">
        <v>201</v>
      </c>
      <c r="E785">
        <v>299</v>
      </c>
      <c r="F785" s="45" t="s">
        <v>208</v>
      </c>
      <c r="G785" s="23" t="s">
        <v>206</v>
      </c>
      <c r="I785" s="10">
        <v>1271.21</v>
      </c>
      <c r="J785" s="44" t="s">
        <v>12</v>
      </c>
      <c r="L785" s="15" t="str">
        <f t="shared" si="12"/>
        <v>112.2160.100</v>
      </c>
    </row>
    <row r="786" spans="1:12" x14ac:dyDescent="0.2">
      <c r="A786" s="10">
        <v>19001</v>
      </c>
      <c r="B786" s="10" t="s">
        <v>155</v>
      </c>
      <c r="C786" s="10">
        <v>12048099</v>
      </c>
      <c r="D786" t="s">
        <v>156</v>
      </c>
      <c r="E786">
        <v>299</v>
      </c>
      <c r="F786" s="45" t="s">
        <v>208</v>
      </c>
      <c r="G786" s="23" t="s">
        <v>206</v>
      </c>
      <c r="I786" s="10">
        <v>2393.54</v>
      </c>
      <c r="J786" s="44" t="s">
        <v>12</v>
      </c>
      <c r="L786" s="15" t="str">
        <f t="shared" si="12"/>
        <v>112.2160.100</v>
      </c>
    </row>
    <row r="787" spans="1:12" x14ac:dyDescent="0.2">
      <c r="A787" s="10">
        <v>18976</v>
      </c>
      <c r="B787" s="10" t="s">
        <v>202</v>
      </c>
      <c r="C787" s="10">
        <v>12048099</v>
      </c>
      <c r="D787" t="s">
        <v>156</v>
      </c>
      <c r="E787">
        <v>299</v>
      </c>
      <c r="F787" s="45" t="s">
        <v>208</v>
      </c>
      <c r="G787" s="23" t="s">
        <v>206</v>
      </c>
      <c r="I787" s="10">
        <v>1802.31</v>
      </c>
      <c r="J787" s="44" t="s">
        <v>12</v>
      </c>
      <c r="L787" s="15" t="str">
        <f t="shared" si="12"/>
        <v>112.2160.100</v>
      </c>
    </row>
    <row r="788" spans="1:12" x14ac:dyDescent="0.2">
      <c r="A788" s="10">
        <v>19031</v>
      </c>
      <c r="B788" s="10" t="s">
        <v>387</v>
      </c>
      <c r="C788" s="10">
        <v>12048099</v>
      </c>
      <c r="D788" t="s">
        <v>156</v>
      </c>
      <c r="E788">
        <v>299</v>
      </c>
      <c r="F788" s="45" t="s">
        <v>208</v>
      </c>
      <c r="G788" s="23" t="s">
        <v>206</v>
      </c>
      <c r="I788" s="10">
        <v>2181.08</v>
      </c>
      <c r="J788" s="44" t="s">
        <v>12</v>
      </c>
      <c r="L788" s="15" t="str">
        <f t="shared" si="12"/>
        <v>112.2160.100</v>
      </c>
    </row>
    <row r="789" spans="1:12" x14ac:dyDescent="0.2">
      <c r="A789" s="10">
        <v>18442</v>
      </c>
      <c r="B789" s="10" t="s">
        <v>157</v>
      </c>
      <c r="C789" s="10">
        <v>12060400</v>
      </c>
      <c r="D789" t="s">
        <v>158</v>
      </c>
      <c r="E789">
        <v>299</v>
      </c>
      <c r="F789" s="45" t="s">
        <v>208</v>
      </c>
      <c r="G789" s="23" t="s">
        <v>206</v>
      </c>
      <c r="I789" s="10">
        <v>1838.8</v>
      </c>
      <c r="J789" s="44" t="s">
        <v>12</v>
      </c>
      <c r="L789" s="15" t="str">
        <f t="shared" si="12"/>
        <v>112.2160.100</v>
      </c>
    </row>
    <row r="790" spans="1:12" x14ac:dyDescent="0.2">
      <c r="A790" s="10">
        <v>18927</v>
      </c>
      <c r="B790" s="10" t="s">
        <v>55</v>
      </c>
      <c r="C790" s="10">
        <v>12060611</v>
      </c>
      <c r="D790" t="s">
        <v>54</v>
      </c>
      <c r="E790">
        <v>299</v>
      </c>
      <c r="F790" s="45" t="s">
        <v>208</v>
      </c>
      <c r="G790" s="23" t="s">
        <v>206</v>
      </c>
      <c r="I790" s="10">
        <v>1134.69</v>
      </c>
      <c r="J790" s="44" t="s">
        <v>12</v>
      </c>
      <c r="L790" s="15" t="str">
        <f t="shared" si="12"/>
        <v>112.2160.100</v>
      </c>
    </row>
    <row r="791" spans="1:12" x14ac:dyDescent="0.2">
      <c r="A791" s="10">
        <v>18996</v>
      </c>
      <c r="B791" s="10" t="s">
        <v>127</v>
      </c>
      <c r="C791" s="10">
        <v>12060611</v>
      </c>
      <c r="D791" t="s">
        <v>54</v>
      </c>
      <c r="E791">
        <v>299</v>
      </c>
      <c r="F791" s="45" t="s">
        <v>208</v>
      </c>
      <c r="G791" s="23" t="s">
        <v>206</v>
      </c>
      <c r="I791" s="10">
        <v>922.26</v>
      </c>
      <c r="J791" s="44" t="s">
        <v>12</v>
      </c>
      <c r="L791" s="15" t="str">
        <f t="shared" si="12"/>
        <v>112.2160.100</v>
      </c>
    </row>
    <row r="792" spans="1:12" x14ac:dyDescent="0.2">
      <c r="A792" s="10">
        <v>18895</v>
      </c>
      <c r="B792" s="10" t="s">
        <v>128</v>
      </c>
      <c r="C792" s="10">
        <v>12060611</v>
      </c>
      <c r="D792" t="s">
        <v>54</v>
      </c>
      <c r="E792">
        <v>299</v>
      </c>
      <c r="F792" s="45" t="s">
        <v>208</v>
      </c>
      <c r="G792" s="23" t="s">
        <v>206</v>
      </c>
      <c r="I792" s="10">
        <v>1497.86</v>
      </c>
      <c r="J792" s="44" t="s">
        <v>12</v>
      </c>
      <c r="L792" s="15" t="str">
        <f t="shared" si="12"/>
        <v>112.2160.100</v>
      </c>
    </row>
    <row r="793" spans="1:12" x14ac:dyDescent="0.2">
      <c r="A793" s="10">
        <v>261</v>
      </c>
      <c r="B793" s="10" t="s">
        <v>159</v>
      </c>
      <c r="C793" s="10">
        <v>12060611</v>
      </c>
      <c r="D793" t="s">
        <v>54</v>
      </c>
      <c r="E793">
        <v>299</v>
      </c>
      <c r="F793" s="45" t="s">
        <v>208</v>
      </c>
      <c r="G793" s="23" t="s">
        <v>206</v>
      </c>
      <c r="I793" s="10">
        <v>2319.38</v>
      </c>
      <c r="J793" s="44" t="s">
        <v>12</v>
      </c>
      <c r="L793" s="15" t="str">
        <f t="shared" ref="L793:L856" si="13">G793</f>
        <v>112.2160.100</v>
      </c>
    </row>
    <row r="794" spans="1:12" x14ac:dyDescent="0.2">
      <c r="A794" s="10">
        <v>18790</v>
      </c>
      <c r="B794" s="10" t="s">
        <v>131</v>
      </c>
      <c r="C794" s="10">
        <v>12060611</v>
      </c>
      <c r="D794" t="s">
        <v>54</v>
      </c>
      <c r="E794">
        <v>299</v>
      </c>
      <c r="F794" s="45" t="s">
        <v>208</v>
      </c>
      <c r="G794" s="23" t="s">
        <v>206</v>
      </c>
      <c r="I794" s="10">
        <v>1357.73</v>
      </c>
      <c r="J794" s="44" t="s">
        <v>12</v>
      </c>
      <c r="L794" s="15" t="str">
        <f t="shared" si="13"/>
        <v>112.2160.100</v>
      </c>
    </row>
    <row r="795" spans="1:12" x14ac:dyDescent="0.2">
      <c r="A795" s="10">
        <v>18898</v>
      </c>
      <c r="B795" s="10" t="s">
        <v>130</v>
      </c>
      <c r="C795" s="10">
        <v>12060611</v>
      </c>
      <c r="D795" t="s">
        <v>54</v>
      </c>
      <c r="E795">
        <v>299</v>
      </c>
      <c r="F795" s="45" t="s">
        <v>208</v>
      </c>
      <c r="G795" s="23" t="s">
        <v>206</v>
      </c>
      <c r="I795" s="10">
        <v>1648.09</v>
      </c>
      <c r="J795" s="44" t="s">
        <v>12</v>
      </c>
      <c r="L795" s="15" t="str">
        <f t="shared" si="13"/>
        <v>112.2160.100</v>
      </c>
    </row>
    <row r="796" spans="1:12" x14ac:dyDescent="0.2">
      <c r="A796" s="10">
        <v>18634</v>
      </c>
      <c r="B796" s="10" t="s">
        <v>129</v>
      </c>
      <c r="C796" s="10">
        <v>12060611</v>
      </c>
      <c r="D796" t="s">
        <v>54</v>
      </c>
      <c r="E796">
        <v>299</v>
      </c>
      <c r="F796" s="45" t="s">
        <v>208</v>
      </c>
      <c r="G796" s="23" t="s">
        <v>206</v>
      </c>
      <c r="I796" s="10">
        <v>1109.07</v>
      </c>
      <c r="J796" s="44" t="s">
        <v>12</v>
      </c>
      <c r="L796" s="15" t="str">
        <f t="shared" si="13"/>
        <v>112.2160.100</v>
      </c>
    </row>
    <row r="797" spans="1:12" x14ac:dyDescent="0.2">
      <c r="A797" s="10">
        <v>18823</v>
      </c>
      <c r="B797" s="10" t="s">
        <v>53</v>
      </c>
      <c r="C797" s="10">
        <v>12060611</v>
      </c>
      <c r="D797" t="s">
        <v>54</v>
      </c>
      <c r="E797">
        <v>299</v>
      </c>
      <c r="F797" s="45" t="s">
        <v>208</v>
      </c>
      <c r="G797" s="23" t="s">
        <v>206</v>
      </c>
      <c r="I797" s="10">
        <v>1423.41</v>
      </c>
      <c r="J797" s="44" t="s">
        <v>12</v>
      </c>
      <c r="L797" s="15" t="str">
        <f t="shared" si="13"/>
        <v>112.2160.100</v>
      </c>
    </row>
    <row r="798" spans="1:12" x14ac:dyDescent="0.2">
      <c r="A798" s="10">
        <v>18791</v>
      </c>
      <c r="B798" s="10" t="s">
        <v>132</v>
      </c>
      <c r="C798" s="10">
        <v>12060711</v>
      </c>
      <c r="D798" t="s">
        <v>133</v>
      </c>
      <c r="E798">
        <v>299</v>
      </c>
      <c r="F798" s="45" t="s">
        <v>208</v>
      </c>
      <c r="G798" s="23" t="s">
        <v>206</v>
      </c>
      <c r="I798" s="10">
        <v>2234.56</v>
      </c>
      <c r="J798" s="44" t="s">
        <v>12</v>
      </c>
      <c r="L798" s="15" t="str">
        <f t="shared" si="13"/>
        <v>112.2160.100</v>
      </c>
    </row>
    <row r="799" spans="1:12" x14ac:dyDescent="0.2">
      <c r="A799" s="10">
        <v>18953</v>
      </c>
      <c r="B799" s="10" t="s">
        <v>136</v>
      </c>
      <c r="C799" s="10">
        <v>12060800</v>
      </c>
      <c r="D799" t="s">
        <v>135</v>
      </c>
      <c r="E799">
        <v>299</v>
      </c>
      <c r="F799" s="45" t="s">
        <v>208</v>
      </c>
      <c r="G799" s="23" t="s">
        <v>206</v>
      </c>
      <c r="I799" s="10">
        <v>1604.15</v>
      </c>
      <c r="J799" s="44" t="s">
        <v>12</v>
      </c>
      <c r="L799" s="15" t="str">
        <f t="shared" si="13"/>
        <v>112.2160.100</v>
      </c>
    </row>
    <row r="800" spans="1:12" x14ac:dyDescent="0.2">
      <c r="A800" s="10">
        <v>18561</v>
      </c>
      <c r="B800" s="10" t="s">
        <v>134</v>
      </c>
      <c r="C800" s="10">
        <v>12060800</v>
      </c>
      <c r="D800" t="s">
        <v>135</v>
      </c>
      <c r="E800">
        <v>299</v>
      </c>
      <c r="F800" s="45" t="s">
        <v>208</v>
      </c>
      <c r="G800" s="23" t="s">
        <v>206</v>
      </c>
      <c r="I800" s="10">
        <v>2166.56</v>
      </c>
      <c r="J800" s="44" t="s">
        <v>12</v>
      </c>
      <c r="L800" s="15" t="str">
        <f t="shared" si="13"/>
        <v>112.2160.100</v>
      </c>
    </row>
    <row r="801" spans="1:12" x14ac:dyDescent="0.2">
      <c r="A801" s="10">
        <v>156</v>
      </c>
      <c r="B801" s="10" t="s">
        <v>137</v>
      </c>
      <c r="C801" s="10">
        <v>12062511</v>
      </c>
      <c r="D801" t="s">
        <v>57</v>
      </c>
      <c r="E801">
        <v>299</v>
      </c>
      <c r="F801" s="45" t="s">
        <v>208</v>
      </c>
      <c r="G801" s="23" t="s">
        <v>206</v>
      </c>
      <c r="I801" s="10">
        <v>557.11</v>
      </c>
      <c r="J801" s="44" t="s">
        <v>12</v>
      </c>
      <c r="L801" s="15" t="str">
        <f t="shared" si="13"/>
        <v>112.2160.100</v>
      </c>
    </row>
    <row r="802" spans="1:12" x14ac:dyDescent="0.2">
      <c r="A802" s="10">
        <v>18792</v>
      </c>
      <c r="B802" s="10" t="s">
        <v>56</v>
      </c>
      <c r="C802" s="10">
        <v>12062511</v>
      </c>
      <c r="D802" t="s">
        <v>57</v>
      </c>
      <c r="E802">
        <v>299</v>
      </c>
      <c r="F802" s="45" t="s">
        <v>208</v>
      </c>
      <c r="G802" s="23" t="s">
        <v>206</v>
      </c>
      <c r="I802" s="10">
        <v>1659.35</v>
      </c>
      <c r="J802" s="44" t="s">
        <v>12</v>
      </c>
      <c r="L802" s="15" t="str">
        <f t="shared" si="13"/>
        <v>112.2160.100</v>
      </c>
    </row>
    <row r="803" spans="1:12" x14ac:dyDescent="0.2">
      <c r="A803" s="10">
        <v>18876</v>
      </c>
      <c r="B803" s="10" t="s">
        <v>160</v>
      </c>
      <c r="C803" s="10">
        <v>12068099</v>
      </c>
      <c r="D803" t="s">
        <v>161</v>
      </c>
      <c r="E803">
        <v>299</v>
      </c>
      <c r="F803" s="45" t="s">
        <v>208</v>
      </c>
      <c r="G803" s="23" t="s">
        <v>206</v>
      </c>
      <c r="I803" s="10">
        <v>2494.9299999999998</v>
      </c>
      <c r="J803" s="44" t="s">
        <v>12</v>
      </c>
      <c r="L803" s="15" t="str">
        <f t="shared" si="13"/>
        <v>112.2160.100</v>
      </c>
    </row>
    <row r="804" spans="1:12" x14ac:dyDescent="0.2">
      <c r="A804" s="10">
        <v>18726</v>
      </c>
      <c r="B804" s="10" t="s">
        <v>162</v>
      </c>
      <c r="C804" s="10">
        <v>12010500</v>
      </c>
      <c r="D804" t="s">
        <v>60</v>
      </c>
      <c r="E804">
        <v>300</v>
      </c>
      <c r="F804" s="45" t="s">
        <v>209</v>
      </c>
      <c r="G804" s="23" t="s">
        <v>210</v>
      </c>
      <c r="I804" s="10">
        <v>165</v>
      </c>
      <c r="J804" s="44" t="s">
        <v>12</v>
      </c>
      <c r="L804" s="15" t="str">
        <f t="shared" si="13"/>
        <v>112.2160.200</v>
      </c>
    </row>
    <row r="805" spans="1:12" x14ac:dyDescent="0.2">
      <c r="A805" s="10">
        <v>18946</v>
      </c>
      <c r="B805" s="10" t="s">
        <v>13</v>
      </c>
      <c r="C805" s="10">
        <v>12013250</v>
      </c>
      <c r="D805" t="s">
        <v>10</v>
      </c>
      <c r="E805">
        <v>300</v>
      </c>
      <c r="F805" s="45" t="s">
        <v>209</v>
      </c>
      <c r="G805" s="23" t="s">
        <v>210</v>
      </c>
      <c r="I805" s="10">
        <v>300</v>
      </c>
      <c r="J805" s="44" t="s">
        <v>12</v>
      </c>
      <c r="L805" s="15" t="str">
        <f t="shared" si="13"/>
        <v>112.2160.200</v>
      </c>
    </row>
    <row r="806" spans="1:12" x14ac:dyDescent="0.2">
      <c r="A806" s="10">
        <v>220</v>
      </c>
      <c r="B806" s="10" t="s">
        <v>14</v>
      </c>
      <c r="C806" s="10">
        <v>12013300</v>
      </c>
      <c r="D806" t="s">
        <v>15</v>
      </c>
      <c r="E806">
        <v>300</v>
      </c>
      <c r="F806" s="45" t="s">
        <v>209</v>
      </c>
      <c r="G806" s="23" t="s">
        <v>210</v>
      </c>
      <c r="I806" s="10">
        <v>75</v>
      </c>
      <c r="J806" s="44" t="s">
        <v>12</v>
      </c>
      <c r="L806" s="15" t="str">
        <f t="shared" si="13"/>
        <v>112.2160.200</v>
      </c>
    </row>
    <row r="807" spans="1:12" x14ac:dyDescent="0.2">
      <c r="A807" s="10">
        <v>18968</v>
      </c>
      <c r="B807" s="10" t="s">
        <v>164</v>
      </c>
      <c r="C807" s="10">
        <v>12019199</v>
      </c>
      <c r="D807" t="s">
        <v>147</v>
      </c>
      <c r="E807">
        <v>300</v>
      </c>
      <c r="F807" s="45" t="s">
        <v>209</v>
      </c>
      <c r="G807" s="23" t="s">
        <v>210</v>
      </c>
      <c r="I807" s="10">
        <v>400</v>
      </c>
      <c r="J807" s="44" t="s">
        <v>12</v>
      </c>
      <c r="L807" s="15" t="str">
        <f t="shared" si="13"/>
        <v>112.2160.200</v>
      </c>
    </row>
    <row r="808" spans="1:12" x14ac:dyDescent="0.2">
      <c r="A808" s="10">
        <v>18550</v>
      </c>
      <c r="B808" s="10" t="s">
        <v>165</v>
      </c>
      <c r="C808" s="10">
        <v>12019199</v>
      </c>
      <c r="D808" t="s">
        <v>147</v>
      </c>
      <c r="E808">
        <v>300</v>
      </c>
      <c r="F808" s="45" t="s">
        <v>209</v>
      </c>
      <c r="G808" s="23" t="s">
        <v>210</v>
      </c>
      <c r="I808" s="10">
        <v>780</v>
      </c>
      <c r="J808" s="44" t="s">
        <v>12</v>
      </c>
      <c r="L808" s="15" t="str">
        <f t="shared" si="13"/>
        <v>112.2160.200</v>
      </c>
    </row>
    <row r="809" spans="1:12" x14ac:dyDescent="0.2">
      <c r="A809" s="10">
        <v>18957</v>
      </c>
      <c r="B809" s="10" t="s">
        <v>74</v>
      </c>
      <c r="C809" s="10">
        <v>12020611</v>
      </c>
      <c r="D809" t="s">
        <v>23</v>
      </c>
      <c r="E809">
        <v>300</v>
      </c>
      <c r="F809" s="45" t="s">
        <v>209</v>
      </c>
      <c r="G809" s="23" t="s">
        <v>210</v>
      </c>
      <c r="I809" s="10">
        <v>860</v>
      </c>
      <c r="J809" s="44" t="s">
        <v>12</v>
      </c>
      <c r="L809" s="15" t="str">
        <f t="shared" si="13"/>
        <v>112.2160.200</v>
      </c>
    </row>
    <row r="810" spans="1:12" x14ac:dyDescent="0.2">
      <c r="A810" s="10">
        <v>261</v>
      </c>
      <c r="B810" s="10" t="s">
        <v>159</v>
      </c>
      <c r="C810" s="10">
        <v>12060611</v>
      </c>
      <c r="D810" t="s">
        <v>54</v>
      </c>
      <c r="E810">
        <v>300</v>
      </c>
      <c r="F810" s="45" t="s">
        <v>209</v>
      </c>
      <c r="G810" s="23" t="s">
        <v>210</v>
      </c>
      <c r="I810" s="10">
        <v>150</v>
      </c>
      <c r="J810" s="44" t="s">
        <v>12</v>
      </c>
      <c r="L810" s="15" t="str">
        <f t="shared" si="13"/>
        <v>112.2160.200</v>
      </c>
    </row>
    <row r="811" spans="1:12" x14ac:dyDescent="0.2">
      <c r="A811">
        <v>18517</v>
      </c>
      <c r="B811" t="s">
        <v>140</v>
      </c>
      <c r="C811">
        <v>12010500</v>
      </c>
      <c r="D811" t="s">
        <v>60</v>
      </c>
      <c r="E811">
        <v>301</v>
      </c>
      <c r="F811" t="s">
        <v>211</v>
      </c>
      <c r="G811" s="22" t="s">
        <v>210</v>
      </c>
      <c r="I811">
        <v>565.39</v>
      </c>
      <c r="J811" s="44" t="s">
        <v>12</v>
      </c>
      <c r="L811" s="15" t="str">
        <f t="shared" si="13"/>
        <v>112.2160.200</v>
      </c>
    </row>
    <row r="812" spans="1:12" x14ac:dyDescent="0.2">
      <c r="A812">
        <v>18647</v>
      </c>
      <c r="B812" t="s">
        <v>167</v>
      </c>
      <c r="C812">
        <v>12010500</v>
      </c>
      <c r="D812" t="s">
        <v>60</v>
      </c>
      <c r="E812">
        <v>301</v>
      </c>
      <c r="F812" t="s">
        <v>211</v>
      </c>
      <c r="G812" s="22" t="s">
        <v>210</v>
      </c>
      <c r="I812">
        <v>437.55</v>
      </c>
      <c r="J812" s="44" t="s">
        <v>12</v>
      </c>
      <c r="L812" s="15" t="str">
        <f t="shared" si="13"/>
        <v>112.2160.200</v>
      </c>
    </row>
    <row r="813" spans="1:12" x14ac:dyDescent="0.2">
      <c r="A813">
        <v>18845</v>
      </c>
      <c r="B813" t="s">
        <v>138</v>
      </c>
      <c r="C813">
        <v>12010500</v>
      </c>
      <c r="D813" t="s">
        <v>60</v>
      </c>
      <c r="E813">
        <v>301</v>
      </c>
      <c r="F813" t="s">
        <v>211</v>
      </c>
      <c r="G813" s="22" t="s">
        <v>210</v>
      </c>
      <c r="I813">
        <v>169.62</v>
      </c>
      <c r="J813" s="44" t="s">
        <v>12</v>
      </c>
      <c r="L813" s="15" t="str">
        <f t="shared" si="13"/>
        <v>112.2160.200</v>
      </c>
    </row>
    <row r="814" spans="1:12" x14ac:dyDescent="0.2">
      <c r="A814">
        <v>18871</v>
      </c>
      <c r="B814" t="s">
        <v>168</v>
      </c>
      <c r="C814">
        <v>12010500</v>
      </c>
      <c r="D814" t="s">
        <v>60</v>
      </c>
      <c r="E814">
        <v>301</v>
      </c>
      <c r="F814" t="s">
        <v>211</v>
      </c>
      <c r="G814" s="22" t="s">
        <v>210</v>
      </c>
      <c r="I814">
        <v>444.23</v>
      </c>
      <c r="J814" s="44" t="s">
        <v>12</v>
      </c>
      <c r="L814" s="15" t="str">
        <f t="shared" si="13"/>
        <v>112.2160.200</v>
      </c>
    </row>
    <row r="815" spans="1:12" x14ac:dyDescent="0.2">
      <c r="A815">
        <v>18726</v>
      </c>
      <c r="B815" t="s">
        <v>162</v>
      </c>
      <c r="C815">
        <v>12010500</v>
      </c>
      <c r="D815" t="s">
        <v>60</v>
      </c>
      <c r="E815">
        <v>301</v>
      </c>
      <c r="F815" t="s">
        <v>211</v>
      </c>
      <c r="G815" s="22" t="s">
        <v>210</v>
      </c>
      <c r="I815">
        <v>343.27</v>
      </c>
      <c r="J815" s="44" t="s">
        <v>12</v>
      </c>
      <c r="L815" s="15" t="str">
        <f t="shared" si="13"/>
        <v>112.2160.200</v>
      </c>
    </row>
    <row r="816" spans="1:12" x14ac:dyDescent="0.2">
      <c r="A816">
        <v>152</v>
      </c>
      <c r="B816" t="s">
        <v>169</v>
      </c>
      <c r="C816">
        <v>12010700</v>
      </c>
      <c r="D816" t="s">
        <v>170</v>
      </c>
      <c r="E816">
        <v>301</v>
      </c>
      <c r="F816" t="s">
        <v>211</v>
      </c>
      <c r="G816" s="22" t="s">
        <v>210</v>
      </c>
      <c r="I816">
        <v>403.85</v>
      </c>
      <c r="J816" s="44" t="s">
        <v>12</v>
      </c>
      <c r="L816" s="15" t="str">
        <f t="shared" si="13"/>
        <v>112.2160.200</v>
      </c>
    </row>
    <row r="817" spans="1:12" x14ac:dyDescent="0.2">
      <c r="A817">
        <v>19014</v>
      </c>
      <c r="B817" t="s">
        <v>171</v>
      </c>
      <c r="C817">
        <v>12013012</v>
      </c>
      <c r="D817" t="s">
        <v>71</v>
      </c>
      <c r="E817">
        <v>301</v>
      </c>
      <c r="F817" t="s">
        <v>211</v>
      </c>
      <c r="G817" s="22" t="s">
        <v>210</v>
      </c>
      <c r="I817">
        <v>262.5</v>
      </c>
      <c r="J817" s="44" t="s">
        <v>12</v>
      </c>
      <c r="L817" s="15" t="str">
        <f t="shared" si="13"/>
        <v>112.2160.200</v>
      </c>
    </row>
    <row r="818" spans="1:12" x14ac:dyDescent="0.2">
      <c r="A818">
        <v>18736</v>
      </c>
      <c r="B818" t="s">
        <v>70</v>
      </c>
      <c r="C818">
        <v>12013012</v>
      </c>
      <c r="D818" t="s">
        <v>71</v>
      </c>
      <c r="E818">
        <v>301</v>
      </c>
      <c r="F818" t="s">
        <v>211</v>
      </c>
      <c r="G818" s="22" t="s">
        <v>210</v>
      </c>
      <c r="I818">
        <v>58.74</v>
      </c>
      <c r="J818" s="44" t="s">
        <v>12</v>
      </c>
      <c r="L818" s="15" t="str">
        <f t="shared" si="13"/>
        <v>112.2160.200</v>
      </c>
    </row>
    <row r="819" spans="1:12" x14ac:dyDescent="0.2">
      <c r="A819">
        <v>18995</v>
      </c>
      <c r="B819" t="s">
        <v>174</v>
      </c>
      <c r="C819">
        <v>12013250</v>
      </c>
      <c r="D819" t="s">
        <v>10</v>
      </c>
      <c r="E819">
        <v>301</v>
      </c>
      <c r="F819" t="s">
        <v>211</v>
      </c>
      <c r="G819" s="22" t="s">
        <v>210</v>
      </c>
      <c r="I819">
        <v>242.31</v>
      </c>
      <c r="J819" s="44" t="s">
        <v>12</v>
      </c>
      <c r="L819" s="15" t="str">
        <f t="shared" si="13"/>
        <v>112.2160.200</v>
      </c>
    </row>
    <row r="820" spans="1:12" x14ac:dyDescent="0.2">
      <c r="A820">
        <v>18721</v>
      </c>
      <c r="B820" t="s">
        <v>172</v>
      </c>
      <c r="C820">
        <v>12013250</v>
      </c>
      <c r="D820" t="s">
        <v>10</v>
      </c>
      <c r="E820">
        <v>301</v>
      </c>
      <c r="F820" t="s">
        <v>211</v>
      </c>
      <c r="G820" s="22" t="s">
        <v>210</v>
      </c>
      <c r="I820">
        <v>294.81</v>
      </c>
      <c r="J820" s="44" t="s">
        <v>12</v>
      </c>
      <c r="L820" s="15" t="str">
        <f t="shared" si="13"/>
        <v>112.2160.200</v>
      </c>
    </row>
    <row r="821" spans="1:12" x14ac:dyDescent="0.2">
      <c r="A821">
        <v>18987</v>
      </c>
      <c r="B821" t="s">
        <v>173</v>
      </c>
      <c r="C821">
        <v>12013250</v>
      </c>
      <c r="D821" t="s">
        <v>10</v>
      </c>
      <c r="E821">
        <v>301</v>
      </c>
      <c r="F821" t="s">
        <v>211</v>
      </c>
      <c r="G821" s="22" t="s">
        <v>210</v>
      </c>
      <c r="I821">
        <v>323.08</v>
      </c>
      <c r="J821" s="44" t="s">
        <v>12</v>
      </c>
      <c r="L821" s="15" t="str">
        <f t="shared" si="13"/>
        <v>112.2160.200</v>
      </c>
    </row>
    <row r="822" spans="1:12" x14ac:dyDescent="0.2">
      <c r="A822">
        <v>18920</v>
      </c>
      <c r="B822" t="s">
        <v>9</v>
      </c>
      <c r="C822">
        <v>12013250</v>
      </c>
      <c r="D822" t="s">
        <v>10</v>
      </c>
      <c r="E822">
        <v>301</v>
      </c>
      <c r="F822" t="s">
        <v>211</v>
      </c>
      <c r="G822" s="22" t="s">
        <v>210</v>
      </c>
      <c r="I822">
        <v>476.03</v>
      </c>
      <c r="J822" s="44" t="s">
        <v>12</v>
      </c>
      <c r="L822" s="15" t="str">
        <f t="shared" si="13"/>
        <v>112.2160.200</v>
      </c>
    </row>
    <row r="823" spans="1:12" x14ac:dyDescent="0.2">
      <c r="A823">
        <v>18946</v>
      </c>
      <c r="B823" t="s">
        <v>13</v>
      </c>
      <c r="C823">
        <v>12013250</v>
      </c>
      <c r="D823" t="s">
        <v>10</v>
      </c>
      <c r="E823">
        <v>301</v>
      </c>
      <c r="F823" t="s">
        <v>211</v>
      </c>
      <c r="G823" s="22" t="s">
        <v>210</v>
      </c>
      <c r="I823">
        <v>253.51</v>
      </c>
      <c r="J823" s="44" t="s">
        <v>12</v>
      </c>
      <c r="L823" s="15" t="str">
        <f t="shared" si="13"/>
        <v>112.2160.200</v>
      </c>
    </row>
    <row r="824" spans="1:12" x14ac:dyDescent="0.2">
      <c r="A824">
        <v>18997</v>
      </c>
      <c r="B824" t="s">
        <v>141</v>
      </c>
      <c r="C824">
        <v>12013250</v>
      </c>
      <c r="D824" t="s">
        <v>10</v>
      </c>
      <c r="E824">
        <v>301</v>
      </c>
      <c r="F824" t="s">
        <v>211</v>
      </c>
      <c r="G824" s="22" t="s">
        <v>210</v>
      </c>
      <c r="I824">
        <v>444.23</v>
      </c>
      <c r="J824" s="44" t="s">
        <v>12</v>
      </c>
      <c r="L824" s="15" t="str">
        <f t="shared" si="13"/>
        <v>112.2160.200</v>
      </c>
    </row>
    <row r="825" spans="1:12" x14ac:dyDescent="0.2">
      <c r="A825">
        <v>18988</v>
      </c>
      <c r="B825" t="s">
        <v>175</v>
      </c>
      <c r="C825">
        <v>12013250</v>
      </c>
      <c r="D825" t="s">
        <v>10</v>
      </c>
      <c r="E825">
        <v>301</v>
      </c>
      <c r="F825" t="s">
        <v>211</v>
      </c>
      <c r="G825" s="22" t="s">
        <v>210</v>
      </c>
      <c r="I825">
        <v>282.69</v>
      </c>
      <c r="J825" s="44" t="s">
        <v>12</v>
      </c>
      <c r="L825" s="15" t="str">
        <f t="shared" si="13"/>
        <v>112.2160.200</v>
      </c>
    </row>
    <row r="826" spans="1:12" x14ac:dyDescent="0.2">
      <c r="A826">
        <v>18772</v>
      </c>
      <c r="B826" t="s">
        <v>176</v>
      </c>
      <c r="C826">
        <v>12013300</v>
      </c>
      <c r="D826" t="s">
        <v>15</v>
      </c>
      <c r="E826">
        <v>301</v>
      </c>
      <c r="F826" t="s">
        <v>211</v>
      </c>
      <c r="G826" s="22" t="s">
        <v>210</v>
      </c>
      <c r="I826">
        <v>504.19</v>
      </c>
      <c r="J826" s="44" t="s">
        <v>12</v>
      </c>
      <c r="L826" s="15" t="str">
        <f t="shared" si="13"/>
        <v>112.2160.200</v>
      </c>
    </row>
    <row r="827" spans="1:12" x14ac:dyDescent="0.2">
      <c r="A827">
        <v>220</v>
      </c>
      <c r="B827" t="s">
        <v>14</v>
      </c>
      <c r="C827">
        <v>12013300</v>
      </c>
      <c r="D827" t="s">
        <v>15</v>
      </c>
      <c r="E827">
        <v>301</v>
      </c>
      <c r="F827" t="s">
        <v>211</v>
      </c>
      <c r="G827" s="22" t="s">
        <v>210</v>
      </c>
      <c r="I827">
        <v>337.9</v>
      </c>
      <c r="J827" s="44" t="s">
        <v>12</v>
      </c>
      <c r="L827" s="15" t="str">
        <f t="shared" si="13"/>
        <v>112.2160.200</v>
      </c>
    </row>
    <row r="828" spans="1:12" x14ac:dyDescent="0.2">
      <c r="A828">
        <v>18716</v>
      </c>
      <c r="B828" t="s">
        <v>16</v>
      </c>
      <c r="C828">
        <v>12018099</v>
      </c>
      <c r="D828" t="s">
        <v>17</v>
      </c>
      <c r="E828">
        <v>301</v>
      </c>
      <c r="F828" t="s">
        <v>211</v>
      </c>
      <c r="G828" s="22" t="s">
        <v>210</v>
      </c>
      <c r="I828">
        <v>565.39</v>
      </c>
      <c r="J828" s="44" t="s">
        <v>12</v>
      </c>
      <c r="L828" s="15" t="str">
        <f t="shared" si="13"/>
        <v>112.2160.200</v>
      </c>
    </row>
    <row r="829" spans="1:12" x14ac:dyDescent="0.2">
      <c r="A829">
        <v>18948</v>
      </c>
      <c r="B829" t="s">
        <v>142</v>
      </c>
      <c r="C829">
        <v>12018099</v>
      </c>
      <c r="D829" t="s">
        <v>17</v>
      </c>
      <c r="E829">
        <v>301</v>
      </c>
      <c r="F829" t="s">
        <v>211</v>
      </c>
      <c r="G829" s="22" t="s">
        <v>210</v>
      </c>
      <c r="I829">
        <v>248.37</v>
      </c>
      <c r="J829" s="44" t="s">
        <v>12</v>
      </c>
      <c r="L829" s="15" t="str">
        <f t="shared" si="13"/>
        <v>112.2160.200</v>
      </c>
    </row>
    <row r="830" spans="1:12" x14ac:dyDescent="0.2">
      <c r="A830">
        <v>18939</v>
      </c>
      <c r="B830" t="s">
        <v>177</v>
      </c>
      <c r="C830">
        <v>12018199</v>
      </c>
      <c r="D830" t="s">
        <v>178</v>
      </c>
      <c r="E830">
        <v>301</v>
      </c>
      <c r="F830" t="s">
        <v>211</v>
      </c>
      <c r="G830" s="22" t="s">
        <v>210</v>
      </c>
      <c r="I830">
        <v>374.85</v>
      </c>
      <c r="J830" s="44" t="s">
        <v>12</v>
      </c>
      <c r="L830" s="15" t="str">
        <f t="shared" si="13"/>
        <v>112.2160.200</v>
      </c>
    </row>
    <row r="831" spans="1:12" x14ac:dyDescent="0.2">
      <c r="A831">
        <v>18969</v>
      </c>
      <c r="B831" t="s">
        <v>143</v>
      </c>
      <c r="C831">
        <v>12018599</v>
      </c>
      <c r="D831" t="s">
        <v>144</v>
      </c>
      <c r="E831">
        <v>301</v>
      </c>
      <c r="F831" t="s">
        <v>211</v>
      </c>
      <c r="G831" s="22" t="s">
        <v>210</v>
      </c>
      <c r="I831">
        <v>565.39</v>
      </c>
      <c r="J831" s="44" t="s">
        <v>12</v>
      </c>
      <c r="L831" s="15" t="str">
        <f t="shared" si="13"/>
        <v>112.2160.200</v>
      </c>
    </row>
    <row r="832" spans="1:12" x14ac:dyDescent="0.2">
      <c r="A832">
        <v>18862</v>
      </c>
      <c r="B832" t="s">
        <v>145</v>
      </c>
      <c r="C832">
        <v>12018599</v>
      </c>
      <c r="D832" t="s">
        <v>144</v>
      </c>
      <c r="E832">
        <v>301</v>
      </c>
      <c r="F832" t="s">
        <v>211</v>
      </c>
      <c r="G832" s="22" t="s">
        <v>210</v>
      </c>
      <c r="I832">
        <v>274.62</v>
      </c>
      <c r="J832" s="44" t="s">
        <v>12</v>
      </c>
      <c r="L832" s="15" t="str">
        <f t="shared" si="13"/>
        <v>112.2160.200</v>
      </c>
    </row>
    <row r="833" spans="1:12" x14ac:dyDescent="0.2">
      <c r="A833">
        <v>18886</v>
      </c>
      <c r="B833" t="s">
        <v>18</v>
      </c>
      <c r="C833">
        <v>12019099</v>
      </c>
      <c r="D833" t="s">
        <v>19</v>
      </c>
      <c r="E833">
        <v>301</v>
      </c>
      <c r="F833" t="s">
        <v>211</v>
      </c>
      <c r="G833" s="22" t="s">
        <v>210</v>
      </c>
      <c r="I833">
        <v>857.42</v>
      </c>
      <c r="J833" s="44" t="s">
        <v>12</v>
      </c>
      <c r="L833" s="15" t="str">
        <f t="shared" si="13"/>
        <v>112.2160.200</v>
      </c>
    </row>
    <row r="834" spans="1:12" x14ac:dyDescent="0.2">
      <c r="A834">
        <v>19025</v>
      </c>
      <c r="B834" t="s">
        <v>180</v>
      </c>
      <c r="C834">
        <v>12019199</v>
      </c>
      <c r="D834" t="s">
        <v>147</v>
      </c>
      <c r="E834">
        <v>301</v>
      </c>
      <c r="F834" t="s">
        <v>211</v>
      </c>
      <c r="G834" s="22" t="s">
        <v>210</v>
      </c>
      <c r="I834">
        <v>262.5</v>
      </c>
      <c r="J834" s="44" t="s">
        <v>12</v>
      </c>
      <c r="L834" s="15" t="str">
        <f t="shared" si="13"/>
        <v>112.2160.200</v>
      </c>
    </row>
    <row r="835" spans="1:12" x14ac:dyDescent="0.2">
      <c r="A835">
        <v>19003</v>
      </c>
      <c r="B835" t="s">
        <v>388</v>
      </c>
      <c r="C835">
        <v>12019199</v>
      </c>
      <c r="D835" t="s">
        <v>147</v>
      </c>
      <c r="E835">
        <v>301</v>
      </c>
      <c r="F835" t="s">
        <v>211</v>
      </c>
      <c r="G835" s="22" t="s">
        <v>210</v>
      </c>
      <c r="I835">
        <v>327.11</v>
      </c>
      <c r="J835" s="44" t="s">
        <v>12</v>
      </c>
      <c r="L835" s="15" t="str">
        <f t="shared" si="13"/>
        <v>112.2160.200</v>
      </c>
    </row>
    <row r="836" spans="1:12" x14ac:dyDescent="0.2">
      <c r="A836">
        <v>18993</v>
      </c>
      <c r="B836" t="s">
        <v>181</v>
      </c>
      <c r="C836">
        <v>12019199</v>
      </c>
      <c r="D836" t="s">
        <v>147</v>
      </c>
      <c r="E836">
        <v>301</v>
      </c>
      <c r="F836" t="s">
        <v>211</v>
      </c>
      <c r="G836" s="22" t="s">
        <v>210</v>
      </c>
      <c r="I836">
        <v>272.60000000000002</v>
      </c>
      <c r="J836" s="44" t="s">
        <v>12</v>
      </c>
      <c r="L836" s="15" t="str">
        <f t="shared" si="13"/>
        <v>112.2160.200</v>
      </c>
    </row>
    <row r="837" spans="1:12" x14ac:dyDescent="0.2">
      <c r="A837">
        <v>18968</v>
      </c>
      <c r="B837" t="s">
        <v>164</v>
      </c>
      <c r="C837">
        <v>12019199</v>
      </c>
      <c r="D837" t="s">
        <v>147</v>
      </c>
      <c r="E837">
        <v>301</v>
      </c>
      <c r="F837" t="s">
        <v>211</v>
      </c>
      <c r="G837" s="22" t="s">
        <v>210</v>
      </c>
      <c r="I837">
        <v>282.69</v>
      </c>
      <c r="J837" s="44" t="s">
        <v>12</v>
      </c>
      <c r="L837" s="15" t="str">
        <f t="shared" si="13"/>
        <v>112.2160.200</v>
      </c>
    </row>
    <row r="838" spans="1:12" x14ac:dyDescent="0.2">
      <c r="A838">
        <v>18853</v>
      </c>
      <c r="B838" t="s">
        <v>146</v>
      </c>
      <c r="C838">
        <v>12019199</v>
      </c>
      <c r="D838" t="s">
        <v>147</v>
      </c>
      <c r="E838">
        <v>301</v>
      </c>
      <c r="F838" t="s">
        <v>211</v>
      </c>
      <c r="G838" s="22" t="s">
        <v>210</v>
      </c>
      <c r="I838">
        <v>637.4</v>
      </c>
      <c r="J838" s="44" t="s">
        <v>12</v>
      </c>
      <c r="L838" s="15" t="str">
        <f t="shared" si="13"/>
        <v>112.2160.200</v>
      </c>
    </row>
    <row r="839" spans="1:12" x14ac:dyDescent="0.2">
      <c r="A839">
        <v>18550</v>
      </c>
      <c r="B839" t="s">
        <v>165</v>
      </c>
      <c r="C839">
        <v>12019199</v>
      </c>
      <c r="D839" t="s">
        <v>147</v>
      </c>
      <c r="E839">
        <v>301</v>
      </c>
      <c r="F839" t="s">
        <v>211</v>
      </c>
      <c r="G839" s="22" t="s">
        <v>210</v>
      </c>
      <c r="I839">
        <v>272.56</v>
      </c>
      <c r="J839" s="44" t="s">
        <v>12</v>
      </c>
      <c r="L839" s="15" t="str">
        <f t="shared" si="13"/>
        <v>112.2160.200</v>
      </c>
    </row>
    <row r="840" spans="1:12" x14ac:dyDescent="0.2">
      <c r="A840">
        <v>18741</v>
      </c>
      <c r="B840" t="s">
        <v>179</v>
      </c>
      <c r="C840">
        <v>12019199</v>
      </c>
      <c r="D840" t="s">
        <v>147</v>
      </c>
      <c r="E840">
        <v>301</v>
      </c>
      <c r="F840" t="s">
        <v>211</v>
      </c>
      <c r="G840" s="22" t="s">
        <v>210</v>
      </c>
      <c r="I840">
        <v>327.11</v>
      </c>
      <c r="J840" s="44" t="s">
        <v>12</v>
      </c>
      <c r="L840" s="15" t="str">
        <f t="shared" si="13"/>
        <v>112.2160.200</v>
      </c>
    </row>
    <row r="841" spans="1:12" x14ac:dyDescent="0.2">
      <c r="A841">
        <v>18836</v>
      </c>
      <c r="B841" t="s">
        <v>182</v>
      </c>
      <c r="C841">
        <v>12020400</v>
      </c>
      <c r="D841" t="s">
        <v>21</v>
      </c>
      <c r="E841">
        <v>301</v>
      </c>
      <c r="F841" t="s">
        <v>211</v>
      </c>
      <c r="G841" s="22" t="s">
        <v>210</v>
      </c>
      <c r="I841">
        <v>269.19</v>
      </c>
      <c r="J841" s="44" t="s">
        <v>12</v>
      </c>
      <c r="L841" s="15" t="str">
        <f t="shared" si="13"/>
        <v>112.2160.200</v>
      </c>
    </row>
    <row r="842" spans="1:12" x14ac:dyDescent="0.2">
      <c r="A842">
        <v>18619</v>
      </c>
      <c r="B842" t="s">
        <v>20</v>
      </c>
      <c r="C842">
        <v>12020400</v>
      </c>
      <c r="D842" t="s">
        <v>21</v>
      </c>
      <c r="E842">
        <v>301</v>
      </c>
      <c r="F842" t="s">
        <v>211</v>
      </c>
      <c r="G842" s="22" t="s">
        <v>210</v>
      </c>
      <c r="I842">
        <v>245.94</v>
      </c>
      <c r="J842" s="44" t="s">
        <v>12</v>
      </c>
      <c r="L842" s="15" t="str">
        <f t="shared" si="13"/>
        <v>112.2160.200</v>
      </c>
    </row>
    <row r="843" spans="1:12" x14ac:dyDescent="0.2">
      <c r="A843">
        <v>18831</v>
      </c>
      <c r="B843" t="s">
        <v>22</v>
      </c>
      <c r="C843">
        <v>12020611</v>
      </c>
      <c r="D843" t="s">
        <v>23</v>
      </c>
      <c r="E843">
        <v>301</v>
      </c>
      <c r="F843" t="s">
        <v>211</v>
      </c>
      <c r="G843" s="22" t="s">
        <v>210</v>
      </c>
      <c r="I843">
        <v>178.72</v>
      </c>
      <c r="J843" s="44" t="s">
        <v>12</v>
      </c>
      <c r="L843" s="15" t="str">
        <f t="shared" si="13"/>
        <v>112.2160.200</v>
      </c>
    </row>
    <row r="844" spans="1:12" x14ac:dyDescent="0.2">
      <c r="A844">
        <v>18957</v>
      </c>
      <c r="B844" t="s">
        <v>74</v>
      </c>
      <c r="C844">
        <v>12020611</v>
      </c>
      <c r="D844" t="s">
        <v>23</v>
      </c>
      <c r="E844">
        <v>301</v>
      </c>
      <c r="F844" t="s">
        <v>211</v>
      </c>
      <c r="G844" s="22" t="s">
        <v>210</v>
      </c>
      <c r="I844">
        <v>272.01</v>
      </c>
      <c r="J844" s="44" t="s">
        <v>12</v>
      </c>
      <c r="L844" s="15" t="str">
        <f t="shared" si="13"/>
        <v>112.2160.200</v>
      </c>
    </row>
    <row r="845" spans="1:12" x14ac:dyDescent="0.2">
      <c r="A845">
        <v>18614</v>
      </c>
      <c r="B845" t="s">
        <v>78</v>
      </c>
      <c r="C845">
        <v>12020611</v>
      </c>
      <c r="D845" t="s">
        <v>23</v>
      </c>
      <c r="E845">
        <v>301</v>
      </c>
      <c r="F845" t="s">
        <v>211</v>
      </c>
      <c r="G845" s="22" t="s">
        <v>210</v>
      </c>
      <c r="I845">
        <v>30.76</v>
      </c>
      <c r="J845" s="44" t="s">
        <v>12</v>
      </c>
      <c r="L845" s="15" t="str">
        <f t="shared" si="13"/>
        <v>112.2160.200</v>
      </c>
    </row>
    <row r="846" spans="1:12" x14ac:dyDescent="0.2">
      <c r="A846">
        <v>18866</v>
      </c>
      <c r="B846" t="s">
        <v>76</v>
      </c>
      <c r="C846">
        <v>12020611</v>
      </c>
      <c r="D846" t="s">
        <v>23</v>
      </c>
      <c r="E846">
        <v>301</v>
      </c>
      <c r="F846" t="s">
        <v>211</v>
      </c>
      <c r="G846" s="22" t="s">
        <v>210</v>
      </c>
      <c r="I846">
        <v>290.2</v>
      </c>
      <c r="J846" s="44" t="s">
        <v>12</v>
      </c>
      <c r="L846" s="15" t="str">
        <f t="shared" si="13"/>
        <v>112.2160.200</v>
      </c>
    </row>
    <row r="847" spans="1:12" x14ac:dyDescent="0.2">
      <c r="A847">
        <v>18903</v>
      </c>
      <c r="B847" t="s">
        <v>73</v>
      </c>
      <c r="C847">
        <v>12020611</v>
      </c>
      <c r="D847" t="s">
        <v>23</v>
      </c>
      <c r="E847">
        <v>301</v>
      </c>
      <c r="F847" t="s">
        <v>211</v>
      </c>
      <c r="G847" s="22" t="s">
        <v>210</v>
      </c>
      <c r="I847">
        <v>261.17</v>
      </c>
      <c r="J847" s="44" t="s">
        <v>12</v>
      </c>
      <c r="L847" s="15" t="str">
        <f t="shared" si="13"/>
        <v>112.2160.200</v>
      </c>
    </row>
    <row r="848" spans="1:12" x14ac:dyDescent="0.2">
      <c r="A848">
        <v>18891</v>
      </c>
      <c r="B848" t="s">
        <v>77</v>
      </c>
      <c r="C848">
        <v>12020611</v>
      </c>
      <c r="D848" t="s">
        <v>23</v>
      </c>
      <c r="E848">
        <v>301</v>
      </c>
      <c r="F848" t="s">
        <v>211</v>
      </c>
      <c r="G848" s="22" t="s">
        <v>210</v>
      </c>
      <c r="I848">
        <v>193.59</v>
      </c>
      <c r="J848" s="44" t="s">
        <v>12</v>
      </c>
      <c r="L848" s="15" t="str">
        <f t="shared" si="13"/>
        <v>112.2160.200</v>
      </c>
    </row>
    <row r="849" spans="1:12" x14ac:dyDescent="0.2">
      <c r="A849">
        <v>18589</v>
      </c>
      <c r="B849" t="s">
        <v>75</v>
      </c>
      <c r="C849">
        <v>12020611</v>
      </c>
      <c r="D849" t="s">
        <v>23</v>
      </c>
      <c r="E849">
        <v>301</v>
      </c>
      <c r="F849" t="s">
        <v>211</v>
      </c>
      <c r="G849" s="22" t="s">
        <v>210</v>
      </c>
      <c r="I849">
        <v>282.86</v>
      </c>
      <c r="J849" s="44" t="s">
        <v>12</v>
      </c>
      <c r="L849" s="15" t="str">
        <f t="shared" si="13"/>
        <v>112.2160.200</v>
      </c>
    </row>
    <row r="850" spans="1:12" x14ac:dyDescent="0.2">
      <c r="A850">
        <v>18954</v>
      </c>
      <c r="B850" t="s">
        <v>183</v>
      </c>
      <c r="C850">
        <v>12020711</v>
      </c>
      <c r="D850" t="s">
        <v>25</v>
      </c>
      <c r="E850">
        <v>301</v>
      </c>
      <c r="F850" t="s">
        <v>211</v>
      </c>
      <c r="G850" s="22" t="s">
        <v>210</v>
      </c>
      <c r="I850">
        <v>302.88</v>
      </c>
      <c r="J850" s="44" t="s">
        <v>12</v>
      </c>
      <c r="L850" s="15" t="str">
        <f t="shared" si="13"/>
        <v>112.2160.200</v>
      </c>
    </row>
    <row r="851" spans="1:12" x14ac:dyDescent="0.2">
      <c r="A851">
        <v>18879</v>
      </c>
      <c r="B851" t="s">
        <v>79</v>
      </c>
      <c r="C851">
        <v>12020711</v>
      </c>
      <c r="D851" t="s">
        <v>25</v>
      </c>
      <c r="E851">
        <v>301</v>
      </c>
      <c r="F851" t="s">
        <v>211</v>
      </c>
      <c r="G851" s="22" t="s">
        <v>210</v>
      </c>
      <c r="I851">
        <v>274.64999999999998</v>
      </c>
      <c r="J851" s="44" t="s">
        <v>12</v>
      </c>
      <c r="L851" s="15" t="str">
        <f t="shared" si="13"/>
        <v>112.2160.200</v>
      </c>
    </row>
    <row r="852" spans="1:12" x14ac:dyDescent="0.2">
      <c r="A852">
        <v>18</v>
      </c>
      <c r="B852" t="s">
        <v>24</v>
      </c>
      <c r="C852">
        <v>12020711</v>
      </c>
      <c r="D852" t="s">
        <v>25</v>
      </c>
      <c r="E852">
        <v>301</v>
      </c>
      <c r="F852" t="s">
        <v>211</v>
      </c>
      <c r="G852" s="22" t="s">
        <v>210</v>
      </c>
      <c r="I852">
        <v>113.93</v>
      </c>
      <c r="J852" s="44" t="s">
        <v>12</v>
      </c>
      <c r="L852" s="15" t="str">
        <f t="shared" si="13"/>
        <v>112.2160.200</v>
      </c>
    </row>
    <row r="853" spans="1:12" x14ac:dyDescent="0.2">
      <c r="A853">
        <v>18631</v>
      </c>
      <c r="B853" t="s">
        <v>80</v>
      </c>
      <c r="C853">
        <v>12020711</v>
      </c>
      <c r="D853" t="s">
        <v>25</v>
      </c>
      <c r="E853">
        <v>301</v>
      </c>
      <c r="F853" t="s">
        <v>211</v>
      </c>
      <c r="G853" s="22" t="s">
        <v>210</v>
      </c>
      <c r="I853">
        <v>149.85</v>
      </c>
      <c r="J853" s="44" t="s">
        <v>12</v>
      </c>
      <c r="L853" s="15" t="str">
        <f t="shared" si="13"/>
        <v>112.2160.200</v>
      </c>
    </row>
    <row r="854" spans="1:12" x14ac:dyDescent="0.2">
      <c r="A854">
        <v>19013</v>
      </c>
      <c r="B854" t="s">
        <v>81</v>
      </c>
      <c r="C854">
        <v>12020800</v>
      </c>
      <c r="D854" t="s">
        <v>27</v>
      </c>
      <c r="E854">
        <v>301</v>
      </c>
      <c r="F854" t="s">
        <v>211</v>
      </c>
      <c r="G854" s="22" t="s">
        <v>210</v>
      </c>
      <c r="I854">
        <v>266.64999999999998</v>
      </c>
      <c r="J854" s="44" t="s">
        <v>12</v>
      </c>
      <c r="L854" s="15" t="str">
        <f t="shared" si="13"/>
        <v>112.2160.200</v>
      </c>
    </row>
    <row r="855" spans="1:12" x14ac:dyDescent="0.2">
      <c r="A855">
        <v>19000</v>
      </c>
      <c r="B855" t="s">
        <v>26</v>
      </c>
      <c r="C855">
        <v>12020800</v>
      </c>
      <c r="D855" t="s">
        <v>27</v>
      </c>
      <c r="E855">
        <v>301</v>
      </c>
      <c r="F855" t="s">
        <v>211</v>
      </c>
      <c r="G855" s="22" t="s">
        <v>210</v>
      </c>
      <c r="I855">
        <v>238.97</v>
      </c>
      <c r="J855" s="44" t="s">
        <v>12</v>
      </c>
      <c r="L855" s="15" t="str">
        <f t="shared" si="13"/>
        <v>112.2160.200</v>
      </c>
    </row>
    <row r="856" spans="1:12" x14ac:dyDescent="0.2">
      <c r="A856">
        <v>18960</v>
      </c>
      <c r="B856" t="s">
        <v>84</v>
      </c>
      <c r="C856">
        <v>12021021</v>
      </c>
      <c r="D856" t="s">
        <v>29</v>
      </c>
      <c r="E856">
        <v>301</v>
      </c>
      <c r="F856" t="s">
        <v>211</v>
      </c>
      <c r="G856" s="22" t="s">
        <v>210</v>
      </c>
      <c r="I856">
        <v>82.08</v>
      </c>
      <c r="J856" s="44" t="s">
        <v>12</v>
      </c>
      <c r="L856" s="15" t="str">
        <f t="shared" si="13"/>
        <v>112.2160.200</v>
      </c>
    </row>
    <row r="857" spans="1:12" x14ac:dyDescent="0.2">
      <c r="A857">
        <v>18687</v>
      </c>
      <c r="B857" t="s">
        <v>83</v>
      </c>
      <c r="C857">
        <v>12021021</v>
      </c>
      <c r="D857" t="s">
        <v>29</v>
      </c>
      <c r="E857">
        <v>301</v>
      </c>
      <c r="F857" t="s">
        <v>211</v>
      </c>
      <c r="G857" s="22" t="s">
        <v>210</v>
      </c>
      <c r="I857">
        <v>240.44</v>
      </c>
      <c r="J857" s="44" t="s">
        <v>12</v>
      </c>
      <c r="L857" s="15" t="str">
        <f t="shared" ref="L857:L920" si="14">G857</f>
        <v>112.2160.200</v>
      </c>
    </row>
    <row r="858" spans="1:12" x14ac:dyDescent="0.2">
      <c r="A858">
        <v>18733</v>
      </c>
      <c r="B858" t="s">
        <v>86</v>
      </c>
      <c r="C858">
        <v>12021021</v>
      </c>
      <c r="D858" t="s">
        <v>29</v>
      </c>
      <c r="E858">
        <v>301</v>
      </c>
      <c r="F858" t="s">
        <v>211</v>
      </c>
      <c r="G858" s="22" t="s">
        <v>210</v>
      </c>
      <c r="I858">
        <v>233.96</v>
      </c>
      <c r="J858" s="44" t="s">
        <v>12</v>
      </c>
      <c r="L858" s="15" t="str">
        <f t="shared" si="14"/>
        <v>112.2160.200</v>
      </c>
    </row>
    <row r="859" spans="1:12" x14ac:dyDescent="0.2">
      <c r="A859">
        <v>346</v>
      </c>
      <c r="B859" t="s">
        <v>30</v>
      </c>
      <c r="C859">
        <v>12021021</v>
      </c>
      <c r="D859" t="s">
        <v>29</v>
      </c>
      <c r="E859">
        <v>301</v>
      </c>
      <c r="F859" t="s">
        <v>211</v>
      </c>
      <c r="G859" s="22" t="s">
        <v>210</v>
      </c>
      <c r="I859">
        <v>54.4</v>
      </c>
      <c r="J859" s="44" t="s">
        <v>12</v>
      </c>
      <c r="L859" s="15" t="str">
        <f t="shared" si="14"/>
        <v>112.2160.200</v>
      </c>
    </row>
    <row r="860" spans="1:12" x14ac:dyDescent="0.2">
      <c r="A860">
        <v>18559</v>
      </c>
      <c r="B860" t="s">
        <v>87</v>
      </c>
      <c r="C860">
        <v>12021021</v>
      </c>
      <c r="D860" t="s">
        <v>29</v>
      </c>
      <c r="E860">
        <v>301</v>
      </c>
      <c r="F860" t="s">
        <v>211</v>
      </c>
      <c r="G860" s="22" t="s">
        <v>210</v>
      </c>
      <c r="I860">
        <v>385.61</v>
      </c>
      <c r="J860" s="44" t="s">
        <v>12</v>
      </c>
      <c r="L860" s="15" t="str">
        <f t="shared" si="14"/>
        <v>112.2160.200</v>
      </c>
    </row>
    <row r="861" spans="1:12" x14ac:dyDescent="0.2">
      <c r="A861">
        <v>18892</v>
      </c>
      <c r="B861" t="s">
        <v>184</v>
      </c>
      <c r="C861">
        <v>12021021</v>
      </c>
      <c r="D861" t="s">
        <v>29</v>
      </c>
      <c r="E861">
        <v>301</v>
      </c>
      <c r="F861" t="s">
        <v>211</v>
      </c>
      <c r="G861" s="22" t="s">
        <v>210</v>
      </c>
      <c r="I861">
        <v>201.8</v>
      </c>
      <c r="J861" s="44" t="s">
        <v>12</v>
      </c>
      <c r="L861" s="15" t="str">
        <f t="shared" si="14"/>
        <v>112.2160.200</v>
      </c>
    </row>
    <row r="862" spans="1:12" x14ac:dyDescent="0.2">
      <c r="A862">
        <v>18659</v>
      </c>
      <c r="B862" t="s">
        <v>88</v>
      </c>
      <c r="C862">
        <v>12021021</v>
      </c>
      <c r="D862" t="s">
        <v>29</v>
      </c>
      <c r="E862">
        <v>301</v>
      </c>
      <c r="F862" t="s">
        <v>211</v>
      </c>
      <c r="G862" s="22" t="s">
        <v>210</v>
      </c>
      <c r="I862">
        <v>250.28</v>
      </c>
      <c r="J862" s="44" t="s">
        <v>12</v>
      </c>
      <c r="L862" s="15" t="str">
        <f t="shared" si="14"/>
        <v>112.2160.200</v>
      </c>
    </row>
    <row r="863" spans="1:12" x14ac:dyDescent="0.2">
      <c r="A863">
        <v>18894</v>
      </c>
      <c r="B863" t="s">
        <v>89</v>
      </c>
      <c r="C863">
        <v>12021021</v>
      </c>
      <c r="D863" t="s">
        <v>29</v>
      </c>
      <c r="E863">
        <v>301</v>
      </c>
      <c r="F863" t="s">
        <v>211</v>
      </c>
      <c r="G863" s="22" t="s">
        <v>210</v>
      </c>
      <c r="I863">
        <v>170.6</v>
      </c>
      <c r="J863" s="44" t="s">
        <v>12</v>
      </c>
      <c r="L863" s="15" t="str">
        <f t="shared" si="14"/>
        <v>112.2160.200</v>
      </c>
    </row>
    <row r="864" spans="1:12" x14ac:dyDescent="0.2">
      <c r="A864">
        <v>19033</v>
      </c>
      <c r="B864" t="s">
        <v>389</v>
      </c>
      <c r="C864">
        <v>12021021</v>
      </c>
      <c r="D864" t="s">
        <v>29</v>
      </c>
      <c r="E864">
        <v>301</v>
      </c>
      <c r="F864" t="s">
        <v>211</v>
      </c>
      <c r="G864" s="22" t="s">
        <v>210</v>
      </c>
      <c r="I864">
        <v>39.03</v>
      </c>
      <c r="J864" s="44" t="s">
        <v>12</v>
      </c>
      <c r="L864" s="15" t="str">
        <f t="shared" si="14"/>
        <v>112.2160.200</v>
      </c>
    </row>
    <row r="865" spans="1:12" x14ac:dyDescent="0.2">
      <c r="A865">
        <v>18781</v>
      </c>
      <c r="B865" t="s">
        <v>82</v>
      </c>
      <c r="C865">
        <v>12021021</v>
      </c>
      <c r="D865" t="s">
        <v>29</v>
      </c>
      <c r="E865">
        <v>301</v>
      </c>
      <c r="F865" t="s">
        <v>211</v>
      </c>
      <c r="G865" s="22" t="s">
        <v>210</v>
      </c>
      <c r="I865">
        <v>272.01</v>
      </c>
      <c r="J865" s="44" t="s">
        <v>12</v>
      </c>
      <c r="L865" s="15" t="str">
        <f t="shared" si="14"/>
        <v>112.2160.200</v>
      </c>
    </row>
    <row r="866" spans="1:12" x14ac:dyDescent="0.2">
      <c r="A866">
        <v>18967</v>
      </c>
      <c r="B866" t="s">
        <v>85</v>
      </c>
      <c r="C866">
        <v>12021021</v>
      </c>
      <c r="D866" t="s">
        <v>29</v>
      </c>
      <c r="E866">
        <v>301</v>
      </c>
      <c r="F866" t="s">
        <v>211</v>
      </c>
      <c r="G866" s="22" t="s">
        <v>210</v>
      </c>
      <c r="I866">
        <v>272.01</v>
      </c>
      <c r="J866" s="44" t="s">
        <v>12</v>
      </c>
      <c r="L866" s="15" t="str">
        <f t="shared" si="14"/>
        <v>112.2160.200</v>
      </c>
    </row>
    <row r="867" spans="1:12" x14ac:dyDescent="0.2">
      <c r="A867">
        <v>18911</v>
      </c>
      <c r="B867" t="s">
        <v>28</v>
      </c>
      <c r="C867">
        <v>12021021</v>
      </c>
      <c r="D867" t="s">
        <v>29</v>
      </c>
      <c r="E867">
        <v>301</v>
      </c>
      <c r="F867" t="s">
        <v>211</v>
      </c>
      <c r="G867" s="22" t="s">
        <v>210</v>
      </c>
      <c r="I867">
        <v>266.64999999999998</v>
      </c>
      <c r="J867" s="44" t="s">
        <v>12</v>
      </c>
      <c r="L867" s="15" t="str">
        <f t="shared" si="14"/>
        <v>112.2160.200</v>
      </c>
    </row>
    <row r="868" spans="1:12" x14ac:dyDescent="0.2">
      <c r="A868">
        <v>18961</v>
      </c>
      <c r="B868" t="s">
        <v>90</v>
      </c>
      <c r="C868">
        <v>12022511</v>
      </c>
      <c r="D868" t="s">
        <v>32</v>
      </c>
      <c r="E868">
        <v>301</v>
      </c>
      <c r="F868" t="s">
        <v>211</v>
      </c>
      <c r="G868" s="22" t="s">
        <v>210</v>
      </c>
      <c r="I868">
        <v>238.97</v>
      </c>
      <c r="J868" s="44" t="s">
        <v>12</v>
      </c>
      <c r="L868" s="15" t="str">
        <f t="shared" si="14"/>
        <v>112.2160.200</v>
      </c>
    </row>
    <row r="869" spans="1:12" x14ac:dyDescent="0.2">
      <c r="A869">
        <v>141</v>
      </c>
      <c r="B869" t="s">
        <v>185</v>
      </c>
      <c r="C869">
        <v>12022511</v>
      </c>
      <c r="D869" t="s">
        <v>32</v>
      </c>
      <c r="E869">
        <v>301</v>
      </c>
      <c r="F869" t="s">
        <v>211</v>
      </c>
      <c r="G869" s="22" t="s">
        <v>210</v>
      </c>
      <c r="I869">
        <v>114.82</v>
      </c>
      <c r="J869" s="44" t="s">
        <v>12</v>
      </c>
      <c r="L869" s="15" t="str">
        <f t="shared" si="14"/>
        <v>112.2160.200</v>
      </c>
    </row>
    <row r="870" spans="1:12" x14ac:dyDescent="0.2">
      <c r="A870">
        <v>145</v>
      </c>
      <c r="B870" t="s">
        <v>91</v>
      </c>
      <c r="C870">
        <v>12022511</v>
      </c>
      <c r="D870" t="s">
        <v>32</v>
      </c>
      <c r="E870">
        <v>301</v>
      </c>
      <c r="F870" t="s">
        <v>211</v>
      </c>
      <c r="G870" s="22" t="s">
        <v>210</v>
      </c>
      <c r="I870">
        <v>252.83</v>
      </c>
      <c r="J870" s="44" t="s">
        <v>12</v>
      </c>
      <c r="L870" s="15" t="str">
        <f t="shared" si="14"/>
        <v>112.2160.200</v>
      </c>
    </row>
    <row r="871" spans="1:12" x14ac:dyDescent="0.2">
      <c r="A871">
        <v>11229</v>
      </c>
      <c r="B871" t="s">
        <v>31</v>
      </c>
      <c r="C871">
        <v>12022511</v>
      </c>
      <c r="D871" t="s">
        <v>32</v>
      </c>
      <c r="E871">
        <v>301</v>
      </c>
      <c r="F871" t="s">
        <v>211</v>
      </c>
      <c r="G871" s="22" t="s">
        <v>210</v>
      </c>
      <c r="I871">
        <v>220.08</v>
      </c>
      <c r="J871" s="44" t="s">
        <v>12</v>
      </c>
      <c r="L871" s="15" t="str">
        <f t="shared" si="14"/>
        <v>112.2160.200</v>
      </c>
    </row>
    <row r="872" spans="1:12" x14ac:dyDescent="0.2">
      <c r="A872">
        <v>18973</v>
      </c>
      <c r="B872" t="s">
        <v>188</v>
      </c>
      <c r="C872">
        <v>12023011</v>
      </c>
      <c r="D872" t="s">
        <v>93</v>
      </c>
      <c r="E872">
        <v>301</v>
      </c>
      <c r="F872" t="s">
        <v>211</v>
      </c>
      <c r="G872" s="22" t="s">
        <v>210</v>
      </c>
      <c r="I872">
        <v>174.47</v>
      </c>
      <c r="J872" s="44" t="s">
        <v>12</v>
      </c>
      <c r="L872" s="15" t="str">
        <f t="shared" si="14"/>
        <v>112.2160.200</v>
      </c>
    </row>
    <row r="873" spans="1:12" x14ac:dyDescent="0.2">
      <c r="A873">
        <v>19006</v>
      </c>
      <c r="B873" t="s">
        <v>95</v>
      </c>
      <c r="C873">
        <v>12023011</v>
      </c>
      <c r="D873" t="s">
        <v>93</v>
      </c>
      <c r="E873">
        <v>301</v>
      </c>
      <c r="F873" t="s">
        <v>211</v>
      </c>
      <c r="G873" s="22" t="s">
        <v>210</v>
      </c>
      <c r="I873">
        <v>238.97</v>
      </c>
      <c r="J873" s="44" t="s">
        <v>12</v>
      </c>
      <c r="L873" s="15" t="str">
        <f t="shared" si="14"/>
        <v>112.2160.200</v>
      </c>
    </row>
    <row r="874" spans="1:12" x14ac:dyDescent="0.2">
      <c r="A874">
        <v>19016</v>
      </c>
      <c r="B874" t="s">
        <v>96</v>
      </c>
      <c r="C874">
        <v>12023011</v>
      </c>
      <c r="D874" t="s">
        <v>93</v>
      </c>
      <c r="E874">
        <v>301</v>
      </c>
      <c r="F874" t="s">
        <v>211</v>
      </c>
      <c r="G874" s="22" t="s">
        <v>210</v>
      </c>
      <c r="I874">
        <v>228.59</v>
      </c>
      <c r="J874" s="44" t="s">
        <v>12</v>
      </c>
      <c r="L874" s="15" t="str">
        <f t="shared" si="14"/>
        <v>112.2160.200</v>
      </c>
    </row>
    <row r="875" spans="1:12" x14ac:dyDescent="0.2">
      <c r="A875">
        <v>19002</v>
      </c>
      <c r="B875" t="s">
        <v>186</v>
      </c>
      <c r="C875">
        <v>12023011</v>
      </c>
      <c r="D875" t="s">
        <v>93</v>
      </c>
      <c r="E875">
        <v>301</v>
      </c>
      <c r="F875" t="s">
        <v>211</v>
      </c>
      <c r="G875" s="22" t="s">
        <v>210</v>
      </c>
      <c r="I875">
        <v>94.29</v>
      </c>
      <c r="J875" s="44" t="s">
        <v>12</v>
      </c>
      <c r="L875" s="15" t="str">
        <f t="shared" si="14"/>
        <v>112.2160.200</v>
      </c>
    </row>
    <row r="876" spans="1:12" x14ac:dyDescent="0.2">
      <c r="A876">
        <v>19032</v>
      </c>
      <c r="B876" t="s">
        <v>386</v>
      </c>
      <c r="C876">
        <v>12023011</v>
      </c>
      <c r="D876" t="s">
        <v>93</v>
      </c>
      <c r="E876">
        <v>301</v>
      </c>
      <c r="F876" t="s">
        <v>211</v>
      </c>
      <c r="G876" s="22" t="s">
        <v>210</v>
      </c>
      <c r="I876">
        <v>62.34</v>
      </c>
      <c r="J876" s="44" t="s">
        <v>12</v>
      </c>
      <c r="L876" s="15" t="str">
        <f t="shared" si="14"/>
        <v>112.2160.200</v>
      </c>
    </row>
    <row r="877" spans="1:12" x14ac:dyDescent="0.2">
      <c r="A877">
        <v>18974</v>
      </c>
      <c r="B877" t="s">
        <v>94</v>
      </c>
      <c r="C877">
        <v>12023011</v>
      </c>
      <c r="D877" t="s">
        <v>93</v>
      </c>
      <c r="E877">
        <v>301</v>
      </c>
      <c r="F877" t="s">
        <v>211</v>
      </c>
      <c r="G877" s="22" t="s">
        <v>210</v>
      </c>
      <c r="I877">
        <v>306.43</v>
      </c>
      <c r="J877" s="44" t="s">
        <v>12</v>
      </c>
      <c r="L877" s="15" t="str">
        <f t="shared" si="14"/>
        <v>112.2160.200</v>
      </c>
    </row>
    <row r="878" spans="1:12" x14ac:dyDescent="0.2">
      <c r="A878">
        <v>18962</v>
      </c>
      <c r="B878" t="s">
        <v>148</v>
      </c>
      <c r="C878">
        <v>12023011</v>
      </c>
      <c r="D878" t="s">
        <v>93</v>
      </c>
      <c r="E878">
        <v>301</v>
      </c>
      <c r="F878" t="s">
        <v>211</v>
      </c>
      <c r="G878" s="22" t="s">
        <v>210</v>
      </c>
      <c r="I878">
        <v>525</v>
      </c>
      <c r="J878" s="44" t="s">
        <v>12</v>
      </c>
      <c r="L878" s="15" t="str">
        <f t="shared" si="14"/>
        <v>112.2160.200</v>
      </c>
    </row>
    <row r="879" spans="1:12" x14ac:dyDescent="0.2">
      <c r="A879">
        <v>18999</v>
      </c>
      <c r="B879" t="s">
        <v>92</v>
      </c>
      <c r="C879">
        <v>12023011</v>
      </c>
      <c r="D879" t="s">
        <v>93</v>
      </c>
      <c r="E879">
        <v>301</v>
      </c>
      <c r="F879" t="s">
        <v>211</v>
      </c>
      <c r="G879" s="22" t="s">
        <v>210</v>
      </c>
      <c r="I879">
        <v>235.48</v>
      </c>
      <c r="J879" s="44" t="s">
        <v>12</v>
      </c>
      <c r="L879" s="15" t="str">
        <f t="shared" si="14"/>
        <v>112.2160.200</v>
      </c>
    </row>
    <row r="880" spans="1:12" x14ac:dyDescent="0.2">
      <c r="A880">
        <v>19007</v>
      </c>
      <c r="B880" t="s">
        <v>189</v>
      </c>
      <c r="C880">
        <v>12023011</v>
      </c>
      <c r="D880" t="s">
        <v>93</v>
      </c>
      <c r="E880">
        <v>301</v>
      </c>
      <c r="F880" t="s">
        <v>211</v>
      </c>
      <c r="G880" s="22" t="s">
        <v>210</v>
      </c>
      <c r="I880">
        <v>228.59</v>
      </c>
      <c r="J880" s="44" t="s">
        <v>12</v>
      </c>
      <c r="L880" s="15" t="str">
        <f t="shared" si="14"/>
        <v>112.2160.200</v>
      </c>
    </row>
    <row r="881" spans="1:12" x14ac:dyDescent="0.2">
      <c r="A881">
        <v>19026</v>
      </c>
      <c r="B881" t="s">
        <v>187</v>
      </c>
      <c r="C881">
        <v>12023011</v>
      </c>
      <c r="D881" t="s">
        <v>93</v>
      </c>
      <c r="E881">
        <v>301</v>
      </c>
      <c r="F881" t="s">
        <v>211</v>
      </c>
      <c r="G881" s="22" t="s">
        <v>210</v>
      </c>
      <c r="I881">
        <v>124.69</v>
      </c>
      <c r="J881" s="44" t="s">
        <v>12</v>
      </c>
      <c r="L881" s="15" t="str">
        <f t="shared" si="14"/>
        <v>112.2160.200</v>
      </c>
    </row>
    <row r="882" spans="1:12" x14ac:dyDescent="0.2">
      <c r="A882">
        <v>18980</v>
      </c>
      <c r="B882" t="s">
        <v>97</v>
      </c>
      <c r="C882">
        <v>12023021</v>
      </c>
      <c r="D882" t="s">
        <v>98</v>
      </c>
      <c r="E882">
        <v>301</v>
      </c>
      <c r="F882" t="s">
        <v>211</v>
      </c>
      <c r="G882" s="22" t="s">
        <v>210</v>
      </c>
      <c r="I882">
        <v>207.72</v>
      </c>
      <c r="J882" s="44" t="s">
        <v>12</v>
      </c>
      <c r="L882" s="15" t="str">
        <f t="shared" si="14"/>
        <v>112.2160.200</v>
      </c>
    </row>
    <row r="883" spans="1:12" x14ac:dyDescent="0.2">
      <c r="A883">
        <v>19021</v>
      </c>
      <c r="B883" t="s">
        <v>99</v>
      </c>
      <c r="C883">
        <v>12023021</v>
      </c>
      <c r="D883" t="s">
        <v>98</v>
      </c>
      <c r="E883">
        <v>301</v>
      </c>
      <c r="F883" t="s">
        <v>211</v>
      </c>
      <c r="G883" s="22" t="s">
        <v>210</v>
      </c>
      <c r="I883">
        <v>180.22</v>
      </c>
      <c r="J883" s="44" t="s">
        <v>12</v>
      </c>
      <c r="L883" s="15" t="str">
        <f t="shared" si="14"/>
        <v>112.2160.200</v>
      </c>
    </row>
    <row r="884" spans="1:12" x14ac:dyDescent="0.2">
      <c r="A884">
        <v>19027</v>
      </c>
      <c r="B884" t="s">
        <v>365</v>
      </c>
      <c r="C884">
        <v>12023021</v>
      </c>
      <c r="D884" t="s">
        <v>98</v>
      </c>
      <c r="E884">
        <v>301</v>
      </c>
      <c r="F884" t="s">
        <v>211</v>
      </c>
      <c r="G884" s="22" t="s">
        <v>210</v>
      </c>
      <c r="I884">
        <v>249.23</v>
      </c>
      <c r="J884" s="44" t="s">
        <v>12</v>
      </c>
      <c r="L884" s="15" t="str">
        <f t="shared" si="14"/>
        <v>112.2160.200</v>
      </c>
    </row>
    <row r="885" spans="1:12" x14ac:dyDescent="0.2">
      <c r="A885">
        <v>18581</v>
      </c>
      <c r="B885" t="s">
        <v>190</v>
      </c>
      <c r="C885">
        <v>12024021</v>
      </c>
      <c r="D885" t="s">
        <v>191</v>
      </c>
      <c r="E885">
        <v>301</v>
      </c>
      <c r="F885" t="s">
        <v>211</v>
      </c>
      <c r="G885" s="22" t="s">
        <v>210</v>
      </c>
      <c r="I885">
        <v>332.07</v>
      </c>
      <c r="J885" s="44" t="s">
        <v>12</v>
      </c>
      <c r="L885" s="15" t="str">
        <f t="shared" si="14"/>
        <v>112.2160.200</v>
      </c>
    </row>
    <row r="886" spans="1:12" x14ac:dyDescent="0.2">
      <c r="A886">
        <v>18945</v>
      </c>
      <c r="B886" t="s">
        <v>151</v>
      </c>
      <c r="C886">
        <v>12028099</v>
      </c>
      <c r="D886" t="s">
        <v>150</v>
      </c>
      <c r="E886">
        <v>301</v>
      </c>
      <c r="F886" t="s">
        <v>211</v>
      </c>
      <c r="G886" s="22" t="s">
        <v>210</v>
      </c>
      <c r="I886">
        <v>226.15</v>
      </c>
      <c r="J886" s="44" t="s">
        <v>12</v>
      </c>
      <c r="L886" s="15" t="str">
        <f t="shared" si="14"/>
        <v>112.2160.200</v>
      </c>
    </row>
    <row r="887" spans="1:12" x14ac:dyDescent="0.2">
      <c r="A887">
        <v>44705</v>
      </c>
      <c r="B887" t="s">
        <v>149</v>
      </c>
      <c r="C887">
        <v>12028099</v>
      </c>
      <c r="D887" t="s">
        <v>150</v>
      </c>
      <c r="E887">
        <v>301</v>
      </c>
      <c r="F887" t="s">
        <v>211</v>
      </c>
      <c r="G887" s="22" t="s">
        <v>210</v>
      </c>
      <c r="I887">
        <v>565.38</v>
      </c>
      <c r="J887" s="44" t="s">
        <v>12</v>
      </c>
      <c r="L887" s="15" t="str">
        <f t="shared" si="14"/>
        <v>112.2160.200</v>
      </c>
    </row>
    <row r="888" spans="1:12" x14ac:dyDescent="0.2">
      <c r="A888">
        <v>18805</v>
      </c>
      <c r="B888" t="s">
        <v>192</v>
      </c>
      <c r="C888">
        <v>12030400</v>
      </c>
      <c r="D888" t="s">
        <v>62</v>
      </c>
      <c r="E888">
        <v>301</v>
      </c>
      <c r="F888" t="s">
        <v>211</v>
      </c>
      <c r="G888" s="22" t="s">
        <v>210</v>
      </c>
      <c r="I888">
        <v>242.31</v>
      </c>
      <c r="J888" s="44" t="s">
        <v>12</v>
      </c>
      <c r="L888" s="15" t="str">
        <f t="shared" si="14"/>
        <v>112.2160.200</v>
      </c>
    </row>
    <row r="889" spans="1:12" x14ac:dyDescent="0.2">
      <c r="A889">
        <v>18982</v>
      </c>
      <c r="B889" t="s">
        <v>100</v>
      </c>
      <c r="C889">
        <v>12030400</v>
      </c>
      <c r="D889" t="s">
        <v>62</v>
      </c>
      <c r="E889">
        <v>301</v>
      </c>
      <c r="F889" t="s">
        <v>211</v>
      </c>
      <c r="G889" s="22" t="s">
        <v>210</v>
      </c>
      <c r="I889">
        <v>228.17</v>
      </c>
      <c r="J889" s="44" t="s">
        <v>12</v>
      </c>
      <c r="L889" s="15" t="str">
        <f t="shared" si="14"/>
        <v>112.2160.200</v>
      </c>
    </row>
    <row r="890" spans="1:12" x14ac:dyDescent="0.2">
      <c r="A890">
        <v>266</v>
      </c>
      <c r="B890" t="s">
        <v>194</v>
      </c>
      <c r="C890">
        <v>12030500</v>
      </c>
      <c r="D890" t="s">
        <v>34</v>
      </c>
      <c r="E890">
        <v>301</v>
      </c>
      <c r="F890" t="s">
        <v>211</v>
      </c>
      <c r="G890" s="22" t="s">
        <v>210</v>
      </c>
      <c r="I890">
        <v>259.95999999999998</v>
      </c>
      <c r="J890" s="44" t="s">
        <v>12</v>
      </c>
      <c r="L890" s="15" t="str">
        <f t="shared" si="14"/>
        <v>112.2160.200</v>
      </c>
    </row>
    <row r="891" spans="1:12" x14ac:dyDescent="0.2">
      <c r="A891">
        <v>302</v>
      </c>
      <c r="B891" t="s">
        <v>33</v>
      </c>
      <c r="C891">
        <v>12030500</v>
      </c>
      <c r="D891" t="s">
        <v>34</v>
      </c>
      <c r="E891">
        <v>301</v>
      </c>
      <c r="F891" t="s">
        <v>211</v>
      </c>
      <c r="G891" s="22" t="s">
        <v>210</v>
      </c>
      <c r="I891">
        <v>240.09</v>
      </c>
      <c r="J891" s="44" t="s">
        <v>12</v>
      </c>
      <c r="L891" s="15" t="str">
        <f t="shared" si="14"/>
        <v>112.2160.200</v>
      </c>
    </row>
    <row r="892" spans="1:12" x14ac:dyDescent="0.2">
      <c r="A892">
        <v>18841</v>
      </c>
      <c r="B892" t="s">
        <v>193</v>
      </c>
      <c r="C892">
        <v>12030500</v>
      </c>
      <c r="D892" t="s">
        <v>34</v>
      </c>
      <c r="E892">
        <v>301</v>
      </c>
      <c r="F892" t="s">
        <v>211</v>
      </c>
      <c r="G892" s="22" t="s">
        <v>210</v>
      </c>
      <c r="I892">
        <v>226.15</v>
      </c>
      <c r="J892" s="44" t="s">
        <v>12</v>
      </c>
      <c r="L892" s="15" t="str">
        <f t="shared" si="14"/>
        <v>112.2160.200</v>
      </c>
    </row>
    <row r="893" spans="1:12" x14ac:dyDescent="0.2">
      <c r="A893">
        <v>18822</v>
      </c>
      <c r="B893" t="s">
        <v>103</v>
      </c>
      <c r="C893">
        <v>12030611</v>
      </c>
      <c r="D893" t="s">
        <v>36</v>
      </c>
      <c r="E893">
        <v>301</v>
      </c>
      <c r="F893" t="s">
        <v>211</v>
      </c>
      <c r="G893" s="22" t="s">
        <v>210</v>
      </c>
      <c r="I893">
        <v>228.31</v>
      </c>
      <c r="J893" s="44" t="s">
        <v>12</v>
      </c>
      <c r="L893" s="15" t="str">
        <f t="shared" si="14"/>
        <v>112.2160.200</v>
      </c>
    </row>
    <row r="894" spans="1:12" x14ac:dyDescent="0.2">
      <c r="A894">
        <v>18827</v>
      </c>
      <c r="B894" t="s">
        <v>104</v>
      </c>
      <c r="C894">
        <v>12030611</v>
      </c>
      <c r="D894" t="s">
        <v>36</v>
      </c>
      <c r="E894">
        <v>301</v>
      </c>
      <c r="F894" t="s">
        <v>211</v>
      </c>
      <c r="G894" s="22" t="s">
        <v>210</v>
      </c>
      <c r="I894">
        <v>249.37</v>
      </c>
      <c r="J894" s="44" t="s">
        <v>12</v>
      </c>
      <c r="L894" s="15" t="str">
        <f t="shared" si="14"/>
        <v>112.2160.200</v>
      </c>
    </row>
    <row r="895" spans="1:12" x14ac:dyDescent="0.2">
      <c r="A895">
        <v>134</v>
      </c>
      <c r="B895" t="s">
        <v>102</v>
      </c>
      <c r="C895">
        <v>12030611</v>
      </c>
      <c r="D895" t="s">
        <v>36</v>
      </c>
      <c r="E895">
        <v>301</v>
      </c>
      <c r="F895" t="s">
        <v>211</v>
      </c>
      <c r="G895" s="22" t="s">
        <v>210</v>
      </c>
      <c r="I895">
        <v>100.72</v>
      </c>
      <c r="J895" s="44" t="s">
        <v>12</v>
      </c>
      <c r="L895" s="15" t="str">
        <f t="shared" si="14"/>
        <v>112.2160.200</v>
      </c>
    </row>
    <row r="896" spans="1:12" x14ac:dyDescent="0.2">
      <c r="A896">
        <v>18918</v>
      </c>
      <c r="B896" t="s">
        <v>38</v>
      </c>
      <c r="C896">
        <v>12030611</v>
      </c>
      <c r="D896" t="s">
        <v>36</v>
      </c>
      <c r="E896">
        <v>301</v>
      </c>
      <c r="F896" t="s">
        <v>211</v>
      </c>
      <c r="G896" s="22" t="s">
        <v>210</v>
      </c>
      <c r="I896">
        <v>250.34</v>
      </c>
      <c r="J896" s="44" t="s">
        <v>12</v>
      </c>
      <c r="L896" s="15" t="str">
        <f t="shared" si="14"/>
        <v>112.2160.200</v>
      </c>
    </row>
    <row r="897" spans="1:12" x14ac:dyDescent="0.2">
      <c r="A897">
        <v>18887</v>
      </c>
      <c r="B897" t="s">
        <v>105</v>
      </c>
      <c r="C897">
        <v>12030611</v>
      </c>
      <c r="D897" t="s">
        <v>36</v>
      </c>
      <c r="E897">
        <v>301</v>
      </c>
      <c r="F897" t="s">
        <v>211</v>
      </c>
      <c r="G897" s="22" t="s">
        <v>210</v>
      </c>
      <c r="I897">
        <v>191.38</v>
      </c>
      <c r="J897" s="44" t="s">
        <v>12</v>
      </c>
      <c r="L897" s="15" t="str">
        <f t="shared" si="14"/>
        <v>112.2160.200</v>
      </c>
    </row>
    <row r="898" spans="1:12" x14ac:dyDescent="0.2">
      <c r="A898">
        <v>18994</v>
      </c>
      <c r="B898" t="s">
        <v>363</v>
      </c>
      <c r="C898">
        <v>12030611</v>
      </c>
      <c r="D898" t="s">
        <v>36</v>
      </c>
      <c r="E898">
        <v>301</v>
      </c>
      <c r="F898" t="s">
        <v>211</v>
      </c>
      <c r="G898" s="22" t="s">
        <v>210</v>
      </c>
      <c r="I898">
        <v>25.44</v>
      </c>
      <c r="J898" s="44" t="s">
        <v>12</v>
      </c>
      <c r="L898" s="15" t="str">
        <f t="shared" si="14"/>
        <v>112.2160.200</v>
      </c>
    </row>
    <row r="899" spans="1:12" x14ac:dyDescent="0.2">
      <c r="A899">
        <v>18797</v>
      </c>
      <c r="B899" t="s">
        <v>101</v>
      </c>
      <c r="C899">
        <v>12030611</v>
      </c>
      <c r="D899" t="s">
        <v>36</v>
      </c>
      <c r="E899">
        <v>301</v>
      </c>
      <c r="F899" t="s">
        <v>211</v>
      </c>
      <c r="G899" s="22" t="s">
        <v>210</v>
      </c>
      <c r="I899">
        <v>228.46</v>
      </c>
      <c r="J899" s="44" t="s">
        <v>12</v>
      </c>
      <c r="L899" s="15" t="str">
        <f t="shared" si="14"/>
        <v>112.2160.200</v>
      </c>
    </row>
    <row r="900" spans="1:12" x14ac:dyDescent="0.2">
      <c r="A900">
        <v>18901</v>
      </c>
      <c r="B900" t="s">
        <v>37</v>
      </c>
      <c r="C900">
        <v>12030611</v>
      </c>
      <c r="D900" t="s">
        <v>36</v>
      </c>
      <c r="E900">
        <v>301</v>
      </c>
      <c r="F900" t="s">
        <v>211</v>
      </c>
      <c r="G900" s="22" t="s">
        <v>210</v>
      </c>
      <c r="I900">
        <v>286.45</v>
      </c>
      <c r="J900" s="44" t="s">
        <v>12</v>
      </c>
      <c r="L900" s="15" t="str">
        <f t="shared" si="14"/>
        <v>112.2160.200</v>
      </c>
    </row>
    <row r="901" spans="1:12" x14ac:dyDescent="0.2">
      <c r="A901">
        <v>18949</v>
      </c>
      <c r="B901" t="s">
        <v>35</v>
      </c>
      <c r="C901">
        <v>12030611</v>
      </c>
      <c r="D901" t="s">
        <v>36</v>
      </c>
      <c r="E901">
        <v>301</v>
      </c>
      <c r="F901" t="s">
        <v>211</v>
      </c>
      <c r="G901" s="22" t="s">
        <v>210</v>
      </c>
      <c r="I901">
        <v>209</v>
      </c>
      <c r="J901" s="44" t="s">
        <v>12</v>
      </c>
      <c r="L901" s="15" t="str">
        <f t="shared" si="14"/>
        <v>112.2160.200</v>
      </c>
    </row>
    <row r="902" spans="1:12" x14ac:dyDescent="0.2">
      <c r="A902">
        <v>18979</v>
      </c>
      <c r="B902" t="s">
        <v>39</v>
      </c>
      <c r="C902">
        <v>12030611</v>
      </c>
      <c r="D902" t="s">
        <v>36</v>
      </c>
      <c r="E902">
        <v>301</v>
      </c>
      <c r="F902" t="s">
        <v>211</v>
      </c>
      <c r="G902" s="22" t="s">
        <v>210</v>
      </c>
      <c r="I902">
        <v>212.98</v>
      </c>
      <c r="J902" s="44" t="s">
        <v>12</v>
      </c>
      <c r="L902" s="15" t="str">
        <f t="shared" si="14"/>
        <v>112.2160.200</v>
      </c>
    </row>
    <row r="903" spans="1:12" x14ac:dyDescent="0.2">
      <c r="A903">
        <v>18929</v>
      </c>
      <c r="B903" t="s">
        <v>106</v>
      </c>
      <c r="C903">
        <v>12030611</v>
      </c>
      <c r="D903" t="s">
        <v>36</v>
      </c>
      <c r="E903">
        <v>301</v>
      </c>
      <c r="F903" t="s">
        <v>211</v>
      </c>
      <c r="G903" s="22" t="s">
        <v>210</v>
      </c>
      <c r="I903">
        <v>91.08</v>
      </c>
      <c r="J903" s="44" t="s">
        <v>12</v>
      </c>
      <c r="L903" s="15" t="str">
        <f t="shared" si="14"/>
        <v>112.2160.200</v>
      </c>
    </row>
    <row r="904" spans="1:12" x14ac:dyDescent="0.2">
      <c r="A904">
        <v>18626</v>
      </c>
      <c r="B904" t="s">
        <v>195</v>
      </c>
      <c r="C904">
        <v>12030611</v>
      </c>
      <c r="D904" t="s">
        <v>36</v>
      </c>
      <c r="E904">
        <v>301</v>
      </c>
      <c r="F904" t="s">
        <v>211</v>
      </c>
      <c r="G904" s="22" t="s">
        <v>210</v>
      </c>
      <c r="I904">
        <v>363.46</v>
      </c>
      <c r="J904" s="44" t="s">
        <v>12</v>
      </c>
      <c r="L904" s="15" t="str">
        <f t="shared" si="14"/>
        <v>112.2160.200</v>
      </c>
    </row>
    <row r="905" spans="1:12" x14ac:dyDescent="0.2">
      <c r="A905">
        <v>18692</v>
      </c>
      <c r="B905" t="s">
        <v>40</v>
      </c>
      <c r="C905">
        <v>12030711</v>
      </c>
      <c r="D905" t="s">
        <v>41</v>
      </c>
      <c r="E905">
        <v>301</v>
      </c>
      <c r="F905" t="s">
        <v>211</v>
      </c>
      <c r="G905" s="22" t="s">
        <v>210</v>
      </c>
      <c r="I905">
        <v>254.67</v>
      </c>
      <c r="J905" s="44" t="s">
        <v>12</v>
      </c>
      <c r="L905" s="15" t="str">
        <f t="shared" si="14"/>
        <v>112.2160.200</v>
      </c>
    </row>
    <row r="906" spans="1:12" x14ac:dyDescent="0.2">
      <c r="A906">
        <v>18989</v>
      </c>
      <c r="B906" t="s">
        <v>107</v>
      </c>
      <c r="C906">
        <v>12030800</v>
      </c>
      <c r="D906" t="s">
        <v>59</v>
      </c>
      <c r="E906">
        <v>301</v>
      </c>
      <c r="F906" t="s">
        <v>211</v>
      </c>
      <c r="G906" s="22" t="s">
        <v>210</v>
      </c>
      <c r="I906">
        <v>209.63</v>
      </c>
      <c r="J906" s="44" t="s">
        <v>12</v>
      </c>
      <c r="L906" s="15" t="str">
        <f t="shared" si="14"/>
        <v>112.2160.200</v>
      </c>
    </row>
    <row r="907" spans="1:12" x14ac:dyDescent="0.2">
      <c r="A907">
        <v>18916</v>
      </c>
      <c r="B907" t="s">
        <v>42</v>
      </c>
      <c r="C907">
        <v>12032511</v>
      </c>
      <c r="D907" t="s">
        <v>43</v>
      </c>
      <c r="E907">
        <v>301</v>
      </c>
      <c r="F907" t="s">
        <v>211</v>
      </c>
      <c r="G907" s="22" t="s">
        <v>210</v>
      </c>
      <c r="I907">
        <v>166.25</v>
      </c>
      <c r="J907" s="44" t="s">
        <v>12</v>
      </c>
      <c r="L907" s="15" t="str">
        <f t="shared" si="14"/>
        <v>112.2160.200</v>
      </c>
    </row>
    <row r="908" spans="1:12" x14ac:dyDescent="0.2">
      <c r="A908">
        <v>18736</v>
      </c>
      <c r="B908" t="s">
        <v>70</v>
      </c>
      <c r="C908">
        <v>12032511</v>
      </c>
      <c r="D908" t="s">
        <v>43</v>
      </c>
      <c r="E908">
        <v>301</v>
      </c>
      <c r="F908" t="s">
        <v>211</v>
      </c>
      <c r="G908" s="22" t="s">
        <v>210</v>
      </c>
      <c r="I908">
        <v>176.2</v>
      </c>
      <c r="J908" s="44" t="s">
        <v>12</v>
      </c>
      <c r="L908" s="15" t="str">
        <f t="shared" si="14"/>
        <v>112.2160.200</v>
      </c>
    </row>
    <row r="909" spans="1:12" x14ac:dyDescent="0.2">
      <c r="A909">
        <v>19008</v>
      </c>
      <c r="B909" t="s">
        <v>118</v>
      </c>
      <c r="C909">
        <v>12033011</v>
      </c>
      <c r="D909" t="s">
        <v>45</v>
      </c>
      <c r="E909">
        <v>301</v>
      </c>
      <c r="F909" t="s">
        <v>211</v>
      </c>
      <c r="G909" s="22" t="s">
        <v>210</v>
      </c>
      <c r="I909">
        <v>99.76</v>
      </c>
      <c r="J909" s="44" t="s">
        <v>12</v>
      </c>
      <c r="L909" s="15" t="str">
        <f t="shared" si="14"/>
        <v>112.2160.200</v>
      </c>
    </row>
    <row r="910" spans="1:12" x14ac:dyDescent="0.2">
      <c r="A910">
        <v>19030</v>
      </c>
      <c r="B910" t="s">
        <v>364</v>
      </c>
      <c r="C910">
        <v>12033011</v>
      </c>
      <c r="D910" t="s">
        <v>45</v>
      </c>
      <c r="E910">
        <v>301</v>
      </c>
      <c r="F910" t="s">
        <v>211</v>
      </c>
      <c r="G910" s="22" t="s">
        <v>210</v>
      </c>
      <c r="I910">
        <v>176.79</v>
      </c>
      <c r="J910" s="44" t="s">
        <v>12</v>
      </c>
      <c r="L910" s="15" t="str">
        <f t="shared" si="14"/>
        <v>112.2160.200</v>
      </c>
    </row>
    <row r="911" spans="1:12" x14ac:dyDescent="0.2">
      <c r="A911">
        <v>19029</v>
      </c>
      <c r="B911" t="s">
        <v>366</v>
      </c>
      <c r="C911">
        <v>12033011</v>
      </c>
      <c r="D911" t="s">
        <v>45</v>
      </c>
      <c r="E911">
        <v>301</v>
      </c>
      <c r="F911" t="s">
        <v>211</v>
      </c>
      <c r="G911" s="22" t="s">
        <v>210</v>
      </c>
      <c r="I911">
        <v>210.51</v>
      </c>
      <c r="J911" s="44" t="s">
        <v>12</v>
      </c>
      <c r="L911" s="15" t="str">
        <f t="shared" si="14"/>
        <v>112.2160.200</v>
      </c>
    </row>
    <row r="912" spans="1:12" x14ac:dyDescent="0.2">
      <c r="A912">
        <v>19022</v>
      </c>
      <c r="B912" t="s">
        <v>113</v>
      </c>
      <c r="C912">
        <v>12033011</v>
      </c>
      <c r="D912" t="s">
        <v>45</v>
      </c>
      <c r="E912">
        <v>301</v>
      </c>
      <c r="F912" t="s">
        <v>211</v>
      </c>
      <c r="G912" s="22" t="s">
        <v>210</v>
      </c>
      <c r="I912">
        <v>180.93</v>
      </c>
      <c r="J912" s="44" t="s">
        <v>12</v>
      </c>
      <c r="L912" s="15" t="str">
        <f t="shared" si="14"/>
        <v>112.2160.200</v>
      </c>
    </row>
    <row r="913" spans="1:12" x14ac:dyDescent="0.2">
      <c r="A913">
        <v>19012</v>
      </c>
      <c r="B913" t="s">
        <v>110</v>
      </c>
      <c r="C913">
        <v>12033011</v>
      </c>
      <c r="D913" t="s">
        <v>45</v>
      </c>
      <c r="E913">
        <v>301</v>
      </c>
      <c r="F913" t="s">
        <v>211</v>
      </c>
      <c r="G913" s="22" t="s">
        <v>210</v>
      </c>
      <c r="I913">
        <v>195.55</v>
      </c>
      <c r="J913" s="44" t="s">
        <v>12</v>
      </c>
      <c r="L913" s="15" t="str">
        <f t="shared" si="14"/>
        <v>112.2160.200</v>
      </c>
    </row>
    <row r="914" spans="1:12" x14ac:dyDescent="0.2">
      <c r="A914">
        <v>18607</v>
      </c>
      <c r="B914" t="s">
        <v>109</v>
      </c>
      <c r="C914">
        <v>12033011</v>
      </c>
      <c r="D914" t="s">
        <v>45</v>
      </c>
      <c r="E914">
        <v>301</v>
      </c>
      <c r="F914" t="s">
        <v>211</v>
      </c>
      <c r="G914" s="22" t="s">
        <v>210</v>
      </c>
      <c r="I914">
        <v>234.63</v>
      </c>
      <c r="J914" s="44" t="s">
        <v>12</v>
      </c>
      <c r="L914" s="15" t="str">
        <f t="shared" si="14"/>
        <v>112.2160.200</v>
      </c>
    </row>
    <row r="915" spans="1:12" x14ac:dyDescent="0.2">
      <c r="A915">
        <v>19015</v>
      </c>
      <c r="B915" t="s">
        <v>116</v>
      </c>
      <c r="C915">
        <v>12033011</v>
      </c>
      <c r="D915" t="s">
        <v>45</v>
      </c>
      <c r="E915">
        <v>301</v>
      </c>
      <c r="F915" t="s">
        <v>211</v>
      </c>
      <c r="G915" s="22" t="s">
        <v>210</v>
      </c>
      <c r="I915">
        <v>206.61</v>
      </c>
      <c r="J915" s="44" t="s">
        <v>12</v>
      </c>
      <c r="L915" s="15" t="str">
        <f t="shared" si="14"/>
        <v>112.2160.200</v>
      </c>
    </row>
    <row r="916" spans="1:12" x14ac:dyDescent="0.2">
      <c r="A916">
        <v>18679</v>
      </c>
      <c r="B916" t="s">
        <v>114</v>
      </c>
      <c r="C916">
        <v>12033011</v>
      </c>
      <c r="D916" t="s">
        <v>45</v>
      </c>
      <c r="E916">
        <v>301</v>
      </c>
      <c r="F916" t="s">
        <v>211</v>
      </c>
      <c r="G916" s="22" t="s">
        <v>210</v>
      </c>
      <c r="I916">
        <v>184.78</v>
      </c>
      <c r="J916" s="44" t="s">
        <v>12</v>
      </c>
      <c r="L916" s="15" t="str">
        <f t="shared" si="14"/>
        <v>112.2160.200</v>
      </c>
    </row>
    <row r="917" spans="1:12" x14ac:dyDescent="0.2">
      <c r="A917">
        <v>19028</v>
      </c>
      <c r="B917" t="s">
        <v>367</v>
      </c>
      <c r="C917">
        <v>12033011</v>
      </c>
      <c r="D917" t="s">
        <v>45</v>
      </c>
      <c r="E917">
        <v>301</v>
      </c>
      <c r="F917" t="s">
        <v>211</v>
      </c>
      <c r="G917" s="22" t="s">
        <v>210</v>
      </c>
      <c r="I917">
        <v>186.78</v>
      </c>
      <c r="J917" s="44" t="s">
        <v>12</v>
      </c>
      <c r="L917" s="15" t="str">
        <f t="shared" si="14"/>
        <v>112.2160.200</v>
      </c>
    </row>
    <row r="918" spans="1:12" x14ac:dyDescent="0.2">
      <c r="A918">
        <v>19017</v>
      </c>
      <c r="B918" t="s">
        <v>65</v>
      </c>
      <c r="C918">
        <v>12033011</v>
      </c>
      <c r="D918" t="s">
        <v>45</v>
      </c>
      <c r="E918">
        <v>301</v>
      </c>
      <c r="F918" t="s">
        <v>211</v>
      </c>
      <c r="G918" s="22" t="s">
        <v>210</v>
      </c>
      <c r="I918">
        <v>163.88</v>
      </c>
      <c r="J918" s="44" t="s">
        <v>12</v>
      </c>
      <c r="L918" s="15" t="str">
        <f t="shared" si="14"/>
        <v>112.2160.200</v>
      </c>
    </row>
    <row r="919" spans="1:12" x14ac:dyDescent="0.2">
      <c r="A919">
        <v>18983</v>
      </c>
      <c r="B919" t="s">
        <v>112</v>
      </c>
      <c r="C919">
        <v>12033011</v>
      </c>
      <c r="D919" t="s">
        <v>45</v>
      </c>
      <c r="E919">
        <v>301</v>
      </c>
      <c r="F919" t="s">
        <v>211</v>
      </c>
      <c r="G919" s="22" t="s">
        <v>210</v>
      </c>
      <c r="I919">
        <v>191.12</v>
      </c>
      <c r="J919" s="44" t="s">
        <v>12</v>
      </c>
      <c r="L919" s="15" t="str">
        <f t="shared" si="14"/>
        <v>112.2160.200</v>
      </c>
    </row>
    <row r="920" spans="1:12" x14ac:dyDescent="0.2">
      <c r="A920">
        <v>19011</v>
      </c>
      <c r="B920" t="s">
        <v>111</v>
      </c>
      <c r="C920">
        <v>12033011</v>
      </c>
      <c r="D920" t="s">
        <v>45</v>
      </c>
      <c r="E920">
        <v>301</v>
      </c>
      <c r="F920" t="s">
        <v>211</v>
      </c>
      <c r="G920" s="22" t="s">
        <v>210</v>
      </c>
      <c r="I920">
        <v>191.38</v>
      </c>
      <c r="J920" s="44" t="s">
        <v>12</v>
      </c>
      <c r="L920" s="15" t="str">
        <f t="shared" si="14"/>
        <v>112.2160.200</v>
      </c>
    </row>
    <row r="921" spans="1:12" x14ac:dyDescent="0.2">
      <c r="A921">
        <v>18923</v>
      </c>
      <c r="B921" t="s">
        <v>46</v>
      </c>
      <c r="C921">
        <v>12033011</v>
      </c>
      <c r="D921" t="s">
        <v>45</v>
      </c>
      <c r="E921">
        <v>301</v>
      </c>
      <c r="F921" t="s">
        <v>211</v>
      </c>
      <c r="G921" s="22" t="s">
        <v>210</v>
      </c>
      <c r="I921">
        <v>170.52</v>
      </c>
      <c r="J921" s="44" t="s">
        <v>12</v>
      </c>
      <c r="L921" s="15" t="str">
        <f t="shared" ref="L921:L963" si="15">G921</f>
        <v>112.2160.200</v>
      </c>
    </row>
    <row r="922" spans="1:12" x14ac:dyDescent="0.2">
      <c r="A922">
        <v>18829</v>
      </c>
      <c r="B922" t="s">
        <v>115</v>
      </c>
      <c r="C922">
        <v>12033011</v>
      </c>
      <c r="D922" t="s">
        <v>45</v>
      </c>
      <c r="E922">
        <v>301</v>
      </c>
      <c r="F922" t="s">
        <v>211</v>
      </c>
      <c r="G922" s="22" t="s">
        <v>210</v>
      </c>
      <c r="I922">
        <v>235.48</v>
      </c>
      <c r="J922" s="44" t="s">
        <v>12</v>
      </c>
      <c r="L922" s="15" t="str">
        <f t="shared" si="15"/>
        <v>112.2160.200</v>
      </c>
    </row>
    <row r="923" spans="1:12" x14ac:dyDescent="0.2">
      <c r="A923">
        <v>18932</v>
      </c>
      <c r="B923" t="s">
        <v>44</v>
      </c>
      <c r="C923">
        <v>12033011</v>
      </c>
      <c r="D923" t="s">
        <v>45</v>
      </c>
      <c r="E923">
        <v>301</v>
      </c>
      <c r="F923" t="s">
        <v>211</v>
      </c>
      <c r="G923" s="22" t="s">
        <v>210</v>
      </c>
      <c r="I923">
        <v>271.02999999999997</v>
      </c>
      <c r="J923" s="44" t="s">
        <v>12</v>
      </c>
      <c r="L923" s="15" t="str">
        <f t="shared" si="15"/>
        <v>112.2160.200</v>
      </c>
    </row>
    <row r="924" spans="1:12" x14ac:dyDescent="0.2">
      <c r="A924">
        <v>19019</v>
      </c>
      <c r="B924" t="s">
        <v>108</v>
      </c>
      <c r="C924">
        <v>12033011</v>
      </c>
      <c r="D924" t="s">
        <v>45</v>
      </c>
      <c r="E924">
        <v>301</v>
      </c>
      <c r="F924" t="s">
        <v>211</v>
      </c>
      <c r="G924" s="22" t="s">
        <v>210</v>
      </c>
      <c r="I924">
        <v>206.61</v>
      </c>
      <c r="J924" s="44" t="s">
        <v>12</v>
      </c>
      <c r="L924" s="15" t="str">
        <f t="shared" si="15"/>
        <v>112.2160.200</v>
      </c>
    </row>
    <row r="925" spans="1:12" x14ac:dyDescent="0.2">
      <c r="A925">
        <v>19009</v>
      </c>
      <c r="B925" t="s">
        <v>117</v>
      </c>
      <c r="C925">
        <v>12033011</v>
      </c>
      <c r="D925" t="s">
        <v>45</v>
      </c>
      <c r="E925">
        <v>301</v>
      </c>
      <c r="F925" t="s">
        <v>211</v>
      </c>
      <c r="G925" s="22" t="s">
        <v>210</v>
      </c>
      <c r="I925">
        <v>210.21</v>
      </c>
      <c r="J925" s="44" t="s">
        <v>12</v>
      </c>
      <c r="L925" s="15" t="str">
        <f t="shared" si="15"/>
        <v>112.2160.200</v>
      </c>
    </row>
    <row r="926" spans="1:12" x14ac:dyDescent="0.2">
      <c r="A926">
        <v>18998</v>
      </c>
      <c r="B926" t="s">
        <v>47</v>
      </c>
      <c r="C926">
        <v>12038099</v>
      </c>
      <c r="D926" t="s">
        <v>48</v>
      </c>
      <c r="E926">
        <v>301</v>
      </c>
      <c r="F926" t="s">
        <v>211</v>
      </c>
      <c r="G926" s="22" t="s">
        <v>210</v>
      </c>
      <c r="I926">
        <v>302.89</v>
      </c>
      <c r="J926" s="44" t="s">
        <v>12</v>
      </c>
      <c r="L926" s="15" t="str">
        <f t="shared" si="15"/>
        <v>112.2160.200</v>
      </c>
    </row>
    <row r="927" spans="1:12" x14ac:dyDescent="0.2">
      <c r="A927">
        <v>115</v>
      </c>
      <c r="B927" t="s">
        <v>196</v>
      </c>
      <c r="C927">
        <v>12040400</v>
      </c>
      <c r="D927" t="s">
        <v>197</v>
      </c>
      <c r="E927">
        <v>301</v>
      </c>
      <c r="F927" t="s">
        <v>211</v>
      </c>
      <c r="G927" s="22" t="s">
        <v>210</v>
      </c>
      <c r="I927">
        <v>310.76</v>
      </c>
      <c r="J927" s="44" t="s">
        <v>12</v>
      </c>
      <c r="L927" s="15" t="str">
        <f t="shared" si="15"/>
        <v>112.2160.200</v>
      </c>
    </row>
    <row r="928" spans="1:12" x14ac:dyDescent="0.2">
      <c r="A928">
        <v>19020</v>
      </c>
      <c r="B928" t="s">
        <v>66</v>
      </c>
      <c r="C928">
        <v>12040500</v>
      </c>
      <c r="D928" t="s">
        <v>67</v>
      </c>
      <c r="E928">
        <v>301</v>
      </c>
      <c r="F928" t="s">
        <v>211</v>
      </c>
      <c r="G928" s="22" t="s">
        <v>210</v>
      </c>
      <c r="I928">
        <v>213.19</v>
      </c>
      <c r="J928" s="44" t="s">
        <v>12</v>
      </c>
      <c r="L928" s="15" t="str">
        <f t="shared" si="15"/>
        <v>112.2160.200</v>
      </c>
    </row>
    <row r="929" spans="1:12" x14ac:dyDescent="0.2">
      <c r="A929">
        <v>18649</v>
      </c>
      <c r="B929" t="s">
        <v>152</v>
      </c>
      <c r="C929">
        <v>12040500</v>
      </c>
      <c r="D929" t="s">
        <v>67</v>
      </c>
      <c r="E929">
        <v>301</v>
      </c>
      <c r="F929" t="s">
        <v>211</v>
      </c>
      <c r="G929" s="22" t="s">
        <v>210</v>
      </c>
      <c r="I929">
        <v>323.08</v>
      </c>
      <c r="J929" s="44" t="s">
        <v>12</v>
      </c>
      <c r="L929" s="15" t="str">
        <f t="shared" si="15"/>
        <v>112.2160.200</v>
      </c>
    </row>
    <row r="930" spans="1:12" x14ac:dyDescent="0.2">
      <c r="A930">
        <v>18839</v>
      </c>
      <c r="B930" t="s">
        <v>198</v>
      </c>
      <c r="C930">
        <v>12040800</v>
      </c>
      <c r="D930" t="s">
        <v>120</v>
      </c>
      <c r="E930">
        <v>301</v>
      </c>
      <c r="F930" t="s">
        <v>211</v>
      </c>
      <c r="G930" s="22" t="s">
        <v>210</v>
      </c>
      <c r="I930">
        <v>127.04</v>
      </c>
      <c r="J930" s="44" t="s">
        <v>12</v>
      </c>
      <c r="L930" s="15" t="str">
        <f t="shared" si="15"/>
        <v>112.2160.200</v>
      </c>
    </row>
    <row r="931" spans="1:12" x14ac:dyDescent="0.2">
      <c r="A931">
        <v>18904</v>
      </c>
      <c r="B931" t="s">
        <v>119</v>
      </c>
      <c r="C931">
        <v>12040800</v>
      </c>
      <c r="D931" t="s">
        <v>120</v>
      </c>
      <c r="E931">
        <v>301</v>
      </c>
      <c r="F931" t="s">
        <v>211</v>
      </c>
      <c r="G931" s="22" t="s">
        <v>210</v>
      </c>
      <c r="I931">
        <v>206.8</v>
      </c>
      <c r="J931" s="44" t="s">
        <v>12</v>
      </c>
      <c r="L931" s="15" t="str">
        <f t="shared" si="15"/>
        <v>112.2160.200</v>
      </c>
    </row>
    <row r="932" spans="1:12" x14ac:dyDescent="0.2">
      <c r="A932">
        <v>18650</v>
      </c>
      <c r="B932" t="s">
        <v>49</v>
      </c>
      <c r="C932">
        <v>12042511</v>
      </c>
      <c r="D932" t="s">
        <v>50</v>
      </c>
      <c r="E932">
        <v>301</v>
      </c>
      <c r="F932" t="s">
        <v>211</v>
      </c>
      <c r="G932" s="22" t="s">
        <v>210</v>
      </c>
      <c r="I932">
        <v>195.33</v>
      </c>
      <c r="J932" s="44" t="s">
        <v>12</v>
      </c>
      <c r="L932" s="15" t="str">
        <f t="shared" si="15"/>
        <v>112.2160.200</v>
      </c>
    </row>
    <row r="933" spans="1:12" x14ac:dyDescent="0.2">
      <c r="A933">
        <v>18924</v>
      </c>
      <c r="B933" t="s">
        <v>121</v>
      </c>
      <c r="C933">
        <v>12043011</v>
      </c>
      <c r="D933" t="s">
        <v>52</v>
      </c>
      <c r="E933">
        <v>301</v>
      </c>
      <c r="F933" t="s">
        <v>211</v>
      </c>
      <c r="G933" s="22" t="s">
        <v>210</v>
      </c>
      <c r="I933">
        <v>113.23</v>
      </c>
      <c r="J933" s="44" t="s">
        <v>12</v>
      </c>
      <c r="L933" s="15" t="str">
        <f t="shared" si="15"/>
        <v>112.2160.200</v>
      </c>
    </row>
    <row r="934" spans="1:12" x14ac:dyDescent="0.2">
      <c r="A934">
        <v>18942</v>
      </c>
      <c r="B934" t="s">
        <v>51</v>
      </c>
      <c r="C934">
        <v>12043011</v>
      </c>
      <c r="D934" t="s">
        <v>52</v>
      </c>
      <c r="E934">
        <v>301</v>
      </c>
      <c r="F934" t="s">
        <v>211</v>
      </c>
      <c r="G934" s="22" t="s">
        <v>210</v>
      </c>
      <c r="I934">
        <v>258.33</v>
      </c>
      <c r="J934" s="44" t="s">
        <v>12</v>
      </c>
      <c r="L934" s="15" t="str">
        <f t="shared" si="15"/>
        <v>112.2160.200</v>
      </c>
    </row>
    <row r="935" spans="1:12" x14ac:dyDescent="0.2">
      <c r="A935">
        <v>18990</v>
      </c>
      <c r="B935" t="s">
        <v>125</v>
      </c>
      <c r="C935">
        <v>12043011</v>
      </c>
      <c r="D935" t="s">
        <v>52</v>
      </c>
      <c r="E935">
        <v>301</v>
      </c>
      <c r="F935" t="s">
        <v>211</v>
      </c>
      <c r="G935" s="22" t="s">
        <v>210</v>
      </c>
      <c r="I935">
        <v>190.87</v>
      </c>
      <c r="J935" s="44" t="s">
        <v>12</v>
      </c>
      <c r="L935" s="15" t="str">
        <f t="shared" si="15"/>
        <v>112.2160.200</v>
      </c>
    </row>
    <row r="936" spans="1:12" x14ac:dyDescent="0.2">
      <c r="A936">
        <v>18917</v>
      </c>
      <c r="B936" t="s">
        <v>68</v>
      </c>
      <c r="C936">
        <v>12043011</v>
      </c>
      <c r="D936" t="s">
        <v>52</v>
      </c>
      <c r="E936">
        <v>301</v>
      </c>
      <c r="F936" t="s">
        <v>211</v>
      </c>
      <c r="G936" s="22" t="s">
        <v>210</v>
      </c>
      <c r="I936">
        <v>50.99</v>
      </c>
      <c r="J936" s="44" t="s">
        <v>12</v>
      </c>
      <c r="L936" s="15" t="str">
        <f t="shared" si="15"/>
        <v>112.2160.200</v>
      </c>
    </row>
    <row r="937" spans="1:12" x14ac:dyDescent="0.2">
      <c r="A937">
        <v>18646</v>
      </c>
      <c r="B937" t="s">
        <v>124</v>
      </c>
      <c r="C937">
        <v>12043011</v>
      </c>
      <c r="D937" t="s">
        <v>52</v>
      </c>
      <c r="E937">
        <v>301</v>
      </c>
      <c r="F937" t="s">
        <v>211</v>
      </c>
      <c r="G937" s="22" t="s">
        <v>210</v>
      </c>
      <c r="I937">
        <v>152.51</v>
      </c>
      <c r="J937" s="44" t="s">
        <v>12</v>
      </c>
      <c r="L937" s="15" t="str">
        <f t="shared" si="15"/>
        <v>112.2160.200</v>
      </c>
    </row>
    <row r="938" spans="1:12" x14ac:dyDescent="0.2">
      <c r="A938">
        <v>18713</v>
      </c>
      <c r="B938" t="s">
        <v>154</v>
      </c>
      <c r="C938">
        <v>12043011</v>
      </c>
      <c r="D938" t="s">
        <v>52</v>
      </c>
      <c r="E938">
        <v>301</v>
      </c>
      <c r="F938" t="s">
        <v>211</v>
      </c>
      <c r="G938" s="22" t="s">
        <v>210</v>
      </c>
      <c r="I938">
        <v>331.2</v>
      </c>
      <c r="J938" s="44" t="s">
        <v>12</v>
      </c>
      <c r="L938" s="15" t="str">
        <f t="shared" si="15"/>
        <v>112.2160.200</v>
      </c>
    </row>
    <row r="939" spans="1:12" x14ac:dyDescent="0.2">
      <c r="A939">
        <v>18850</v>
      </c>
      <c r="B939" t="s">
        <v>123</v>
      </c>
      <c r="C939">
        <v>12043011</v>
      </c>
      <c r="D939" t="s">
        <v>52</v>
      </c>
      <c r="E939">
        <v>301</v>
      </c>
      <c r="F939" t="s">
        <v>211</v>
      </c>
      <c r="G939" s="22" t="s">
        <v>210</v>
      </c>
      <c r="I939">
        <v>235.25</v>
      </c>
      <c r="J939" s="44" t="s">
        <v>12</v>
      </c>
      <c r="L939" s="15" t="str">
        <f t="shared" si="15"/>
        <v>112.2160.200</v>
      </c>
    </row>
    <row r="940" spans="1:12" x14ac:dyDescent="0.2">
      <c r="A940">
        <v>18703</v>
      </c>
      <c r="B940" t="s">
        <v>126</v>
      </c>
      <c r="C940">
        <v>12043011</v>
      </c>
      <c r="D940" t="s">
        <v>52</v>
      </c>
      <c r="E940">
        <v>301</v>
      </c>
      <c r="F940" t="s">
        <v>211</v>
      </c>
      <c r="G940" s="22" t="s">
        <v>210</v>
      </c>
      <c r="I940">
        <v>251.89</v>
      </c>
      <c r="J940" s="44" t="s">
        <v>12</v>
      </c>
      <c r="L940" s="15" t="str">
        <f t="shared" si="15"/>
        <v>112.2160.200</v>
      </c>
    </row>
    <row r="941" spans="1:12" x14ac:dyDescent="0.2">
      <c r="A941">
        <v>18986</v>
      </c>
      <c r="B941" t="s">
        <v>153</v>
      </c>
      <c r="C941">
        <v>12043011</v>
      </c>
      <c r="D941" t="s">
        <v>52</v>
      </c>
      <c r="E941">
        <v>301</v>
      </c>
      <c r="F941" t="s">
        <v>211</v>
      </c>
      <c r="G941" s="22" t="s">
        <v>210</v>
      </c>
      <c r="I941">
        <v>219.03</v>
      </c>
      <c r="J941" s="44" t="s">
        <v>12</v>
      </c>
      <c r="L941" s="15" t="str">
        <f t="shared" si="15"/>
        <v>112.2160.200</v>
      </c>
    </row>
    <row r="942" spans="1:12" x14ac:dyDescent="0.2">
      <c r="A942">
        <v>18858</v>
      </c>
      <c r="B942" t="s">
        <v>122</v>
      </c>
      <c r="C942">
        <v>12043011</v>
      </c>
      <c r="D942" t="s">
        <v>52</v>
      </c>
      <c r="E942">
        <v>301</v>
      </c>
      <c r="F942" t="s">
        <v>211</v>
      </c>
      <c r="G942" s="22" t="s">
        <v>210</v>
      </c>
      <c r="I942">
        <v>234.45</v>
      </c>
      <c r="J942" s="44" t="s">
        <v>12</v>
      </c>
      <c r="L942" s="15" t="str">
        <f t="shared" si="15"/>
        <v>112.2160.200</v>
      </c>
    </row>
    <row r="943" spans="1:12" x14ac:dyDescent="0.2">
      <c r="A943">
        <v>18944</v>
      </c>
      <c r="B943" t="s">
        <v>199</v>
      </c>
      <c r="C943">
        <v>12043011</v>
      </c>
      <c r="D943" t="s">
        <v>52</v>
      </c>
      <c r="E943">
        <v>301</v>
      </c>
      <c r="F943" t="s">
        <v>211</v>
      </c>
      <c r="G943" s="22" t="s">
        <v>210</v>
      </c>
      <c r="I943">
        <v>288.79000000000002</v>
      </c>
      <c r="J943" s="44" t="s">
        <v>12</v>
      </c>
      <c r="L943" s="15" t="str">
        <f t="shared" si="15"/>
        <v>112.2160.200</v>
      </c>
    </row>
    <row r="944" spans="1:12" x14ac:dyDescent="0.2">
      <c r="A944">
        <v>19023</v>
      </c>
      <c r="B944" t="s">
        <v>69</v>
      </c>
      <c r="C944">
        <v>12043011</v>
      </c>
      <c r="D944" t="s">
        <v>52</v>
      </c>
      <c r="E944">
        <v>301</v>
      </c>
      <c r="F944" t="s">
        <v>211</v>
      </c>
      <c r="G944" s="22" t="s">
        <v>210</v>
      </c>
      <c r="I944">
        <v>104.28</v>
      </c>
      <c r="J944" s="44" t="s">
        <v>12</v>
      </c>
      <c r="L944" s="15" t="str">
        <f t="shared" si="15"/>
        <v>112.2160.200</v>
      </c>
    </row>
    <row r="945" spans="1:12" x14ac:dyDescent="0.2">
      <c r="A945">
        <v>18970</v>
      </c>
      <c r="B945" t="s">
        <v>200</v>
      </c>
      <c r="C945">
        <v>12043123</v>
      </c>
      <c r="D945" t="s">
        <v>201</v>
      </c>
      <c r="E945">
        <v>301</v>
      </c>
      <c r="F945" t="s">
        <v>211</v>
      </c>
      <c r="G945" s="22" t="s">
        <v>210</v>
      </c>
      <c r="I945">
        <v>152</v>
      </c>
      <c r="J945" s="44" t="s">
        <v>12</v>
      </c>
      <c r="L945" s="15" t="str">
        <f t="shared" si="15"/>
        <v>112.2160.200</v>
      </c>
    </row>
    <row r="946" spans="1:12" x14ac:dyDescent="0.2">
      <c r="A946">
        <v>19031</v>
      </c>
      <c r="B946" t="s">
        <v>387</v>
      </c>
      <c r="C946">
        <v>12048099</v>
      </c>
      <c r="D946" t="s">
        <v>156</v>
      </c>
      <c r="E946">
        <v>301</v>
      </c>
      <c r="F946" t="s">
        <v>211</v>
      </c>
      <c r="G946" s="22" t="s">
        <v>210</v>
      </c>
      <c r="I946">
        <v>240.29</v>
      </c>
      <c r="J946" s="44" t="s">
        <v>12</v>
      </c>
      <c r="L946" s="15" t="str">
        <f t="shared" si="15"/>
        <v>112.2160.200</v>
      </c>
    </row>
    <row r="947" spans="1:12" x14ac:dyDescent="0.2">
      <c r="A947">
        <v>18976</v>
      </c>
      <c r="B947" t="s">
        <v>202</v>
      </c>
      <c r="C947">
        <v>12048099</v>
      </c>
      <c r="D947" t="s">
        <v>156</v>
      </c>
      <c r="E947">
        <v>301</v>
      </c>
      <c r="F947" t="s">
        <v>211</v>
      </c>
      <c r="G947" s="22" t="s">
        <v>210</v>
      </c>
      <c r="I947">
        <v>230.19</v>
      </c>
      <c r="J947" s="44" t="s">
        <v>12</v>
      </c>
      <c r="L947" s="15" t="str">
        <f t="shared" si="15"/>
        <v>112.2160.200</v>
      </c>
    </row>
    <row r="948" spans="1:12" x14ac:dyDescent="0.2">
      <c r="A948">
        <v>19001</v>
      </c>
      <c r="B948" t="s">
        <v>155</v>
      </c>
      <c r="C948">
        <v>12048099</v>
      </c>
      <c r="D948" t="s">
        <v>156</v>
      </c>
      <c r="E948">
        <v>301</v>
      </c>
      <c r="F948" t="s">
        <v>211</v>
      </c>
      <c r="G948" s="22" t="s">
        <v>210</v>
      </c>
      <c r="I948">
        <v>363.46</v>
      </c>
      <c r="J948" s="44" t="s">
        <v>12</v>
      </c>
      <c r="L948" s="15" t="str">
        <f t="shared" si="15"/>
        <v>112.2160.200</v>
      </c>
    </row>
    <row r="949" spans="1:12" x14ac:dyDescent="0.2">
      <c r="A949">
        <v>18442</v>
      </c>
      <c r="B949" t="s">
        <v>157</v>
      </c>
      <c r="C949">
        <v>12060400</v>
      </c>
      <c r="D949" t="s">
        <v>158</v>
      </c>
      <c r="E949">
        <v>301</v>
      </c>
      <c r="F949" t="s">
        <v>211</v>
      </c>
      <c r="G949" s="22" t="s">
        <v>210</v>
      </c>
      <c r="I949">
        <v>230.2</v>
      </c>
      <c r="J949" s="44" t="s">
        <v>12</v>
      </c>
      <c r="L949" s="15" t="str">
        <f t="shared" si="15"/>
        <v>112.2160.200</v>
      </c>
    </row>
    <row r="950" spans="1:12" x14ac:dyDescent="0.2">
      <c r="A950">
        <v>18634</v>
      </c>
      <c r="B950" t="s">
        <v>129</v>
      </c>
      <c r="C950">
        <v>12060611</v>
      </c>
      <c r="D950" t="s">
        <v>54</v>
      </c>
      <c r="E950">
        <v>301</v>
      </c>
      <c r="F950" t="s">
        <v>211</v>
      </c>
      <c r="G950" s="22" t="s">
        <v>210</v>
      </c>
      <c r="I950">
        <v>127.86</v>
      </c>
      <c r="J950" s="44" t="s">
        <v>12</v>
      </c>
      <c r="L950" s="15" t="str">
        <f t="shared" si="15"/>
        <v>112.2160.200</v>
      </c>
    </row>
    <row r="951" spans="1:12" x14ac:dyDescent="0.2">
      <c r="A951">
        <v>18996</v>
      </c>
      <c r="B951" t="s">
        <v>127</v>
      </c>
      <c r="C951">
        <v>12060611</v>
      </c>
      <c r="D951" t="s">
        <v>54</v>
      </c>
      <c r="E951">
        <v>301</v>
      </c>
      <c r="F951" t="s">
        <v>211</v>
      </c>
      <c r="G951" s="22" t="s">
        <v>210</v>
      </c>
      <c r="I951">
        <v>119.43</v>
      </c>
      <c r="J951" s="44" t="s">
        <v>12</v>
      </c>
      <c r="L951" s="15" t="str">
        <f t="shared" si="15"/>
        <v>112.2160.200</v>
      </c>
    </row>
    <row r="952" spans="1:12" x14ac:dyDescent="0.2">
      <c r="A952">
        <v>18823</v>
      </c>
      <c r="B952" t="s">
        <v>53</v>
      </c>
      <c r="C952">
        <v>12060611</v>
      </c>
      <c r="D952" t="s">
        <v>54</v>
      </c>
      <c r="E952">
        <v>301</v>
      </c>
      <c r="F952" t="s">
        <v>211</v>
      </c>
      <c r="G952" s="22" t="s">
        <v>210</v>
      </c>
      <c r="I952">
        <v>195.91</v>
      </c>
      <c r="J952" s="44" t="s">
        <v>12</v>
      </c>
      <c r="L952" s="15" t="str">
        <f t="shared" si="15"/>
        <v>112.2160.200</v>
      </c>
    </row>
    <row r="953" spans="1:12" x14ac:dyDescent="0.2">
      <c r="A953">
        <v>18895</v>
      </c>
      <c r="B953" t="s">
        <v>128</v>
      </c>
      <c r="C953">
        <v>12060611</v>
      </c>
      <c r="D953" t="s">
        <v>54</v>
      </c>
      <c r="E953">
        <v>301</v>
      </c>
      <c r="F953" t="s">
        <v>211</v>
      </c>
      <c r="G953" s="22" t="s">
        <v>210</v>
      </c>
      <c r="I953">
        <v>169.76</v>
      </c>
      <c r="J953" s="44" t="s">
        <v>12</v>
      </c>
      <c r="L953" s="15" t="str">
        <f t="shared" si="15"/>
        <v>112.2160.200</v>
      </c>
    </row>
    <row r="954" spans="1:12" x14ac:dyDescent="0.2">
      <c r="A954">
        <v>18898</v>
      </c>
      <c r="B954" t="s">
        <v>130</v>
      </c>
      <c r="C954">
        <v>12060611</v>
      </c>
      <c r="D954" t="s">
        <v>54</v>
      </c>
      <c r="E954">
        <v>301</v>
      </c>
      <c r="F954" t="s">
        <v>211</v>
      </c>
      <c r="G954" s="22" t="s">
        <v>210</v>
      </c>
      <c r="I954">
        <v>202.16</v>
      </c>
      <c r="J954" s="44" t="s">
        <v>12</v>
      </c>
      <c r="L954" s="15" t="str">
        <f t="shared" si="15"/>
        <v>112.2160.200</v>
      </c>
    </row>
    <row r="955" spans="1:12" x14ac:dyDescent="0.2">
      <c r="A955">
        <v>261</v>
      </c>
      <c r="B955" t="s">
        <v>159</v>
      </c>
      <c r="C955">
        <v>12060611</v>
      </c>
      <c r="D955" t="s">
        <v>54</v>
      </c>
      <c r="E955">
        <v>301</v>
      </c>
      <c r="F955" t="s">
        <v>211</v>
      </c>
      <c r="G955" s="22" t="s">
        <v>210</v>
      </c>
      <c r="I955">
        <v>323.08</v>
      </c>
      <c r="J955" s="44" t="s">
        <v>12</v>
      </c>
      <c r="L955" s="15" t="str">
        <f t="shared" si="15"/>
        <v>112.2160.200</v>
      </c>
    </row>
    <row r="956" spans="1:12" x14ac:dyDescent="0.2">
      <c r="A956">
        <v>18790</v>
      </c>
      <c r="B956" t="s">
        <v>131</v>
      </c>
      <c r="C956">
        <v>12060611</v>
      </c>
      <c r="D956" t="s">
        <v>54</v>
      </c>
      <c r="E956">
        <v>301</v>
      </c>
      <c r="F956" t="s">
        <v>211</v>
      </c>
      <c r="G956" s="22" t="s">
        <v>210</v>
      </c>
      <c r="I956">
        <v>161.59</v>
      </c>
      <c r="J956" s="44" t="s">
        <v>12</v>
      </c>
      <c r="L956" s="15" t="str">
        <f t="shared" si="15"/>
        <v>112.2160.200</v>
      </c>
    </row>
    <row r="957" spans="1:12" x14ac:dyDescent="0.2">
      <c r="A957">
        <v>18927</v>
      </c>
      <c r="B957" t="s">
        <v>55</v>
      </c>
      <c r="C957">
        <v>12060611</v>
      </c>
      <c r="D957" t="s">
        <v>54</v>
      </c>
      <c r="E957">
        <v>301</v>
      </c>
      <c r="F957" t="s">
        <v>211</v>
      </c>
      <c r="G957" s="22" t="s">
        <v>210</v>
      </c>
      <c r="I957">
        <v>133.84</v>
      </c>
      <c r="J957" s="44" t="s">
        <v>12</v>
      </c>
      <c r="L957" s="15" t="str">
        <f t="shared" si="15"/>
        <v>112.2160.200</v>
      </c>
    </row>
    <row r="958" spans="1:12" x14ac:dyDescent="0.2">
      <c r="A958">
        <v>18791</v>
      </c>
      <c r="B958" t="s">
        <v>132</v>
      </c>
      <c r="C958">
        <v>12060711</v>
      </c>
      <c r="D958" t="s">
        <v>133</v>
      </c>
      <c r="E958">
        <v>301</v>
      </c>
      <c r="F958" t="s">
        <v>211</v>
      </c>
      <c r="G958" s="22" t="s">
        <v>210</v>
      </c>
      <c r="I958">
        <v>295.10000000000002</v>
      </c>
      <c r="J958" s="44" t="s">
        <v>12</v>
      </c>
      <c r="L958" s="15" t="str">
        <f t="shared" si="15"/>
        <v>112.2160.200</v>
      </c>
    </row>
    <row r="959" spans="1:12" x14ac:dyDescent="0.2">
      <c r="A959">
        <v>18561</v>
      </c>
      <c r="B959" t="s">
        <v>134</v>
      </c>
      <c r="C959">
        <v>12060800</v>
      </c>
      <c r="D959" t="s">
        <v>135</v>
      </c>
      <c r="E959">
        <v>301</v>
      </c>
      <c r="F959" t="s">
        <v>211</v>
      </c>
      <c r="G959" s="22" t="s">
        <v>210</v>
      </c>
      <c r="I959">
        <v>266.64999999999998</v>
      </c>
      <c r="J959" s="44" t="s">
        <v>12</v>
      </c>
      <c r="L959" s="15" t="str">
        <f t="shared" si="15"/>
        <v>112.2160.200</v>
      </c>
    </row>
    <row r="960" spans="1:12" x14ac:dyDescent="0.2">
      <c r="A960">
        <v>18953</v>
      </c>
      <c r="B960" t="s">
        <v>136</v>
      </c>
      <c r="C960">
        <v>12060800</v>
      </c>
      <c r="D960" t="s">
        <v>135</v>
      </c>
      <c r="E960">
        <v>301</v>
      </c>
      <c r="F960" t="s">
        <v>211</v>
      </c>
      <c r="G960" s="22" t="s">
        <v>210</v>
      </c>
      <c r="I960">
        <v>191.2</v>
      </c>
      <c r="J960" s="44" t="s">
        <v>12</v>
      </c>
      <c r="L960" s="15" t="str">
        <f t="shared" si="15"/>
        <v>112.2160.200</v>
      </c>
    </row>
    <row r="961" spans="1:12" x14ac:dyDescent="0.2">
      <c r="A961">
        <v>156</v>
      </c>
      <c r="B961" t="s">
        <v>137</v>
      </c>
      <c r="C961">
        <v>12062511</v>
      </c>
      <c r="D961" t="s">
        <v>57</v>
      </c>
      <c r="E961">
        <v>301</v>
      </c>
      <c r="F961" t="s">
        <v>211</v>
      </c>
      <c r="G961" s="22" t="s">
        <v>210</v>
      </c>
      <c r="I961">
        <v>58.5</v>
      </c>
      <c r="J961" s="44" t="s">
        <v>12</v>
      </c>
      <c r="L961" s="15" t="str">
        <f t="shared" si="15"/>
        <v>112.2160.200</v>
      </c>
    </row>
    <row r="962" spans="1:12" x14ac:dyDescent="0.2">
      <c r="A962">
        <v>18792</v>
      </c>
      <c r="B962" t="s">
        <v>56</v>
      </c>
      <c r="C962">
        <v>12062511</v>
      </c>
      <c r="D962" t="s">
        <v>57</v>
      </c>
      <c r="E962">
        <v>301</v>
      </c>
      <c r="F962" t="s">
        <v>211</v>
      </c>
      <c r="G962" s="22" t="s">
        <v>210</v>
      </c>
      <c r="I962">
        <v>207.12</v>
      </c>
      <c r="J962" s="44" t="s">
        <v>12</v>
      </c>
      <c r="L962" s="15" t="str">
        <f t="shared" si="15"/>
        <v>112.2160.200</v>
      </c>
    </row>
    <row r="963" spans="1:12" x14ac:dyDescent="0.2">
      <c r="A963">
        <v>18876</v>
      </c>
      <c r="B963" t="s">
        <v>160</v>
      </c>
      <c r="C963">
        <v>12068099</v>
      </c>
      <c r="D963" t="s">
        <v>161</v>
      </c>
      <c r="E963">
        <v>301</v>
      </c>
      <c r="F963" t="s">
        <v>211</v>
      </c>
      <c r="G963" s="22" t="s">
        <v>210</v>
      </c>
      <c r="I963">
        <v>302.89</v>
      </c>
      <c r="J963" s="44" t="s">
        <v>12</v>
      </c>
      <c r="L963" s="15" t="str">
        <f t="shared" si="15"/>
        <v>112.2160.200</v>
      </c>
    </row>
    <row r="964" spans="1:12" x14ac:dyDescent="0.2">
      <c r="G964" s="22"/>
      <c r="J964" s="44" t="s">
        <v>12</v>
      </c>
    </row>
    <row r="965" spans="1:12" x14ac:dyDescent="0.2">
      <c r="G965" s="22"/>
      <c r="J965" s="44" t="s">
        <v>12</v>
      </c>
    </row>
    <row r="966" spans="1:12" x14ac:dyDescent="0.2">
      <c r="G966" s="22"/>
      <c r="J966" s="44" t="s">
        <v>12</v>
      </c>
    </row>
    <row r="967" spans="1:12" x14ac:dyDescent="0.2">
      <c r="G967" s="22"/>
      <c r="J967" s="44" t="s">
        <v>12</v>
      </c>
    </row>
    <row r="968" spans="1:12" x14ac:dyDescent="0.2">
      <c r="G968" s="22"/>
      <c r="J968" s="44" t="s">
        <v>12</v>
      </c>
    </row>
    <row r="969" spans="1:12" x14ac:dyDescent="0.2">
      <c r="G969" s="22"/>
      <c r="J969" s="44" t="s">
        <v>12</v>
      </c>
    </row>
    <row r="970" spans="1:12" x14ac:dyDescent="0.2">
      <c r="G970" s="22"/>
      <c r="J970" s="44" t="s">
        <v>12</v>
      </c>
    </row>
    <row r="971" spans="1:12" x14ac:dyDescent="0.2">
      <c r="G971" s="22"/>
      <c r="J971" s="44" t="s">
        <v>12</v>
      </c>
    </row>
    <row r="972" spans="1:12" x14ac:dyDescent="0.2">
      <c r="G972" s="22"/>
      <c r="J972" s="44" t="s">
        <v>12</v>
      </c>
    </row>
    <row r="973" spans="1:12" x14ac:dyDescent="0.2">
      <c r="G973" s="22"/>
      <c r="J973" s="44" t="s">
        <v>12</v>
      </c>
    </row>
    <row r="974" spans="1:12" x14ac:dyDescent="0.2">
      <c r="G974" s="22"/>
      <c r="J974" s="44" t="s">
        <v>12</v>
      </c>
    </row>
    <row r="975" spans="1:12" x14ac:dyDescent="0.2">
      <c r="G975" s="22"/>
      <c r="J975" s="44" t="s">
        <v>12</v>
      </c>
    </row>
    <row r="976" spans="1:12" x14ac:dyDescent="0.2">
      <c r="G976" s="22"/>
      <c r="J976" s="44" t="s">
        <v>12</v>
      </c>
    </row>
    <row r="977" spans="7:10" x14ac:dyDescent="0.2">
      <c r="G977" s="22"/>
      <c r="J977" s="44" t="s">
        <v>12</v>
      </c>
    </row>
    <row r="978" spans="7:10" x14ac:dyDescent="0.2">
      <c r="G978" s="22"/>
      <c r="J978" s="44" t="s">
        <v>12</v>
      </c>
    </row>
    <row r="979" spans="7:10" x14ac:dyDescent="0.2">
      <c r="G979" s="22"/>
      <c r="J979" s="44" t="s">
        <v>12</v>
      </c>
    </row>
    <row r="980" spans="7:10" x14ac:dyDescent="0.2">
      <c r="G980" s="22"/>
      <c r="J980" s="44" t="s">
        <v>12</v>
      </c>
    </row>
    <row r="981" spans="7:10" x14ac:dyDescent="0.2">
      <c r="G981" s="22"/>
      <c r="J981" s="44" t="s">
        <v>12</v>
      </c>
    </row>
    <row r="982" spans="7:10" x14ac:dyDescent="0.2">
      <c r="G982" s="22"/>
      <c r="J982" s="44" t="s">
        <v>12</v>
      </c>
    </row>
    <row r="983" spans="7:10" x14ac:dyDescent="0.2">
      <c r="G983" s="22"/>
      <c r="J983" s="44" t="s">
        <v>12</v>
      </c>
    </row>
    <row r="984" spans="7:10" x14ac:dyDescent="0.2">
      <c r="G984" s="22"/>
      <c r="J984" s="44" t="s">
        <v>12</v>
      </c>
    </row>
    <row r="985" spans="7:10" x14ac:dyDescent="0.2">
      <c r="G985" s="22"/>
      <c r="J985" s="44" t="s">
        <v>12</v>
      </c>
    </row>
    <row r="986" spans="7:10" x14ac:dyDescent="0.2">
      <c r="G986" s="22"/>
      <c r="J986" s="44" t="s">
        <v>12</v>
      </c>
    </row>
    <row r="987" spans="7:10" x14ac:dyDescent="0.2">
      <c r="G987" s="22"/>
      <c r="J987" s="44" t="s">
        <v>12</v>
      </c>
    </row>
    <row r="988" spans="7:10" x14ac:dyDescent="0.2">
      <c r="G988" s="22"/>
      <c r="J988" s="44" t="s">
        <v>12</v>
      </c>
    </row>
    <row r="989" spans="7:10" x14ac:dyDescent="0.2">
      <c r="G989" s="22"/>
      <c r="J989" s="44" t="s">
        <v>12</v>
      </c>
    </row>
    <row r="990" spans="7:10" x14ac:dyDescent="0.2">
      <c r="G990" s="22"/>
      <c r="J990" s="44" t="s">
        <v>12</v>
      </c>
    </row>
    <row r="991" spans="7:10" x14ac:dyDescent="0.2">
      <c r="G991" s="22"/>
      <c r="J991" s="44" t="s">
        <v>12</v>
      </c>
    </row>
    <row r="992" spans="7:10" x14ac:dyDescent="0.2">
      <c r="G992" s="22"/>
      <c r="J992" s="44" t="s">
        <v>12</v>
      </c>
    </row>
    <row r="993" spans="7:10" x14ac:dyDescent="0.2">
      <c r="G993" s="22"/>
      <c r="J993" s="44" t="s">
        <v>12</v>
      </c>
    </row>
    <row r="994" spans="7:10" x14ac:dyDescent="0.2">
      <c r="G994" s="22"/>
      <c r="J994" s="44" t="s">
        <v>12</v>
      </c>
    </row>
    <row r="995" spans="7:10" x14ac:dyDescent="0.2">
      <c r="G995" s="22"/>
      <c r="J995" s="44" t="s">
        <v>12</v>
      </c>
    </row>
    <row r="996" spans="7:10" x14ac:dyDescent="0.2">
      <c r="G996" s="22"/>
      <c r="J996" s="44" t="s">
        <v>12</v>
      </c>
    </row>
    <row r="997" spans="7:10" x14ac:dyDescent="0.2">
      <c r="G997" s="22"/>
      <c r="J997" s="44" t="s">
        <v>12</v>
      </c>
    </row>
    <row r="998" spans="7:10" x14ac:dyDescent="0.2">
      <c r="G998" s="22"/>
      <c r="J998" s="44" t="s">
        <v>12</v>
      </c>
    </row>
    <row r="999" spans="7:10" x14ac:dyDescent="0.2">
      <c r="G999" s="22"/>
      <c r="J999" s="44" t="s">
        <v>12</v>
      </c>
    </row>
    <row r="1000" spans="7:10" x14ac:dyDescent="0.2">
      <c r="G1000" s="22"/>
      <c r="J1000" s="44" t="s">
        <v>12</v>
      </c>
    </row>
    <row r="1001" spans="7:10" x14ac:dyDescent="0.2">
      <c r="G1001" s="22"/>
      <c r="J1001" s="44" t="s">
        <v>12</v>
      </c>
    </row>
    <row r="1002" spans="7:10" x14ac:dyDescent="0.2">
      <c r="G1002" s="22"/>
      <c r="J1002" s="44" t="s">
        <v>12</v>
      </c>
    </row>
    <row r="1003" spans="7:10" x14ac:dyDescent="0.2">
      <c r="G1003" s="22"/>
      <c r="J1003" s="44" t="s">
        <v>12</v>
      </c>
    </row>
    <row r="1004" spans="7:10" x14ac:dyDescent="0.2">
      <c r="G1004" s="22"/>
      <c r="J1004" s="44" t="s">
        <v>12</v>
      </c>
    </row>
    <row r="1005" spans="7:10" x14ac:dyDescent="0.2">
      <c r="G1005" s="22"/>
      <c r="J1005" s="44" t="s">
        <v>12</v>
      </c>
    </row>
    <row r="1006" spans="7:10" x14ac:dyDescent="0.2">
      <c r="G1006" s="22"/>
      <c r="J1006" s="44" t="s">
        <v>12</v>
      </c>
    </row>
    <row r="1007" spans="7:10" x14ac:dyDescent="0.2">
      <c r="G1007" s="22"/>
      <c r="J1007" s="44" t="s">
        <v>12</v>
      </c>
    </row>
    <row r="1008" spans="7:10" x14ac:dyDescent="0.2">
      <c r="G1008" s="22"/>
      <c r="J1008" s="44" t="s">
        <v>12</v>
      </c>
    </row>
    <row r="1009" spans="7:10" x14ac:dyDescent="0.2">
      <c r="G1009" s="22"/>
      <c r="J1009" s="44" t="s">
        <v>12</v>
      </c>
    </row>
    <row r="1010" spans="7:10" x14ac:dyDescent="0.2">
      <c r="G1010" s="22"/>
      <c r="J1010" s="44" t="s">
        <v>12</v>
      </c>
    </row>
    <row r="1011" spans="7:10" x14ac:dyDescent="0.2">
      <c r="G1011" s="22"/>
      <c r="J1011" s="44" t="s">
        <v>12</v>
      </c>
    </row>
    <row r="1012" spans="7:10" x14ac:dyDescent="0.2">
      <c r="G1012" s="22"/>
      <c r="J1012" s="44" t="s">
        <v>12</v>
      </c>
    </row>
    <row r="1013" spans="7:10" x14ac:dyDescent="0.2">
      <c r="G1013" s="22"/>
      <c r="J1013" s="44" t="s">
        <v>12</v>
      </c>
    </row>
    <row r="1014" spans="7:10" x14ac:dyDescent="0.2">
      <c r="G1014" s="22"/>
      <c r="J1014" s="44" t="s">
        <v>12</v>
      </c>
    </row>
    <row r="1015" spans="7:10" x14ac:dyDescent="0.2">
      <c r="G1015" s="22"/>
      <c r="J1015" s="44" t="s">
        <v>12</v>
      </c>
    </row>
    <row r="1016" spans="7:10" x14ac:dyDescent="0.2">
      <c r="G1016" s="22"/>
      <c r="J1016" s="44" t="s">
        <v>12</v>
      </c>
    </row>
    <row r="1017" spans="7:10" x14ac:dyDescent="0.2">
      <c r="G1017" s="22"/>
      <c r="J1017" s="44" t="s">
        <v>12</v>
      </c>
    </row>
    <row r="1018" spans="7:10" x14ac:dyDescent="0.2">
      <c r="G1018" s="22"/>
      <c r="J1018" s="44" t="s">
        <v>12</v>
      </c>
    </row>
    <row r="1019" spans="7:10" x14ac:dyDescent="0.2">
      <c r="G1019" s="22"/>
      <c r="J1019" s="44" t="s">
        <v>12</v>
      </c>
    </row>
    <row r="1020" spans="7:10" x14ac:dyDescent="0.2">
      <c r="G1020" s="22"/>
      <c r="J1020" s="44" t="s">
        <v>12</v>
      </c>
    </row>
    <row r="1021" spans="7:10" x14ac:dyDescent="0.2">
      <c r="G1021" s="22"/>
      <c r="J1021" s="44" t="s">
        <v>12</v>
      </c>
    </row>
    <row r="1022" spans="7:10" x14ac:dyDescent="0.2">
      <c r="G1022" s="22"/>
      <c r="J1022" s="44" t="s">
        <v>12</v>
      </c>
    </row>
    <row r="1023" spans="7:10" x14ac:dyDescent="0.2">
      <c r="G1023" s="22"/>
      <c r="J1023" s="44" t="s">
        <v>12</v>
      </c>
    </row>
    <row r="1024" spans="7:10" x14ac:dyDescent="0.2">
      <c r="G1024" s="22"/>
      <c r="J1024" s="44" t="s">
        <v>12</v>
      </c>
    </row>
    <row r="1025" spans="7:10" x14ac:dyDescent="0.2">
      <c r="G1025" s="22"/>
      <c r="J1025" s="44" t="s">
        <v>12</v>
      </c>
    </row>
    <row r="1026" spans="7:10" x14ac:dyDescent="0.2">
      <c r="G1026" s="22"/>
      <c r="J1026" s="44" t="s">
        <v>12</v>
      </c>
    </row>
    <row r="1027" spans="7:10" x14ac:dyDescent="0.2">
      <c r="G1027" s="22"/>
      <c r="J1027" s="44" t="s">
        <v>12</v>
      </c>
    </row>
    <row r="1028" spans="7:10" x14ac:dyDescent="0.2">
      <c r="G1028" s="22"/>
      <c r="J1028" s="44" t="s">
        <v>12</v>
      </c>
    </row>
    <row r="1029" spans="7:10" x14ac:dyDescent="0.2">
      <c r="G1029" s="22"/>
      <c r="J1029" s="44" t="s">
        <v>12</v>
      </c>
    </row>
    <row r="1030" spans="7:10" x14ac:dyDescent="0.2">
      <c r="G1030" s="22"/>
      <c r="J1030" s="44" t="s">
        <v>12</v>
      </c>
    </row>
    <row r="1031" spans="7:10" x14ac:dyDescent="0.2">
      <c r="G1031" s="22"/>
      <c r="J1031" s="44" t="s">
        <v>12</v>
      </c>
    </row>
    <row r="1032" spans="7:10" x14ac:dyDescent="0.2">
      <c r="G1032" s="22"/>
      <c r="J1032" s="44" t="s">
        <v>12</v>
      </c>
    </row>
    <row r="1033" spans="7:10" x14ac:dyDescent="0.2">
      <c r="G1033" s="22"/>
      <c r="J1033" s="44" t="s">
        <v>12</v>
      </c>
    </row>
    <row r="1034" spans="7:10" x14ac:dyDescent="0.2">
      <c r="G1034" s="22"/>
      <c r="J1034" s="44" t="s">
        <v>12</v>
      </c>
    </row>
    <row r="1035" spans="7:10" x14ac:dyDescent="0.2">
      <c r="G1035" s="22"/>
      <c r="J1035" s="44" t="s">
        <v>12</v>
      </c>
    </row>
    <row r="1036" spans="7:10" x14ac:dyDescent="0.2">
      <c r="G1036" s="22"/>
      <c r="J1036" s="44" t="s">
        <v>12</v>
      </c>
    </row>
    <row r="1037" spans="7:10" x14ac:dyDescent="0.2">
      <c r="G1037" s="22"/>
      <c r="J1037" s="44" t="s">
        <v>12</v>
      </c>
    </row>
    <row r="1038" spans="7:10" x14ac:dyDescent="0.2">
      <c r="G1038" s="22"/>
      <c r="J1038" s="44" t="s">
        <v>12</v>
      </c>
    </row>
    <row r="1039" spans="7:10" x14ac:dyDescent="0.2">
      <c r="G1039" s="22"/>
      <c r="J1039" s="44" t="s">
        <v>12</v>
      </c>
    </row>
    <row r="1040" spans="7:10" x14ac:dyDescent="0.2">
      <c r="G1040" s="22"/>
      <c r="J1040" s="44" t="s">
        <v>12</v>
      </c>
    </row>
    <row r="1041" spans="7:10" x14ac:dyDescent="0.2">
      <c r="G1041" s="22"/>
      <c r="J1041" s="44" t="s">
        <v>12</v>
      </c>
    </row>
    <row r="1042" spans="7:10" x14ac:dyDescent="0.2">
      <c r="G1042" s="22"/>
      <c r="J1042" s="44" t="s">
        <v>12</v>
      </c>
    </row>
    <row r="1043" spans="7:10" x14ac:dyDescent="0.2">
      <c r="G1043" s="22"/>
      <c r="J1043" s="44" t="s">
        <v>12</v>
      </c>
    </row>
    <row r="1044" spans="7:10" x14ac:dyDescent="0.2">
      <c r="G1044" s="22"/>
      <c r="J1044" s="44" t="s">
        <v>12</v>
      </c>
    </row>
    <row r="1045" spans="7:10" x14ac:dyDescent="0.2">
      <c r="G1045" s="22"/>
      <c r="J1045" s="44" t="s">
        <v>12</v>
      </c>
    </row>
    <row r="1046" spans="7:10" x14ac:dyDescent="0.2">
      <c r="G1046" s="22"/>
      <c r="J1046" s="44" t="s">
        <v>12</v>
      </c>
    </row>
    <row r="1047" spans="7:10" x14ac:dyDescent="0.2">
      <c r="G1047" s="22"/>
      <c r="J1047" s="44" t="s">
        <v>12</v>
      </c>
    </row>
    <row r="1048" spans="7:10" x14ac:dyDescent="0.2">
      <c r="G1048" s="22"/>
      <c r="J1048" s="44" t="s">
        <v>12</v>
      </c>
    </row>
    <row r="1049" spans="7:10" x14ac:dyDescent="0.2">
      <c r="G1049" s="22"/>
      <c r="J1049" s="44" t="s">
        <v>12</v>
      </c>
    </row>
    <row r="1050" spans="7:10" x14ac:dyDescent="0.2">
      <c r="G1050" s="22"/>
      <c r="J1050" s="44" t="s">
        <v>12</v>
      </c>
    </row>
    <row r="1051" spans="7:10" x14ac:dyDescent="0.2">
      <c r="G1051" s="22"/>
      <c r="J1051" s="44" t="s">
        <v>12</v>
      </c>
    </row>
    <row r="1052" spans="7:10" x14ac:dyDescent="0.2">
      <c r="G1052" s="22"/>
      <c r="J1052" s="44" t="s">
        <v>12</v>
      </c>
    </row>
    <row r="1053" spans="7:10" x14ac:dyDescent="0.2">
      <c r="G1053" s="22"/>
      <c r="J1053" s="44" t="s">
        <v>12</v>
      </c>
    </row>
    <row r="1054" spans="7:10" x14ac:dyDescent="0.2">
      <c r="G1054" s="22"/>
      <c r="J1054" s="44" t="s">
        <v>12</v>
      </c>
    </row>
    <row r="1055" spans="7:10" x14ac:dyDescent="0.2">
      <c r="G1055" s="22"/>
      <c r="J1055" s="44" t="s">
        <v>12</v>
      </c>
    </row>
    <row r="1056" spans="7:10" x14ac:dyDescent="0.2">
      <c r="G1056" s="22"/>
      <c r="J1056" s="44" t="s">
        <v>12</v>
      </c>
    </row>
    <row r="1057" spans="7:10" x14ac:dyDescent="0.2">
      <c r="G1057" s="22"/>
      <c r="J1057" s="44" t="s">
        <v>12</v>
      </c>
    </row>
    <row r="1058" spans="7:10" x14ac:dyDescent="0.2">
      <c r="G1058" s="22"/>
      <c r="J1058" s="44" t="s">
        <v>12</v>
      </c>
    </row>
    <row r="1059" spans="7:10" x14ac:dyDescent="0.2">
      <c r="G1059" s="22"/>
      <c r="J1059" s="44" t="s">
        <v>12</v>
      </c>
    </row>
    <row r="1060" spans="7:10" x14ac:dyDescent="0.2">
      <c r="G1060" s="22"/>
      <c r="J1060" s="44" t="s">
        <v>12</v>
      </c>
    </row>
    <row r="1061" spans="7:10" x14ac:dyDescent="0.2">
      <c r="G1061" s="22"/>
      <c r="J1061" s="44" t="s">
        <v>12</v>
      </c>
    </row>
    <row r="1062" spans="7:10" x14ac:dyDescent="0.2">
      <c r="G1062" s="22"/>
      <c r="J1062" s="44" t="s">
        <v>12</v>
      </c>
    </row>
    <row r="1063" spans="7:10" x14ac:dyDescent="0.2">
      <c r="G1063" s="22"/>
      <c r="J1063" s="44" t="s">
        <v>12</v>
      </c>
    </row>
    <row r="1064" spans="7:10" x14ac:dyDescent="0.2">
      <c r="G1064" s="22"/>
      <c r="J1064" s="44" t="s">
        <v>12</v>
      </c>
    </row>
    <row r="1065" spans="7:10" x14ac:dyDescent="0.2">
      <c r="G1065" s="22"/>
      <c r="J1065" s="44" t="s">
        <v>12</v>
      </c>
    </row>
    <row r="1066" spans="7:10" x14ac:dyDescent="0.2">
      <c r="G1066" s="22"/>
      <c r="J1066" s="44" t="s">
        <v>12</v>
      </c>
    </row>
    <row r="1067" spans="7:10" x14ac:dyDescent="0.2">
      <c r="G1067" s="22"/>
      <c r="J1067" s="44" t="s">
        <v>12</v>
      </c>
    </row>
    <row r="1068" spans="7:10" x14ac:dyDescent="0.2">
      <c r="G1068" s="22"/>
      <c r="J1068" s="44" t="s">
        <v>12</v>
      </c>
    </row>
    <row r="1069" spans="7:10" x14ac:dyDescent="0.2">
      <c r="G1069" s="22"/>
      <c r="J1069" s="44" t="s">
        <v>12</v>
      </c>
    </row>
    <row r="1070" spans="7:10" x14ac:dyDescent="0.2">
      <c r="G1070" s="22"/>
      <c r="J1070" s="44" t="s">
        <v>12</v>
      </c>
    </row>
    <row r="1071" spans="7:10" x14ac:dyDescent="0.2">
      <c r="G1071" s="22"/>
      <c r="J1071" s="44" t="s">
        <v>12</v>
      </c>
    </row>
    <row r="1072" spans="7:10" x14ac:dyDescent="0.2">
      <c r="G1072" s="22"/>
      <c r="J1072" s="44" t="s">
        <v>12</v>
      </c>
    </row>
    <row r="1073" spans="7:10" x14ac:dyDescent="0.2">
      <c r="G1073" s="22"/>
      <c r="J1073" s="44" t="s">
        <v>12</v>
      </c>
    </row>
    <row r="1074" spans="7:10" x14ac:dyDescent="0.2">
      <c r="G1074" s="22"/>
      <c r="J1074" s="44" t="s">
        <v>12</v>
      </c>
    </row>
    <row r="1075" spans="7:10" x14ac:dyDescent="0.2">
      <c r="G1075" s="22"/>
      <c r="J1075" s="44" t="s">
        <v>12</v>
      </c>
    </row>
    <row r="1076" spans="7:10" x14ac:dyDescent="0.2">
      <c r="G1076" s="22"/>
      <c r="J1076" s="44" t="s">
        <v>12</v>
      </c>
    </row>
    <row r="1077" spans="7:10" x14ac:dyDescent="0.2">
      <c r="G1077" s="22"/>
      <c r="J1077" s="44" t="s">
        <v>12</v>
      </c>
    </row>
    <row r="1078" spans="7:10" x14ac:dyDescent="0.2">
      <c r="G1078" s="22"/>
      <c r="J1078" s="44" t="s">
        <v>12</v>
      </c>
    </row>
    <row r="1079" spans="7:10" x14ac:dyDescent="0.2">
      <c r="G1079" s="22"/>
      <c r="J1079" s="44" t="s">
        <v>12</v>
      </c>
    </row>
    <row r="1080" spans="7:10" x14ac:dyDescent="0.2">
      <c r="G1080" s="22"/>
      <c r="J1080" s="44" t="s">
        <v>12</v>
      </c>
    </row>
    <row r="1081" spans="7:10" x14ac:dyDescent="0.2">
      <c r="G1081" s="22"/>
      <c r="J1081" s="44" t="s">
        <v>12</v>
      </c>
    </row>
    <row r="1082" spans="7:10" x14ac:dyDescent="0.2">
      <c r="G1082" s="22"/>
      <c r="J1082" s="44" t="s">
        <v>12</v>
      </c>
    </row>
    <row r="1083" spans="7:10" x14ac:dyDescent="0.2">
      <c r="G1083" s="22"/>
      <c r="J1083" s="44" t="s">
        <v>12</v>
      </c>
    </row>
    <row r="1084" spans="7:10" x14ac:dyDescent="0.2">
      <c r="G1084" s="22"/>
      <c r="J1084" s="44" t="s">
        <v>12</v>
      </c>
    </row>
    <row r="1085" spans="7:10" x14ac:dyDescent="0.2">
      <c r="G1085" s="22"/>
      <c r="J1085" s="44" t="s">
        <v>12</v>
      </c>
    </row>
    <row r="1086" spans="7:10" x14ac:dyDescent="0.2">
      <c r="G1086" s="22"/>
      <c r="J1086" s="44" t="s">
        <v>12</v>
      </c>
    </row>
    <row r="1087" spans="7:10" x14ac:dyDescent="0.2">
      <c r="G1087" s="22"/>
      <c r="J1087" s="44" t="s">
        <v>12</v>
      </c>
    </row>
    <row r="1088" spans="7:10" x14ac:dyDescent="0.2">
      <c r="G1088" s="22"/>
      <c r="J1088" s="44" t="s">
        <v>12</v>
      </c>
    </row>
    <row r="1089" spans="7:10" x14ac:dyDescent="0.2">
      <c r="G1089" s="22"/>
      <c r="J1089" s="44" t="s">
        <v>12</v>
      </c>
    </row>
    <row r="1090" spans="7:10" x14ac:dyDescent="0.2">
      <c r="G1090" s="22"/>
      <c r="J1090" s="44" t="s">
        <v>12</v>
      </c>
    </row>
    <row r="1091" spans="7:10" x14ac:dyDescent="0.2">
      <c r="G1091" s="22"/>
      <c r="J1091" s="44" t="s">
        <v>12</v>
      </c>
    </row>
    <row r="1092" spans="7:10" x14ac:dyDescent="0.2">
      <c r="G1092" s="22"/>
      <c r="J1092" s="44" t="s">
        <v>12</v>
      </c>
    </row>
    <row r="1093" spans="7:10" x14ac:dyDescent="0.2">
      <c r="G1093" s="22"/>
      <c r="J1093" s="44" t="s">
        <v>12</v>
      </c>
    </row>
    <row r="1094" spans="7:10" x14ac:dyDescent="0.2">
      <c r="G1094" s="22"/>
      <c r="J1094" s="44" t="s">
        <v>12</v>
      </c>
    </row>
    <row r="1095" spans="7:10" x14ac:dyDescent="0.2">
      <c r="G1095" s="22"/>
      <c r="J1095" s="44" t="s">
        <v>12</v>
      </c>
    </row>
    <row r="1096" spans="7:10" x14ac:dyDescent="0.2">
      <c r="G1096" s="22"/>
      <c r="J1096" s="44" t="s">
        <v>12</v>
      </c>
    </row>
    <row r="1097" spans="7:10" x14ac:dyDescent="0.2">
      <c r="G1097" s="22"/>
      <c r="J1097" s="44" t="s">
        <v>12</v>
      </c>
    </row>
    <row r="1098" spans="7:10" x14ac:dyDescent="0.2">
      <c r="G1098" s="22"/>
      <c r="J1098" s="44" t="s">
        <v>12</v>
      </c>
    </row>
    <row r="1099" spans="7:10" x14ac:dyDescent="0.2">
      <c r="G1099" s="22"/>
      <c r="J1099" s="44" t="s">
        <v>12</v>
      </c>
    </row>
    <row r="1100" spans="7:10" x14ac:dyDescent="0.2">
      <c r="G1100" s="22"/>
      <c r="J1100" s="44" t="s">
        <v>12</v>
      </c>
    </row>
    <row r="1101" spans="7:10" x14ac:dyDescent="0.2">
      <c r="G1101" s="22"/>
      <c r="J1101" s="44" t="s">
        <v>12</v>
      </c>
    </row>
    <row r="1102" spans="7:10" x14ac:dyDescent="0.2">
      <c r="G1102" s="22"/>
      <c r="J1102" s="44" t="s">
        <v>12</v>
      </c>
    </row>
    <row r="1103" spans="7:10" x14ac:dyDescent="0.2">
      <c r="G1103" s="22"/>
      <c r="J1103" s="44" t="s">
        <v>12</v>
      </c>
    </row>
    <row r="1104" spans="7:10" x14ac:dyDescent="0.2">
      <c r="G1104" s="22"/>
      <c r="J1104" s="44" t="s">
        <v>12</v>
      </c>
    </row>
    <row r="1105" spans="7:10" x14ac:dyDescent="0.2">
      <c r="G1105" s="22"/>
      <c r="J1105" s="44" t="s">
        <v>12</v>
      </c>
    </row>
    <row r="1106" spans="7:10" x14ac:dyDescent="0.2">
      <c r="G1106" s="22"/>
      <c r="J1106" s="44" t="s">
        <v>12</v>
      </c>
    </row>
    <row r="1107" spans="7:10" x14ac:dyDescent="0.2">
      <c r="G1107" s="22"/>
      <c r="J1107" s="44" t="s">
        <v>12</v>
      </c>
    </row>
    <row r="1108" spans="7:10" x14ac:dyDescent="0.2">
      <c r="G1108" s="22"/>
      <c r="J1108" s="44" t="s">
        <v>12</v>
      </c>
    </row>
    <row r="1109" spans="7:10" x14ac:dyDescent="0.2">
      <c r="G1109" s="22"/>
      <c r="J1109" s="44" t="s">
        <v>12</v>
      </c>
    </row>
    <row r="1110" spans="7:10" x14ac:dyDescent="0.2">
      <c r="G1110" s="22"/>
      <c r="J1110" s="44" t="s">
        <v>12</v>
      </c>
    </row>
    <row r="1111" spans="7:10" x14ac:dyDescent="0.2">
      <c r="G1111" s="22"/>
      <c r="J1111" s="44" t="s">
        <v>12</v>
      </c>
    </row>
    <row r="1112" spans="7:10" x14ac:dyDescent="0.2">
      <c r="G1112" s="22"/>
      <c r="J1112" s="44" t="s">
        <v>12</v>
      </c>
    </row>
    <row r="1113" spans="7:10" x14ac:dyDescent="0.2">
      <c r="G1113" s="22"/>
      <c r="J1113" s="44" t="s">
        <v>12</v>
      </c>
    </row>
    <row r="1114" spans="7:10" x14ac:dyDescent="0.2">
      <c r="G1114" s="22"/>
      <c r="J1114" s="44" t="s">
        <v>12</v>
      </c>
    </row>
    <row r="1115" spans="7:10" x14ac:dyDescent="0.2">
      <c r="G1115" s="22"/>
      <c r="J1115" s="44" t="s">
        <v>12</v>
      </c>
    </row>
    <row r="1116" spans="7:10" x14ac:dyDescent="0.2">
      <c r="G1116" s="22"/>
      <c r="J1116" s="44" t="s">
        <v>12</v>
      </c>
    </row>
    <row r="1117" spans="7:10" x14ac:dyDescent="0.2">
      <c r="G1117" s="22"/>
      <c r="J1117" s="44" t="s">
        <v>12</v>
      </c>
    </row>
    <row r="1118" spans="7:10" x14ac:dyDescent="0.2">
      <c r="G1118" s="22"/>
      <c r="J1118" s="44" t="s">
        <v>12</v>
      </c>
    </row>
    <row r="1119" spans="7:10" x14ac:dyDescent="0.2">
      <c r="G1119" s="22"/>
      <c r="J1119" s="44" t="s">
        <v>12</v>
      </c>
    </row>
    <row r="1120" spans="7:10" x14ac:dyDescent="0.2">
      <c r="G1120" s="22"/>
      <c r="J1120" s="44" t="s">
        <v>12</v>
      </c>
    </row>
    <row r="1121" spans="7:10" x14ac:dyDescent="0.2">
      <c r="G1121" s="22"/>
      <c r="J1121" s="44" t="s">
        <v>12</v>
      </c>
    </row>
    <row r="1122" spans="7:10" x14ac:dyDescent="0.2">
      <c r="G1122" s="22"/>
      <c r="J1122" s="44" t="s">
        <v>12</v>
      </c>
    </row>
    <row r="1123" spans="7:10" x14ac:dyDescent="0.2">
      <c r="G1123" s="22"/>
      <c r="J1123" s="44" t="s">
        <v>12</v>
      </c>
    </row>
    <row r="1124" spans="7:10" x14ac:dyDescent="0.2">
      <c r="G1124" s="22"/>
      <c r="J1124" s="44" t="s">
        <v>12</v>
      </c>
    </row>
    <row r="1125" spans="7:10" x14ac:dyDescent="0.2">
      <c r="G1125" s="22"/>
      <c r="J1125" s="44" t="s">
        <v>12</v>
      </c>
    </row>
    <row r="1126" spans="7:10" x14ac:dyDescent="0.2">
      <c r="G1126" s="22"/>
      <c r="J1126" s="44" t="s">
        <v>12</v>
      </c>
    </row>
    <row r="1127" spans="7:10" x14ac:dyDescent="0.2">
      <c r="G1127" s="22"/>
      <c r="J1127" s="44" t="s">
        <v>12</v>
      </c>
    </row>
    <row r="1128" spans="7:10" x14ac:dyDescent="0.2">
      <c r="G1128" s="22"/>
      <c r="J1128" s="44" t="s">
        <v>12</v>
      </c>
    </row>
    <row r="1129" spans="7:10" x14ac:dyDescent="0.2">
      <c r="G1129" s="22"/>
      <c r="J1129" s="44" t="s">
        <v>12</v>
      </c>
    </row>
    <row r="1130" spans="7:10" x14ac:dyDescent="0.2">
      <c r="G1130" s="22"/>
      <c r="J1130" s="44" t="s">
        <v>12</v>
      </c>
    </row>
    <row r="1131" spans="7:10" x14ac:dyDescent="0.2">
      <c r="G1131" s="22"/>
      <c r="J1131" s="44" t="s">
        <v>12</v>
      </c>
    </row>
    <row r="1132" spans="7:10" x14ac:dyDescent="0.2">
      <c r="G1132" s="22"/>
      <c r="J1132" s="44" t="s">
        <v>12</v>
      </c>
    </row>
    <row r="1133" spans="7:10" x14ac:dyDescent="0.2">
      <c r="G1133" s="22"/>
      <c r="J1133" s="44" t="s">
        <v>12</v>
      </c>
    </row>
    <row r="1134" spans="7:10" x14ac:dyDescent="0.2">
      <c r="G1134" s="22"/>
      <c r="J1134" s="44" t="s">
        <v>12</v>
      </c>
    </row>
    <row r="1135" spans="7:10" x14ac:dyDescent="0.2">
      <c r="G1135" s="22"/>
      <c r="J1135" s="44" t="s">
        <v>12</v>
      </c>
    </row>
    <row r="1136" spans="7:10" x14ac:dyDescent="0.2">
      <c r="G1136" s="22"/>
      <c r="J1136" s="44" t="s">
        <v>12</v>
      </c>
    </row>
    <row r="1137" spans="7:10" x14ac:dyDescent="0.2">
      <c r="G1137" s="22"/>
      <c r="J1137" s="44" t="s">
        <v>12</v>
      </c>
    </row>
    <row r="1138" spans="7:10" x14ac:dyDescent="0.2">
      <c r="G1138" s="22"/>
      <c r="J1138" s="44" t="s">
        <v>12</v>
      </c>
    </row>
    <row r="1139" spans="7:10" x14ac:dyDescent="0.2">
      <c r="G1139" s="22"/>
      <c r="J1139" s="44" t="s">
        <v>12</v>
      </c>
    </row>
    <row r="1140" spans="7:10" x14ac:dyDescent="0.2">
      <c r="G1140" s="22"/>
      <c r="J1140" s="44" t="s">
        <v>12</v>
      </c>
    </row>
    <row r="1141" spans="7:10" x14ac:dyDescent="0.2">
      <c r="G1141" s="22"/>
      <c r="J1141" s="44" t="s">
        <v>12</v>
      </c>
    </row>
    <row r="1142" spans="7:10" x14ac:dyDescent="0.2">
      <c r="G1142" s="22"/>
      <c r="J1142" s="44" t="s">
        <v>12</v>
      </c>
    </row>
    <row r="1143" spans="7:10" x14ac:dyDescent="0.2">
      <c r="G1143" s="22"/>
      <c r="J1143" s="44" t="s">
        <v>12</v>
      </c>
    </row>
    <row r="1144" spans="7:10" x14ac:dyDescent="0.2">
      <c r="G1144" s="22"/>
      <c r="J1144" s="44" t="s">
        <v>12</v>
      </c>
    </row>
    <row r="1145" spans="7:10" x14ac:dyDescent="0.2">
      <c r="G1145" s="22"/>
      <c r="J1145" s="44" t="s">
        <v>12</v>
      </c>
    </row>
    <row r="1146" spans="7:10" x14ac:dyDescent="0.2">
      <c r="G1146" s="22"/>
      <c r="J1146" s="44" t="s">
        <v>12</v>
      </c>
    </row>
    <row r="1147" spans="7:10" x14ac:dyDescent="0.2">
      <c r="G1147" s="22"/>
      <c r="J1147" s="44" t="s">
        <v>12</v>
      </c>
    </row>
    <row r="1148" spans="7:10" x14ac:dyDescent="0.2">
      <c r="G1148" s="22"/>
      <c r="J1148" s="44" t="s">
        <v>12</v>
      </c>
    </row>
    <row r="1149" spans="7:10" x14ac:dyDescent="0.2">
      <c r="G1149" s="22"/>
      <c r="J1149" s="44" t="s">
        <v>12</v>
      </c>
    </row>
    <row r="1150" spans="7:10" x14ac:dyDescent="0.2">
      <c r="G1150" s="22"/>
      <c r="J1150" s="44" t="s">
        <v>12</v>
      </c>
    </row>
    <row r="1151" spans="7:10" x14ac:dyDescent="0.2">
      <c r="G1151" s="22"/>
      <c r="J1151" s="44" t="s">
        <v>12</v>
      </c>
    </row>
    <row r="1152" spans="7:10" x14ac:dyDescent="0.2">
      <c r="G1152" s="22"/>
      <c r="J1152" s="44" t="s">
        <v>12</v>
      </c>
    </row>
    <row r="1153" spans="7:10" x14ac:dyDescent="0.2">
      <c r="G1153" s="22"/>
      <c r="J1153" s="44" t="s">
        <v>12</v>
      </c>
    </row>
    <row r="1154" spans="7:10" x14ac:dyDescent="0.2">
      <c r="G1154" s="22"/>
      <c r="J1154" s="44" t="s">
        <v>12</v>
      </c>
    </row>
    <row r="1155" spans="7:10" x14ac:dyDescent="0.2">
      <c r="G1155" s="22"/>
      <c r="J1155" s="44" t="s">
        <v>12</v>
      </c>
    </row>
    <row r="1156" spans="7:10" x14ac:dyDescent="0.2">
      <c r="G1156" s="22"/>
      <c r="J1156" s="44" t="s">
        <v>12</v>
      </c>
    </row>
    <row r="1157" spans="7:10" x14ac:dyDescent="0.2">
      <c r="G1157" s="22"/>
      <c r="J1157" s="44" t="s">
        <v>12</v>
      </c>
    </row>
    <row r="1158" spans="7:10" x14ac:dyDescent="0.2">
      <c r="G1158" s="22"/>
      <c r="J1158" s="44" t="s">
        <v>12</v>
      </c>
    </row>
    <row r="1159" spans="7:10" x14ac:dyDescent="0.2">
      <c r="G1159" s="22"/>
      <c r="J1159" s="44" t="s">
        <v>12</v>
      </c>
    </row>
    <row r="1160" spans="7:10" x14ac:dyDescent="0.2">
      <c r="G1160" s="22"/>
      <c r="J1160" s="44" t="s">
        <v>12</v>
      </c>
    </row>
    <row r="1161" spans="7:10" x14ac:dyDescent="0.2">
      <c r="G1161" s="22"/>
      <c r="J1161" s="44" t="s">
        <v>12</v>
      </c>
    </row>
    <row r="1162" spans="7:10" x14ac:dyDescent="0.2">
      <c r="G1162" s="22"/>
      <c r="J1162" s="44" t="s">
        <v>12</v>
      </c>
    </row>
    <row r="1163" spans="7:10" x14ac:dyDescent="0.2">
      <c r="G1163" s="22"/>
      <c r="J1163" s="44" t="s">
        <v>12</v>
      </c>
    </row>
    <row r="1164" spans="7:10" x14ac:dyDescent="0.2">
      <c r="G1164" s="22"/>
      <c r="J1164" s="44" t="s">
        <v>12</v>
      </c>
    </row>
    <row r="1165" spans="7:10" x14ac:dyDescent="0.2">
      <c r="G1165" s="22"/>
      <c r="J1165" s="44" t="s">
        <v>12</v>
      </c>
    </row>
    <row r="1166" spans="7:10" x14ac:dyDescent="0.2">
      <c r="G1166" s="22"/>
      <c r="J1166" s="44" t="s">
        <v>12</v>
      </c>
    </row>
    <row r="1167" spans="7:10" x14ac:dyDescent="0.2">
      <c r="G1167" s="22"/>
      <c r="J1167" s="44" t="s">
        <v>12</v>
      </c>
    </row>
    <row r="1168" spans="7:10" x14ac:dyDescent="0.2">
      <c r="G1168" s="22"/>
      <c r="J1168" s="44" t="s">
        <v>12</v>
      </c>
    </row>
    <row r="1169" spans="7:10" x14ac:dyDescent="0.2">
      <c r="G1169" s="22"/>
      <c r="J1169" s="44" t="s">
        <v>12</v>
      </c>
    </row>
    <row r="1170" spans="7:10" x14ac:dyDescent="0.2">
      <c r="G1170" s="22"/>
      <c r="J1170" s="44" t="s">
        <v>12</v>
      </c>
    </row>
    <row r="1171" spans="7:10" x14ac:dyDescent="0.2">
      <c r="G1171" s="22"/>
      <c r="J1171" s="44" t="s">
        <v>12</v>
      </c>
    </row>
    <row r="1172" spans="7:10" x14ac:dyDescent="0.2">
      <c r="G1172" s="22"/>
      <c r="J1172" s="44" t="s">
        <v>12</v>
      </c>
    </row>
    <row r="1173" spans="7:10" x14ac:dyDescent="0.2">
      <c r="G1173" s="22"/>
      <c r="J1173" s="44" t="s">
        <v>12</v>
      </c>
    </row>
    <row r="1174" spans="7:10" x14ac:dyDescent="0.2">
      <c r="G1174" s="22"/>
      <c r="J1174" s="44" t="s">
        <v>12</v>
      </c>
    </row>
    <row r="1175" spans="7:10" x14ac:dyDescent="0.2">
      <c r="G1175" s="22"/>
      <c r="J1175" s="44" t="s">
        <v>12</v>
      </c>
    </row>
    <row r="1176" spans="7:10" x14ac:dyDescent="0.2">
      <c r="G1176" s="22"/>
      <c r="J1176" s="44" t="s">
        <v>12</v>
      </c>
    </row>
    <row r="1177" spans="7:10" x14ac:dyDescent="0.2">
      <c r="G1177" s="22"/>
      <c r="J1177" s="44" t="s">
        <v>12</v>
      </c>
    </row>
    <row r="1178" spans="7:10" x14ac:dyDescent="0.2">
      <c r="G1178" s="22"/>
      <c r="J1178" s="44" t="s">
        <v>12</v>
      </c>
    </row>
    <row r="1179" spans="7:10" x14ac:dyDescent="0.2">
      <c r="G1179" s="22"/>
      <c r="J1179" s="44" t="s">
        <v>12</v>
      </c>
    </row>
    <row r="1180" spans="7:10" x14ac:dyDescent="0.2">
      <c r="G1180" s="22"/>
      <c r="J1180" s="44" t="s">
        <v>12</v>
      </c>
    </row>
    <row r="1181" spans="7:10" x14ac:dyDescent="0.2">
      <c r="G1181" s="22"/>
      <c r="J1181" s="44" t="s">
        <v>12</v>
      </c>
    </row>
    <row r="1182" spans="7:10" x14ac:dyDescent="0.2">
      <c r="G1182" s="22"/>
      <c r="J1182" s="44" t="s">
        <v>12</v>
      </c>
    </row>
    <row r="1183" spans="7:10" x14ac:dyDescent="0.2">
      <c r="G1183" s="22"/>
      <c r="J1183" s="44" t="s">
        <v>12</v>
      </c>
    </row>
    <row r="1184" spans="7:10" x14ac:dyDescent="0.2">
      <c r="G1184" s="22"/>
      <c r="J1184" s="44" t="s">
        <v>12</v>
      </c>
    </row>
    <row r="1185" spans="7:10" x14ac:dyDescent="0.2">
      <c r="G1185" s="22"/>
      <c r="J1185" s="44" t="s">
        <v>12</v>
      </c>
    </row>
    <row r="1186" spans="7:10" x14ac:dyDescent="0.2">
      <c r="G1186" s="22"/>
      <c r="J1186" s="44" t="s">
        <v>12</v>
      </c>
    </row>
    <row r="1187" spans="7:10" x14ac:dyDescent="0.2">
      <c r="G1187" s="22"/>
      <c r="J1187" s="44" t="s">
        <v>12</v>
      </c>
    </row>
    <row r="1188" spans="7:10" x14ac:dyDescent="0.2">
      <c r="G1188" s="22"/>
      <c r="J1188" s="44" t="s">
        <v>12</v>
      </c>
    </row>
    <row r="1189" spans="7:10" x14ac:dyDescent="0.2">
      <c r="G1189" s="22"/>
      <c r="J1189" s="44" t="s">
        <v>12</v>
      </c>
    </row>
    <row r="1190" spans="7:10" x14ac:dyDescent="0.2">
      <c r="G1190" s="22"/>
      <c r="J1190" s="44" t="s">
        <v>12</v>
      </c>
    </row>
    <row r="1191" spans="7:10" x14ac:dyDescent="0.2">
      <c r="G1191" s="22"/>
      <c r="J1191" s="44" t="s">
        <v>12</v>
      </c>
    </row>
    <row r="1192" spans="7:10" x14ac:dyDescent="0.2">
      <c r="G1192" s="22"/>
      <c r="J1192" s="44" t="s">
        <v>12</v>
      </c>
    </row>
    <row r="1193" spans="7:10" x14ac:dyDescent="0.2">
      <c r="G1193" s="22"/>
      <c r="J1193" s="44" t="s">
        <v>12</v>
      </c>
    </row>
    <row r="1194" spans="7:10" x14ac:dyDescent="0.2">
      <c r="G1194" s="22"/>
      <c r="J1194" s="44" t="s">
        <v>12</v>
      </c>
    </row>
    <row r="1195" spans="7:10" x14ac:dyDescent="0.2">
      <c r="G1195" s="22"/>
      <c r="J1195" s="44" t="s">
        <v>12</v>
      </c>
    </row>
    <row r="1196" spans="7:10" x14ac:dyDescent="0.2">
      <c r="G1196" s="22"/>
      <c r="J1196" s="44" t="s">
        <v>12</v>
      </c>
    </row>
    <row r="1197" spans="7:10" x14ac:dyDescent="0.2">
      <c r="G1197" s="22"/>
      <c r="J1197" s="44" t="s">
        <v>12</v>
      </c>
    </row>
    <row r="1198" spans="7:10" x14ac:dyDescent="0.2">
      <c r="G1198" s="22"/>
      <c r="J1198" s="44" t="s">
        <v>12</v>
      </c>
    </row>
    <row r="1199" spans="7:10" x14ac:dyDescent="0.2">
      <c r="G1199" s="22"/>
      <c r="J1199" s="44" t="s">
        <v>12</v>
      </c>
    </row>
    <row r="1200" spans="7:10" x14ac:dyDescent="0.2">
      <c r="G1200" s="22"/>
      <c r="J1200" s="44" t="s">
        <v>12</v>
      </c>
    </row>
    <row r="1201" spans="7:10" x14ac:dyDescent="0.2">
      <c r="G1201" s="22"/>
      <c r="J1201" s="44" t="s">
        <v>12</v>
      </c>
    </row>
    <row r="1202" spans="7:10" x14ac:dyDescent="0.2">
      <c r="G1202" s="22"/>
      <c r="J1202" s="44" t="s">
        <v>12</v>
      </c>
    </row>
    <row r="1203" spans="7:10" x14ac:dyDescent="0.2">
      <c r="G1203" s="22"/>
      <c r="J1203" s="44" t="s">
        <v>12</v>
      </c>
    </row>
    <row r="1204" spans="7:10" x14ac:dyDescent="0.2">
      <c r="G1204" s="22"/>
      <c r="J1204" s="44" t="s">
        <v>12</v>
      </c>
    </row>
    <row r="1205" spans="7:10" x14ac:dyDescent="0.2">
      <c r="G1205" s="22"/>
      <c r="J1205" s="44" t="s">
        <v>12</v>
      </c>
    </row>
    <row r="1206" spans="7:10" x14ac:dyDescent="0.2">
      <c r="G1206" s="22"/>
      <c r="J1206" s="44" t="s">
        <v>12</v>
      </c>
    </row>
    <row r="1207" spans="7:10" x14ac:dyDescent="0.2">
      <c r="G1207" s="22"/>
      <c r="J1207" s="44" t="s">
        <v>12</v>
      </c>
    </row>
    <row r="1208" spans="7:10" x14ac:dyDescent="0.2">
      <c r="G1208" s="22"/>
      <c r="J1208" s="44" t="s">
        <v>12</v>
      </c>
    </row>
    <row r="1209" spans="7:10" x14ac:dyDescent="0.2">
      <c r="G1209" s="22"/>
      <c r="J1209" s="44" t="s">
        <v>12</v>
      </c>
    </row>
    <row r="1210" spans="7:10" x14ac:dyDescent="0.2">
      <c r="G1210" s="22"/>
      <c r="J1210" s="44" t="s">
        <v>12</v>
      </c>
    </row>
    <row r="1211" spans="7:10" x14ac:dyDescent="0.2">
      <c r="G1211" s="22"/>
      <c r="J1211" s="44" t="s">
        <v>12</v>
      </c>
    </row>
    <row r="1212" spans="7:10" x14ac:dyDescent="0.2">
      <c r="G1212" s="22"/>
      <c r="J1212" s="44" t="s">
        <v>12</v>
      </c>
    </row>
    <row r="1213" spans="7:10" x14ac:dyDescent="0.2">
      <c r="G1213" s="22"/>
      <c r="J1213" s="44" t="s">
        <v>12</v>
      </c>
    </row>
    <row r="1214" spans="7:10" x14ac:dyDescent="0.2">
      <c r="G1214" s="22"/>
      <c r="J1214" s="44" t="s">
        <v>12</v>
      </c>
    </row>
    <row r="1215" spans="7:10" x14ac:dyDescent="0.2">
      <c r="G1215" s="22"/>
      <c r="J1215" s="44" t="s">
        <v>12</v>
      </c>
    </row>
    <row r="1216" spans="7:10" x14ac:dyDescent="0.2">
      <c r="G1216" s="22"/>
      <c r="J1216" s="44" t="s">
        <v>12</v>
      </c>
    </row>
    <row r="1217" spans="7:10" x14ac:dyDescent="0.2">
      <c r="G1217" s="22"/>
      <c r="J1217" s="44" t="s">
        <v>12</v>
      </c>
    </row>
    <row r="1218" spans="7:10" x14ac:dyDescent="0.2">
      <c r="G1218" s="22"/>
      <c r="J1218" s="44" t="s">
        <v>12</v>
      </c>
    </row>
    <row r="1219" spans="7:10" x14ac:dyDescent="0.2">
      <c r="G1219" s="22"/>
      <c r="J1219" s="44" t="s">
        <v>12</v>
      </c>
    </row>
    <row r="1220" spans="7:10" x14ac:dyDescent="0.2">
      <c r="G1220" s="22"/>
      <c r="J1220" s="44" t="s">
        <v>12</v>
      </c>
    </row>
    <row r="1221" spans="7:10" x14ac:dyDescent="0.2">
      <c r="G1221" s="22"/>
      <c r="J1221" s="44" t="s">
        <v>12</v>
      </c>
    </row>
    <row r="1222" spans="7:10" x14ac:dyDescent="0.2">
      <c r="G1222" s="22"/>
      <c r="J1222" s="44" t="s">
        <v>12</v>
      </c>
    </row>
    <row r="1223" spans="7:10" x14ac:dyDescent="0.2">
      <c r="G1223" s="22"/>
      <c r="J1223" s="44" t="s">
        <v>12</v>
      </c>
    </row>
    <row r="1224" spans="7:10" x14ac:dyDescent="0.2">
      <c r="G1224" s="22"/>
      <c r="J1224" s="44" t="s">
        <v>12</v>
      </c>
    </row>
    <row r="1225" spans="7:10" x14ac:dyDescent="0.2">
      <c r="G1225" s="22"/>
      <c r="J1225" s="44" t="s">
        <v>12</v>
      </c>
    </row>
    <row r="1226" spans="7:10" x14ac:dyDescent="0.2">
      <c r="G1226" s="22"/>
      <c r="J1226" s="44" t="s">
        <v>12</v>
      </c>
    </row>
    <row r="1227" spans="7:10" x14ac:dyDescent="0.2">
      <c r="G1227" s="22"/>
      <c r="J1227" s="44" t="s">
        <v>12</v>
      </c>
    </row>
    <row r="1228" spans="7:10" x14ac:dyDescent="0.2">
      <c r="G1228" s="22"/>
      <c r="J1228" s="44" t="s">
        <v>12</v>
      </c>
    </row>
    <row r="1229" spans="7:10" x14ac:dyDescent="0.2">
      <c r="G1229" s="22"/>
      <c r="J1229" s="44" t="s">
        <v>12</v>
      </c>
    </row>
    <row r="1230" spans="7:10" x14ac:dyDescent="0.2">
      <c r="G1230" s="22"/>
      <c r="J1230" s="44" t="s">
        <v>12</v>
      </c>
    </row>
    <row r="1231" spans="7:10" x14ac:dyDescent="0.2">
      <c r="G1231" s="22"/>
      <c r="J1231" s="44" t="s">
        <v>12</v>
      </c>
    </row>
    <row r="1232" spans="7:10" x14ac:dyDescent="0.2">
      <c r="G1232" s="22"/>
      <c r="J1232" s="44" t="s">
        <v>12</v>
      </c>
    </row>
    <row r="1233" spans="7:10" x14ac:dyDescent="0.2">
      <c r="G1233" s="22"/>
      <c r="J1233" s="44" t="s">
        <v>12</v>
      </c>
    </row>
    <row r="1234" spans="7:10" x14ac:dyDescent="0.2">
      <c r="G1234" s="22"/>
      <c r="J1234" s="44" t="s">
        <v>12</v>
      </c>
    </row>
    <row r="1235" spans="7:10" x14ac:dyDescent="0.2">
      <c r="G1235" s="22"/>
      <c r="J1235" s="44" t="s">
        <v>12</v>
      </c>
    </row>
    <row r="1236" spans="7:10" x14ac:dyDescent="0.2">
      <c r="G1236" s="22"/>
      <c r="J1236" s="44" t="s">
        <v>12</v>
      </c>
    </row>
    <row r="1237" spans="7:10" x14ac:dyDescent="0.2">
      <c r="G1237" s="22"/>
      <c r="J1237" s="44" t="s">
        <v>12</v>
      </c>
    </row>
    <row r="1238" spans="7:10" x14ac:dyDescent="0.2">
      <c r="G1238" s="22"/>
      <c r="J1238" s="44" t="s">
        <v>12</v>
      </c>
    </row>
    <row r="1239" spans="7:10" x14ac:dyDescent="0.2">
      <c r="G1239" s="22"/>
      <c r="J1239" s="44" t="s">
        <v>12</v>
      </c>
    </row>
    <row r="1240" spans="7:10" x14ac:dyDescent="0.2">
      <c r="G1240" s="22"/>
      <c r="J1240" s="44" t="s">
        <v>12</v>
      </c>
    </row>
    <row r="1241" spans="7:10" x14ac:dyDescent="0.2">
      <c r="G1241" s="22"/>
      <c r="J1241" s="44" t="s">
        <v>12</v>
      </c>
    </row>
    <row r="1242" spans="7:10" x14ac:dyDescent="0.2">
      <c r="G1242" s="22"/>
      <c r="J1242" s="44" t="s">
        <v>12</v>
      </c>
    </row>
    <row r="1243" spans="7:10" x14ac:dyDescent="0.2">
      <c r="G1243" s="22"/>
      <c r="J1243" s="44" t="s">
        <v>12</v>
      </c>
    </row>
    <row r="1244" spans="7:10" x14ac:dyDescent="0.2">
      <c r="G1244" s="22"/>
      <c r="J1244" s="44" t="s">
        <v>12</v>
      </c>
    </row>
    <row r="1245" spans="7:10" x14ac:dyDescent="0.2">
      <c r="G1245" s="22"/>
      <c r="J1245" s="44" t="s">
        <v>12</v>
      </c>
    </row>
    <row r="1246" spans="7:10" x14ac:dyDescent="0.2">
      <c r="G1246" s="22"/>
      <c r="J1246" s="44" t="s">
        <v>12</v>
      </c>
    </row>
    <row r="1247" spans="7:10" x14ac:dyDescent="0.2">
      <c r="G1247" s="22"/>
      <c r="J1247" s="44" t="s">
        <v>12</v>
      </c>
    </row>
    <row r="1248" spans="7:10" x14ac:dyDescent="0.2">
      <c r="G1248" s="22"/>
      <c r="J1248" s="44" t="s">
        <v>12</v>
      </c>
    </row>
    <row r="1249" spans="7:10" x14ac:dyDescent="0.2">
      <c r="G1249" s="22"/>
      <c r="J1249" s="44" t="s">
        <v>12</v>
      </c>
    </row>
    <row r="1250" spans="7:10" x14ac:dyDescent="0.2">
      <c r="G1250" s="22"/>
      <c r="J1250" s="44" t="s">
        <v>12</v>
      </c>
    </row>
    <row r="1251" spans="7:10" x14ac:dyDescent="0.2">
      <c r="G1251" s="22"/>
      <c r="J1251" s="44" t="s">
        <v>12</v>
      </c>
    </row>
    <row r="1252" spans="7:10" x14ac:dyDescent="0.2">
      <c r="G1252" s="22"/>
      <c r="J1252" s="44" t="s">
        <v>12</v>
      </c>
    </row>
    <row r="1253" spans="7:10" x14ac:dyDescent="0.2">
      <c r="G1253" s="22"/>
      <c r="J1253" s="44" t="s">
        <v>12</v>
      </c>
    </row>
    <row r="1254" spans="7:10" x14ac:dyDescent="0.2">
      <c r="G1254" s="22"/>
      <c r="J1254" s="44" t="s">
        <v>12</v>
      </c>
    </row>
    <row r="1255" spans="7:10" x14ac:dyDescent="0.2">
      <c r="G1255" s="22"/>
      <c r="J1255" s="44" t="s">
        <v>12</v>
      </c>
    </row>
    <row r="1256" spans="7:10" x14ac:dyDescent="0.2">
      <c r="G1256" s="22"/>
      <c r="J1256" s="44" t="s">
        <v>12</v>
      </c>
    </row>
    <row r="1257" spans="7:10" x14ac:dyDescent="0.2">
      <c r="G1257" s="22"/>
      <c r="J1257" s="44" t="s">
        <v>12</v>
      </c>
    </row>
    <row r="1258" spans="7:10" x14ac:dyDescent="0.2">
      <c r="G1258" s="22"/>
      <c r="J1258" s="44" t="s">
        <v>12</v>
      </c>
    </row>
    <row r="1259" spans="7:10" x14ac:dyDescent="0.2">
      <c r="G1259" s="22"/>
      <c r="J1259" s="44" t="s">
        <v>12</v>
      </c>
    </row>
    <row r="1260" spans="7:10" x14ac:dyDescent="0.2">
      <c r="G1260" s="22"/>
      <c r="J1260" s="44" t="s">
        <v>12</v>
      </c>
    </row>
    <row r="1261" spans="7:10" x14ac:dyDescent="0.2">
      <c r="G1261" s="22"/>
      <c r="J1261" s="44" t="s">
        <v>12</v>
      </c>
    </row>
    <row r="1262" spans="7:10" x14ac:dyDescent="0.2">
      <c r="G1262" s="22"/>
      <c r="J1262" s="44" t="s">
        <v>12</v>
      </c>
    </row>
    <row r="1263" spans="7:10" x14ac:dyDescent="0.2">
      <c r="G1263" s="22"/>
      <c r="J1263" s="44" t="s">
        <v>12</v>
      </c>
    </row>
    <row r="1264" spans="7:10" x14ac:dyDescent="0.2">
      <c r="G1264" s="22"/>
      <c r="J1264" s="44" t="s">
        <v>12</v>
      </c>
    </row>
    <row r="1265" spans="7:10" x14ac:dyDescent="0.2">
      <c r="G1265" s="22"/>
      <c r="J1265" s="44" t="s">
        <v>12</v>
      </c>
    </row>
    <row r="1266" spans="7:10" x14ac:dyDescent="0.2">
      <c r="G1266" s="22"/>
      <c r="J1266" s="44" t="s">
        <v>12</v>
      </c>
    </row>
    <row r="1267" spans="7:10" x14ac:dyDescent="0.2">
      <c r="G1267" s="22"/>
      <c r="J1267" s="44" t="s">
        <v>12</v>
      </c>
    </row>
    <row r="1268" spans="7:10" x14ac:dyDescent="0.2">
      <c r="G1268" s="22"/>
      <c r="J1268" s="44" t="s">
        <v>12</v>
      </c>
    </row>
    <row r="1269" spans="7:10" x14ac:dyDescent="0.2">
      <c r="G1269" s="22"/>
      <c r="J1269" s="44" t="s">
        <v>12</v>
      </c>
    </row>
    <row r="1270" spans="7:10" x14ac:dyDescent="0.2">
      <c r="G1270" s="22"/>
      <c r="J1270" s="44" t="s">
        <v>12</v>
      </c>
    </row>
    <row r="1271" spans="7:10" x14ac:dyDescent="0.2">
      <c r="G1271" s="22"/>
      <c r="J1271" s="44" t="s">
        <v>12</v>
      </c>
    </row>
    <row r="1272" spans="7:10" x14ac:dyDescent="0.2">
      <c r="G1272" s="22"/>
      <c r="J1272" s="44" t="s">
        <v>12</v>
      </c>
    </row>
    <row r="1273" spans="7:10" x14ac:dyDescent="0.2">
      <c r="G1273" s="22"/>
      <c r="J1273" s="44" t="s">
        <v>12</v>
      </c>
    </row>
    <row r="1274" spans="7:10" x14ac:dyDescent="0.2">
      <c r="G1274" s="22"/>
      <c r="J1274" s="44" t="s">
        <v>12</v>
      </c>
    </row>
    <row r="1275" spans="7:10" x14ac:dyDescent="0.2">
      <c r="G1275" s="22"/>
      <c r="J1275" s="44" t="s">
        <v>12</v>
      </c>
    </row>
    <row r="1276" spans="7:10" x14ac:dyDescent="0.2">
      <c r="G1276" s="22"/>
      <c r="J1276" s="44" t="s">
        <v>12</v>
      </c>
    </row>
    <row r="1277" spans="7:10" x14ac:dyDescent="0.2">
      <c r="G1277" s="22"/>
      <c r="J1277" s="44" t="s">
        <v>12</v>
      </c>
    </row>
    <row r="1278" spans="7:10" x14ac:dyDescent="0.2">
      <c r="G1278" s="22"/>
      <c r="J1278" s="44" t="s">
        <v>12</v>
      </c>
    </row>
    <row r="1279" spans="7:10" x14ac:dyDescent="0.2">
      <c r="G1279" s="22"/>
      <c r="J1279" s="44" t="s">
        <v>12</v>
      </c>
    </row>
    <row r="1280" spans="7:10" x14ac:dyDescent="0.2">
      <c r="G1280" s="22"/>
      <c r="J1280" s="44" t="s">
        <v>12</v>
      </c>
    </row>
    <row r="1281" spans="7:10" x14ac:dyDescent="0.2">
      <c r="G1281" s="22"/>
      <c r="J1281" s="44" t="s">
        <v>12</v>
      </c>
    </row>
    <row r="1282" spans="7:10" x14ac:dyDescent="0.2">
      <c r="G1282" s="22"/>
      <c r="J1282" s="44" t="s">
        <v>12</v>
      </c>
    </row>
    <row r="1283" spans="7:10" x14ac:dyDescent="0.2">
      <c r="G1283" s="22"/>
      <c r="J1283" s="44" t="s">
        <v>12</v>
      </c>
    </row>
    <row r="1284" spans="7:10" x14ac:dyDescent="0.2">
      <c r="G1284" s="22"/>
      <c r="J1284" s="44" t="s">
        <v>12</v>
      </c>
    </row>
    <row r="1285" spans="7:10" x14ac:dyDescent="0.2">
      <c r="G1285" s="22"/>
      <c r="J1285" s="44" t="s">
        <v>12</v>
      </c>
    </row>
    <row r="1286" spans="7:10" x14ac:dyDescent="0.2">
      <c r="G1286" s="22"/>
      <c r="J1286" s="44" t="s">
        <v>12</v>
      </c>
    </row>
    <row r="1287" spans="7:10" x14ac:dyDescent="0.2">
      <c r="G1287" s="22"/>
      <c r="J1287" s="44" t="s">
        <v>12</v>
      </c>
    </row>
    <row r="1288" spans="7:10" x14ac:dyDescent="0.2">
      <c r="G1288" s="22"/>
      <c r="J1288" s="44" t="s">
        <v>12</v>
      </c>
    </row>
    <row r="1289" spans="7:10" x14ac:dyDescent="0.2">
      <c r="G1289" s="22"/>
      <c r="J1289" s="44" t="s">
        <v>12</v>
      </c>
    </row>
    <row r="1290" spans="7:10" x14ac:dyDescent="0.2">
      <c r="G1290" s="22"/>
      <c r="J1290" s="44" t="s">
        <v>12</v>
      </c>
    </row>
    <row r="1291" spans="7:10" x14ac:dyDescent="0.2">
      <c r="G1291" s="22"/>
      <c r="J1291" s="44" t="s">
        <v>12</v>
      </c>
    </row>
    <row r="1292" spans="7:10" x14ac:dyDescent="0.2">
      <c r="G1292" s="22"/>
      <c r="J1292" s="44" t="s">
        <v>12</v>
      </c>
    </row>
    <row r="1293" spans="7:10" x14ac:dyDescent="0.2">
      <c r="G1293" s="22"/>
      <c r="J1293" s="44" t="s">
        <v>12</v>
      </c>
    </row>
    <row r="1294" spans="7:10" x14ac:dyDescent="0.2">
      <c r="G1294" s="22"/>
      <c r="J1294" s="44" t="s">
        <v>12</v>
      </c>
    </row>
    <row r="1295" spans="7:10" x14ac:dyDescent="0.2">
      <c r="G1295" s="22"/>
      <c r="J1295" s="44" t="s">
        <v>12</v>
      </c>
    </row>
    <row r="1296" spans="7:10" x14ac:dyDescent="0.2">
      <c r="G1296" s="22"/>
      <c r="J1296" s="44" t="s">
        <v>12</v>
      </c>
    </row>
    <row r="1297" spans="7:10" x14ac:dyDescent="0.2">
      <c r="G1297" s="22"/>
      <c r="J1297" s="44" t="s">
        <v>12</v>
      </c>
    </row>
    <row r="1298" spans="7:10" x14ac:dyDescent="0.2">
      <c r="G1298" s="22"/>
      <c r="J1298" s="44" t="s">
        <v>12</v>
      </c>
    </row>
    <row r="1299" spans="7:10" x14ac:dyDescent="0.2">
      <c r="G1299" s="22"/>
      <c r="J1299" s="44" t="s">
        <v>12</v>
      </c>
    </row>
    <row r="1300" spans="7:10" x14ac:dyDescent="0.2">
      <c r="G1300" s="22"/>
      <c r="J1300" s="44" t="s">
        <v>12</v>
      </c>
    </row>
    <row r="1301" spans="7:10" x14ac:dyDescent="0.2">
      <c r="G1301" s="22"/>
      <c r="J1301" s="44" t="s">
        <v>12</v>
      </c>
    </row>
    <row r="1302" spans="7:10" x14ac:dyDescent="0.2">
      <c r="G1302" s="22"/>
      <c r="J1302" s="44" t="s">
        <v>12</v>
      </c>
    </row>
    <row r="1303" spans="7:10" x14ac:dyDescent="0.2">
      <c r="G1303" s="22"/>
      <c r="J1303" s="44" t="s">
        <v>12</v>
      </c>
    </row>
    <row r="1304" spans="7:10" x14ac:dyDescent="0.2">
      <c r="G1304" s="22"/>
      <c r="J1304" s="44" t="s">
        <v>12</v>
      </c>
    </row>
    <row r="1305" spans="7:10" x14ac:dyDescent="0.2">
      <c r="G1305" s="22"/>
      <c r="J1305" s="44" t="s">
        <v>12</v>
      </c>
    </row>
    <row r="1306" spans="7:10" x14ac:dyDescent="0.2">
      <c r="G1306" s="22"/>
      <c r="J1306" s="44" t="s">
        <v>12</v>
      </c>
    </row>
    <row r="1307" spans="7:10" x14ac:dyDescent="0.2">
      <c r="G1307" s="22"/>
      <c r="J1307" s="44" t="s">
        <v>12</v>
      </c>
    </row>
    <row r="1308" spans="7:10" x14ac:dyDescent="0.2">
      <c r="G1308" s="22"/>
      <c r="J1308" s="44" t="s">
        <v>12</v>
      </c>
    </row>
    <row r="1309" spans="7:10" x14ac:dyDescent="0.2">
      <c r="G1309" s="22"/>
      <c r="J1309" s="44" t="s">
        <v>12</v>
      </c>
    </row>
    <row r="1310" spans="7:10" x14ac:dyDescent="0.2">
      <c r="G1310" s="22"/>
      <c r="J1310" s="44" t="s">
        <v>12</v>
      </c>
    </row>
    <row r="1311" spans="7:10" x14ac:dyDescent="0.2">
      <c r="G1311" s="22"/>
      <c r="J1311" s="44" t="s">
        <v>12</v>
      </c>
    </row>
    <row r="1312" spans="7:10" x14ac:dyDescent="0.2">
      <c r="G1312" s="22"/>
      <c r="J1312" s="44" t="s">
        <v>12</v>
      </c>
    </row>
    <row r="1313" spans="7:10" x14ac:dyDescent="0.2">
      <c r="G1313" s="22"/>
      <c r="J1313" s="44" t="s">
        <v>12</v>
      </c>
    </row>
    <row r="1314" spans="7:10" x14ac:dyDescent="0.2">
      <c r="G1314" s="22"/>
      <c r="J1314" s="44" t="s">
        <v>12</v>
      </c>
    </row>
    <row r="1315" spans="7:10" x14ac:dyDescent="0.2">
      <c r="G1315" s="22"/>
      <c r="J1315" s="44" t="s">
        <v>12</v>
      </c>
    </row>
    <row r="1316" spans="7:10" x14ac:dyDescent="0.2">
      <c r="G1316" s="22"/>
      <c r="J1316" s="44" t="s">
        <v>12</v>
      </c>
    </row>
    <row r="1317" spans="7:10" x14ac:dyDescent="0.2">
      <c r="G1317" s="22"/>
      <c r="J1317" s="44" t="s">
        <v>12</v>
      </c>
    </row>
    <row r="1318" spans="7:10" x14ac:dyDescent="0.2">
      <c r="G1318" s="22"/>
      <c r="J1318" s="44" t="s">
        <v>12</v>
      </c>
    </row>
    <row r="1319" spans="7:10" x14ac:dyDescent="0.2">
      <c r="G1319" s="22"/>
      <c r="J1319" s="44" t="s">
        <v>12</v>
      </c>
    </row>
    <row r="1320" spans="7:10" x14ac:dyDescent="0.2">
      <c r="G1320" s="22"/>
      <c r="J1320" s="44" t="s">
        <v>12</v>
      </c>
    </row>
    <row r="1321" spans="7:10" x14ac:dyDescent="0.2">
      <c r="G1321" s="22"/>
      <c r="J1321" s="44" t="s">
        <v>12</v>
      </c>
    </row>
    <row r="1322" spans="7:10" x14ac:dyDescent="0.2">
      <c r="G1322" s="22"/>
      <c r="J1322" s="44" t="s">
        <v>12</v>
      </c>
    </row>
    <row r="1323" spans="7:10" x14ac:dyDescent="0.2">
      <c r="G1323" s="22"/>
      <c r="J1323" s="44" t="s">
        <v>12</v>
      </c>
    </row>
    <row r="1324" spans="7:10" x14ac:dyDescent="0.2">
      <c r="G1324" s="22"/>
      <c r="J1324" s="44" t="s">
        <v>12</v>
      </c>
    </row>
    <row r="1325" spans="7:10" x14ac:dyDescent="0.2">
      <c r="G1325" s="22"/>
      <c r="J1325" s="44" t="s">
        <v>12</v>
      </c>
    </row>
    <row r="1326" spans="7:10" x14ac:dyDescent="0.2">
      <c r="G1326" s="22"/>
      <c r="J1326" s="44" t="s">
        <v>12</v>
      </c>
    </row>
    <row r="1327" spans="7:10" x14ac:dyDescent="0.2">
      <c r="G1327" s="22"/>
      <c r="J1327" s="44" t="s">
        <v>12</v>
      </c>
    </row>
    <row r="1328" spans="7:10" x14ac:dyDescent="0.2">
      <c r="G1328" s="22"/>
      <c r="J1328" s="44" t="s">
        <v>12</v>
      </c>
    </row>
    <row r="1329" spans="7:10" x14ac:dyDescent="0.2">
      <c r="G1329" s="22"/>
      <c r="J1329" s="44" t="s">
        <v>12</v>
      </c>
    </row>
    <row r="1330" spans="7:10" x14ac:dyDescent="0.2">
      <c r="G1330" s="22"/>
      <c r="J1330" s="44" t="s">
        <v>12</v>
      </c>
    </row>
    <row r="1331" spans="7:10" x14ac:dyDescent="0.2">
      <c r="G1331" s="22"/>
      <c r="J1331" s="44" t="s">
        <v>12</v>
      </c>
    </row>
    <row r="1332" spans="7:10" x14ac:dyDescent="0.2">
      <c r="G1332" s="22"/>
      <c r="J1332" s="44" t="s">
        <v>12</v>
      </c>
    </row>
    <row r="1333" spans="7:10" x14ac:dyDescent="0.2">
      <c r="G1333" s="22"/>
      <c r="J1333" s="44" t="s">
        <v>12</v>
      </c>
    </row>
    <row r="1334" spans="7:10" x14ac:dyDescent="0.2">
      <c r="G1334" s="22"/>
      <c r="J1334" s="44" t="s">
        <v>12</v>
      </c>
    </row>
    <row r="1335" spans="7:10" x14ac:dyDescent="0.2">
      <c r="G1335" s="22"/>
      <c r="J1335" s="44" t="s">
        <v>12</v>
      </c>
    </row>
    <row r="1336" spans="7:10" x14ac:dyDescent="0.2">
      <c r="G1336" s="22"/>
      <c r="J1336" s="44" t="s">
        <v>12</v>
      </c>
    </row>
    <row r="1337" spans="7:10" x14ac:dyDescent="0.2">
      <c r="G1337" s="22"/>
      <c r="J1337" s="44" t="s">
        <v>12</v>
      </c>
    </row>
    <row r="1338" spans="7:10" x14ac:dyDescent="0.2">
      <c r="G1338" s="22"/>
      <c r="J1338" s="44" t="s">
        <v>12</v>
      </c>
    </row>
    <row r="1339" spans="7:10" x14ac:dyDescent="0.2">
      <c r="G1339" s="22"/>
      <c r="J1339" s="44" t="s">
        <v>12</v>
      </c>
    </row>
    <row r="1340" spans="7:10" x14ac:dyDescent="0.2">
      <c r="G1340" s="22"/>
      <c r="J1340" s="44" t="s">
        <v>12</v>
      </c>
    </row>
    <row r="1341" spans="7:10" x14ac:dyDescent="0.2">
      <c r="G1341" s="22"/>
      <c r="J1341" s="44" t="s">
        <v>12</v>
      </c>
    </row>
    <row r="1342" spans="7:10" x14ac:dyDescent="0.2">
      <c r="G1342" s="22"/>
      <c r="J1342" s="44" t="s">
        <v>12</v>
      </c>
    </row>
    <row r="1343" spans="7:10" x14ac:dyDescent="0.2">
      <c r="G1343" s="22"/>
      <c r="J1343" s="44" t="s">
        <v>12</v>
      </c>
    </row>
    <row r="1344" spans="7:10" x14ac:dyDescent="0.2">
      <c r="G1344" s="22"/>
      <c r="J1344" s="44" t="s">
        <v>12</v>
      </c>
    </row>
    <row r="1345" spans="7:10" x14ac:dyDescent="0.2">
      <c r="G1345" s="22"/>
      <c r="J1345" s="44" t="s">
        <v>12</v>
      </c>
    </row>
    <row r="1346" spans="7:10" x14ac:dyDescent="0.2">
      <c r="G1346" s="22"/>
      <c r="J1346" s="44" t="s">
        <v>12</v>
      </c>
    </row>
    <row r="1347" spans="7:10" x14ac:dyDescent="0.2">
      <c r="G1347" s="22"/>
      <c r="J1347" s="44" t="s">
        <v>12</v>
      </c>
    </row>
    <row r="1348" spans="7:10" x14ac:dyDescent="0.2">
      <c r="G1348" s="22"/>
      <c r="J1348" s="44" t="s">
        <v>12</v>
      </c>
    </row>
    <row r="1349" spans="7:10" x14ac:dyDescent="0.2">
      <c r="G1349" s="22"/>
      <c r="J1349" s="44" t="s">
        <v>12</v>
      </c>
    </row>
    <row r="1350" spans="7:10" x14ac:dyDescent="0.2">
      <c r="G1350" s="22"/>
      <c r="J1350" s="44" t="s">
        <v>12</v>
      </c>
    </row>
    <row r="1351" spans="7:10" x14ac:dyDescent="0.2">
      <c r="G1351" s="22"/>
      <c r="J1351" s="44" t="s">
        <v>12</v>
      </c>
    </row>
    <row r="1352" spans="7:10" x14ac:dyDescent="0.2">
      <c r="G1352" s="22"/>
      <c r="J1352" s="44" t="s">
        <v>12</v>
      </c>
    </row>
    <row r="1353" spans="7:10" x14ac:dyDescent="0.2">
      <c r="G1353" s="22"/>
      <c r="J1353" s="44" t="s">
        <v>12</v>
      </c>
    </row>
    <row r="1354" spans="7:10" x14ac:dyDescent="0.2">
      <c r="G1354" s="22"/>
      <c r="J1354" s="44" t="s">
        <v>12</v>
      </c>
    </row>
    <row r="1355" spans="7:10" x14ac:dyDescent="0.2">
      <c r="G1355" s="22"/>
      <c r="J1355" s="44" t="s">
        <v>12</v>
      </c>
    </row>
    <row r="1356" spans="7:10" x14ac:dyDescent="0.2">
      <c r="G1356" s="22"/>
      <c r="J1356" s="44" t="s">
        <v>12</v>
      </c>
    </row>
    <row r="1357" spans="7:10" x14ac:dyDescent="0.2">
      <c r="G1357" s="22"/>
      <c r="J1357" s="44" t="s">
        <v>12</v>
      </c>
    </row>
    <row r="1358" spans="7:10" x14ac:dyDescent="0.2">
      <c r="G1358" s="22"/>
      <c r="J1358" s="44" t="s">
        <v>12</v>
      </c>
    </row>
    <row r="1359" spans="7:10" x14ac:dyDescent="0.2">
      <c r="G1359" s="22"/>
      <c r="J1359" s="44" t="s">
        <v>12</v>
      </c>
    </row>
    <row r="1360" spans="7:10" x14ac:dyDescent="0.2">
      <c r="G1360" s="22"/>
      <c r="J1360" s="44" t="s">
        <v>12</v>
      </c>
    </row>
    <row r="1361" spans="7:10" x14ac:dyDescent="0.2">
      <c r="G1361" s="22"/>
      <c r="J1361" s="44" t="s">
        <v>12</v>
      </c>
    </row>
    <row r="1362" spans="7:10" x14ac:dyDescent="0.2">
      <c r="G1362" s="22"/>
      <c r="J1362" s="44" t="s">
        <v>12</v>
      </c>
    </row>
    <row r="1363" spans="7:10" x14ac:dyDescent="0.2">
      <c r="G1363" s="22"/>
      <c r="J1363" s="44" t="s">
        <v>12</v>
      </c>
    </row>
    <row r="1364" spans="7:10" x14ac:dyDescent="0.2">
      <c r="G1364" s="22"/>
      <c r="J1364" s="44" t="s">
        <v>12</v>
      </c>
    </row>
    <row r="1365" spans="7:10" x14ac:dyDescent="0.2">
      <c r="G1365" s="22"/>
      <c r="J1365" s="44" t="s">
        <v>12</v>
      </c>
    </row>
    <row r="1366" spans="7:10" x14ac:dyDescent="0.2">
      <c r="G1366" s="22"/>
      <c r="J1366" s="44" t="s">
        <v>12</v>
      </c>
    </row>
    <row r="1367" spans="7:10" x14ac:dyDescent="0.2">
      <c r="G1367" s="22"/>
      <c r="J1367" s="44" t="s">
        <v>12</v>
      </c>
    </row>
    <row r="1368" spans="7:10" x14ac:dyDescent="0.2">
      <c r="G1368" s="22"/>
      <c r="J1368" s="44" t="s">
        <v>12</v>
      </c>
    </row>
    <row r="1369" spans="7:10" x14ac:dyDescent="0.2">
      <c r="G1369" s="22"/>
      <c r="J1369" s="44" t="s">
        <v>12</v>
      </c>
    </row>
    <row r="1370" spans="7:10" x14ac:dyDescent="0.2">
      <c r="G1370" s="22"/>
      <c r="J1370" s="44" t="s">
        <v>12</v>
      </c>
    </row>
    <row r="1371" spans="7:10" x14ac:dyDescent="0.2">
      <c r="G1371" s="22"/>
      <c r="J1371" s="44" t="s">
        <v>12</v>
      </c>
    </row>
    <row r="1372" spans="7:10" x14ac:dyDescent="0.2">
      <c r="G1372" s="22"/>
      <c r="J1372" s="44" t="s">
        <v>12</v>
      </c>
    </row>
    <row r="1373" spans="7:10" x14ac:dyDescent="0.2">
      <c r="G1373" s="22"/>
      <c r="J1373" s="44" t="s">
        <v>12</v>
      </c>
    </row>
    <row r="1374" spans="7:10" x14ac:dyDescent="0.2">
      <c r="G1374" s="22"/>
      <c r="J1374" s="44" t="s">
        <v>12</v>
      </c>
    </row>
    <row r="1375" spans="7:10" x14ac:dyDescent="0.2">
      <c r="G1375" s="22"/>
      <c r="J1375" s="44" t="s">
        <v>12</v>
      </c>
    </row>
    <row r="1376" spans="7:10" x14ac:dyDescent="0.2">
      <c r="G1376" s="22"/>
      <c r="J1376" s="44" t="s">
        <v>12</v>
      </c>
    </row>
    <row r="1377" spans="7:10" x14ac:dyDescent="0.2">
      <c r="G1377" s="22"/>
      <c r="J1377" s="44" t="s">
        <v>12</v>
      </c>
    </row>
    <row r="1378" spans="7:10" x14ac:dyDescent="0.2">
      <c r="G1378" s="22"/>
      <c r="J1378" s="44" t="s">
        <v>12</v>
      </c>
    </row>
    <row r="1379" spans="7:10" x14ac:dyDescent="0.2">
      <c r="G1379" s="22"/>
      <c r="J1379" s="44" t="s">
        <v>12</v>
      </c>
    </row>
    <row r="1380" spans="7:10" x14ac:dyDescent="0.2">
      <c r="G1380" s="22"/>
      <c r="J1380" s="44" t="s">
        <v>12</v>
      </c>
    </row>
    <row r="1381" spans="7:10" x14ac:dyDescent="0.2">
      <c r="G1381" s="22"/>
      <c r="J1381" s="44" t="s">
        <v>12</v>
      </c>
    </row>
    <row r="1382" spans="7:10" x14ac:dyDescent="0.2">
      <c r="G1382" s="22"/>
      <c r="J1382" s="44" t="s">
        <v>12</v>
      </c>
    </row>
    <row r="1383" spans="7:10" x14ac:dyDescent="0.2">
      <c r="G1383" s="22"/>
      <c r="J1383" s="44" t="s">
        <v>12</v>
      </c>
    </row>
    <row r="1384" spans="7:10" x14ac:dyDescent="0.2">
      <c r="G1384" s="22"/>
      <c r="J1384" s="44" t="s">
        <v>12</v>
      </c>
    </row>
    <row r="1385" spans="7:10" x14ac:dyDescent="0.2">
      <c r="G1385" s="22"/>
      <c r="J1385" s="44" t="s">
        <v>12</v>
      </c>
    </row>
    <row r="1386" spans="7:10" x14ac:dyDescent="0.2">
      <c r="G1386" s="22"/>
      <c r="J1386" s="44" t="s">
        <v>12</v>
      </c>
    </row>
    <row r="1387" spans="7:10" x14ac:dyDescent="0.2">
      <c r="G1387" s="22"/>
      <c r="J1387" s="44" t="s">
        <v>12</v>
      </c>
    </row>
    <row r="1388" spans="7:10" x14ac:dyDescent="0.2">
      <c r="G1388" s="22"/>
      <c r="J1388" s="44" t="s">
        <v>12</v>
      </c>
    </row>
    <row r="1389" spans="7:10" x14ac:dyDescent="0.2">
      <c r="G1389" s="22"/>
      <c r="J1389" s="44" t="s">
        <v>12</v>
      </c>
    </row>
    <row r="1390" spans="7:10" x14ac:dyDescent="0.2">
      <c r="G1390" s="22"/>
      <c r="J1390" s="44" t="s">
        <v>12</v>
      </c>
    </row>
    <row r="1391" spans="7:10" x14ac:dyDescent="0.2">
      <c r="G1391" s="22"/>
      <c r="J1391" s="44" t="s">
        <v>12</v>
      </c>
    </row>
    <row r="1392" spans="7:10" x14ac:dyDescent="0.2">
      <c r="G1392" s="22"/>
      <c r="J1392" s="44" t="s">
        <v>12</v>
      </c>
    </row>
    <row r="1393" spans="7:10" x14ac:dyDescent="0.2">
      <c r="G1393" s="22"/>
      <c r="J1393" s="44" t="s">
        <v>12</v>
      </c>
    </row>
    <row r="1394" spans="7:10" x14ac:dyDescent="0.2">
      <c r="G1394" s="22"/>
      <c r="J1394" s="44" t="s">
        <v>12</v>
      </c>
    </row>
    <row r="1395" spans="7:10" x14ac:dyDescent="0.2">
      <c r="G1395" s="22"/>
      <c r="J1395" s="44" t="s">
        <v>12</v>
      </c>
    </row>
    <row r="1396" spans="7:10" x14ac:dyDescent="0.2">
      <c r="G1396" s="22"/>
      <c r="J1396" s="44" t="s">
        <v>12</v>
      </c>
    </row>
    <row r="1397" spans="7:10" x14ac:dyDescent="0.2">
      <c r="G1397" s="22"/>
      <c r="J1397" s="44" t="s">
        <v>12</v>
      </c>
    </row>
    <row r="1398" spans="7:10" x14ac:dyDescent="0.2">
      <c r="G1398" s="22"/>
      <c r="J1398" s="44" t="s">
        <v>12</v>
      </c>
    </row>
    <row r="1399" spans="7:10" x14ac:dyDescent="0.2">
      <c r="G1399" s="22"/>
      <c r="J1399" s="44" t="s">
        <v>12</v>
      </c>
    </row>
    <row r="1400" spans="7:10" x14ac:dyDescent="0.2">
      <c r="G1400" s="22"/>
      <c r="J1400" s="44" t="s">
        <v>12</v>
      </c>
    </row>
    <row r="1401" spans="7:10" x14ac:dyDescent="0.2">
      <c r="G1401" s="22"/>
      <c r="J1401" s="44" t="s">
        <v>12</v>
      </c>
    </row>
    <row r="1402" spans="7:10" x14ac:dyDescent="0.2">
      <c r="G1402" s="22"/>
      <c r="J1402" s="44" t="s">
        <v>12</v>
      </c>
    </row>
    <row r="1403" spans="7:10" x14ac:dyDescent="0.2">
      <c r="G1403" s="22"/>
      <c r="J1403" s="44" t="s">
        <v>12</v>
      </c>
    </row>
    <row r="1404" spans="7:10" x14ac:dyDescent="0.2">
      <c r="G1404" s="22"/>
      <c r="J1404" s="44" t="s">
        <v>12</v>
      </c>
    </row>
    <row r="1405" spans="7:10" x14ac:dyDescent="0.2">
      <c r="G1405" s="22"/>
      <c r="J1405" s="44" t="s">
        <v>12</v>
      </c>
    </row>
    <row r="1406" spans="7:10" x14ac:dyDescent="0.2">
      <c r="G1406" s="22"/>
      <c r="J1406" s="44" t="s">
        <v>12</v>
      </c>
    </row>
    <row r="1407" spans="7:10" x14ac:dyDescent="0.2">
      <c r="G1407" s="22"/>
      <c r="J1407" s="44" t="s">
        <v>12</v>
      </c>
    </row>
    <row r="1408" spans="7:10" x14ac:dyDescent="0.2">
      <c r="G1408" s="22"/>
      <c r="J1408" s="44" t="s">
        <v>12</v>
      </c>
    </row>
    <row r="1409" spans="7:10" x14ac:dyDescent="0.2">
      <c r="G1409" s="22"/>
      <c r="J1409" s="44" t="s">
        <v>12</v>
      </c>
    </row>
    <row r="1410" spans="7:10" x14ac:dyDescent="0.2">
      <c r="G1410" s="22"/>
      <c r="J1410" s="44" t="s">
        <v>12</v>
      </c>
    </row>
    <row r="1411" spans="7:10" x14ac:dyDescent="0.2">
      <c r="G1411" s="22"/>
      <c r="J1411" s="44" t="s">
        <v>12</v>
      </c>
    </row>
    <row r="1412" spans="7:10" x14ac:dyDescent="0.2">
      <c r="G1412" s="22"/>
      <c r="J1412" s="44" t="s">
        <v>12</v>
      </c>
    </row>
    <row r="1413" spans="7:10" x14ac:dyDescent="0.2">
      <c r="G1413" s="22"/>
      <c r="J1413" s="44" t="s">
        <v>12</v>
      </c>
    </row>
    <row r="1414" spans="7:10" x14ac:dyDescent="0.2">
      <c r="G1414" s="22"/>
      <c r="J1414" s="44" t="s">
        <v>12</v>
      </c>
    </row>
    <row r="1415" spans="7:10" x14ac:dyDescent="0.2">
      <c r="G1415" s="22"/>
      <c r="J1415" s="44" t="s">
        <v>12</v>
      </c>
    </row>
    <row r="1416" spans="7:10" x14ac:dyDescent="0.2">
      <c r="G1416" s="22"/>
      <c r="J1416" s="44" t="s">
        <v>12</v>
      </c>
    </row>
    <row r="1417" spans="7:10" x14ac:dyDescent="0.2">
      <c r="G1417" s="22"/>
      <c r="J1417" s="44" t="s">
        <v>12</v>
      </c>
    </row>
    <row r="1418" spans="7:10" x14ac:dyDescent="0.2">
      <c r="G1418" s="22"/>
      <c r="J1418" s="44" t="s">
        <v>12</v>
      </c>
    </row>
    <row r="1419" spans="7:10" x14ac:dyDescent="0.2">
      <c r="G1419" s="22"/>
      <c r="J1419" s="44" t="s">
        <v>12</v>
      </c>
    </row>
    <row r="1420" spans="7:10" x14ac:dyDescent="0.2">
      <c r="G1420" s="22"/>
      <c r="J1420" s="44" t="s">
        <v>12</v>
      </c>
    </row>
    <row r="1421" spans="7:10" x14ac:dyDescent="0.2">
      <c r="G1421" s="22"/>
      <c r="J1421" s="44" t="s">
        <v>12</v>
      </c>
    </row>
    <row r="1422" spans="7:10" x14ac:dyDescent="0.2">
      <c r="G1422" s="22"/>
      <c r="J1422" s="44" t="s">
        <v>12</v>
      </c>
    </row>
    <row r="1423" spans="7:10" x14ac:dyDescent="0.2">
      <c r="G1423" s="22"/>
      <c r="J1423" s="44" t="s">
        <v>12</v>
      </c>
    </row>
    <row r="1424" spans="7:10" x14ac:dyDescent="0.2">
      <c r="G1424" s="22"/>
      <c r="J1424" s="44" t="s">
        <v>12</v>
      </c>
    </row>
    <row r="1425" spans="7:10" x14ac:dyDescent="0.2">
      <c r="G1425" s="22"/>
      <c r="J1425" s="44" t="s">
        <v>12</v>
      </c>
    </row>
    <row r="1426" spans="7:10" x14ac:dyDescent="0.2">
      <c r="G1426" s="22"/>
      <c r="J1426" s="44" t="s">
        <v>12</v>
      </c>
    </row>
    <row r="1427" spans="7:10" x14ac:dyDescent="0.2">
      <c r="G1427" s="22"/>
      <c r="J1427" s="44" t="s">
        <v>12</v>
      </c>
    </row>
    <row r="1428" spans="7:10" x14ac:dyDescent="0.2">
      <c r="G1428" s="22"/>
      <c r="J1428" s="44" t="s">
        <v>12</v>
      </c>
    </row>
    <row r="1429" spans="7:10" x14ac:dyDescent="0.2">
      <c r="G1429" s="22"/>
      <c r="J1429" s="44" t="s">
        <v>12</v>
      </c>
    </row>
    <row r="1430" spans="7:10" x14ac:dyDescent="0.2">
      <c r="G1430" s="22"/>
      <c r="J1430" s="44" t="s">
        <v>12</v>
      </c>
    </row>
    <row r="1431" spans="7:10" x14ac:dyDescent="0.2">
      <c r="G1431" s="22"/>
      <c r="J1431" s="44" t="s">
        <v>12</v>
      </c>
    </row>
    <row r="1432" spans="7:10" x14ac:dyDescent="0.2">
      <c r="G1432" s="22"/>
      <c r="J1432" s="44" t="s">
        <v>12</v>
      </c>
    </row>
    <row r="1433" spans="7:10" x14ac:dyDescent="0.2">
      <c r="G1433" s="22"/>
      <c r="J1433" s="44" t="s">
        <v>12</v>
      </c>
    </row>
    <row r="1434" spans="7:10" x14ac:dyDescent="0.2">
      <c r="G1434" s="22"/>
      <c r="J1434" s="44" t="s">
        <v>12</v>
      </c>
    </row>
    <row r="1435" spans="7:10" x14ac:dyDescent="0.2">
      <c r="G1435" s="22"/>
      <c r="J1435" s="44" t="s">
        <v>12</v>
      </c>
    </row>
    <row r="1436" spans="7:10" x14ac:dyDescent="0.2">
      <c r="G1436" s="22"/>
      <c r="J1436" s="44" t="s">
        <v>12</v>
      </c>
    </row>
    <row r="1437" spans="7:10" x14ac:dyDescent="0.2">
      <c r="G1437" s="22"/>
      <c r="J1437" s="44" t="s">
        <v>12</v>
      </c>
    </row>
    <row r="1438" spans="7:10" x14ac:dyDescent="0.2">
      <c r="G1438" s="22"/>
      <c r="J1438" s="44" t="s">
        <v>12</v>
      </c>
    </row>
    <row r="1439" spans="7:10" x14ac:dyDescent="0.2">
      <c r="G1439" s="22"/>
      <c r="J1439" s="44" t="s">
        <v>12</v>
      </c>
    </row>
    <row r="1440" spans="7:10" x14ac:dyDescent="0.2">
      <c r="G1440" s="22"/>
      <c r="J1440" s="44" t="s">
        <v>12</v>
      </c>
    </row>
    <row r="1441" spans="7:10" x14ac:dyDescent="0.2">
      <c r="G1441" s="22"/>
      <c r="J1441" s="44" t="s">
        <v>12</v>
      </c>
    </row>
    <row r="1442" spans="7:10" x14ac:dyDescent="0.2">
      <c r="G1442" s="22"/>
      <c r="J1442" s="44" t="s">
        <v>12</v>
      </c>
    </row>
    <row r="1443" spans="7:10" x14ac:dyDescent="0.2">
      <c r="G1443" s="22"/>
      <c r="J1443" s="44" t="s">
        <v>12</v>
      </c>
    </row>
    <row r="1444" spans="7:10" x14ac:dyDescent="0.2">
      <c r="G1444" s="22"/>
      <c r="J1444" s="44" t="s">
        <v>12</v>
      </c>
    </row>
    <row r="1445" spans="7:10" x14ac:dyDescent="0.2">
      <c r="G1445" s="22"/>
      <c r="J1445" s="44" t="s">
        <v>12</v>
      </c>
    </row>
    <row r="1446" spans="7:10" x14ac:dyDescent="0.2">
      <c r="G1446" s="22"/>
      <c r="J1446" s="44" t="s">
        <v>12</v>
      </c>
    </row>
    <row r="1447" spans="7:10" x14ac:dyDescent="0.2">
      <c r="G1447" s="22"/>
      <c r="J1447" s="44" t="s">
        <v>12</v>
      </c>
    </row>
    <row r="1448" spans="7:10" x14ac:dyDescent="0.2">
      <c r="G1448" s="22"/>
      <c r="J1448" s="44" t="s">
        <v>12</v>
      </c>
    </row>
    <row r="1449" spans="7:10" x14ac:dyDescent="0.2">
      <c r="G1449" s="22"/>
      <c r="J1449" s="44" t="s">
        <v>12</v>
      </c>
    </row>
    <row r="1450" spans="7:10" x14ac:dyDescent="0.2">
      <c r="G1450" s="22"/>
      <c r="J1450" s="44" t="s">
        <v>12</v>
      </c>
    </row>
    <row r="1451" spans="7:10" x14ac:dyDescent="0.2">
      <c r="G1451" s="22"/>
      <c r="J1451" s="44" t="s">
        <v>12</v>
      </c>
    </row>
    <row r="1452" spans="7:10" x14ac:dyDescent="0.2">
      <c r="G1452" s="22"/>
      <c r="J1452" s="44" t="s">
        <v>12</v>
      </c>
    </row>
    <row r="1453" spans="7:10" x14ac:dyDescent="0.2">
      <c r="G1453" s="22"/>
      <c r="J1453" s="44" t="s">
        <v>12</v>
      </c>
    </row>
    <row r="1454" spans="7:10" x14ac:dyDescent="0.2">
      <c r="G1454" s="22"/>
      <c r="J1454" s="44" t="s">
        <v>12</v>
      </c>
    </row>
    <row r="1455" spans="7:10" x14ac:dyDescent="0.2">
      <c r="G1455" s="22"/>
      <c r="J1455" s="44" t="s">
        <v>12</v>
      </c>
    </row>
    <row r="1456" spans="7:10" x14ac:dyDescent="0.2">
      <c r="G1456" s="22"/>
      <c r="J1456" s="44" t="s">
        <v>12</v>
      </c>
    </row>
    <row r="1457" spans="7:10" x14ac:dyDescent="0.2">
      <c r="G1457" s="22"/>
      <c r="J1457" s="44" t="s">
        <v>12</v>
      </c>
    </row>
    <row r="1458" spans="7:10" x14ac:dyDescent="0.2">
      <c r="G1458" s="22"/>
      <c r="J1458" s="44" t="s">
        <v>12</v>
      </c>
    </row>
    <row r="1459" spans="7:10" x14ac:dyDescent="0.2">
      <c r="G1459" s="22"/>
      <c r="J1459" s="44" t="s">
        <v>12</v>
      </c>
    </row>
    <row r="1460" spans="7:10" x14ac:dyDescent="0.2">
      <c r="G1460" s="22"/>
      <c r="J1460" s="44" t="s">
        <v>12</v>
      </c>
    </row>
    <row r="1461" spans="7:10" x14ac:dyDescent="0.2">
      <c r="G1461" s="22"/>
      <c r="J1461" s="44" t="s">
        <v>12</v>
      </c>
    </row>
    <row r="1462" spans="7:10" x14ac:dyDescent="0.2">
      <c r="G1462" s="22"/>
      <c r="J1462" s="44" t="s">
        <v>12</v>
      </c>
    </row>
    <row r="1463" spans="7:10" x14ac:dyDescent="0.2">
      <c r="G1463" s="22"/>
      <c r="J1463" s="44" t="s">
        <v>12</v>
      </c>
    </row>
    <row r="1464" spans="7:10" x14ac:dyDescent="0.2">
      <c r="G1464" s="22"/>
      <c r="J1464" s="44" t="s">
        <v>12</v>
      </c>
    </row>
    <row r="1465" spans="7:10" x14ac:dyDescent="0.2">
      <c r="G1465" s="22"/>
      <c r="J1465" s="44" t="s">
        <v>12</v>
      </c>
    </row>
    <row r="1466" spans="7:10" x14ac:dyDescent="0.2">
      <c r="G1466" s="22"/>
      <c r="J1466" s="44" t="s">
        <v>12</v>
      </c>
    </row>
    <row r="1467" spans="7:10" x14ac:dyDescent="0.2">
      <c r="G1467" s="22"/>
      <c r="J1467" s="44" t="s">
        <v>12</v>
      </c>
    </row>
    <row r="1468" spans="7:10" x14ac:dyDescent="0.2">
      <c r="G1468" s="22"/>
      <c r="J1468" s="44" t="s">
        <v>12</v>
      </c>
    </row>
    <row r="1469" spans="7:10" x14ac:dyDescent="0.2">
      <c r="G1469" s="22"/>
      <c r="J1469" s="44" t="s">
        <v>12</v>
      </c>
    </row>
    <row r="1470" spans="7:10" x14ac:dyDescent="0.2">
      <c r="G1470" s="22"/>
      <c r="J1470" s="44" t="s">
        <v>12</v>
      </c>
    </row>
    <row r="1471" spans="7:10" x14ac:dyDescent="0.2">
      <c r="G1471" s="22"/>
      <c r="J1471" s="44" t="s">
        <v>12</v>
      </c>
    </row>
    <row r="1472" spans="7:10" x14ac:dyDescent="0.2">
      <c r="G1472" s="22"/>
      <c r="J1472" s="44" t="s">
        <v>12</v>
      </c>
    </row>
    <row r="1473" spans="7:10" x14ac:dyDescent="0.2">
      <c r="G1473" s="22"/>
      <c r="J1473" s="44" t="s">
        <v>12</v>
      </c>
    </row>
    <row r="1474" spans="7:10" x14ac:dyDescent="0.2">
      <c r="G1474" s="22"/>
      <c r="J1474" s="44" t="s">
        <v>12</v>
      </c>
    </row>
    <row r="1475" spans="7:10" x14ac:dyDescent="0.2">
      <c r="G1475" s="22"/>
      <c r="J1475" s="44" t="s">
        <v>12</v>
      </c>
    </row>
    <row r="1476" spans="7:10" x14ac:dyDescent="0.2">
      <c r="G1476" s="22"/>
      <c r="J1476" s="44" t="s">
        <v>12</v>
      </c>
    </row>
    <row r="1477" spans="7:10" x14ac:dyDescent="0.2">
      <c r="G1477" s="22"/>
      <c r="J1477" s="44" t="s">
        <v>12</v>
      </c>
    </row>
    <row r="1478" spans="7:10" x14ac:dyDescent="0.2">
      <c r="G1478" s="22"/>
      <c r="J1478" s="44" t="s">
        <v>12</v>
      </c>
    </row>
    <row r="1479" spans="7:10" x14ac:dyDescent="0.2">
      <c r="G1479" s="22"/>
      <c r="J1479" s="44" t="s">
        <v>12</v>
      </c>
    </row>
    <row r="1480" spans="7:10" x14ac:dyDescent="0.2">
      <c r="G1480" s="22"/>
      <c r="J1480" s="44" t="s">
        <v>12</v>
      </c>
    </row>
    <row r="1481" spans="7:10" x14ac:dyDescent="0.2">
      <c r="G1481" s="22"/>
      <c r="J1481" s="44" t="s">
        <v>12</v>
      </c>
    </row>
    <row r="1482" spans="7:10" x14ac:dyDescent="0.2">
      <c r="G1482" s="22"/>
      <c r="J1482" s="44" t="s">
        <v>12</v>
      </c>
    </row>
    <row r="1483" spans="7:10" x14ac:dyDescent="0.2">
      <c r="G1483" s="22"/>
      <c r="J1483" s="44" t="s">
        <v>12</v>
      </c>
    </row>
    <row r="1484" spans="7:10" x14ac:dyDescent="0.2">
      <c r="G1484" s="22"/>
      <c r="J1484" s="44" t="s">
        <v>12</v>
      </c>
    </row>
    <row r="1485" spans="7:10" x14ac:dyDescent="0.2">
      <c r="G1485" s="22"/>
      <c r="J1485" s="44" t="s">
        <v>12</v>
      </c>
    </row>
    <row r="1486" spans="7:10" x14ac:dyDescent="0.2">
      <c r="G1486" s="22"/>
      <c r="J1486" s="44" t="s">
        <v>12</v>
      </c>
    </row>
    <row r="1487" spans="7:10" x14ac:dyDescent="0.2">
      <c r="G1487" s="22"/>
      <c r="J1487" s="44" t="s">
        <v>12</v>
      </c>
    </row>
    <row r="1488" spans="7:10" x14ac:dyDescent="0.2">
      <c r="G1488" s="22"/>
      <c r="J1488" s="44" t="s">
        <v>12</v>
      </c>
    </row>
    <row r="1489" spans="7:10" x14ac:dyDescent="0.2">
      <c r="G1489" s="22"/>
      <c r="J1489" s="44" t="s">
        <v>12</v>
      </c>
    </row>
    <row r="1490" spans="7:10" x14ac:dyDescent="0.2">
      <c r="G1490" s="22"/>
      <c r="J1490" s="44" t="s">
        <v>12</v>
      </c>
    </row>
    <row r="1491" spans="7:10" x14ac:dyDescent="0.2">
      <c r="G1491" s="22"/>
      <c r="J1491" s="44" t="s">
        <v>12</v>
      </c>
    </row>
    <row r="1492" spans="7:10" x14ac:dyDescent="0.2">
      <c r="G1492" s="22"/>
      <c r="J1492" s="44" t="s">
        <v>12</v>
      </c>
    </row>
    <row r="1493" spans="7:10" x14ac:dyDescent="0.2">
      <c r="G1493" s="22"/>
      <c r="J1493" s="44" t="s">
        <v>12</v>
      </c>
    </row>
    <row r="1494" spans="7:10" x14ac:dyDescent="0.2">
      <c r="G1494" s="22"/>
      <c r="J1494" s="44" t="s">
        <v>12</v>
      </c>
    </row>
    <row r="1495" spans="7:10" x14ac:dyDescent="0.2">
      <c r="G1495" s="22"/>
      <c r="J1495" s="44" t="s">
        <v>12</v>
      </c>
    </row>
    <row r="1496" spans="7:10" x14ac:dyDescent="0.2">
      <c r="G1496" s="22"/>
      <c r="J1496" s="44" t="s">
        <v>12</v>
      </c>
    </row>
    <row r="1497" spans="7:10" x14ac:dyDescent="0.2">
      <c r="G1497" s="22"/>
      <c r="J1497" s="44" t="s">
        <v>12</v>
      </c>
    </row>
    <row r="1498" spans="7:10" x14ac:dyDescent="0.2">
      <c r="G1498" s="22"/>
      <c r="J1498" s="44" t="s">
        <v>12</v>
      </c>
    </row>
    <row r="1499" spans="7:10" x14ac:dyDescent="0.2">
      <c r="G1499" s="22"/>
      <c r="J1499" s="44" t="s">
        <v>12</v>
      </c>
    </row>
    <row r="1500" spans="7:10" x14ac:dyDescent="0.2">
      <c r="G1500" s="22"/>
      <c r="J1500" s="44" t="s">
        <v>12</v>
      </c>
    </row>
    <row r="1501" spans="7:10" x14ac:dyDescent="0.2">
      <c r="G1501" s="22"/>
      <c r="J1501" s="44" t="s">
        <v>12</v>
      </c>
    </row>
    <row r="1502" spans="7:10" x14ac:dyDescent="0.2">
      <c r="G1502" s="22"/>
      <c r="J1502" s="44" t="s">
        <v>12</v>
      </c>
    </row>
    <row r="1503" spans="7:10" x14ac:dyDescent="0.2">
      <c r="G1503" s="22"/>
      <c r="J1503" s="44" t="s">
        <v>12</v>
      </c>
    </row>
    <row r="1504" spans="7:10" x14ac:dyDescent="0.2">
      <c r="G1504" s="22"/>
      <c r="J1504" s="44" t="s">
        <v>12</v>
      </c>
    </row>
    <row r="1505" spans="7:10" x14ac:dyDescent="0.2">
      <c r="G1505" s="22"/>
      <c r="J1505" s="44" t="s">
        <v>12</v>
      </c>
    </row>
    <row r="1506" spans="7:10" x14ac:dyDescent="0.2">
      <c r="G1506" s="22"/>
      <c r="J1506" s="44" t="s">
        <v>12</v>
      </c>
    </row>
    <row r="1507" spans="7:10" x14ac:dyDescent="0.2">
      <c r="G1507" s="22"/>
      <c r="J1507" s="44" t="s">
        <v>12</v>
      </c>
    </row>
    <row r="1508" spans="7:10" x14ac:dyDescent="0.2">
      <c r="G1508" s="22"/>
      <c r="J1508" s="44" t="s">
        <v>12</v>
      </c>
    </row>
    <row r="1509" spans="7:10" x14ac:dyDescent="0.2">
      <c r="G1509" s="22"/>
      <c r="J1509" s="44" t="s">
        <v>12</v>
      </c>
    </row>
    <row r="1510" spans="7:10" x14ac:dyDescent="0.2">
      <c r="G1510" s="22"/>
      <c r="J1510" s="44" t="s">
        <v>12</v>
      </c>
    </row>
    <row r="1511" spans="7:10" x14ac:dyDescent="0.2">
      <c r="G1511" s="22"/>
      <c r="J1511" s="44" t="s">
        <v>12</v>
      </c>
    </row>
    <row r="1512" spans="7:10" x14ac:dyDescent="0.2">
      <c r="G1512" s="22"/>
      <c r="J1512" s="44" t="s">
        <v>12</v>
      </c>
    </row>
    <row r="1513" spans="7:10" x14ac:dyDescent="0.2">
      <c r="G1513" s="22"/>
      <c r="J1513" s="44" t="s">
        <v>12</v>
      </c>
    </row>
    <row r="1514" spans="7:10" x14ac:dyDescent="0.2">
      <c r="G1514" s="22"/>
      <c r="J1514" s="44" t="s">
        <v>12</v>
      </c>
    </row>
    <row r="1515" spans="7:10" x14ac:dyDescent="0.2">
      <c r="G1515" s="22"/>
      <c r="J1515" s="44" t="s">
        <v>12</v>
      </c>
    </row>
    <row r="1516" spans="7:10" x14ac:dyDescent="0.2">
      <c r="G1516" s="22"/>
      <c r="J1516" s="44" t="s">
        <v>12</v>
      </c>
    </row>
    <row r="1517" spans="7:10" x14ac:dyDescent="0.2">
      <c r="G1517" s="22"/>
      <c r="J1517" s="44" t="s">
        <v>12</v>
      </c>
    </row>
    <row r="1518" spans="7:10" x14ac:dyDescent="0.2">
      <c r="G1518" s="22"/>
      <c r="J1518" s="44" t="s">
        <v>12</v>
      </c>
    </row>
    <row r="1519" spans="7:10" x14ac:dyDescent="0.2">
      <c r="G1519" s="22"/>
      <c r="J1519" s="44" t="s">
        <v>12</v>
      </c>
    </row>
    <row r="1520" spans="7:10" x14ac:dyDescent="0.2">
      <c r="G1520" s="22"/>
      <c r="J1520" s="44" t="s">
        <v>12</v>
      </c>
    </row>
    <row r="1521" spans="7:10" x14ac:dyDescent="0.2">
      <c r="G1521" s="22"/>
      <c r="J1521" s="44" t="s">
        <v>12</v>
      </c>
    </row>
    <row r="1522" spans="7:10" x14ac:dyDescent="0.2">
      <c r="G1522" s="22"/>
      <c r="J1522" s="44" t="s">
        <v>12</v>
      </c>
    </row>
    <row r="1523" spans="7:10" x14ac:dyDescent="0.2">
      <c r="G1523" s="22"/>
      <c r="J1523" s="44" t="s">
        <v>12</v>
      </c>
    </row>
    <row r="1524" spans="7:10" x14ac:dyDescent="0.2">
      <c r="G1524" s="22"/>
      <c r="J1524" s="44" t="s">
        <v>12</v>
      </c>
    </row>
    <row r="1525" spans="7:10" x14ac:dyDescent="0.2">
      <c r="G1525" s="22"/>
      <c r="J1525" s="44" t="s">
        <v>12</v>
      </c>
    </row>
    <row r="1526" spans="7:10" x14ac:dyDescent="0.2">
      <c r="G1526" s="22"/>
      <c r="J1526" s="44" t="s">
        <v>12</v>
      </c>
    </row>
    <row r="1527" spans="7:10" x14ac:dyDescent="0.2">
      <c r="G1527" s="22"/>
      <c r="J1527" s="44" t="s">
        <v>12</v>
      </c>
    </row>
    <row r="1528" spans="7:10" x14ac:dyDescent="0.2">
      <c r="G1528" s="22"/>
      <c r="J1528" s="44" t="s">
        <v>12</v>
      </c>
    </row>
    <row r="1529" spans="7:10" x14ac:dyDescent="0.2">
      <c r="G1529" s="22"/>
      <c r="J1529" s="44" t="s">
        <v>12</v>
      </c>
    </row>
    <row r="1530" spans="7:10" x14ac:dyDescent="0.2">
      <c r="G1530" s="22"/>
      <c r="J1530" s="44" t="s">
        <v>12</v>
      </c>
    </row>
    <row r="1531" spans="7:10" x14ac:dyDescent="0.2">
      <c r="G1531" s="22"/>
      <c r="J1531" s="44" t="s">
        <v>12</v>
      </c>
    </row>
    <row r="1532" spans="7:10" x14ac:dyDescent="0.2">
      <c r="G1532" s="22"/>
      <c r="J1532" s="44" t="s">
        <v>12</v>
      </c>
    </row>
    <row r="1533" spans="7:10" x14ac:dyDescent="0.2">
      <c r="G1533" s="22"/>
      <c r="J1533" s="44" t="s">
        <v>12</v>
      </c>
    </row>
    <row r="1534" spans="7:10" x14ac:dyDescent="0.2">
      <c r="G1534" s="22"/>
      <c r="J1534" s="44" t="s">
        <v>12</v>
      </c>
    </row>
    <row r="1535" spans="7:10" x14ac:dyDescent="0.2">
      <c r="G1535" s="22"/>
      <c r="J1535" s="44" t="s">
        <v>12</v>
      </c>
    </row>
    <row r="1536" spans="7:10" x14ac:dyDescent="0.2">
      <c r="G1536" s="22"/>
      <c r="J1536" s="44" t="s">
        <v>12</v>
      </c>
    </row>
    <row r="1537" spans="7:10" x14ac:dyDescent="0.2">
      <c r="G1537" s="22"/>
      <c r="J1537" s="44" t="s">
        <v>12</v>
      </c>
    </row>
    <row r="1538" spans="7:10" x14ac:dyDescent="0.2">
      <c r="G1538" s="22"/>
      <c r="J1538" s="44" t="s">
        <v>12</v>
      </c>
    </row>
    <row r="1539" spans="7:10" x14ac:dyDescent="0.2">
      <c r="G1539" s="22"/>
      <c r="J1539" s="44" t="s">
        <v>12</v>
      </c>
    </row>
    <row r="1540" spans="7:10" x14ac:dyDescent="0.2">
      <c r="G1540" s="22"/>
      <c r="J1540" s="44" t="s">
        <v>12</v>
      </c>
    </row>
    <row r="1541" spans="7:10" x14ac:dyDescent="0.2">
      <c r="G1541" s="22"/>
      <c r="J1541" s="44" t="s">
        <v>12</v>
      </c>
    </row>
    <row r="1542" spans="7:10" x14ac:dyDescent="0.2">
      <c r="G1542" s="22"/>
      <c r="J1542" s="44" t="s">
        <v>12</v>
      </c>
    </row>
    <row r="1543" spans="7:10" x14ac:dyDescent="0.2">
      <c r="G1543" s="22"/>
      <c r="J1543" s="44" t="s">
        <v>12</v>
      </c>
    </row>
    <row r="1544" spans="7:10" x14ac:dyDescent="0.2">
      <c r="G1544" s="22"/>
      <c r="J1544" s="44" t="s">
        <v>12</v>
      </c>
    </row>
    <row r="1545" spans="7:10" x14ac:dyDescent="0.2">
      <c r="G1545" s="22"/>
      <c r="J1545" s="44" t="s">
        <v>12</v>
      </c>
    </row>
    <row r="1546" spans="7:10" x14ac:dyDescent="0.2">
      <c r="G1546" s="22"/>
      <c r="J1546" s="44" t="s">
        <v>12</v>
      </c>
    </row>
    <row r="1547" spans="7:10" x14ac:dyDescent="0.2">
      <c r="G1547" s="22"/>
      <c r="J1547" s="44" t="s">
        <v>12</v>
      </c>
    </row>
    <row r="1548" spans="7:10" x14ac:dyDescent="0.2">
      <c r="G1548" s="22"/>
      <c r="J1548" s="44" t="s">
        <v>12</v>
      </c>
    </row>
    <row r="1549" spans="7:10" x14ac:dyDescent="0.2">
      <c r="G1549" s="22"/>
      <c r="J1549" s="44" t="s">
        <v>12</v>
      </c>
    </row>
    <row r="1550" spans="7:10" x14ac:dyDescent="0.2">
      <c r="G1550" s="22"/>
      <c r="J1550" s="44" t="s">
        <v>12</v>
      </c>
    </row>
    <row r="1551" spans="7:10" x14ac:dyDescent="0.2">
      <c r="G1551" s="22"/>
      <c r="J1551" s="44" t="s">
        <v>12</v>
      </c>
    </row>
    <row r="1552" spans="7:10" x14ac:dyDescent="0.2">
      <c r="G1552" s="22"/>
      <c r="J1552" s="44" t="s">
        <v>12</v>
      </c>
    </row>
    <row r="1553" spans="7:10" x14ac:dyDescent="0.2">
      <c r="G1553" s="22"/>
      <c r="J1553" s="44" t="s">
        <v>12</v>
      </c>
    </row>
    <row r="1554" spans="7:10" x14ac:dyDescent="0.2">
      <c r="G1554" s="22"/>
      <c r="J1554" s="44" t="s">
        <v>12</v>
      </c>
    </row>
    <row r="1555" spans="7:10" x14ac:dyDescent="0.2">
      <c r="G1555" s="22"/>
      <c r="J1555" s="44" t="s">
        <v>12</v>
      </c>
    </row>
    <row r="1556" spans="7:10" x14ac:dyDescent="0.2">
      <c r="G1556" s="22"/>
      <c r="J1556" s="44" t="s">
        <v>12</v>
      </c>
    </row>
    <row r="1557" spans="7:10" x14ac:dyDescent="0.2">
      <c r="G1557" s="22"/>
      <c r="J1557" s="44" t="s">
        <v>12</v>
      </c>
    </row>
    <row r="1558" spans="7:10" x14ac:dyDescent="0.2">
      <c r="G1558" s="22"/>
      <c r="J1558" s="44" t="s">
        <v>12</v>
      </c>
    </row>
    <row r="1559" spans="7:10" x14ac:dyDescent="0.2">
      <c r="G1559" s="22"/>
      <c r="J1559" s="44" t="s">
        <v>12</v>
      </c>
    </row>
    <row r="1560" spans="7:10" x14ac:dyDescent="0.2">
      <c r="G1560" s="22"/>
      <c r="J1560" s="44" t="s">
        <v>12</v>
      </c>
    </row>
    <row r="1561" spans="7:10" x14ac:dyDescent="0.2">
      <c r="G1561" s="22"/>
      <c r="J1561" s="44" t="s">
        <v>12</v>
      </c>
    </row>
    <row r="1562" spans="7:10" x14ac:dyDescent="0.2">
      <c r="G1562" s="22"/>
      <c r="J1562" s="44" t="s">
        <v>12</v>
      </c>
    </row>
    <row r="1563" spans="7:10" x14ac:dyDescent="0.2">
      <c r="G1563" s="22"/>
      <c r="J1563" s="44" t="s">
        <v>12</v>
      </c>
    </row>
    <row r="1564" spans="7:10" x14ac:dyDescent="0.2">
      <c r="G1564" s="22"/>
      <c r="J1564" s="44" t="s">
        <v>12</v>
      </c>
    </row>
    <row r="1565" spans="7:10" x14ac:dyDescent="0.2">
      <c r="G1565" s="22"/>
      <c r="J1565" s="44" t="s">
        <v>12</v>
      </c>
    </row>
    <row r="1566" spans="7:10" x14ac:dyDescent="0.2">
      <c r="G1566" s="22"/>
      <c r="J1566" s="44" t="s">
        <v>12</v>
      </c>
    </row>
    <row r="1567" spans="7:10" x14ac:dyDescent="0.2">
      <c r="G1567" s="22"/>
      <c r="J1567" s="44" t="s">
        <v>12</v>
      </c>
    </row>
    <row r="1568" spans="7:10" x14ac:dyDescent="0.2">
      <c r="G1568" s="22"/>
      <c r="J1568" s="44" t="s">
        <v>12</v>
      </c>
    </row>
    <row r="1569" spans="7:10" x14ac:dyDescent="0.2">
      <c r="G1569" s="22"/>
      <c r="J1569" s="44" t="s">
        <v>12</v>
      </c>
    </row>
    <row r="1570" spans="7:10" x14ac:dyDescent="0.2">
      <c r="G1570" s="22"/>
      <c r="J1570" s="44" t="s">
        <v>12</v>
      </c>
    </row>
    <row r="1571" spans="7:10" x14ac:dyDescent="0.2">
      <c r="G1571" s="22"/>
      <c r="J1571" s="44" t="s">
        <v>12</v>
      </c>
    </row>
    <row r="1572" spans="7:10" x14ac:dyDescent="0.2">
      <c r="G1572" s="22"/>
      <c r="J1572" s="44" t="s">
        <v>12</v>
      </c>
    </row>
    <row r="1573" spans="7:10" x14ac:dyDescent="0.2">
      <c r="G1573" s="22"/>
      <c r="J1573" s="44" t="s">
        <v>12</v>
      </c>
    </row>
    <row r="1574" spans="7:10" x14ac:dyDescent="0.2">
      <c r="G1574" s="22"/>
      <c r="J1574" s="44" t="s">
        <v>12</v>
      </c>
    </row>
    <row r="1575" spans="7:10" x14ac:dyDescent="0.2">
      <c r="G1575" s="22"/>
      <c r="J1575" s="44" t="s">
        <v>12</v>
      </c>
    </row>
    <row r="1576" spans="7:10" x14ac:dyDescent="0.2">
      <c r="G1576" s="22"/>
      <c r="J1576" s="44" t="s">
        <v>12</v>
      </c>
    </row>
    <row r="1577" spans="7:10" x14ac:dyDescent="0.2">
      <c r="G1577" s="22"/>
      <c r="J1577" s="44" t="s">
        <v>12</v>
      </c>
    </row>
    <row r="1578" spans="7:10" x14ac:dyDescent="0.2">
      <c r="G1578" s="22"/>
      <c r="J1578" s="44" t="s">
        <v>12</v>
      </c>
    </row>
    <row r="1579" spans="7:10" x14ac:dyDescent="0.2">
      <c r="G1579" s="22"/>
      <c r="J1579" s="44" t="s">
        <v>12</v>
      </c>
    </row>
    <row r="1580" spans="7:10" x14ac:dyDescent="0.2">
      <c r="G1580" s="22"/>
      <c r="J1580" s="44" t="s">
        <v>12</v>
      </c>
    </row>
    <row r="1581" spans="7:10" x14ac:dyDescent="0.2">
      <c r="G1581" s="22"/>
      <c r="J1581" s="44" t="s">
        <v>12</v>
      </c>
    </row>
    <row r="1582" spans="7:10" x14ac:dyDescent="0.2">
      <c r="G1582" s="22"/>
      <c r="J1582" s="44" t="s">
        <v>12</v>
      </c>
    </row>
    <row r="1583" spans="7:10" x14ac:dyDescent="0.2">
      <c r="G1583" s="22"/>
      <c r="J1583" s="44" t="s">
        <v>12</v>
      </c>
    </row>
    <row r="1584" spans="7:10" x14ac:dyDescent="0.2">
      <c r="G1584" s="22"/>
      <c r="J1584" s="44" t="s">
        <v>12</v>
      </c>
    </row>
    <row r="1585" spans="7:10" x14ac:dyDescent="0.2">
      <c r="G1585" s="22"/>
      <c r="J1585" s="44" t="s">
        <v>12</v>
      </c>
    </row>
    <row r="1586" spans="7:10" x14ac:dyDescent="0.2">
      <c r="G1586" s="22"/>
      <c r="J1586" s="44" t="s">
        <v>12</v>
      </c>
    </row>
    <row r="1587" spans="7:10" x14ac:dyDescent="0.2">
      <c r="G1587" s="22"/>
      <c r="J1587" s="44" t="s">
        <v>12</v>
      </c>
    </row>
    <row r="1588" spans="7:10" x14ac:dyDescent="0.2">
      <c r="G1588" s="22"/>
      <c r="J1588" s="44" t="s">
        <v>12</v>
      </c>
    </row>
    <row r="1589" spans="7:10" x14ac:dyDescent="0.2">
      <c r="G1589" s="22"/>
      <c r="J1589" s="44" t="s">
        <v>12</v>
      </c>
    </row>
    <row r="1590" spans="7:10" x14ac:dyDescent="0.2">
      <c r="G1590" s="22"/>
      <c r="J1590" s="44" t="s">
        <v>12</v>
      </c>
    </row>
    <row r="1591" spans="7:10" x14ac:dyDescent="0.2">
      <c r="G1591" s="22"/>
      <c r="J1591" s="44" t="s">
        <v>12</v>
      </c>
    </row>
    <row r="1592" spans="7:10" x14ac:dyDescent="0.2">
      <c r="G1592" s="22"/>
      <c r="J1592" s="44" t="s">
        <v>12</v>
      </c>
    </row>
    <row r="1593" spans="7:10" x14ac:dyDescent="0.2">
      <c r="G1593" s="22"/>
      <c r="J1593" s="44" t="s">
        <v>12</v>
      </c>
    </row>
    <row r="1594" spans="7:10" x14ac:dyDescent="0.2">
      <c r="G1594" s="22"/>
      <c r="J1594" s="44" t="s">
        <v>12</v>
      </c>
    </row>
    <row r="1595" spans="7:10" x14ac:dyDescent="0.2">
      <c r="G1595" s="22"/>
      <c r="J1595" s="44" t="s">
        <v>12</v>
      </c>
    </row>
    <row r="1596" spans="7:10" x14ac:dyDescent="0.2">
      <c r="G1596" s="22"/>
      <c r="J1596" s="44" t="s">
        <v>12</v>
      </c>
    </row>
    <row r="1597" spans="7:10" x14ac:dyDescent="0.2">
      <c r="G1597" s="22"/>
      <c r="J1597" s="44" t="s">
        <v>12</v>
      </c>
    </row>
    <row r="1598" spans="7:10" x14ac:dyDescent="0.2">
      <c r="G1598" s="22"/>
      <c r="J1598" s="44" t="s">
        <v>12</v>
      </c>
    </row>
    <row r="1599" spans="7:10" x14ac:dyDescent="0.2">
      <c r="G1599" s="22"/>
      <c r="J1599" s="44" t="s">
        <v>12</v>
      </c>
    </row>
    <row r="1600" spans="7:10" x14ac:dyDescent="0.2">
      <c r="G1600" s="22"/>
      <c r="J1600" s="44" t="s">
        <v>12</v>
      </c>
    </row>
    <row r="1601" spans="7:10" x14ac:dyDescent="0.2">
      <c r="G1601" s="22"/>
      <c r="J1601" s="44" t="s">
        <v>12</v>
      </c>
    </row>
    <row r="1602" spans="7:10" x14ac:dyDescent="0.2">
      <c r="G1602" s="22"/>
      <c r="J1602" s="44" t="s">
        <v>12</v>
      </c>
    </row>
    <row r="1603" spans="7:10" x14ac:dyDescent="0.2">
      <c r="G1603" s="22"/>
      <c r="J1603" s="44" t="s">
        <v>12</v>
      </c>
    </row>
    <row r="1604" spans="7:10" x14ac:dyDescent="0.2">
      <c r="G1604" s="22"/>
      <c r="J1604" s="44" t="s">
        <v>12</v>
      </c>
    </row>
    <row r="1605" spans="7:10" x14ac:dyDescent="0.2">
      <c r="G1605" s="22"/>
      <c r="J1605" s="44" t="s">
        <v>12</v>
      </c>
    </row>
    <row r="1606" spans="7:10" x14ac:dyDescent="0.2">
      <c r="G1606" s="22"/>
      <c r="J1606" s="44" t="s">
        <v>12</v>
      </c>
    </row>
    <row r="1607" spans="7:10" x14ac:dyDescent="0.2">
      <c r="G1607" s="22"/>
      <c r="J1607" s="44" t="s">
        <v>12</v>
      </c>
    </row>
    <row r="1608" spans="7:10" x14ac:dyDescent="0.2">
      <c r="G1608" s="22"/>
      <c r="J1608" s="44" t="s">
        <v>12</v>
      </c>
    </row>
    <row r="1609" spans="7:10" x14ac:dyDescent="0.2">
      <c r="G1609" s="22"/>
      <c r="J1609" s="44" t="s">
        <v>12</v>
      </c>
    </row>
    <row r="1610" spans="7:10" x14ac:dyDescent="0.2">
      <c r="G1610" s="22"/>
      <c r="J1610" s="44" t="s">
        <v>12</v>
      </c>
    </row>
    <row r="1611" spans="7:10" x14ac:dyDescent="0.2">
      <c r="G1611" s="22"/>
      <c r="J1611" s="44" t="s">
        <v>12</v>
      </c>
    </row>
    <row r="1612" spans="7:10" x14ac:dyDescent="0.2">
      <c r="G1612" s="22"/>
      <c r="J1612" s="44" t="s">
        <v>12</v>
      </c>
    </row>
    <row r="1613" spans="7:10" x14ac:dyDescent="0.2">
      <c r="G1613" s="22"/>
      <c r="J1613" s="44" t="s">
        <v>12</v>
      </c>
    </row>
    <row r="1614" spans="7:10" x14ac:dyDescent="0.2">
      <c r="G1614" s="22"/>
      <c r="J1614" s="44" t="s">
        <v>12</v>
      </c>
    </row>
    <row r="1615" spans="7:10" x14ac:dyDescent="0.2">
      <c r="G1615" s="22"/>
      <c r="J1615" s="44" t="s">
        <v>12</v>
      </c>
    </row>
    <row r="1616" spans="7:10" x14ac:dyDescent="0.2">
      <c r="G1616" s="22"/>
      <c r="J1616" s="44" t="s">
        <v>12</v>
      </c>
    </row>
    <row r="1617" spans="7:10" x14ac:dyDescent="0.2">
      <c r="G1617" s="22"/>
      <c r="J1617" s="44" t="s">
        <v>12</v>
      </c>
    </row>
    <row r="1618" spans="7:10" x14ac:dyDescent="0.2">
      <c r="G1618" s="22"/>
      <c r="J1618" s="44" t="s">
        <v>12</v>
      </c>
    </row>
    <row r="1619" spans="7:10" x14ac:dyDescent="0.2">
      <c r="G1619" s="22"/>
      <c r="J1619" s="44" t="s">
        <v>12</v>
      </c>
    </row>
    <row r="1620" spans="7:10" x14ac:dyDescent="0.2">
      <c r="G1620" s="22"/>
      <c r="J1620" s="44" t="s">
        <v>12</v>
      </c>
    </row>
    <row r="1621" spans="7:10" x14ac:dyDescent="0.2">
      <c r="G1621" s="22"/>
      <c r="J1621" s="44" t="s">
        <v>12</v>
      </c>
    </row>
    <row r="1622" spans="7:10" x14ac:dyDescent="0.2">
      <c r="G1622" s="22"/>
      <c r="J1622" s="44" t="s">
        <v>12</v>
      </c>
    </row>
    <row r="1623" spans="7:10" x14ac:dyDescent="0.2">
      <c r="G1623" s="22"/>
      <c r="J1623" s="44" t="s">
        <v>12</v>
      </c>
    </row>
    <row r="1624" spans="7:10" x14ac:dyDescent="0.2">
      <c r="G1624" s="22"/>
      <c r="J1624" s="44" t="s">
        <v>12</v>
      </c>
    </row>
    <row r="1625" spans="7:10" x14ac:dyDescent="0.2">
      <c r="G1625" s="22"/>
      <c r="J1625" s="44" t="s">
        <v>12</v>
      </c>
    </row>
    <row r="1626" spans="7:10" x14ac:dyDescent="0.2">
      <c r="G1626" s="22"/>
      <c r="J1626" s="44" t="s">
        <v>12</v>
      </c>
    </row>
    <row r="1627" spans="7:10" x14ac:dyDescent="0.2">
      <c r="G1627" s="22"/>
      <c r="J1627" s="44" t="s">
        <v>12</v>
      </c>
    </row>
    <row r="1628" spans="7:10" x14ac:dyDescent="0.2">
      <c r="G1628" s="22"/>
      <c r="J1628" s="44" t="s">
        <v>12</v>
      </c>
    </row>
    <row r="1629" spans="7:10" x14ac:dyDescent="0.2">
      <c r="G1629" s="22"/>
      <c r="J1629" s="44" t="s">
        <v>12</v>
      </c>
    </row>
    <row r="1630" spans="7:10" x14ac:dyDescent="0.2">
      <c r="G1630" s="22"/>
      <c r="J1630" s="44" t="s">
        <v>12</v>
      </c>
    </row>
    <row r="1631" spans="7:10" x14ac:dyDescent="0.2">
      <c r="G1631" s="22"/>
      <c r="J1631" s="44" t="s">
        <v>12</v>
      </c>
    </row>
    <row r="1632" spans="7:10" x14ac:dyDescent="0.2">
      <c r="G1632" s="22"/>
      <c r="J1632" s="44" t="s">
        <v>12</v>
      </c>
    </row>
    <row r="1633" spans="7:10" x14ac:dyDescent="0.2">
      <c r="G1633" s="22"/>
      <c r="J1633" s="44" t="s">
        <v>12</v>
      </c>
    </row>
    <row r="1634" spans="7:10" x14ac:dyDescent="0.2">
      <c r="G1634" s="22"/>
      <c r="J1634" s="44" t="s">
        <v>12</v>
      </c>
    </row>
    <row r="1635" spans="7:10" x14ac:dyDescent="0.2">
      <c r="G1635" s="22"/>
      <c r="J1635" s="44" t="s">
        <v>12</v>
      </c>
    </row>
    <row r="1636" spans="7:10" x14ac:dyDescent="0.2">
      <c r="G1636" s="22"/>
      <c r="J1636" s="44" t="s">
        <v>12</v>
      </c>
    </row>
    <row r="1637" spans="7:10" x14ac:dyDescent="0.2">
      <c r="G1637" s="22"/>
      <c r="J1637" s="44" t="s">
        <v>12</v>
      </c>
    </row>
    <row r="1638" spans="7:10" x14ac:dyDescent="0.2">
      <c r="G1638" s="22"/>
      <c r="J1638" s="44" t="s">
        <v>12</v>
      </c>
    </row>
    <row r="1639" spans="7:10" x14ac:dyDescent="0.2">
      <c r="G1639" s="22"/>
      <c r="J1639" s="44" t="s">
        <v>12</v>
      </c>
    </row>
    <row r="1640" spans="7:10" x14ac:dyDescent="0.2">
      <c r="G1640" s="22"/>
      <c r="J1640" s="44" t="s">
        <v>12</v>
      </c>
    </row>
    <row r="1641" spans="7:10" x14ac:dyDescent="0.2">
      <c r="G1641" s="22"/>
      <c r="J1641" s="44" t="s">
        <v>12</v>
      </c>
    </row>
    <row r="1642" spans="7:10" x14ac:dyDescent="0.2">
      <c r="G1642" s="22"/>
      <c r="J1642" s="44" t="s">
        <v>12</v>
      </c>
    </row>
    <row r="1643" spans="7:10" x14ac:dyDescent="0.2">
      <c r="G1643" s="22"/>
      <c r="J1643" s="44" t="s">
        <v>12</v>
      </c>
    </row>
    <row r="1644" spans="7:10" x14ac:dyDescent="0.2">
      <c r="G1644" s="22"/>
      <c r="J1644" s="44" t="s">
        <v>12</v>
      </c>
    </row>
    <row r="1645" spans="7:10" x14ac:dyDescent="0.2">
      <c r="G1645" s="22"/>
      <c r="J1645" s="44" t="s">
        <v>12</v>
      </c>
    </row>
    <row r="1646" spans="7:10" x14ac:dyDescent="0.2">
      <c r="G1646" s="22"/>
      <c r="J1646" s="44" t="s">
        <v>12</v>
      </c>
    </row>
    <row r="1647" spans="7:10" x14ac:dyDescent="0.2">
      <c r="G1647" s="22"/>
      <c r="J1647" s="44" t="s">
        <v>12</v>
      </c>
    </row>
    <row r="1648" spans="7:10" x14ac:dyDescent="0.2">
      <c r="G1648" s="22"/>
      <c r="J1648" s="44" t="s">
        <v>12</v>
      </c>
    </row>
    <row r="1649" spans="7:10" x14ac:dyDescent="0.2">
      <c r="G1649" s="22"/>
      <c r="J1649" s="44" t="s">
        <v>12</v>
      </c>
    </row>
    <row r="1650" spans="7:10" x14ac:dyDescent="0.2">
      <c r="G1650" s="22"/>
      <c r="J1650" s="44" t="s">
        <v>12</v>
      </c>
    </row>
    <row r="1651" spans="7:10" x14ac:dyDescent="0.2">
      <c r="G1651" s="22"/>
      <c r="J1651" s="44" t="s">
        <v>12</v>
      </c>
    </row>
    <row r="1652" spans="7:10" x14ac:dyDescent="0.2">
      <c r="G1652" s="22"/>
      <c r="J1652" s="44" t="s">
        <v>12</v>
      </c>
    </row>
    <row r="1653" spans="7:10" x14ac:dyDescent="0.2">
      <c r="G1653" s="22"/>
      <c r="J1653" s="44" t="s">
        <v>12</v>
      </c>
    </row>
    <row r="1654" spans="7:10" x14ac:dyDescent="0.2">
      <c r="G1654" s="22"/>
      <c r="J1654" s="44" t="s">
        <v>12</v>
      </c>
    </row>
    <row r="1655" spans="7:10" x14ac:dyDescent="0.2">
      <c r="G1655" s="22"/>
      <c r="J1655" s="44" t="s">
        <v>12</v>
      </c>
    </row>
    <row r="1656" spans="7:10" x14ac:dyDescent="0.2">
      <c r="G1656" s="22"/>
      <c r="J1656" s="44" t="s">
        <v>12</v>
      </c>
    </row>
    <row r="1657" spans="7:10" x14ac:dyDescent="0.2">
      <c r="G1657" s="22"/>
      <c r="J1657" s="44" t="s">
        <v>12</v>
      </c>
    </row>
    <row r="1658" spans="7:10" x14ac:dyDescent="0.2">
      <c r="G1658" s="22"/>
      <c r="J1658" s="44" t="s">
        <v>12</v>
      </c>
    </row>
    <row r="1659" spans="7:10" x14ac:dyDescent="0.2">
      <c r="G1659" s="22"/>
      <c r="J1659" s="44" t="s">
        <v>12</v>
      </c>
    </row>
    <row r="1660" spans="7:10" x14ac:dyDescent="0.2">
      <c r="G1660" s="22"/>
      <c r="J1660" s="44" t="s">
        <v>12</v>
      </c>
    </row>
    <row r="1661" spans="7:10" x14ac:dyDescent="0.2">
      <c r="G1661" s="22"/>
      <c r="J1661" s="44" t="s">
        <v>12</v>
      </c>
    </row>
    <row r="1662" spans="7:10" x14ac:dyDescent="0.2">
      <c r="G1662" s="22"/>
      <c r="J1662" s="44" t="s">
        <v>12</v>
      </c>
    </row>
    <row r="1663" spans="7:10" x14ac:dyDescent="0.2">
      <c r="G1663" s="22"/>
      <c r="J1663" s="44" t="s">
        <v>12</v>
      </c>
    </row>
    <row r="1664" spans="7:10" x14ac:dyDescent="0.2">
      <c r="G1664" s="22"/>
      <c r="J1664" s="44" t="s">
        <v>12</v>
      </c>
    </row>
    <row r="1665" spans="7:10" x14ac:dyDescent="0.2">
      <c r="G1665" s="22"/>
      <c r="J1665" s="44" t="s">
        <v>12</v>
      </c>
    </row>
    <row r="1666" spans="7:10" x14ac:dyDescent="0.2">
      <c r="G1666" s="22"/>
      <c r="J1666" s="44" t="s">
        <v>12</v>
      </c>
    </row>
    <row r="1667" spans="7:10" x14ac:dyDescent="0.2">
      <c r="G1667" s="22"/>
      <c r="J1667" s="44" t="s">
        <v>12</v>
      </c>
    </row>
    <row r="1668" spans="7:10" x14ac:dyDescent="0.2">
      <c r="G1668" s="22"/>
      <c r="J1668" s="44" t="s">
        <v>12</v>
      </c>
    </row>
    <row r="1669" spans="7:10" x14ac:dyDescent="0.2">
      <c r="G1669" s="22"/>
      <c r="J1669" s="44" t="s">
        <v>12</v>
      </c>
    </row>
    <row r="1670" spans="7:10" x14ac:dyDescent="0.2">
      <c r="G1670" s="22"/>
      <c r="J1670" s="44" t="s">
        <v>12</v>
      </c>
    </row>
    <row r="1671" spans="7:10" x14ac:dyDescent="0.2">
      <c r="G1671" s="22"/>
      <c r="J1671" s="44" t="s">
        <v>12</v>
      </c>
    </row>
    <row r="1672" spans="7:10" x14ac:dyDescent="0.2">
      <c r="G1672" s="22"/>
      <c r="J1672" s="44" t="s">
        <v>12</v>
      </c>
    </row>
    <row r="1673" spans="7:10" x14ac:dyDescent="0.2">
      <c r="G1673" s="22"/>
      <c r="J1673" s="44" t="s">
        <v>12</v>
      </c>
    </row>
    <row r="1674" spans="7:10" x14ac:dyDescent="0.2">
      <c r="G1674" s="22"/>
      <c r="J1674" s="44" t="s">
        <v>12</v>
      </c>
    </row>
    <row r="1675" spans="7:10" x14ac:dyDescent="0.2">
      <c r="G1675" s="22"/>
      <c r="J1675" s="44" t="s">
        <v>12</v>
      </c>
    </row>
    <row r="1676" spans="7:10" x14ac:dyDescent="0.2">
      <c r="G1676" s="22"/>
      <c r="J1676" s="44" t="s">
        <v>12</v>
      </c>
    </row>
    <row r="1677" spans="7:10" x14ac:dyDescent="0.2">
      <c r="G1677" s="22"/>
      <c r="J1677" s="44" t="s">
        <v>12</v>
      </c>
    </row>
    <row r="1678" spans="7:10" x14ac:dyDescent="0.2">
      <c r="G1678" s="22"/>
      <c r="J1678" s="44" t="s">
        <v>12</v>
      </c>
    </row>
    <row r="1679" spans="7:10" x14ac:dyDescent="0.2">
      <c r="G1679" s="22"/>
      <c r="J1679" s="44" t="s">
        <v>12</v>
      </c>
    </row>
    <row r="1680" spans="7:10" x14ac:dyDescent="0.2">
      <c r="G1680" s="22"/>
      <c r="J1680" s="44" t="s">
        <v>12</v>
      </c>
    </row>
    <row r="1681" spans="7:10" x14ac:dyDescent="0.2">
      <c r="G1681" s="22"/>
      <c r="J1681" s="44" t="s">
        <v>12</v>
      </c>
    </row>
    <row r="1682" spans="7:10" x14ac:dyDescent="0.2">
      <c r="G1682" s="22"/>
      <c r="J1682" s="44" t="s">
        <v>12</v>
      </c>
    </row>
    <row r="1683" spans="7:10" x14ac:dyDescent="0.2">
      <c r="G1683" s="22"/>
      <c r="J1683" s="44" t="s">
        <v>12</v>
      </c>
    </row>
    <row r="1684" spans="7:10" x14ac:dyDescent="0.2">
      <c r="G1684" s="22"/>
      <c r="J1684" s="44" t="s">
        <v>12</v>
      </c>
    </row>
    <row r="1685" spans="7:10" x14ac:dyDescent="0.2">
      <c r="G1685" s="22"/>
      <c r="J1685" s="44" t="s">
        <v>12</v>
      </c>
    </row>
    <row r="1686" spans="7:10" x14ac:dyDescent="0.2">
      <c r="G1686" s="22"/>
      <c r="J1686" s="44" t="s">
        <v>12</v>
      </c>
    </row>
    <row r="1687" spans="7:10" x14ac:dyDescent="0.2">
      <c r="G1687" s="22"/>
      <c r="J1687" s="44" t="s">
        <v>12</v>
      </c>
    </row>
    <row r="1688" spans="7:10" x14ac:dyDescent="0.2">
      <c r="G1688" s="22"/>
      <c r="J1688" s="44" t="s">
        <v>12</v>
      </c>
    </row>
    <row r="1689" spans="7:10" x14ac:dyDescent="0.2">
      <c r="G1689" s="22"/>
      <c r="J1689" s="44" t="s">
        <v>12</v>
      </c>
    </row>
    <row r="1690" spans="7:10" x14ac:dyDescent="0.2">
      <c r="G1690" s="22"/>
      <c r="J1690" s="44" t="s">
        <v>12</v>
      </c>
    </row>
    <row r="1691" spans="7:10" x14ac:dyDescent="0.2">
      <c r="G1691" s="22"/>
      <c r="J1691" s="44" t="s">
        <v>12</v>
      </c>
    </row>
    <row r="1692" spans="7:10" x14ac:dyDescent="0.2">
      <c r="G1692" s="22"/>
      <c r="J1692" s="44" t="s">
        <v>12</v>
      </c>
    </row>
    <row r="1693" spans="7:10" x14ac:dyDescent="0.2">
      <c r="G1693" s="22"/>
      <c r="J1693" s="44" t="s">
        <v>12</v>
      </c>
    </row>
    <row r="1694" spans="7:10" x14ac:dyDescent="0.2">
      <c r="G1694" s="22"/>
      <c r="J1694" s="44" t="s">
        <v>12</v>
      </c>
    </row>
    <row r="1695" spans="7:10" x14ac:dyDescent="0.2">
      <c r="G1695" s="22"/>
      <c r="J1695" s="44" t="s">
        <v>12</v>
      </c>
    </row>
    <row r="1696" spans="7:10" x14ac:dyDescent="0.2">
      <c r="G1696" s="22"/>
      <c r="J1696" s="44" t="s">
        <v>12</v>
      </c>
    </row>
    <row r="1697" spans="7:10" x14ac:dyDescent="0.2">
      <c r="G1697" s="22"/>
      <c r="J1697" s="44" t="s">
        <v>12</v>
      </c>
    </row>
    <row r="1698" spans="7:10" x14ac:dyDescent="0.2">
      <c r="G1698" s="22"/>
      <c r="J1698" s="44" t="s">
        <v>12</v>
      </c>
    </row>
    <row r="1699" spans="7:10" x14ac:dyDescent="0.2">
      <c r="G1699" s="22"/>
      <c r="J1699" s="44" t="s">
        <v>12</v>
      </c>
    </row>
    <row r="1700" spans="7:10" x14ac:dyDescent="0.2">
      <c r="G1700" s="22"/>
      <c r="J1700" s="44" t="s">
        <v>12</v>
      </c>
    </row>
    <row r="1701" spans="7:10" x14ac:dyDescent="0.2">
      <c r="G1701" s="22"/>
      <c r="J1701" s="44" t="s">
        <v>12</v>
      </c>
    </row>
    <row r="1702" spans="7:10" x14ac:dyDescent="0.2">
      <c r="G1702" s="22"/>
      <c r="J1702" s="44" t="s">
        <v>12</v>
      </c>
    </row>
    <row r="1703" spans="7:10" x14ac:dyDescent="0.2">
      <c r="G1703" s="22"/>
      <c r="J1703" s="44" t="s">
        <v>12</v>
      </c>
    </row>
    <row r="1704" spans="7:10" x14ac:dyDescent="0.2">
      <c r="G1704" s="22"/>
      <c r="J1704" s="44" t="s">
        <v>12</v>
      </c>
    </row>
    <row r="1705" spans="7:10" x14ac:dyDescent="0.2">
      <c r="G1705" s="22"/>
      <c r="J1705" s="44" t="s">
        <v>12</v>
      </c>
    </row>
    <row r="1706" spans="7:10" x14ac:dyDescent="0.2">
      <c r="G1706" s="22"/>
      <c r="J1706" s="44" t="s">
        <v>12</v>
      </c>
    </row>
    <row r="1707" spans="7:10" x14ac:dyDescent="0.2">
      <c r="G1707" s="22"/>
      <c r="J1707" s="44" t="s">
        <v>12</v>
      </c>
    </row>
    <row r="1708" spans="7:10" x14ac:dyDescent="0.2">
      <c r="G1708" s="22"/>
      <c r="J1708" s="44" t="s">
        <v>12</v>
      </c>
    </row>
    <row r="1709" spans="7:10" x14ac:dyDescent="0.2">
      <c r="G1709" s="22"/>
      <c r="J1709" s="44" t="s">
        <v>12</v>
      </c>
    </row>
    <row r="1710" spans="7:10" x14ac:dyDescent="0.2">
      <c r="G1710" s="22"/>
      <c r="J1710" s="44" t="s">
        <v>12</v>
      </c>
    </row>
    <row r="1711" spans="7:10" x14ac:dyDescent="0.2">
      <c r="G1711" s="22"/>
      <c r="J1711" s="44" t="s">
        <v>12</v>
      </c>
    </row>
    <row r="1712" spans="7:10" x14ac:dyDescent="0.2">
      <c r="G1712" s="22"/>
      <c r="J1712" s="44" t="s">
        <v>12</v>
      </c>
    </row>
    <row r="1713" spans="7:10" x14ac:dyDescent="0.2">
      <c r="G1713" s="22"/>
      <c r="J1713" s="44" t="s">
        <v>12</v>
      </c>
    </row>
    <row r="1714" spans="7:10" x14ac:dyDescent="0.2">
      <c r="G1714" s="22"/>
      <c r="J1714" s="44" t="s">
        <v>12</v>
      </c>
    </row>
    <row r="1715" spans="7:10" x14ac:dyDescent="0.2">
      <c r="G1715" s="22"/>
      <c r="J1715" s="44" t="s">
        <v>12</v>
      </c>
    </row>
    <row r="1716" spans="7:10" x14ac:dyDescent="0.2">
      <c r="G1716" s="22"/>
      <c r="J1716" s="44" t="s">
        <v>12</v>
      </c>
    </row>
    <row r="1717" spans="7:10" x14ac:dyDescent="0.2">
      <c r="G1717" s="22"/>
      <c r="J1717" s="44" t="s">
        <v>12</v>
      </c>
    </row>
    <row r="1718" spans="7:10" x14ac:dyDescent="0.2">
      <c r="G1718" s="22"/>
      <c r="J1718" s="44" t="s">
        <v>12</v>
      </c>
    </row>
    <row r="1719" spans="7:10" x14ac:dyDescent="0.2">
      <c r="G1719" s="22"/>
      <c r="J1719" s="44" t="s">
        <v>12</v>
      </c>
    </row>
    <row r="1720" spans="7:10" x14ac:dyDescent="0.2">
      <c r="G1720" s="22"/>
      <c r="J1720" s="44" t="s">
        <v>12</v>
      </c>
    </row>
    <row r="1721" spans="7:10" x14ac:dyDescent="0.2">
      <c r="G1721" s="22"/>
      <c r="J1721" s="44" t="s">
        <v>12</v>
      </c>
    </row>
    <row r="1722" spans="7:10" x14ac:dyDescent="0.2">
      <c r="G1722" s="22"/>
      <c r="J1722" s="44" t="s">
        <v>12</v>
      </c>
    </row>
    <row r="1723" spans="7:10" x14ac:dyDescent="0.2">
      <c r="G1723" s="22"/>
      <c r="J1723" s="44" t="s">
        <v>12</v>
      </c>
    </row>
    <row r="1724" spans="7:10" x14ac:dyDescent="0.2">
      <c r="G1724" s="22"/>
      <c r="J1724" s="44" t="s">
        <v>12</v>
      </c>
    </row>
    <row r="1725" spans="7:10" x14ac:dyDescent="0.2">
      <c r="G1725" s="22"/>
      <c r="J1725" s="44" t="s">
        <v>12</v>
      </c>
    </row>
    <row r="1726" spans="7:10" x14ac:dyDescent="0.2">
      <c r="G1726" s="22"/>
      <c r="J1726" s="44" t="s">
        <v>12</v>
      </c>
    </row>
    <row r="1727" spans="7:10" x14ac:dyDescent="0.2">
      <c r="G1727" s="22"/>
      <c r="J1727" s="44" t="s">
        <v>12</v>
      </c>
    </row>
    <row r="1728" spans="7:10" x14ac:dyDescent="0.2">
      <c r="G1728" s="22"/>
      <c r="J1728" s="44" t="s">
        <v>12</v>
      </c>
    </row>
    <row r="1729" spans="7:10" x14ac:dyDescent="0.2">
      <c r="G1729" s="22"/>
      <c r="J1729" s="44" t="s">
        <v>12</v>
      </c>
    </row>
    <row r="1730" spans="7:10" x14ac:dyDescent="0.2">
      <c r="G1730" s="22"/>
      <c r="J1730" s="44" t="s">
        <v>12</v>
      </c>
    </row>
    <row r="1731" spans="7:10" x14ac:dyDescent="0.2">
      <c r="G1731" s="22"/>
      <c r="J1731" s="44" t="s">
        <v>12</v>
      </c>
    </row>
    <row r="1732" spans="7:10" x14ac:dyDescent="0.2">
      <c r="G1732" s="22"/>
      <c r="J1732" s="44" t="s">
        <v>12</v>
      </c>
    </row>
    <row r="1733" spans="7:10" x14ac:dyDescent="0.2">
      <c r="G1733" s="22"/>
      <c r="J1733" s="44" t="s">
        <v>12</v>
      </c>
    </row>
    <row r="1734" spans="7:10" x14ac:dyDescent="0.2">
      <c r="G1734" s="22"/>
      <c r="J1734" s="44" t="s">
        <v>12</v>
      </c>
    </row>
    <row r="1735" spans="7:10" x14ac:dyDescent="0.2">
      <c r="G1735" s="22"/>
      <c r="J1735" s="44" t="s">
        <v>12</v>
      </c>
    </row>
    <row r="1736" spans="7:10" x14ac:dyDescent="0.2">
      <c r="G1736" s="22"/>
      <c r="J1736" s="44" t="s">
        <v>12</v>
      </c>
    </row>
    <row r="1737" spans="7:10" x14ac:dyDescent="0.2">
      <c r="G1737" s="22"/>
      <c r="J1737" s="44" t="s">
        <v>12</v>
      </c>
    </row>
    <row r="1738" spans="7:10" x14ac:dyDescent="0.2">
      <c r="G1738" s="22"/>
      <c r="J1738" s="44" t="s">
        <v>12</v>
      </c>
    </row>
    <row r="1739" spans="7:10" x14ac:dyDescent="0.2">
      <c r="G1739" s="22"/>
      <c r="J1739" s="44" t="s">
        <v>12</v>
      </c>
    </row>
    <row r="1740" spans="7:10" x14ac:dyDescent="0.2">
      <c r="G1740" s="22"/>
      <c r="J1740" s="44" t="s">
        <v>12</v>
      </c>
    </row>
    <row r="1741" spans="7:10" x14ac:dyDescent="0.2">
      <c r="G1741" s="22"/>
      <c r="J1741" s="44" t="s">
        <v>12</v>
      </c>
    </row>
    <row r="1742" spans="7:10" x14ac:dyDescent="0.2">
      <c r="G1742" s="22"/>
      <c r="J1742" s="44" t="s">
        <v>12</v>
      </c>
    </row>
    <row r="1743" spans="7:10" x14ac:dyDescent="0.2">
      <c r="G1743" s="22"/>
      <c r="J1743" s="44" t="s">
        <v>12</v>
      </c>
    </row>
    <row r="1744" spans="7:10" x14ac:dyDescent="0.2">
      <c r="G1744" s="22"/>
      <c r="J1744" s="44" t="s">
        <v>12</v>
      </c>
    </row>
    <row r="1745" spans="7:10" x14ac:dyDescent="0.2">
      <c r="G1745" s="22"/>
      <c r="J1745" s="44" t="s">
        <v>12</v>
      </c>
    </row>
    <row r="1746" spans="7:10" x14ac:dyDescent="0.2">
      <c r="G1746" s="22"/>
      <c r="J1746" s="44" t="s">
        <v>12</v>
      </c>
    </row>
    <row r="1747" spans="7:10" x14ac:dyDescent="0.2">
      <c r="G1747" s="22"/>
      <c r="J1747" s="44" t="s">
        <v>12</v>
      </c>
    </row>
    <row r="1748" spans="7:10" x14ac:dyDescent="0.2">
      <c r="G1748" s="22"/>
      <c r="J1748" s="44" t="s">
        <v>12</v>
      </c>
    </row>
    <row r="1749" spans="7:10" x14ac:dyDescent="0.2">
      <c r="G1749" s="22"/>
      <c r="J1749" s="44" t="s">
        <v>12</v>
      </c>
    </row>
    <row r="1750" spans="7:10" x14ac:dyDescent="0.2">
      <c r="G1750" s="22"/>
      <c r="J1750" s="44" t="s">
        <v>12</v>
      </c>
    </row>
    <row r="1751" spans="7:10" x14ac:dyDescent="0.2">
      <c r="G1751" s="22"/>
      <c r="J1751" s="44" t="s">
        <v>12</v>
      </c>
    </row>
    <row r="1752" spans="7:10" x14ac:dyDescent="0.2">
      <c r="G1752" s="22"/>
      <c r="J1752" s="44" t="s">
        <v>12</v>
      </c>
    </row>
    <row r="1753" spans="7:10" x14ac:dyDescent="0.2">
      <c r="G1753" s="22"/>
      <c r="J1753" s="44" t="s">
        <v>12</v>
      </c>
    </row>
    <row r="1754" spans="7:10" x14ac:dyDescent="0.2">
      <c r="G1754" s="22"/>
      <c r="J1754" s="44" t="s">
        <v>12</v>
      </c>
    </row>
    <row r="1755" spans="7:10" x14ac:dyDescent="0.2">
      <c r="G1755" s="22"/>
      <c r="J1755" s="44" t="s">
        <v>12</v>
      </c>
    </row>
    <row r="1756" spans="7:10" x14ac:dyDescent="0.2">
      <c r="G1756" s="22"/>
      <c r="J1756" s="44" t="s">
        <v>12</v>
      </c>
    </row>
    <row r="1757" spans="7:10" x14ac:dyDescent="0.2">
      <c r="G1757" s="22"/>
      <c r="J1757" s="44" t="s">
        <v>12</v>
      </c>
    </row>
    <row r="1758" spans="7:10" x14ac:dyDescent="0.2">
      <c r="G1758" s="22"/>
      <c r="J1758" s="44" t="s">
        <v>12</v>
      </c>
    </row>
    <row r="1759" spans="7:10" x14ac:dyDescent="0.2">
      <c r="G1759" s="22"/>
      <c r="J1759" s="44" t="s">
        <v>12</v>
      </c>
    </row>
    <row r="1760" spans="7:10" x14ac:dyDescent="0.2">
      <c r="G1760" s="22"/>
      <c r="J1760" s="44" t="s">
        <v>12</v>
      </c>
    </row>
    <row r="1761" spans="7:10" x14ac:dyDescent="0.2">
      <c r="G1761" s="22"/>
      <c r="J1761" s="44" t="s">
        <v>12</v>
      </c>
    </row>
    <row r="1762" spans="7:10" x14ac:dyDescent="0.2">
      <c r="G1762" s="22"/>
      <c r="J1762" s="44" t="s">
        <v>12</v>
      </c>
    </row>
    <row r="1763" spans="7:10" x14ac:dyDescent="0.2">
      <c r="G1763" s="22"/>
      <c r="J1763" s="44" t="s">
        <v>12</v>
      </c>
    </row>
    <row r="1764" spans="7:10" x14ac:dyDescent="0.2">
      <c r="G1764" s="22"/>
      <c r="J1764" s="44" t="s">
        <v>12</v>
      </c>
    </row>
    <row r="1765" spans="7:10" x14ac:dyDescent="0.2">
      <c r="G1765" s="22"/>
      <c r="J1765" s="44" t="s">
        <v>12</v>
      </c>
    </row>
    <row r="1766" spans="7:10" x14ac:dyDescent="0.2">
      <c r="G1766" s="22"/>
      <c r="J1766" s="44" t="s">
        <v>12</v>
      </c>
    </row>
    <row r="1767" spans="7:10" x14ac:dyDescent="0.2">
      <c r="G1767" s="22"/>
      <c r="J1767" s="44" t="s">
        <v>12</v>
      </c>
    </row>
    <row r="1768" spans="7:10" x14ac:dyDescent="0.2">
      <c r="G1768" s="22"/>
      <c r="J1768" s="44" t="s">
        <v>12</v>
      </c>
    </row>
    <row r="1769" spans="7:10" x14ac:dyDescent="0.2">
      <c r="G1769" s="22"/>
      <c r="J1769" s="44" t="s">
        <v>12</v>
      </c>
    </row>
    <row r="1770" spans="7:10" x14ac:dyDescent="0.2">
      <c r="G1770" s="22"/>
      <c r="J1770" s="44" t="s">
        <v>12</v>
      </c>
    </row>
    <row r="1771" spans="7:10" x14ac:dyDescent="0.2">
      <c r="G1771" s="22"/>
      <c r="J1771" s="44" t="s">
        <v>12</v>
      </c>
    </row>
    <row r="1772" spans="7:10" x14ac:dyDescent="0.2">
      <c r="G1772" s="22"/>
      <c r="J1772" s="44" t="s">
        <v>12</v>
      </c>
    </row>
    <row r="1773" spans="7:10" x14ac:dyDescent="0.2">
      <c r="G1773" s="22"/>
      <c r="J1773" s="44" t="s">
        <v>12</v>
      </c>
    </row>
    <row r="1774" spans="7:10" x14ac:dyDescent="0.2">
      <c r="G1774" s="22"/>
      <c r="J1774" s="44" t="s">
        <v>12</v>
      </c>
    </row>
    <row r="1775" spans="7:10" x14ac:dyDescent="0.2">
      <c r="G1775" s="22"/>
      <c r="J1775" s="44" t="s">
        <v>12</v>
      </c>
    </row>
    <row r="1776" spans="7:10" x14ac:dyDescent="0.2">
      <c r="G1776" s="22"/>
      <c r="J1776" s="44" t="s">
        <v>12</v>
      </c>
    </row>
    <row r="1777" spans="7:10" x14ac:dyDescent="0.2">
      <c r="G1777" s="22"/>
      <c r="J1777" s="44" t="s">
        <v>12</v>
      </c>
    </row>
    <row r="1778" spans="7:10" x14ac:dyDescent="0.2">
      <c r="G1778" s="22"/>
      <c r="J1778" s="44" t="s">
        <v>12</v>
      </c>
    </row>
    <row r="1779" spans="7:10" x14ac:dyDescent="0.2">
      <c r="G1779" s="22"/>
      <c r="J1779" s="44" t="s">
        <v>12</v>
      </c>
    </row>
    <row r="1780" spans="7:10" x14ac:dyDescent="0.2">
      <c r="G1780" s="22"/>
      <c r="J1780" s="44" t="s">
        <v>12</v>
      </c>
    </row>
    <row r="1781" spans="7:10" x14ac:dyDescent="0.2">
      <c r="G1781" s="22"/>
      <c r="J1781" s="44" t="s">
        <v>12</v>
      </c>
    </row>
    <row r="1782" spans="7:10" x14ac:dyDescent="0.2">
      <c r="G1782" s="22"/>
      <c r="J1782" s="44" t="s">
        <v>12</v>
      </c>
    </row>
    <row r="1783" spans="7:10" x14ac:dyDescent="0.2">
      <c r="G1783" s="22"/>
      <c r="J1783" s="44" t="s">
        <v>12</v>
      </c>
    </row>
    <row r="1784" spans="7:10" x14ac:dyDescent="0.2">
      <c r="G1784" s="22"/>
      <c r="J1784" s="44" t="s">
        <v>12</v>
      </c>
    </row>
    <row r="1785" spans="7:10" x14ac:dyDescent="0.2">
      <c r="G1785" s="22"/>
      <c r="J1785" s="44" t="s">
        <v>12</v>
      </c>
    </row>
    <row r="1786" spans="7:10" x14ac:dyDescent="0.2">
      <c r="G1786" s="22"/>
      <c r="J1786" s="44" t="s">
        <v>12</v>
      </c>
    </row>
    <row r="1787" spans="7:10" x14ac:dyDescent="0.2">
      <c r="G1787" s="22"/>
      <c r="J1787" s="44" t="s">
        <v>12</v>
      </c>
    </row>
    <row r="1788" spans="7:10" x14ac:dyDescent="0.2">
      <c r="G1788" s="22"/>
      <c r="J1788" s="44" t="s">
        <v>12</v>
      </c>
    </row>
    <row r="1789" spans="7:10" x14ac:dyDescent="0.2">
      <c r="G1789" s="22"/>
      <c r="J1789" s="44" t="s">
        <v>12</v>
      </c>
    </row>
    <row r="1790" spans="7:10" x14ac:dyDescent="0.2">
      <c r="G1790" s="22"/>
      <c r="J1790" s="44" t="s">
        <v>12</v>
      </c>
    </row>
    <row r="1791" spans="7:10" x14ac:dyDescent="0.2">
      <c r="G1791" s="22"/>
      <c r="J1791" s="44" t="s">
        <v>12</v>
      </c>
    </row>
    <row r="1792" spans="7:10" x14ac:dyDescent="0.2">
      <c r="G1792" s="22"/>
      <c r="J1792" s="44" t="s">
        <v>12</v>
      </c>
    </row>
    <row r="1793" spans="7:10" x14ac:dyDescent="0.2">
      <c r="G1793" s="22"/>
      <c r="J1793" s="44" t="s">
        <v>12</v>
      </c>
    </row>
    <row r="1794" spans="7:10" x14ac:dyDescent="0.2">
      <c r="G1794" s="22"/>
      <c r="J1794" s="44" t="s">
        <v>12</v>
      </c>
    </row>
    <row r="1795" spans="7:10" x14ac:dyDescent="0.2">
      <c r="G1795" s="22"/>
      <c r="J1795" s="44" t="s">
        <v>12</v>
      </c>
    </row>
    <row r="1796" spans="7:10" x14ac:dyDescent="0.2">
      <c r="G1796" s="22"/>
      <c r="J1796" s="44" t="s">
        <v>12</v>
      </c>
    </row>
    <row r="1797" spans="7:10" x14ac:dyDescent="0.2">
      <c r="G1797" s="22"/>
      <c r="J1797" s="44" t="s">
        <v>12</v>
      </c>
    </row>
    <row r="1798" spans="7:10" x14ac:dyDescent="0.2">
      <c r="G1798" s="22"/>
      <c r="J1798" s="44" t="s">
        <v>12</v>
      </c>
    </row>
    <row r="1799" spans="7:10" x14ac:dyDescent="0.2">
      <c r="G1799" s="22"/>
      <c r="J1799" s="44" t="s">
        <v>12</v>
      </c>
    </row>
    <row r="1800" spans="7:10" x14ac:dyDescent="0.2">
      <c r="G1800" s="22"/>
      <c r="J1800" s="44" t="s">
        <v>12</v>
      </c>
    </row>
    <row r="1801" spans="7:10" x14ac:dyDescent="0.2">
      <c r="G1801" s="22"/>
      <c r="J1801" s="44" t="s">
        <v>12</v>
      </c>
    </row>
    <row r="1802" spans="7:10" x14ac:dyDescent="0.2">
      <c r="G1802" s="22"/>
      <c r="J1802" s="44" t="s">
        <v>12</v>
      </c>
    </row>
    <row r="1803" spans="7:10" x14ac:dyDescent="0.2">
      <c r="G1803" s="22"/>
      <c r="J1803" s="44" t="s">
        <v>12</v>
      </c>
    </row>
    <row r="1804" spans="7:10" x14ac:dyDescent="0.2">
      <c r="G1804" s="22"/>
      <c r="J1804" s="44" t="s">
        <v>12</v>
      </c>
    </row>
    <row r="1805" spans="7:10" x14ac:dyDescent="0.2">
      <c r="G1805" s="22"/>
      <c r="J1805" s="44" t="s">
        <v>12</v>
      </c>
    </row>
    <row r="1806" spans="7:10" x14ac:dyDescent="0.2">
      <c r="G1806" s="22"/>
      <c r="J1806" s="44" t="s">
        <v>12</v>
      </c>
    </row>
    <row r="1807" spans="7:10" x14ac:dyDescent="0.2">
      <c r="G1807" s="22"/>
      <c r="J1807" s="44" t="s">
        <v>12</v>
      </c>
    </row>
    <row r="1808" spans="7:10" x14ac:dyDescent="0.2">
      <c r="G1808" s="22"/>
      <c r="J1808" s="44" t="s">
        <v>12</v>
      </c>
    </row>
    <row r="1809" spans="7:10" x14ac:dyDescent="0.2">
      <c r="G1809" s="22"/>
      <c r="J1809" s="44" t="s">
        <v>12</v>
      </c>
    </row>
    <row r="1810" spans="7:10" x14ac:dyDescent="0.2">
      <c r="G1810" s="22"/>
      <c r="J1810" s="44" t="s">
        <v>12</v>
      </c>
    </row>
    <row r="1811" spans="7:10" x14ac:dyDescent="0.2">
      <c r="G1811" s="22"/>
      <c r="J1811" s="44" t="s">
        <v>12</v>
      </c>
    </row>
    <row r="1812" spans="7:10" x14ac:dyDescent="0.2">
      <c r="G1812" s="22"/>
      <c r="J1812" s="44" t="s">
        <v>12</v>
      </c>
    </row>
    <row r="1813" spans="7:10" x14ac:dyDescent="0.2">
      <c r="G1813" s="22"/>
      <c r="J1813" s="44" t="s">
        <v>12</v>
      </c>
    </row>
    <row r="1814" spans="7:10" x14ac:dyDescent="0.2">
      <c r="G1814" s="22"/>
      <c r="J1814" s="44" t="s">
        <v>12</v>
      </c>
    </row>
    <row r="1815" spans="7:10" x14ac:dyDescent="0.2">
      <c r="G1815" s="22"/>
      <c r="J1815" s="44" t="s">
        <v>12</v>
      </c>
    </row>
    <row r="1816" spans="7:10" x14ac:dyDescent="0.2">
      <c r="G1816" s="22"/>
      <c r="J1816" s="44" t="s">
        <v>12</v>
      </c>
    </row>
    <row r="1817" spans="7:10" x14ac:dyDescent="0.2">
      <c r="G1817" s="22"/>
      <c r="J1817" s="44" t="s">
        <v>12</v>
      </c>
    </row>
    <row r="1818" spans="7:10" x14ac:dyDescent="0.2">
      <c r="G1818" s="22"/>
      <c r="J1818" s="44" t="s">
        <v>12</v>
      </c>
    </row>
    <row r="1819" spans="7:10" x14ac:dyDescent="0.2">
      <c r="G1819" s="22"/>
      <c r="J1819" s="44" t="s">
        <v>12</v>
      </c>
    </row>
    <row r="1820" spans="7:10" x14ac:dyDescent="0.2">
      <c r="G1820" s="22"/>
      <c r="J1820" s="44" t="s">
        <v>12</v>
      </c>
    </row>
    <row r="1821" spans="7:10" x14ac:dyDescent="0.2">
      <c r="G1821" s="22"/>
      <c r="J1821" s="44" t="s">
        <v>12</v>
      </c>
    </row>
    <row r="1822" spans="7:10" x14ac:dyDescent="0.2">
      <c r="G1822" s="22"/>
      <c r="J1822" s="44" t="s">
        <v>12</v>
      </c>
    </row>
    <row r="1823" spans="7:10" x14ac:dyDescent="0.2">
      <c r="G1823" s="22"/>
      <c r="J1823" s="44" t="s">
        <v>12</v>
      </c>
    </row>
    <row r="1824" spans="7:10" x14ac:dyDescent="0.2">
      <c r="G1824" s="22"/>
      <c r="J1824" s="44" t="s">
        <v>12</v>
      </c>
    </row>
    <row r="1825" spans="7:10" x14ac:dyDescent="0.2">
      <c r="G1825" s="22"/>
      <c r="J1825" s="44" t="s">
        <v>12</v>
      </c>
    </row>
    <row r="1826" spans="7:10" x14ac:dyDescent="0.2">
      <c r="G1826" s="22"/>
      <c r="J1826" s="44" t="s">
        <v>12</v>
      </c>
    </row>
    <row r="1827" spans="7:10" x14ac:dyDescent="0.2">
      <c r="G1827" s="22"/>
      <c r="J1827" s="44" t="s">
        <v>12</v>
      </c>
    </row>
    <row r="1828" spans="7:10" x14ac:dyDescent="0.2">
      <c r="G1828" s="22"/>
      <c r="J1828" s="44" t="s">
        <v>12</v>
      </c>
    </row>
    <row r="1829" spans="7:10" x14ac:dyDescent="0.2">
      <c r="G1829" s="22"/>
      <c r="J1829" s="44" t="s">
        <v>12</v>
      </c>
    </row>
    <row r="1830" spans="7:10" x14ac:dyDescent="0.2">
      <c r="G1830" s="22"/>
      <c r="J1830" s="44" t="s">
        <v>12</v>
      </c>
    </row>
    <row r="1831" spans="7:10" x14ac:dyDescent="0.2">
      <c r="G1831" s="22"/>
      <c r="J1831" s="44" t="s">
        <v>12</v>
      </c>
    </row>
    <row r="1832" spans="7:10" x14ac:dyDescent="0.2">
      <c r="G1832" s="22"/>
      <c r="J1832" s="44" t="s">
        <v>12</v>
      </c>
    </row>
    <row r="1833" spans="7:10" x14ac:dyDescent="0.2">
      <c r="G1833" s="22"/>
      <c r="J1833" s="44" t="s">
        <v>12</v>
      </c>
    </row>
    <row r="1834" spans="7:10" x14ac:dyDescent="0.2">
      <c r="G1834" s="22"/>
      <c r="J1834" s="44" t="s">
        <v>12</v>
      </c>
    </row>
    <row r="1835" spans="7:10" x14ac:dyDescent="0.2">
      <c r="G1835" s="22"/>
      <c r="J1835" s="44" t="s">
        <v>12</v>
      </c>
    </row>
    <row r="1836" spans="7:10" x14ac:dyDescent="0.2">
      <c r="G1836" s="22"/>
      <c r="J1836" s="44" t="s">
        <v>12</v>
      </c>
    </row>
    <row r="1837" spans="7:10" x14ac:dyDescent="0.2">
      <c r="G1837" s="22"/>
      <c r="J1837" s="44" t="s">
        <v>12</v>
      </c>
    </row>
    <row r="1838" spans="7:10" x14ac:dyDescent="0.2">
      <c r="G1838" s="22"/>
      <c r="J1838" s="44" t="s">
        <v>12</v>
      </c>
    </row>
    <row r="1839" spans="7:10" x14ac:dyDescent="0.2">
      <c r="G1839" s="22"/>
      <c r="J1839" s="44" t="s">
        <v>12</v>
      </c>
    </row>
    <row r="1840" spans="7:10" x14ac:dyDescent="0.2">
      <c r="G1840" s="22"/>
      <c r="J1840" s="44" t="s">
        <v>12</v>
      </c>
    </row>
    <row r="1841" spans="7:10" x14ac:dyDescent="0.2">
      <c r="G1841" s="22"/>
      <c r="J1841" s="44" t="s">
        <v>12</v>
      </c>
    </row>
    <row r="1842" spans="7:10" x14ac:dyDescent="0.2">
      <c r="G1842" s="22"/>
      <c r="J1842" s="44" t="s">
        <v>12</v>
      </c>
    </row>
    <row r="1843" spans="7:10" x14ac:dyDescent="0.2">
      <c r="G1843" s="22"/>
      <c r="J1843" s="44" t="s">
        <v>12</v>
      </c>
    </row>
    <row r="1844" spans="7:10" x14ac:dyDescent="0.2">
      <c r="G1844" s="22"/>
      <c r="J1844" s="44" t="s">
        <v>12</v>
      </c>
    </row>
    <row r="1845" spans="7:10" x14ac:dyDescent="0.2">
      <c r="G1845" s="22"/>
      <c r="J1845" s="44" t="s">
        <v>12</v>
      </c>
    </row>
    <row r="1846" spans="7:10" x14ac:dyDescent="0.2">
      <c r="G1846" s="22"/>
      <c r="J1846" s="44" t="s">
        <v>12</v>
      </c>
    </row>
    <row r="1847" spans="7:10" x14ac:dyDescent="0.2">
      <c r="G1847" s="22"/>
      <c r="J1847" s="44" t="s">
        <v>12</v>
      </c>
    </row>
    <row r="1848" spans="7:10" x14ac:dyDescent="0.2">
      <c r="G1848" s="22"/>
      <c r="J1848" s="44" t="s">
        <v>12</v>
      </c>
    </row>
    <row r="1849" spans="7:10" x14ac:dyDescent="0.2">
      <c r="G1849" s="22"/>
      <c r="J1849" s="44" t="s">
        <v>12</v>
      </c>
    </row>
    <row r="1850" spans="7:10" x14ac:dyDescent="0.2">
      <c r="G1850" s="22"/>
      <c r="J1850" s="44" t="s">
        <v>12</v>
      </c>
    </row>
    <row r="1851" spans="7:10" x14ac:dyDescent="0.2">
      <c r="G1851" s="22"/>
      <c r="J1851" s="44" t="s">
        <v>12</v>
      </c>
    </row>
    <row r="1852" spans="7:10" x14ac:dyDescent="0.2">
      <c r="G1852" s="22"/>
      <c r="J1852" s="44" t="s">
        <v>12</v>
      </c>
    </row>
    <row r="1853" spans="7:10" x14ac:dyDescent="0.2">
      <c r="G1853" s="22"/>
      <c r="J1853" s="44" t="s">
        <v>12</v>
      </c>
    </row>
    <row r="1854" spans="7:10" x14ac:dyDescent="0.2">
      <c r="G1854" s="22"/>
      <c r="J1854" s="44" t="s">
        <v>12</v>
      </c>
    </row>
    <row r="1855" spans="7:10" x14ac:dyDescent="0.2">
      <c r="G1855" s="22"/>
      <c r="J1855" s="44" t="s">
        <v>12</v>
      </c>
    </row>
  </sheetData>
  <autoFilter ref="A1:M1855"/>
  <pageMargins left="0.75" right="0.75" top="1" bottom="1" header="0.5" footer="0.5"/>
  <pageSetup paperSize="9" scale="10" orientation="landscape" horizontalDpi="1200" verticalDpi="12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Pict="0" macro="[0]!addpayrolljournal">
                <anchor moveWithCells="1" sizeWithCells="1">
                  <from>
                    <xdr:col>12</xdr:col>
                    <xdr:colOff>266700</xdr:colOff>
                    <xdr:row>0</xdr:row>
                    <xdr:rowOff>28575</xdr:rowOff>
                  </from>
                  <to>
                    <xdr:col>12</xdr:col>
                    <xdr:colOff>2219325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Y1969"/>
  <sheetViews>
    <sheetView topLeftCell="L1" workbookViewId="0">
      <pane ySplit="2" topLeftCell="A3" activePane="bottomLeft" state="frozen"/>
      <selection pane="bottomLeft" activeCell="V1" sqref="V1"/>
    </sheetView>
  </sheetViews>
  <sheetFormatPr defaultColWidth="9.140625" defaultRowHeight="12.75" x14ac:dyDescent="0.2"/>
  <cols>
    <col min="1" max="1" width="20.140625" style="22" customWidth="1"/>
    <col min="2" max="2" width="11.5703125" style="26" customWidth="1"/>
    <col min="3" max="3" width="11.5703125" style="22" customWidth="1"/>
    <col min="4" max="7" width="3.5703125" style="22" customWidth="1"/>
    <col min="8" max="8" width="29.42578125" style="22" customWidth="1"/>
    <col min="9" max="9" width="3.5703125" style="22" customWidth="1"/>
    <col min="10" max="10" width="7.140625" style="22" customWidth="1"/>
    <col min="11" max="11" width="30.140625" style="22" customWidth="1"/>
    <col min="12" max="12" width="3.5703125" style="22" customWidth="1"/>
    <col min="13" max="13" width="9.140625" style="22"/>
    <col min="14" max="14" width="3.5703125" style="22" customWidth="1"/>
    <col min="15" max="15" width="9.140625" style="22"/>
    <col min="16" max="16" width="3.5703125" style="22" customWidth="1"/>
    <col min="17" max="17" width="16.42578125" style="22" customWidth="1"/>
    <col min="18" max="19" width="3.5703125" style="22" customWidth="1"/>
    <col min="20" max="20" width="9.42578125" style="22" customWidth="1"/>
    <col min="21" max="16384" width="9.140625" style="22"/>
  </cols>
  <sheetData>
    <row r="1" spans="1:25" s="25" customFormat="1" x14ac:dyDescent="0.2">
      <c r="A1" s="25" t="s">
        <v>391</v>
      </c>
      <c r="B1" s="27"/>
      <c r="E1" s="28">
        <v>-1</v>
      </c>
      <c r="G1" s="29" t="s">
        <v>378</v>
      </c>
      <c r="H1" s="29">
        <v>152848</v>
      </c>
      <c r="J1" s="32">
        <v>44803</v>
      </c>
      <c r="K1" s="25" t="str">
        <f>"3rd Pay Period ending "&amp;DAY(J1)&amp;"/"&amp;MONTH(J1)&amp;"/"&amp;YEAR(J1)</f>
        <v>3rd Pay Period ending 30/8/2022</v>
      </c>
      <c r="O1" s="25" t="s">
        <v>213</v>
      </c>
      <c r="T1" s="110" t="s">
        <v>452</v>
      </c>
      <c r="U1" s="110"/>
      <c r="V1" s="8">
        <v>1</v>
      </c>
      <c r="Y1" s="36"/>
    </row>
    <row r="2" spans="1:25" s="25" customFormat="1" ht="12" customHeight="1" x14ac:dyDescent="0.2">
      <c r="A2" s="62" t="s">
        <v>214</v>
      </c>
      <c r="B2" s="63" t="s">
        <v>215</v>
      </c>
      <c r="C2" s="62" t="s">
        <v>216</v>
      </c>
      <c r="D2" s="62" t="s">
        <v>217</v>
      </c>
      <c r="E2" s="62"/>
      <c r="F2" s="62"/>
      <c r="G2" s="62" t="s">
        <v>218</v>
      </c>
      <c r="H2" s="62" t="s">
        <v>219</v>
      </c>
      <c r="I2" s="62"/>
      <c r="J2" s="62"/>
      <c r="K2" s="62"/>
      <c r="L2" s="62"/>
      <c r="M2" s="62" t="s">
        <v>384</v>
      </c>
      <c r="Q2" s="25" t="s">
        <v>220</v>
      </c>
      <c r="S2" s="34"/>
      <c r="T2" s="33" t="s">
        <v>215</v>
      </c>
      <c r="U2" s="33" t="s">
        <v>216</v>
      </c>
    </row>
    <row r="3" spans="1:25" ht="12.75" customHeight="1" x14ac:dyDescent="0.25">
      <c r="A3" s="22" t="s">
        <v>379</v>
      </c>
      <c r="B3" s="30">
        <v>416.71</v>
      </c>
      <c r="C3" s="30"/>
      <c r="D3" s="26"/>
      <c r="H3" s="11" t="str">
        <f t="shared" ref="H3:H66" si="0">$K$1</f>
        <v>3rd Pay Period ending 30/8/2022</v>
      </c>
      <c r="M3" s="30">
        <v>18647</v>
      </c>
      <c r="T3" s="35">
        <f>B3/10*$V$1</f>
        <v>41.670999999999999</v>
      </c>
      <c r="Y3" s="26"/>
    </row>
    <row r="4" spans="1:25" ht="12.75" customHeight="1" x14ac:dyDescent="0.25">
      <c r="A4" s="22" t="s">
        <v>221</v>
      </c>
      <c r="B4" s="30">
        <v>974.19</v>
      </c>
      <c r="C4" s="30"/>
      <c r="D4" s="26"/>
      <c r="H4" s="11" t="str">
        <f t="shared" si="0"/>
        <v>3rd Pay Period ending 30/8/2022</v>
      </c>
      <c r="M4" s="30">
        <v>18997</v>
      </c>
      <c r="T4" s="35">
        <f t="shared" ref="T4:T56" si="1">B4/10*$V$1</f>
        <v>97.419000000000011</v>
      </c>
      <c r="Y4" s="26"/>
    </row>
    <row r="5" spans="1:25" ht="12.75" customHeight="1" x14ac:dyDescent="0.25">
      <c r="A5" s="22" t="s">
        <v>380</v>
      </c>
      <c r="B5" s="30">
        <v>178.5</v>
      </c>
      <c r="C5" s="30"/>
      <c r="D5" s="26"/>
      <c r="H5" s="11" t="str">
        <f t="shared" si="0"/>
        <v>3rd Pay Period ending 30/8/2022</v>
      </c>
      <c r="M5" s="30">
        <v>18939</v>
      </c>
      <c r="T5" s="35">
        <f t="shared" si="1"/>
        <v>17.850000000000001</v>
      </c>
      <c r="Y5" s="26"/>
    </row>
    <row r="6" spans="1:25" ht="12.75" customHeight="1" x14ac:dyDescent="0.25">
      <c r="A6" s="22" t="s">
        <v>370</v>
      </c>
      <c r="B6" s="30">
        <v>1869.23</v>
      </c>
      <c r="C6" s="30"/>
      <c r="D6" s="31"/>
      <c r="H6" s="11" t="str">
        <f t="shared" si="0"/>
        <v>3rd Pay Period ending 30/8/2022</v>
      </c>
      <c r="M6" s="30">
        <v>18741</v>
      </c>
      <c r="T6" s="35">
        <f t="shared" si="1"/>
        <v>186.923</v>
      </c>
      <c r="Y6" s="26"/>
    </row>
    <row r="7" spans="1:25" ht="12.75" customHeight="1" x14ac:dyDescent="0.25">
      <c r="A7" s="22" t="s">
        <v>370</v>
      </c>
      <c r="B7" s="30">
        <v>1821.14</v>
      </c>
      <c r="C7" s="30"/>
      <c r="D7" s="31"/>
      <c r="H7" s="11" t="str">
        <f t="shared" si="0"/>
        <v>3rd Pay Period ending 30/8/2022</v>
      </c>
      <c r="M7" s="30">
        <v>18853</v>
      </c>
      <c r="T7" s="35">
        <f t="shared" si="1"/>
        <v>182.114</v>
      </c>
      <c r="Y7" s="26"/>
    </row>
    <row r="8" spans="1:25" ht="12.75" customHeight="1" x14ac:dyDescent="0.25">
      <c r="A8" s="22" t="s">
        <v>370</v>
      </c>
      <c r="B8" s="30">
        <v>259.58</v>
      </c>
      <c r="C8" s="30"/>
      <c r="D8" s="26"/>
      <c r="H8" s="11" t="str">
        <f t="shared" si="0"/>
        <v>3rd Pay Period ending 30/8/2022</v>
      </c>
      <c r="M8" s="30">
        <v>18550</v>
      </c>
      <c r="T8" s="35">
        <f t="shared" si="1"/>
        <v>25.957999999999998</v>
      </c>
      <c r="Y8" s="26"/>
    </row>
    <row r="9" spans="1:25" ht="12.75" customHeight="1" x14ac:dyDescent="0.25">
      <c r="A9" s="22" t="s">
        <v>223</v>
      </c>
      <c r="B9" s="30">
        <v>66.430000000000007</v>
      </c>
      <c r="C9" s="30"/>
      <c r="D9" s="26"/>
      <c r="H9" s="11" t="str">
        <f t="shared" si="0"/>
        <v>3rd Pay Period ending 30/8/2022</v>
      </c>
      <c r="M9" s="30">
        <v>18903</v>
      </c>
      <c r="T9" s="35">
        <f t="shared" si="1"/>
        <v>6.6430000000000007</v>
      </c>
      <c r="Y9" s="26"/>
    </row>
    <row r="10" spans="1:25" ht="12.75" customHeight="1" x14ac:dyDescent="0.25">
      <c r="A10" s="22" t="s">
        <v>223</v>
      </c>
      <c r="B10" s="30">
        <v>64.489999999999995</v>
      </c>
      <c r="C10" s="30"/>
      <c r="D10" s="26"/>
      <c r="H10" s="11" t="str">
        <f t="shared" si="0"/>
        <v>3rd Pay Period ending 30/8/2022</v>
      </c>
      <c r="M10" s="30">
        <v>18831</v>
      </c>
      <c r="T10" s="35">
        <f t="shared" si="1"/>
        <v>6.4489999999999998</v>
      </c>
      <c r="Y10" s="26"/>
    </row>
    <row r="11" spans="1:25" ht="12.75" customHeight="1" x14ac:dyDescent="0.25">
      <c r="A11" s="22" t="s">
        <v>224</v>
      </c>
      <c r="B11" s="30">
        <v>865.38</v>
      </c>
      <c r="C11" s="30"/>
      <c r="D11" s="26"/>
      <c r="H11" s="11" t="str">
        <f t="shared" si="0"/>
        <v>3rd Pay Period ending 30/8/2022</v>
      </c>
      <c r="M11" s="30">
        <v>18954</v>
      </c>
      <c r="T11" s="35">
        <f t="shared" si="1"/>
        <v>86.537999999999997</v>
      </c>
      <c r="Y11" s="26"/>
    </row>
    <row r="12" spans="1:25" ht="12.75" customHeight="1" x14ac:dyDescent="0.25">
      <c r="A12" s="22" t="s">
        <v>226</v>
      </c>
      <c r="B12" s="30">
        <v>2515.5</v>
      </c>
      <c r="C12" s="30"/>
      <c r="D12" s="26"/>
      <c r="H12" s="11" t="str">
        <f t="shared" si="0"/>
        <v>3rd Pay Period ending 30/8/2022</v>
      </c>
      <c r="M12" s="30">
        <v>18911</v>
      </c>
      <c r="T12" s="35">
        <f t="shared" si="1"/>
        <v>251.55</v>
      </c>
      <c r="Y12" s="26"/>
    </row>
    <row r="13" spans="1:25" ht="12.75" customHeight="1" x14ac:dyDescent="0.25">
      <c r="A13" s="22" t="s">
        <v>226</v>
      </c>
      <c r="B13" s="30">
        <v>236.27</v>
      </c>
      <c r="C13" s="30"/>
      <c r="D13" s="26"/>
      <c r="H13" s="11" t="str">
        <f t="shared" si="0"/>
        <v>3rd Pay Period ending 30/8/2022</v>
      </c>
      <c r="M13" s="30">
        <v>18659</v>
      </c>
      <c r="T13" s="35">
        <f t="shared" si="1"/>
        <v>23.627000000000002</v>
      </c>
      <c r="Y13" s="26"/>
    </row>
    <row r="14" spans="1:25" ht="12.75" customHeight="1" x14ac:dyDescent="0.25">
      <c r="A14" s="22" t="s">
        <v>371</v>
      </c>
      <c r="B14" s="30">
        <v>146.30000000000001</v>
      </c>
      <c r="C14" s="30"/>
      <c r="D14" s="26"/>
      <c r="H14" s="11" t="str">
        <f t="shared" si="0"/>
        <v>3rd Pay Period ending 30/8/2022</v>
      </c>
      <c r="M14" s="30">
        <v>18974</v>
      </c>
      <c r="T14" s="35">
        <f t="shared" si="1"/>
        <v>14.63</v>
      </c>
      <c r="Y14" s="26"/>
    </row>
    <row r="15" spans="1:25" ht="12.75" customHeight="1" x14ac:dyDescent="0.25">
      <c r="A15" s="22" t="s">
        <v>381</v>
      </c>
      <c r="B15" s="30">
        <v>538.46</v>
      </c>
      <c r="C15" s="30"/>
      <c r="D15" s="26"/>
      <c r="H15" s="11" t="str">
        <f t="shared" si="0"/>
        <v>3rd Pay Period ending 30/8/2022</v>
      </c>
      <c r="M15" s="30">
        <v>44705</v>
      </c>
      <c r="T15" s="35">
        <f t="shared" si="1"/>
        <v>53.846000000000004</v>
      </c>
      <c r="Y15" s="26"/>
    </row>
    <row r="16" spans="1:25" ht="12.75" customHeight="1" x14ac:dyDescent="0.25">
      <c r="A16" s="22" t="s">
        <v>382</v>
      </c>
      <c r="B16" s="30">
        <v>230.77</v>
      </c>
      <c r="C16" s="30"/>
      <c r="D16" s="26"/>
      <c r="H16" s="11" t="str">
        <f t="shared" si="0"/>
        <v>3rd Pay Period ending 30/8/2022</v>
      </c>
      <c r="M16" s="30">
        <v>18805</v>
      </c>
      <c r="T16" s="35">
        <f t="shared" si="1"/>
        <v>23.077000000000002</v>
      </c>
      <c r="Y16" s="26"/>
    </row>
    <row r="17" spans="1:25" ht="12.75" customHeight="1" x14ac:dyDescent="0.25">
      <c r="A17" s="22" t="s">
        <v>228</v>
      </c>
      <c r="B17" s="30">
        <v>215.38</v>
      </c>
      <c r="C17" s="30"/>
      <c r="D17" s="26"/>
      <c r="H17" s="11" t="str">
        <f t="shared" si="0"/>
        <v>3rd Pay Period ending 30/8/2022</v>
      </c>
      <c r="M17" s="30">
        <v>18841</v>
      </c>
      <c r="T17" s="35">
        <f t="shared" si="1"/>
        <v>21.538</v>
      </c>
      <c r="Y17" s="26"/>
    </row>
    <row r="18" spans="1:25" ht="12.75" customHeight="1" x14ac:dyDescent="0.25">
      <c r="A18" s="22" t="s">
        <v>229</v>
      </c>
      <c r="B18" s="30">
        <v>196.05</v>
      </c>
      <c r="C18" s="30"/>
      <c r="D18" s="26"/>
      <c r="H18" s="11" t="str">
        <f t="shared" si="0"/>
        <v>3rd Pay Period ending 30/8/2022</v>
      </c>
      <c r="M18" s="30">
        <v>18929</v>
      </c>
      <c r="T18" s="35">
        <f t="shared" si="1"/>
        <v>19.605</v>
      </c>
      <c r="Y18" s="26"/>
    </row>
    <row r="19" spans="1:25" ht="12.75" customHeight="1" x14ac:dyDescent="0.25">
      <c r="A19" s="22" t="s">
        <v>229</v>
      </c>
      <c r="B19" s="30">
        <v>2423.08</v>
      </c>
      <c r="C19" s="30"/>
      <c r="D19" s="26"/>
      <c r="H19" s="11" t="str">
        <f t="shared" si="0"/>
        <v>3rd Pay Period ending 30/8/2022</v>
      </c>
      <c r="M19" s="30">
        <v>18626</v>
      </c>
      <c r="T19" s="35">
        <f t="shared" si="1"/>
        <v>242.30799999999999</v>
      </c>
      <c r="Y19" s="26"/>
    </row>
    <row r="20" spans="1:25" ht="12.75" customHeight="1" x14ac:dyDescent="0.25">
      <c r="A20" s="22" t="s">
        <v>229</v>
      </c>
      <c r="B20" s="30">
        <v>174.78</v>
      </c>
      <c r="C20" s="30"/>
      <c r="D20" s="26"/>
      <c r="H20" s="11" t="str">
        <f t="shared" si="0"/>
        <v>3rd Pay Period ending 30/8/2022</v>
      </c>
      <c r="M20" s="30">
        <v>18979</v>
      </c>
      <c r="T20" s="35">
        <f t="shared" si="1"/>
        <v>17.478000000000002</v>
      </c>
      <c r="Y20" s="26"/>
    </row>
    <row r="21" spans="1:25" ht="12.75" customHeight="1" x14ac:dyDescent="0.25">
      <c r="A21" s="22" t="s">
        <v>230</v>
      </c>
      <c r="B21" s="30">
        <v>1568.4</v>
      </c>
      <c r="C21" s="30"/>
      <c r="D21" s="26"/>
      <c r="H21" s="11" t="str">
        <f t="shared" si="0"/>
        <v>3rd Pay Period ending 30/8/2022</v>
      </c>
      <c r="M21" s="30">
        <v>18916</v>
      </c>
      <c r="T21" s="35">
        <f t="shared" si="1"/>
        <v>156.84</v>
      </c>
      <c r="Y21" s="26"/>
    </row>
    <row r="22" spans="1:25" ht="12.75" customHeight="1" x14ac:dyDescent="0.25">
      <c r="A22" s="22" t="s">
        <v>231</v>
      </c>
      <c r="B22" s="30">
        <v>1624.86</v>
      </c>
      <c r="C22" s="30"/>
      <c r="D22" s="26"/>
      <c r="H22" s="11" t="str">
        <f t="shared" si="0"/>
        <v>3rd Pay Period ending 30/8/2022</v>
      </c>
      <c r="M22" s="30">
        <v>18983</v>
      </c>
      <c r="T22" s="35">
        <f t="shared" si="1"/>
        <v>162.48599999999999</v>
      </c>
      <c r="Y22" s="26"/>
    </row>
    <row r="23" spans="1:25" ht="12.75" customHeight="1" x14ac:dyDescent="0.25">
      <c r="A23" s="22" t="s">
        <v>231</v>
      </c>
      <c r="B23" s="30">
        <v>1398.24</v>
      </c>
      <c r="C23" s="30"/>
      <c r="D23" s="26"/>
      <c r="H23" s="11" t="str">
        <f t="shared" si="0"/>
        <v>3rd Pay Period ending 30/8/2022</v>
      </c>
      <c r="M23" s="30">
        <v>18679</v>
      </c>
      <c r="T23" s="35">
        <f t="shared" si="1"/>
        <v>139.82400000000001</v>
      </c>
      <c r="Y23" s="26"/>
    </row>
    <row r="24" spans="1:25" ht="12.75" customHeight="1" x14ac:dyDescent="0.25">
      <c r="A24" s="22" t="s">
        <v>231</v>
      </c>
      <c r="B24" s="30">
        <v>524.34</v>
      </c>
      <c r="C24" s="30"/>
      <c r="D24" s="26"/>
      <c r="H24" s="11" t="str">
        <f t="shared" si="0"/>
        <v>3rd Pay Period ending 30/8/2022</v>
      </c>
      <c r="M24" s="30">
        <v>19012</v>
      </c>
      <c r="T24" s="35">
        <f t="shared" si="1"/>
        <v>52.434000000000005</v>
      </c>
      <c r="Y24" s="26"/>
    </row>
    <row r="25" spans="1:25" ht="12.75" customHeight="1" x14ac:dyDescent="0.25">
      <c r="A25" s="22" t="s">
        <v>372</v>
      </c>
      <c r="B25" s="30">
        <v>1479.81</v>
      </c>
      <c r="C25" s="30"/>
      <c r="D25" s="26"/>
      <c r="H25" s="11" t="str">
        <f t="shared" si="0"/>
        <v>3rd Pay Period ending 30/8/2022</v>
      </c>
      <c r="M25" s="30">
        <v>115</v>
      </c>
      <c r="T25" s="35">
        <f t="shared" si="1"/>
        <v>147.98099999999999</v>
      </c>
      <c r="Y25" s="26"/>
    </row>
    <row r="26" spans="1:25" ht="12.75" customHeight="1" x14ac:dyDescent="0.25">
      <c r="A26" s="22" t="s">
        <v>232</v>
      </c>
      <c r="B26" s="30">
        <v>392.1</v>
      </c>
      <c r="C26" s="30"/>
      <c r="D26" s="26"/>
      <c r="H26" s="11" t="str">
        <f t="shared" si="0"/>
        <v>3rd Pay Period ending 30/8/2022</v>
      </c>
      <c r="M26" s="30">
        <v>18944</v>
      </c>
      <c r="T26" s="35">
        <f t="shared" si="1"/>
        <v>39.21</v>
      </c>
      <c r="Y26" s="26"/>
    </row>
    <row r="27" spans="1:25" ht="12.75" customHeight="1" x14ac:dyDescent="0.25">
      <c r="A27" s="22" t="s">
        <v>232</v>
      </c>
      <c r="B27" s="30">
        <v>201.96</v>
      </c>
      <c r="C27" s="30"/>
      <c r="D27" s="26"/>
      <c r="H27" s="11" t="str">
        <f t="shared" si="0"/>
        <v>3rd Pay Period ending 30/8/2022</v>
      </c>
      <c r="M27" s="30">
        <v>18850</v>
      </c>
      <c r="T27" s="35">
        <f t="shared" si="1"/>
        <v>20.196000000000002</v>
      </c>
      <c r="Y27" s="26"/>
    </row>
    <row r="28" spans="1:25" ht="12.75" customHeight="1" x14ac:dyDescent="0.25">
      <c r="A28" s="22" t="s">
        <v>373</v>
      </c>
      <c r="B28" s="30">
        <v>692.31</v>
      </c>
      <c r="C28" s="30"/>
      <c r="D28" s="26"/>
      <c r="H28" s="11" t="str">
        <f t="shared" si="0"/>
        <v>3rd Pay Period ending 30/8/2022</v>
      </c>
      <c r="M28" s="30">
        <v>19001</v>
      </c>
      <c r="T28" s="35">
        <f t="shared" si="1"/>
        <v>69.230999999999995</v>
      </c>
      <c r="Y28" s="26"/>
    </row>
    <row r="29" spans="1:25" ht="12.75" customHeight="1" x14ac:dyDescent="0.25">
      <c r="A29" s="22" t="s">
        <v>233</v>
      </c>
      <c r="B29" s="30">
        <v>190.44</v>
      </c>
      <c r="C29" s="30"/>
      <c r="D29" s="26"/>
      <c r="H29" s="11" t="str">
        <f t="shared" si="0"/>
        <v>3rd Pay Period ending 30/8/2022</v>
      </c>
      <c r="M29" s="30">
        <v>18823</v>
      </c>
      <c r="T29" s="35">
        <f t="shared" si="1"/>
        <v>19.044</v>
      </c>
      <c r="Y29" s="26"/>
    </row>
    <row r="30" spans="1:25" ht="12.75" customHeight="1" x14ac:dyDescent="0.25">
      <c r="A30" s="22" t="s">
        <v>234</v>
      </c>
      <c r="B30" s="30">
        <v>1136.56</v>
      </c>
      <c r="C30" s="30"/>
      <c r="D30" s="26"/>
      <c r="H30" s="11" t="str">
        <f t="shared" si="0"/>
        <v>3rd Pay Period ending 30/8/2022</v>
      </c>
      <c r="M30" s="30">
        <v>18845</v>
      </c>
      <c r="T30" s="35">
        <f t="shared" si="1"/>
        <v>113.65599999999999</v>
      </c>
      <c r="Y30" s="26"/>
    </row>
    <row r="31" spans="1:25" ht="12.75" customHeight="1" x14ac:dyDescent="0.25">
      <c r="A31" s="22" t="s">
        <v>234</v>
      </c>
      <c r="B31" s="30">
        <v>37.96</v>
      </c>
      <c r="C31" s="30"/>
      <c r="D31" s="26"/>
      <c r="H31" s="11" t="str">
        <f t="shared" si="0"/>
        <v>3rd Pay Period ending 30/8/2022</v>
      </c>
      <c r="M31" s="30">
        <v>18614</v>
      </c>
      <c r="T31" s="35">
        <f t="shared" si="1"/>
        <v>3.7960000000000003</v>
      </c>
      <c r="Y31" s="26"/>
    </row>
    <row r="32" spans="1:25" ht="12.75" customHeight="1" x14ac:dyDescent="0.25">
      <c r="A32" s="22" t="s">
        <v>234</v>
      </c>
      <c r="B32" s="30">
        <v>352.25</v>
      </c>
      <c r="C32" s="30"/>
      <c r="D32" s="26"/>
      <c r="H32" s="11" t="str">
        <f t="shared" si="0"/>
        <v>3rd Pay Period ending 30/8/2022</v>
      </c>
      <c r="M32" s="30">
        <v>346</v>
      </c>
      <c r="T32" s="35">
        <f t="shared" si="1"/>
        <v>35.225000000000001</v>
      </c>
      <c r="Y32" s="26"/>
    </row>
    <row r="33" spans="1:25" ht="12.75" customHeight="1" x14ac:dyDescent="0.25">
      <c r="A33" s="22" t="s">
        <v>234</v>
      </c>
      <c r="B33" s="30">
        <v>628.21</v>
      </c>
      <c r="C33" s="30"/>
      <c r="D33" s="26"/>
      <c r="H33" s="11" t="str">
        <f t="shared" si="0"/>
        <v>3rd Pay Period ending 30/8/2022</v>
      </c>
      <c r="M33" s="30">
        <v>18945</v>
      </c>
      <c r="T33" s="35">
        <f t="shared" si="1"/>
        <v>62.821000000000005</v>
      </c>
      <c r="Y33" s="26"/>
    </row>
    <row r="34" spans="1:25" ht="12.75" customHeight="1" x14ac:dyDescent="0.25">
      <c r="A34" s="22" t="s">
        <v>235</v>
      </c>
      <c r="B34" s="30">
        <v>13612.76</v>
      </c>
      <c r="C34" s="30"/>
      <c r="D34" s="26"/>
      <c r="H34" s="11" t="str">
        <f t="shared" si="0"/>
        <v>3rd Pay Period ending 30/8/2022</v>
      </c>
      <c r="M34" s="30">
        <v>18845</v>
      </c>
      <c r="T34" s="35">
        <f t="shared" si="1"/>
        <v>1361.2760000000001</v>
      </c>
      <c r="Y34" s="26"/>
    </row>
    <row r="35" spans="1:25" ht="12.75" customHeight="1" x14ac:dyDescent="0.25">
      <c r="A35" s="22" t="s">
        <v>235</v>
      </c>
      <c r="B35" s="30">
        <v>340.42</v>
      </c>
      <c r="C35" s="30"/>
      <c r="D35" s="26"/>
      <c r="H35" s="11" t="str">
        <f t="shared" si="0"/>
        <v>3rd Pay Period ending 30/8/2022</v>
      </c>
      <c r="M35" s="30">
        <v>18614</v>
      </c>
      <c r="T35" s="35">
        <f t="shared" si="1"/>
        <v>34.042000000000002</v>
      </c>
      <c r="Y35" s="26"/>
    </row>
    <row r="36" spans="1:25" ht="12.75" customHeight="1" x14ac:dyDescent="0.25">
      <c r="A36" s="22" t="s">
        <v>235</v>
      </c>
      <c r="B36" s="30">
        <v>4825.41</v>
      </c>
      <c r="C36" s="30"/>
      <c r="D36" s="26"/>
      <c r="H36" s="11" t="str">
        <f t="shared" si="0"/>
        <v>3rd Pay Period ending 30/8/2022</v>
      </c>
      <c r="M36" s="30">
        <v>346</v>
      </c>
      <c r="T36" s="35">
        <f t="shared" si="1"/>
        <v>482.541</v>
      </c>
      <c r="Y36" s="26"/>
    </row>
    <row r="37" spans="1:25" ht="12.75" customHeight="1" x14ac:dyDescent="0.25">
      <c r="A37" s="22" t="s">
        <v>235</v>
      </c>
      <c r="B37" s="30">
        <v>2706.21</v>
      </c>
      <c r="C37" s="30"/>
      <c r="D37" s="26"/>
      <c r="H37" s="11" t="str">
        <f t="shared" si="0"/>
        <v>3rd Pay Period ending 30/8/2022</v>
      </c>
      <c r="M37" s="30">
        <v>18945</v>
      </c>
      <c r="T37" s="35">
        <f t="shared" si="1"/>
        <v>270.62099999999998</v>
      </c>
      <c r="Y37" s="26"/>
    </row>
    <row r="38" spans="1:25" ht="12.75" customHeight="1" x14ac:dyDescent="0.25">
      <c r="A38" s="22" t="s">
        <v>383</v>
      </c>
      <c r="B38" s="30">
        <v>1479.81</v>
      </c>
      <c r="C38" s="30"/>
      <c r="D38" s="26"/>
      <c r="H38" s="11" t="str">
        <f t="shared" si="0"/>
        <v>3rd Pay Period ending 30/8/2022</v>
      </c>
      <c r="M38" s="30">
        <v>115</v>
      </c>
      <c r="T38" s="35">
        <f t="shared" si="1"/>
        <v>147.98099999999999</v>
      </c>
      <c r="Y38" s="26"/>
    </row>
    <row r="39" spans="1:25" ht="12.75" customHeight="1" x14ac:dyDescent="0.25">
      <c r="A39" s="22" t="s">
        <v>236</v>
      </c>
      <c r="B39" s="30">
        <v>11036.49</v>
      </c>
      <c r="C39" s="30"/>
      <c r="D39" s="26"/>
      <c r="H39" s="11" t="str">
        <f t="shared" si="0"/>
        <v>3rd Pay Period ending 30/8/2022</v>
      </c>
      <c r="M39" s="30">
        <v>346</v>
      </c>
      <c r="T39" s="35">
        <f t="shared" si="1"/>
        <v>1103.6489999999999</v>
      </c>
      <c r="Y39" s="26"/>
    </row>
    <row r="40" spans="1:25" ht="12.75" customHeight="1" x14ac:dyDescent="0.25">
      <c r="A40" s="22" t="s">
        <v>374</v>
      </c>
      <c r="B40" s="30">
        <v>123.8</v>
      </c>
      <c r="C40" s="30"/>
      <c r="D40" s="26"/>
      <c r="H40" s="11" t="str">
        <f t="shared" si="0"/>
        <v>3rd Pay Period ending 30/8/2022</v>
      </c>
      <c r="M40" s="30">
        <v>18994</v>
      </c>
      <c r="T40" s="35">
        <f t="shared" si="1"/>
        <v>12.379999999999999</v>
      </c>
      <c r="Y40" s="26"/>
    </row>
    <row r="41" spans="1:25" ht="12.75" customHeight="1" x14ac:dyDescent="0.25">
      <c r="A41" s="22" t="s">
        <v>237</v>
      </c>
      <c r="B41" s="30">
        <v>1334.25</v>
      </c>
      <c r="C41" s="30"/>
      <c r="D41" s="26"/>
      <c r="H41" s="11" t="str">
        <f t="shared" si="0"/>
        <v>3rd Pay Period ending 30/8/2022</v>
      </c>
      <c r="M41" s="30">
        <v>19030</v>
      </c>
      <c r="T41" s="35">
        <f t="shared" si="1"/>
        <v>133.42500000000001</v>
      </c>
      <c r="Y41" s="26"/>
    </row>
    <row r="42" spans="1:25" ht="12.75" customHeight="1" x14ac:dyDescent="0.25">
      <c r="A42" s="22" t="s">
        <v>238</v>
      </c>
      <c r="B42" s="30">
        <v>384.83</v>
      </c>
      <c r="C42" s="30"/>
      <c r="D42" s="26"/>
      <c r="H42" s="11" t="str">
        <f t="shared" si="0"/>
        <v>3rd Pay Period ending 30/8/2022</v>
      </c>
      <c r="M42" s="30">
        <v>18917</v>
      </c>
      <c r="T42" s="35">
        <f t="shared" si="1"/>
        <v>38.482999999999997</v>
      </c>
      <c r="Y42" s="26"/>
    </row>
    <row r="43" spans="1:25" ht="12.75" customHeight="1" x14ac:dyDescent="0.25">
      <c r="A43" s="22" t="s">
        <v>238</v>
      </c>
      <c r="B43" s="30">
        <v>704.19</v>
      </c>
      <c r="C43" s="30"/>
      <c r="D43" s="26"/>
      <c r="H43" s="11" t="str">
        <f t="shared" si="0"/>
        <v>3rd Pay Period ending 30/8/2022</v>
      </c>
      <c r="M43" s="30">
        <v>19023</v>
      </c>
      <c r="T43" s="35">
        <f t="shared" si="1"/>
        <v>70.419000000000011</v>
      </c>
      <c r="Y43" s="26"/>
    </row>
    <row r="44" spans="1:25" ht="12.75" customHeight="1" x14ac:dyDescent="0.25">
      <c r="A44" s="22" t="s">
        <v>239</v>
      </c>
      <c r="B44" s="30">
        <v>67.48</v>
      </c>
      <c r="C44" s="30"/>
      <c r="D44" s="26"/>
      <c r="H44" s="11" t="str">
        <f t="shared" si="0"/>
        <v>3rd Pay Period ending 30/8/2022</v>
      </c>
      <c r="M44" s="30">
        <v>18736</v>
      </c>
      <c r="T44" s="35">
        <f t="shared" si="1"/>
        <v>6.7480000000000002</v>
      </c>
      <c r="Y44" s="26"/>
    </row>
    <row r="45" spans="1:25" ht="12.75" customHeight="1" x14ac:dyDescent="0.25">
      <c r="A45" s="22" t="s">
        <v>240</v>
      </c>
      <c r="B45" s="30">
        <v>61.4</v>
      </c>
      <c r="C45" s="30"/>
      <c r="D45" s="26"/>
      <c r="H45" s="11" t="str">
        <f t="shared" si="0"/>
        <v>3rd Pay Period ending 30/8/2022</v>
      </c>
      <c r="M45" s="30">
        <v>18866</v>
      </c>
      <c r="T45" s="35">
        <f t="shared" si="1"/>
        <v>6.14</v>
      </c>
      <c r="Y45" s="26"/>
    </row>
    <row r="46" spans="1:25" ht="12.75" customHeight="1" x14ac:dyDescent="0.25">
      <c r="A46" s="22" t="s">
        <v>240</v>
      </c>
      <c r="B46" s="30">
        <v>75.97</v>
      </c>
      <c r="C46" s="30"/>
      <c r="D46" s="26"/>
      <c r="H46" s="11" t="str">
        <f t="shared" si="0"/>
        <v>3rd Pay Period ending 30/8/2022</v>
      </c>
      <c r="M46" s="30">
        <v>18957</v>
      </c>
      <c r="T46" s="35">
        <f t="shared" si="1"/>
        <v>7.5969999999999995</v>
      </c>
      <c r="Y46" s="26"/>
    </row>
    <row r="47" spans="1:25" ht="12.75" customHeight="1" x14ac:dyDescent="0.25">
      <c r="A47" s="22" t="s">
        <v>240</v>
      </c>
      <c r="B47" s="30">
        <v>45.06</v>
      </c>
      <c r="C47" s="30"/>
      <c r="D47" s="26"/>
      <c r="H47" s="11" t="str">
        <f t="shared" si="0"/>
        <v>3rd Pay Period ending 30/8/2022</v>
      </c>
      <c r="M47" s="30">
        <v>18891</v>
      </c>
      <c r="T47" s="35">
        <f t="shared" si="1"/>
        <v>4.5060000000000002</v>
      </c>
      <c r="Y47" s="26"/>
    </row>
    <row r="48" spans="1:25" ht="12.75" customHeight="1" x14ac:dyDescent="0.25">
      <c r="A48" s="22" t="s">
        <v>241</v>
      </c>
      <c r="B48" s="30">
        <v>403.91</v>
      </c>
      <c r="C48" s="30"/>
      <c r="D48" s="26"/>
      <c r="H48" s="11" t="str">
        <f t="shared" si="0"/>
        <v>3rd Pay Period ending 30/8/2022</v>
      </c>
      <c r="M48" s="30">
        <v>18631</v>
      </c>
      <c r="T48" s="35">
        <f t="shared" si="1"/>
        <v>40.391000000000005</v>
      </c>
      <c r="Y48" s="26"/>
    </row>
    <row r="49" spans="1:25" ht="12.75" customHeight="1" x14ac:dyDescent="0.25">
      <c r="A49" s="22" t="s">
        <v>241</v>
      </c>
      <c r="B49" s="30">
        <v>73.28</v>
      </c>
      <c r="C49" s="30"/>
      <c r="D49" s="26"/>
      <c r="H49" s="11" t="str">
        <f t="shared" si="0"/>
        <v>3rd Pay Period ending 30/8/2022</v>
      </c>
      <c r="M49" s="30">
        <v>18</v>
      </c>
      <c r="T49" s="35">
        <f t="shared" si="1"/>
        <v>7.3280000000000003</v>
      </c>
      <c r="Y49" s="26"/>
    </row>
    <row r="50" spans="1:25" ht="12.75" customHeight="1" x14ac:dyDescent="0.25">
      <c r="A50" s="22" t="s">
        <v>241</v>
      </c>
      <c r="B50" s="30">
        <v>405.5</v>
      </c>
      <c r="C50" s="30"/>
      <c r="D50" s="26"/>
      <c r="H50" s="11" t="str">
        <f t="shared" si="0"/>
        <v>3rd Pay Period ending 30/8/2022</v>
      </c>
      <c r="M50" s="30">
        <v>18879</v>
      </c>
      <c r="T50" s="35">
        <f t="shared" si="1"/>
        <v>40.549999999999997</v>
      </c>
      <c r="Y50" s="26"/>
    </row>
    <row r="51" spans="1:25" ht="12.75" customHeight="1" x14ac:dyDescent="0.25">
      <c r="A51" s="22" t="s">
        <v>242</v>
      </c>
      <c r="B51" s="30">
        <v>116.08</v>
      </c>
      <c r="C51" s="30"/>
      <c r="D51" s="26"/>
      <c r="H51" s="11" t="str">
        <f t="shared" si="0"/>
        <v>3rd Pay Period ending 30/8/2022</v>
      </c>
      <c r="M51" s="30">
        <v>19000</v>
      </c>
      <c r="T51" s="35">
        <f t="shared" si="1"/>
        <v>11.608000000000001</v>
      </c>
      <c r="Y51" s="26"/>
    </row>
    <row r="52" spans="1:25" ht="12.75" customHeight="1" x14ac:dyDescent="0.25">
      <c r="A52" s="22" t="s">
        <v>242</v>
      </c>
      <c r="B52" s="30">
        <v>446.84</v>
      </c>
      <c r="C52" s="30"/>
      <c r="D52" s="26"/>
      <c r="H52" s="11" t="str">
        <f t="shared" si="0"/>
        <v>3rd Pay Period ending 30/8/2022</v>
      </c>
      <c r="M52" s="30">
        <v>19013</v>
      </c>
      <c r="T52" s="35">
        <f t="shared" si="1"/>
        <v>44.683999999999997</v>
      </c>
      <c r="Y52" s="26"/>
    </row>
    <row r="53" spans="1:25" ht="12.75" customHeight="1" x14ac:dyDescent="0.25">
      <c r="A53" s="22" t="s">
        <v>243</v>
      </c>
      <c r="B53" s="30">
        <v>424.56</v>
      </c>
      <c r="C53" s="30"/>
      <c r="D53" s="26"/>
      <c r="H53" s="11" t="str">
        <f t="shared" si="0"/>
        <v>3rd Pay Period ending 30/8/2022</v>
      </c>
      <c r="M53" s="30">
        <v>18687</v>
      </c>
      <c r="T53" s="35">
        <f t="shared" si="1"/>
        <v>42.456000000000003</v>
      </c>
      <c r="Y53" s="26"/>
    </row>
    <row r="54" spans="1:25" ht="12.75" customHeight="1" x14ac:dyDescent="0.25">
      <c r="A54" s="22" t="s">
        <v>243</v>
      </c>
      <c r="B54" s="30">
        <v>45.14</v>
      </c>
      <c r="C54" s="30"/>
      <c r="D54" s="26"/>
      <c r="H54" s="11" t="str">
        <f t="shared" si="0"/>
        <v>3rd Pay Period ending 30/8/2022</v>
      </c>
      <c r="M54" s="30">
        <v>18960</v>
      </c>
      <c r="T54" s="35">
        <f t="shared" si="1"/>
        <v>4.5140000000000002</v>
      </c>
      <c r="Y54" s="26"/>
    </row>
    <row r="55" spans="1:25" ht="12.75" customHeight="1" x14ac:dyDescent="0.25">
      <c r="A55" s="22" t="s">
        <v>243</v>
      </c>
      <c r="B55" s="30">
        <v>200.9</v>
      </c>
      <c r="C55" s="30"/>
      <c r="D55" s="26"/>
      <c r="H55" s="11" t="str">
        <f t="shared" si="0"/>
        <v>3rd Pay Period ending 30/8/2022</v>
      </c>
      <c r="M55" s="30">
        <v>18781</v>
      </c>
      <c r="T55" s="35">
        <f t="shared" si="1"/>
        <v>20.09</v>
      </c>
      <c r="Y55" s="26"/>
    </row>
    <row r="56" spans="1:25" ht="12.75" customHeight="1" x14ac:dyDescent="0.25">
      <c r="A56" s="22" t="s">
        <v>243</v>
      </c>
      <c r="B56" s="30">
        <v>80.459999999999994</v>
      </c>
      <c r="C56" s="30"/>
      <c r="D56" s="26"/>
      <c r="H56" s="11" t="str">
        <f t="shared" si="0"/>
        <v>3rd Pay Period ending 30/8/2022</v>
      </c>
      <c r="M56" s="30">
        <v>18733</v>
      </c>
      <c r="T56" s="35">
        <f t="shared" si="1"/>
        <v>8.0459999999999994</v>
      </c>
      <c r="Y56" s="26"/>
    </row>
    <row r="57" spans="1:25" ht="12.75" customHeight="1" x14ac:dyDescent="0.25">
      <c r="A57" s="22" t="s">
        <v>243</v>
      </c>
      <c r="B57" s="30">
        <v>512.09</v>
      </c>
      <c r="C57" s="30"/>
      <c r="D57" s="26"/>
      <c r="H57" s="11" t="str">
        <f t="shared" si="0"/>
        <v>3rd Pay Period ending 30/8/2022</v>
      </c>
      <c r="M57" s="30">
        <v>18967</v>
      </c>
      <c r="T57" s="35">
        <f t="shared" ref="T57:T67" si="2">B57/10*$V$1</f>
        <v>51.209000000000003</v>
      </c>
      <c r="Y57" s="26"/>
    </row>
    <row r="58" spans="1:25" ht="12.75" customHeight="1" x14ac:dyDescent="0.25">
      <c r="A58" s="22" t="s">
        <v>243</v>
      </c>
      <c r="B58" s="30">
        <v>1184.27</v>
      </c>
      <c r="C58" s="30"/>
      <c r="D58" s="26"/>
      <c r="H58" s="11" t="str">
        <f t="shared" si="0"/>
        <v>3rd Pay Period ending 30/8/2022</v>
      </c>
      <c r="M58" s="30">
        <v>18559</v>
      </c>
      <c r="T58" s="35">
        <f t="shared" si="2"/>
        <v>118.42699999999999</v>
      </c>
      <c r="Y58" s="26"/>
    </row>
    <row r="59" spans="1:25" ht="12.75" customHeight="1" x14ac:dyDescent="0.25">
      <c r="A59" s="22" t="s">
        <v>243</v>
      </c>
      <c r="B59" s="30">
        <v>75.39</v>
      </c>
      <c r="C59" s="30"/>
      <c r="D59" s="26"/>
      <c r="H59" s="11" t="str">
        <f t="shared" si="0"/>
        <v>3rd Pay Period ending 30/8/2022</v>
      </c>
      <c r="M59" s="30">
        <v>18659</v>
      </c>
      <c r="T59" s="35">
        <f t="shared" si="2"/>
        <v>7.5389999999999997</v>
      </c>
      <c r="Y59" s="26"/>
    </row>
    <row r="60" spans="1:25" ht="12.75" customHeight="1" x14ac:dyDescent="0.25">
      <c r="A60" s="22" t="s">
        <v>243</v>
      </c>
      <c r="B60" s="30">
        <v>348.99</v>
      </c>
      <c r="C60" s="30"/>
      <c r="D60" s="26"/>
      <c r="H60" s="11" t="str">
        <f t="shared" si="0"/>
        <v>3rd Pay Period ending 30/8/2022</v>
      </c>
      <c r="M60" s="30">
        <v>18894</v>
      </c>
      <c r="T60" s="35">
        <f t="shared" si="2"/>
        <v>34.899000000000001</v>
      </c>
      <c r="Y60" s="26"/>
    </row>
    <row r="61" spans="1:25" ht="12.75" customHeight="1" x14ac:dyDescent="0.25">
      <c r="A61" s="22" t="s">
        <v>244</v>
      </c>
      <c r="B61" s="30">
        <v>53.45</v>
      </c>
      <c r="C61" s="30"/>
      <c r="D61" s="26"/>
      <c r="H61" s="11" t="str">
        <f t="shared" si="0"/>
        <v>3rd Pay Period ending 30/8/2022</v>
      </c>
      <c r="M61" s="30">
        <v>141</v>
      </c>
      <c r="T61" s="35">
        <f t="shared" si="2"/>
        <v>5.3450000000000006</v>
      </c>
      <c r="Y61" s="26"/>
    </row>
    <row r="62" spans="1:25" ht="12.75" customHeight="1" x14ac:dyDescent="0.25">
      <c r="A62" s="22" t="s">
        <v>244</v>
      </c>
      <c r="B62" s="30">
        <v>232.16</v>
      </c>
      <c r="C62" s="30"/>
      <c r="D62" s="26"/>
      <c r="H62" s="11" t="str">
        <f t="shared" si="0"/>
        <v>3rd Pay Period ending 30/8/2022</v>
      </c>
      <c r="M62" s="30">
        <v>18961</v>
      </c>
      <c r="T62" s="35">
        <f t="shared" si="2"/>
        <v>23.216000000000001</v>
      </c>
      <c r="Y62" s="26"/>
    </row>
    <row r="63" spans="1:25" ht="12.75" customHeight="1" x14ac:dyDescent="0.25">
      <c r="A63" s="22" t="s">
        <v>244</v>
      </c>
      <c r="B63" s="30">
        <v>124.71</v>
      </c>
      <c r="C63" s="30"/>
      <c r="D63" s="26"/>
      <c r="H63" s="11" t="str">
        <f t="shared" si="0"/>
        <v>3rd Pay Period ending 30/8/2022</v>
      </c>
      <c r="M63" s="30">
        <v>11229</v>
      </c>
      <c r="T63" s="35">
        <f t="shared" si="2"/>
        <v>12.471</v>
      </c>
      <c r="Y63" s="26"/>
    </row>
    <row r="64" spans="1:25" ht="12.75" customHeight="1" x14ac:dyDescent="0.25">
      <c r="A64" s="22" t="s">
        <v>245</v>
      </c>
      <c r="B64" s="30">
        <v>99.65</v>
      </c>
      <c r="C64" s="30"/>
      <c r="D64" s="26"/>
      <c r="H64" s="11" t="str">
        <f t="shared" si="0"/>
        <v>3rd Pay Period ending 30/8/2022</v>
      </c>
      <c r="M64" s="30">
        <v>18999</v>
      </c>
      <c r="T64" s="35">
        <f t="shared" si="2"/>
        <v>9.9649999999999999</v>
      </c>
      <c r="Y64" s="26"/>
    </row>
    <row r="65" spans="1:25" ht="12.75" customHeight="1" x14ac:dyDescent="0.25">
      <c r="A65" s="22" t="s">
        <v>245</v>
      </c>
      <c r="B65" s="30">
        <v>212.81</v>
      </c>
      <c r="C65" s="30"/>
      <c r="D65" s="26"/>
      <c r="H65" s="11" t="str">
        <f t="shared" si="0"/>
        <v>3rd Pay Period ending 30/8/2022</v>
      </c>
      <c r="M65" s="30">
        <v>19006</v>
      </c>
      <c r="T65" s="35">
        <f t="shared" si="2"/>
        <v>21.280999999999999</v>
      </c>
      <c r="Y65" s="26"/>
    </row>
    <row r="66" spans="1:25" ht="12.75" customHeight="1" x14ac:dyDescent="0.25">
      <c r="A66" s="22" t="s">
        <v>245</v>
      </c>
      <c r="B66" s="30">
        <v>58.04</v>
      </c>
      <c r="C66" s="30"/>
      <c r="D66" s="26"/>
      <c r="H66" s="11" t="str">
        <f t="shared" si="0"/>
        <v>3rd Pay Period ending 30/8/2022</v>
      </c>
      <c r="M66" s="30">
        <v>19016</v>
      </c>
      <c r="T66" s="35">
        <f t="shared" si="2"/>
        <v>5.8040000000000003</v>
      </c>
      <c r="Y66" s="26"/>
    </row>
    <row r="67" spans="1:25" ht="12.75" customHeight="1" x14ac:dyDescent="0.25">
      <c r="A67" s="22" t="s">
        <v>245</v>
      </c>
      <c r="B67" s="30">
        <v>353.4</v>
      </c>
      <c r="C67" s="30"/>
      <c r="D67" s="26"/>
      <c r="H67" s="11" t="str">
        <f t="shared" ref="H67:H130" si="3">$K$1</f>
        <v>3rd Pay Period ending 30/8/2022</v>
      </c>
      <c r="M67" s="30">
        <v>19032</v>
      </c>
      <c r="T67" s="35">
        <f t="shared" si="2"/>
        <v>35.339999999999996</v>
      </c>
      <c r="Y67" s="26"/>
    </row>
    <row r="68" spans="1:25" ht="12.75" customHeight="1" x14ac:dyDescent="0.25">
      <c r="A68" s="22" t="s">
        <v>246</v>
      </c>
      <c r="B68" s="30">
        <v>161.65</v>
      </c>
      <c r="C68" s="30"/>
      <c r="D68" s="26"/>
      <c r="H68" s="11" t="str">
        <f t="shared" si="3"/>
        <v>3rd Pay Period ending 30/8/2022</v>
      </c>
      <c r="M68" s="30">
        <v>19027</v>
      </c>
      <c r="T68" s="35">
        <f t="shared" ref="T68:T131" si="4">B68/10*$V$1</f>
        <v>16.164999999999999</v>
      </c>
      <c r="Y68" s="26"/>
    </row>
    <row r="69" spans="1:25" ht="12.75" customHeight="1" x14ac:dyDescent="0.25">
      <c r="A69" s="22" t="s">
        <v>246</v>
      </c>
      <c r="B69" s="30">
        <v>87.71</v>
      </c>
      <c r="C69" s="30"/>
      <c r="D69" s="26"/>
      <c r="H69" s="11" t="str">
        <f t="shared" si="3"/>
        <v>3rd Pay Period ending 30/8/2022</v>
      </c>
      <c r="M69" s="30">
        <v>18980</v>
      </c>
      <c r="T69" s="35">
        <f t="shared" si="4"/>
        <v>8.770999999999999</v>
      </c>
      <c r="Y69" s="26"/>
    </row>
    <row r="70" spans="1:25" ht="12.75" customHeight="1" x14ac:dyDescent="0.25">
      <c r="A70" s="22" t="s">
        <v>246</v>
      </c>
      <c r="B70" s="30">
        <v>350.21</v>
      </c>
      <c r="C70" s="30"/>
      <c r="D70" s="26"/>
      <c r="H70" s="11" t="str">
        <f t="shared" si="3"/>
        <v>3rd Pay Period ending 30/8/2022</v>
      </c>
      <c r="M70" s="30">
        <v>19021</v>
      </c>
      <c r="T70" s="35">
        <f t="shared" si="4"/>
        <v>35.021000000000001</v>
      </c>
      <c r="Y70" s="26"/>
    </row>
    <row r="71" spans="1:25" ht="12.75" customHeight="1" x14ac:dyDescent="0.25">
      <c r="A71" s="22" t="s">
        <v>247</v>
      </c>
      <c r="B71" s="30">
        <v>101.76</v>
      </c>
      <c r="C71" s="30"/>
      <c r="D71" s="26"/>
      <c r="H71" s="11" t="str">
        <f t="shared" si="3"/>
        <v>3rd Pay Period ending 30/8/2022</v>
      </c>
      <c r="M71" s="30">
        <v>18979</v>
      </c>
      <c r="T71" s="35">
        <f t="shared" si="4"/>
        <v>10.176</v>
      </c>
      <c r="Y71" s="26"/>
    </row>
    <row r="72" spans="1:25" ht="12.75" customHeight="1" x14ac:dyDescent="0.25">
      <c r="A72" s="22" t="s">
        <v>247</v>
      </c>
      <c r="B72" s="30">
        <v>370.38</v>
      </c>
      <c r="C72" s="30"/>
      <c r="D72" s="26"/>
      <c r="H72" s="11" t="str">
        <f t="shared" si="3"/>
        <v>3rd Pay Period ending 30/8/2022</v>
      </c>
      <c r="M72" s="30">
        <v>18918</v>
      </c>
      <c r="T72" s="35">
        <f t="shared" si="4"/>
        <v>37.037999999999997</v>
      </c>
      <c r="Y72" s="26"/>
    </row>
    <row r="73" spans="1:25" ht="12.75" customHeight="1" x14ac:dyDescent="0.25">
      <c r="A73" s="22" t="s">
        <v>247</v>
      </c>
      <c r="B73" s="30">
        <v>682.32</v>
      </c>
      <c r="C73" s="30"/>
      <c r="D73" s="26"/>
      <c r="H73" s="11" t="str">
        <f t="shared" si="3"/>
        <v>3rd Pay Period ending 30/8/2022</v>
      </c>
      <c r="M73" s="30">
        <v>18901</v>
      </c>
      <c r="T73" s="35">
        <f t="shared" si="4"/>
        <v>68.231999999999999</v>
      </c>
      <c r="Y73" s="26"/>
    </row>
    <row r="74" spans="1:25" ht="12.75" customHeight="1" x14ac:dyDescent="0.25">
      <c r="A74" s="22" t="s">
        <v>247</v>
      </c>
      <c r="B74" s="30">
        <v>255.37</v>
      </c>
      <c r="C74" s="30"/>
      <c r="D74" s="26"/>
      <c r="H74" s="11" t="str">
        <f t="shared" si="3"/>
        <v>3rd Pay Period ending 30/8/2022</v>
      </c>
      <c r="M74" s="30">
        <v>18887</v>
      </c>
      <c r="T74" s="35">
        <f t="shared" si="4"/>
        <v>25.536999999999999</v>
      </c>
      <c r="Y74" s="26"/>
    </row>
    <row r="75" spans="1:25" ht="12.75" customHeight="1" x14ac:dyDescent="0.25">
      <c r="A75" s="22" t="s">
        <v>247</v>
      </c>
      <c r="B75" s="30">
        <v>655.44</v>
      </c>
      <c r="C75" s="30"/>
      <c r="D75" s="26"/>
      <c r="H75" s="11" t="str">
        <f t="shared" si="3"/>
        <v>3rd Pay Period ending 30/8/2022</v>
      </c>
      <c r="M75" s="30">
        <v>18949</v>
      </c>
      <c r="T75" s="35">
        <f t="shared" si="4"/>
        <v>65.544000000000011</v>
      </c>
      <c r="Y75" s="26"/>
    </row>
    <row r="76" spans="1:25" ht="12.75" customHeight="1" x14ac:dyDescent="0.25">
      <c r="A76" s="22" t="s">
        <v>247</v>
      </c>
      <c r="B76" s="30">
        <v>501.43</v>
      </c>
      <c r="C76" s="30"/>
      <c r="D76" s="26"/>
      <c r="H76" s="11" t="str">
        <f t="shared" si="3"/>
        <v>3rd Pay Period ending 30/8/2022</v>
      </c>
      <c r="M76" s="30">
        <v>134</v>
      </c>
      <c r="T76" s="35">
        <f t="shared" si="4"/>
        <v>50.143000000000001</v>
      </c>
      <c r="Y76" s="26"/>
    </row>
    <row r="77" spans="1:25" ht="12.75" customHeight="1" x14ac:dyDescent="0.25">
      <c r="A77" s="22" t="s">
        <v>247</v>
      </c>
      <c r="B77" s="30">
        <v>116.09</v>
      </c>
      <c r="C77" s="30"/>
      <c r="D77" s="26"/>
      <c r="H77" s="11" t="str">
        <f t="shared" si="3"/>
        <v>3rd Pay Period ending 30/8/2022</v>
      </c>
      <c r="M77" s="30">
        <v>18822</v>
      </c>
      <c r="T77" s="35">
        <f t="shared" si="4"/>
        <v>11.609</v>
      </c>
      <c r="Y77" s="26"/>
    </row>
    <row r="78" spans="1:25" ht="12.75" customHeight="1" x14ac:dyDescent="0.25">
      <c r="A78" s="22" t="s">
        <v>247</v>
      </c>
      <c r="B78" s="30">
        <v>341.13</v>
      </c>
      <c r="C78" s="30"/>
      <c r="D78" s="26"/>
      <c r="H78" s="11" t="str">
        <f t="shared" si="3"/>
        <v>3rd Pay Period ending 30/8/2022</v>
      </c>
      <c r="M78" s="30">
        <v>18994</v>
      </c>
      <c r="T78" s="35">
        <f t="shared" si="4"/>
        <v>34.113</v>
      </c>
      <c r="Y78" s="26"/>
    </row>
    <row r="79" spans="1:25" ht="12.75" customHeight="1" x14ac:dyDescent="0.25">
      <c r="A79" s="22" t="s">
        <v>247</v>
      </c>
      <c r="B79" s="30">
        <v>225.71</v>
      </c>
      <c r="C79" s="30"/>
      <c r="D79" s="26"/>
      <c r="H79" s="11" t="str">
        <f t="shared" si="3"/>
        <v>3rd Pay Period ending 30/8/2022</v>
      </c>
      <c r="M79" s="30">
        <v>18827</v>
      </c>
      <c r="T79" s="35">
        <f t="shared" si="4"/>
        <v>22.571000000000002</v>
      </c>
      <c r="Y79" s="26"/>
    </row>
    <row r="80" spans="1:25" ht="12.75" customHeight="1" x14ac:dyDescent="0.25">
      <c r="A80" s="22" t="s">
        <v>247</v>
      </c>
      <c r="B80" s="30">
        <v>137.36000000000001</v>
      </c>
      <c r="C80" s="30"/>
      <c r="D80" s="26"/>
      <c r="H80" s="11" t="str">
        <f t="shared" si="3"/>
        <v>3rd Pay Period ending 30/8/2022</v>
      </c>
      <c r="M80" s="30">
        <v>18797</v>
      </c>
      <c r="T80" s="35">
        <f t="shared" si="4"/>
        <v>13.736000000000001</v>
      </c>
      <c r="Y80" s="26"/>
    </row>
    <row r="81" spans="1:25" ht="12.75" customHeight="1" x14ac:dyDescent="0.25">
      <c r="A81" s="22" t="s">
        <v>248</v>
      </c>
      <c r="B81" s="30">
        <v>153.33000000000001</v>
      </c>
      <c r="C81" s="30"/>
      <c r="D81" s="26"/>
      <c r="H81" s="11" t="str">
        <f t="shared" si="3"/>
        <v>3rd Pay Period ending 30/8/2022</v>
      </c>
      <c r="M81" s="30">
        <v>18692</v>
      </c>
      <c r="T81" s="35">
        <f t="shared" si="4"/>
        <v>15.333000000000002</v>
      </c>
      <c r="Y81" s="26"/>
    </row>
    <row r="82" spans="1:25" ht="12.75" customHeight="1" x14ac:dyDescent="0.25">
      <c r="A82" s="22" t="s">
        <v>249</v>
      </c>
      <c r="B82" s="30">
        <v>235.18</v>
      </c>
      <c r="C82" s="30"/>
      <c r="D82" s="26"/>
      <c r="H82" s="11" t="str">
        <f t="shared" si="3"/>
        <v>3rd Pay Period ending 30/8/2022</v>
      </c>
      <c r="M82" s="30">
        <v>18989</v>
      </c>
      <c r="T82" s="35">
        <f t="shared" si="4"/>
        <v>23.518000000000001</v>
      </c>
      <c r="Y82" s="26"/>
    </row>
    <row r="83" spans="1:25" ht="12.75" customHeight="1" x14ac:dyDescent="0.25">
      <c r="A83" s="22" t="s">
        <v>250</v>
      </c>
      <c r="B83" s="30">
        <v>202.44</v>
      </c>
      <c r="C83" s="30"/>
      <c r="D83" s="26"/>
      <c r="H83" s="11" t="str">
        <f t="shared" si="3"/>
        <v>3rd Pay Period ending 30/8/2022</v>
      </c>
      <c r="M83" s="30">
        <v>18736</v>
      </c>
      <c r="T83" s="35">
        <f t="shared" si="4"/>
        <v>20.244</v>
      </c>
      <c r="Y83" s="26"/>
    </row>
    <row r="84" spans="1:25" ht="12.75" customHeight="1" x14ac:dyDescent="0.25">
      <c r="A84" s="22" t="s">
        <v>251</v>
      </c>
      <c r="B84" s="30">
        <v>587.54</v>
      </c>
      <c r="C84" s="30"/>
      <c r="D84" s="26"/>
      <c r="H84" s="11" t="str">
        <f t="shared" si="3"/>
        <v>3rd Pay Period ending 30/8/2022</v>
      </c>
      <c r="M84" s="30">
        <v>19019</v>
      </c>
      <c r="T84" s="35">
        <f t="shared" si="4"/>
        <v>58.753999999999998</v>
      </c>
      <c r="Y84" s="26"/>
    </row>
    <row r="85" spans="1:25" ht="12.75" customHeight="1" x14ac:dyDescent="0.25">
      <c r="A85" s="22" t="s">
        <v>251</v>
      </c>
      <c r="B85" s="30">
        <v>640.80999999999995</v>
      </c>
      <c r="C85" s="30"/>
      <c r="D85" s="26"/>
      <c r="H85" s="11" t="str">
        <f t="shared" si="3"/>
        <v>3rd Pay Period ending 30/8/2022</v>
      </c>
      <c r="M85" s="30">
        <v>19028</v>
      </c>
      <c r="T85" s="35">
        <f t="shared" si="4"/>
        <v>64.080999999999989</v>
      </c>
      <c r="Y85" s="26"/>
    </row>
    <row r="86" spans="1:25" ht="12.75" customHeight="1" x14ac:dyDescent="0.25">
      <c r="A86" s="22" t="s">
        <v>251</v>
      </c>
      <c r="B86" s="30">
        <v>7.65</v>
      </c>
      <c r="C86" s="30"/>
      <c r="D86" s="26"/>
      <c r="H86" s="11" t="str">
        <f t="shared" si="3"/>
        <v>3rd Pay Period ending 30/8/2022</v>
      </c>
      <c r="M86" s="30">
        <v>19017</v>
      </c>
      <c r="T86" s="35">
        <f t="shared" si="4"/>
        <v>0.76500000000000001</v>
      </c>
      <c r="Y86" s="26"/>
    </row>
    <row r="87" spans="1:25" ht="12.75" customHeight="1" x14ac:dyDescent="0.25">
      <c r="A87" s="22" t="s">
        <v>251</v>
      </c>
      <c r="B87" s="30">
        <v>158</v>
      </c>
      <c r="C87" s="30"/>
      <c r="D87" s="26"/>
      <c r="H87" s="11" t="str">
        <f t="shared" si="3"/>
        <v>3rd Pay Period ending 30/8/2022</v>
      </c>
      <c r="M87" s="30">
        <v>18607</v>
      </c>
      <c r="T87" s="35">
        <f t="shared" si="4"/>
        <v>15.8</v>
      </c>
      <c r="Y87" s="26"/>
    </row>
    <row r="88" spans="1:25" ht="12.75" customHeight="1" x14ac:dyDescent="0.25">
      <c r="A88" s="22" t="s">
        <v>251</v>
      </c>
      <c r="B88" s="30">
        <v>329.61</v>
      </c>
      <c r="C88" s="30"/>
      <c r="D88" s="26"/>
      <c r="H88" s="11" t="str">
        <f t="shared" si="3"/>
        <v>3rd Pay Period ending 30/8/2022</v>
      </c>
      <c r="M88" s="30">
        <v>19011</v>
      </c>
      <c r="T88" s="35">
        <f t="shared" si="4"/>
        <v>32.960999999999999</v>
      </c>
      <c r="Y88" s="26"/>
    </row>
    <row r="89" spans="1:25" ht="12.75" customHeight="1" x14ac:dyDescent="0.25">
      <c r="A89" s="22" t="s">
        <v>251</v>
      </c>
      <c r="B89" s="30">
        <v>165.97</v>
      </c>
      <c r="C89" s="30"/>
      <c r="D89" s="26"/>
      <c r="H89" s="11" t="str">
        <f t="shared" si="3"/>
        <v>3rd Pay Period ending 30/8/2022</v>
      </c>
      <c r="M89" s="30">
        <v>19012</v>
      </c>
      <c r="T89" s="35">
        <f t="shared" si="4"/>
        <v>16.597000000000001</v>
      </c>
      <c r="Y89" s="26"/>
    </row>
    <row r="90" spans="1:25" ht="12.75" customHeight="1" x14ac:dyDescent="0.25">
      <c r="A90" s="22" t="s">
        <v>251</v>
      </c>
      <c r="B90" s="30">
        <v>484.73</v>
      </c>
      <c r="C90" s="30"/>
      <c r="D90" s="26"/>
      <c r="H90" s="11" t="str">
        <f t="shared" si="3"/>
        <v>3rd Pay Period ending 30/8/2022</v>
      </c>
      <c r="M90" s="30">
        <v>18829</v>
      </c>
      <c r="T90" s="35">
        <f t="shared" si="4"/>
        <v>48.472999999999999</v>
      </c>
      <c r="Y90" s="26"/>
    </row>
    <row r="91" spans="1:25" ht="12.75" customHeight="1" x14ac:dyDescent="0.25">
      <c r="A91" s="22" t="s">
        <v>251</v>
      </c>
      <c r="B91" s="30">
        <v>285.04000000000002</v>
      </c>
      <c r="C91" s="30"/>
      <c r="D91" s="26"/>
      <c r="H91" s="11" t="str">
        <f t="shared" si="3"/>
        <v>3rd Pay Period ending 30/8/2022</v>
      </c>
      <c r="M91" s="30">
        <v>18932</v>
      </c>
      <c r="T91" s="35">
        <f t="shared" si="4"/>
        <v>28.504000000000001</v>
      </c>
      <c r="Y91" s="26"/>
    </row>
    <row r="92" spans="1:25" ht="12.75" customHeight="1" x14ac:dyDescent="0.25">
      <c r="A92" s="22" t="s">
        <v>251</v>
      </c>
      <c r="B92" s="30">
        <v>35.65</v>
      </c>
      <c r="C92" s="30"/>
      <c r="D92" s="26"/>
      <c r="H92" s="11" t="str">
        <f t="shared" si="3"/>
        <v>3rd Pay Period ending 30/8/2022</v>
      </c>
      <c r="M92" s="30">
        <v>19022</v>
      </c>
      <c r="T92" s="35">
        <f t="shared" si="4"/>
        <v>3.5649999999999999</v>
      </c>
      <c r="Y92" s="26"/>
    </row>
    <row r="93" spans="1:25" ht="12.75" customHeight="1" x14ac:dyDescent="0.25">
      <c r="A93" s="22" t="s">
        <v>251</v>
      </c>
      <c r="B93" s="30">
        <v>684.15</v>
      </c>
      <c r="C93" s="30"/>
      <c r="D93" s="26"/>
      <c r="H93" s="11" t="str">
        <f t="shared" si="3"/>
        <v>3rd Pay Period ending 30/8/2022</v>
      </c>
      <c r="M93" s="30">
        <v>19015</v>
      </c>
      <c r="T93" s="35">
        <f t="shared" si="4"/>
        <v>68.414999999999992</v>
      </c>
      <c r="Y93" s="26"/>
    </row>
    <row r="94" spans="1:25" ht="12.75" customHeight="1" x14ac:dyDescent="0.25">
      <c r="A94" s="22" t="s">
        <v>251</v>
      </c>
      <c r="B94" s="30">
        <v>592.69000000000005</v>
      </c>
      <c r="C94" s="30"/>
      <c r="D94" s="26"/>
      <c r="H94" s="11" t="str">
        <f t="shared" si="3"/>
        <v>3rd Pay Period ending 30/8/2022</v>
      </c>
      <c r="M94" s="30">
        <v>19029</v>
      </c>
      <c r="T94" s="35">
        <f t="shared" si="4"/>
        <v>59.269000000000005</v>
      </c>
      <c r="Y94" s="26"/>
    </row>
    <row r="95" spans="1:25" ht="12.75" customHeight="1" x14ac:dyDescent="0.25">
      <c r="A95" s="22" t="s">
        <v>251</v>
      </c>
      <c r="B95" s="30">
        <v>44.85</v>
      </c>
      <c r="C95" s="30"/>
      <c r="D95" s="26"/>
      <c r="H95" s="11" t="str">
        <f t="shared" si="3"/>
        <v>3rd Pay Period ending 30/8/2022</v>
      </c>
      <c r="M95" s="30">
        <v>18923</v>
      </c>
      <c r="T95" s="35">
        <f t="shared" si="4"/>
        <v>4.4850000000000003</v>
      </c>
      <c r="Y95" s="26"/>
    </row>
    <row r="96" spans="1:25" ht="12.75" customHeight="1" x14ac:dyDescent="0.25">
      <c r="A96" s="22" t="s">
        <v>251</v>
      </c>
      <c r="B96" s="30">
        <v>426.99</v>
      </c>
      <c r="C96" s="30"/>
      <c r="D96" s="26"/>
      <c r="H96" s="11" t="str">
        <f t="shared" si="3"/>
        <v>3rd Pay Period ending 30/8/2022</v>
      </c>
      <c r="M96" s="30">
        <v>19008</v>
      </c>
      <c r="T96" s="35">
        <f t="shared" si="4"/>
        <v>42.698999999999998</v>
      </c>
      <c r="Y96" s="26"/>
    </row>
    <row r="97" spans="1:25" ht="12.75" customHeight="1" x14ac:dyDescent="0.25">
      <c r="A97" s="22" t="s">
        <v>251</v>
      </c>
      <c r="B97" s="30">
        <v>310</v>
      </c>
      <c r="C97" s="30"/>
      <c r="D97" s="26"/>
      <c r="H97" s="11" t="str">
        <f t="shared" si="3"/>
        <v>3rd Pay Period ending 30/8/2022</v>
      </c>
      <c r="M97" s="30">
        <v>19009</v>
      </c>
      <c r="T97" s="35">
        <f t="shared" si="4"/>
        <v>31</v>
      </c>
      <c r="Y97" s="26"/>
    </row>
    <row r="98" spans="1:25" ht="12.75" customHeight="1" x14ac:dyDescent="0.25">
      <c r="A98" s="22" t="s">
        <v>252</v>
      </c>
      <c r="B98" s="30">
        <v>41.27</v>
      </c>
      <c r="C98" s="30"/>
      <c r="D98" s="26"/>
      <c r="H98" s="11" t="str">
        <f t="shared" si="3"/>
        <v>3rd Pay Period ending 30/8/2022</v>
      </c>
      <c r="M98" s="30">
        <v>18904</v>
      </c>
      <c r="T98" s="35">
        <f t="shared" si="4"/>
        <v>4.1270000000000007</v>
      </c>
      <c r="Y98" s="26"/>
    </row>
    <row r="99" spans="1:25" ht="12.75" customHeight="1" x14ac:dyDescent="0.25">
      <c r="A99" s="22" t="s">
        <v>253</v>
      </c>
      <c r="B99" s="30">
        <v>52.85</v>
      </c>
      <c r="C99" s="30"/>
      <c r="D99" s="26"/>
      <c r="H99" s="11" t="str">
        <f t="shared" si="3"/>
        <v>3rd Pay Period ending 30/8/2022</v>
      </c>
      <c r="M99" s="30">
        <v>18924</v>
      </c>
      <c r="T99" s="35">
        <f t="shared" si="4"/>
        <v>5.2850000000000001</v>
      </c>
      <c r="Y99" s="26"/>
    </row>
    <row r="100" spans="1:25" ht="12.75" customHeight="1" x14ac:dyDescent="0.25">
      <c r="A100" s="22" t="s">
        <v>253</v>
      </c>
      <c r="B100" s="30">
        <v>44.31</v>
      </c>
      <c r="C100" s="30"/>
      <c r="D100" s="26"/>
      <c r="H100" s="11" t="str">
        <f t="shared" si="3"/>
        <v>3rd Pay Period ending 30/8/2022</v>
      </c>
      <c r="M100" s="30">
        <v>18646</v>
      </c>
      <c r="T100" s="35">
        <f t="shared" si="4"/>
        <v>4.431</v>
      </c>
      <c r="Y100" s="26"/>
    </row>
    <row r="101" spans="1:25" ht="12.75" customHeight="1" x14ac:dyDescent="0.25">
      <c r="A101" s="22" t="s">
        <v>253</v>
      </c>
      <c r="B101" s="30">
        <v>88.36</v>
      </c>
      <c r="C101" s="30"/>
      <c r="D101" s="26"/>
      <c r="H101" s="11" t="str">
        <f t="shared" si="3"/>
        <v>3rd Pay Period ending 30/8/2022</v>
      </c>
      <c r="M101" s="30">
        <v>18850</v>
      </c>
      <c r="T101" s="35">
        <f t="shared" si="4"/>
        <v>8.8360000000000003</v>
      </c>
      <c r="Y101" s="26"/>
    </row>
    <row r="102" spans="1:25" ht="12.75" customHeight="1" x14ac:dyDescent="0.25">
      <c r="A102" s="22" t="s">
        <v>253</v>
      </c>
      <c r="B102" s="30">
        <v>42.16</v>
      </c>
      <c r="C102" s="30"/>
      <c r="D102" s="26"/>
      <c r="H102" s="11" t="str">
        <f t="shared" si="3"/>
        <v>3rd Pay Period ending 30/8/2022</v>
      </c>
      <c r="M102" s="30">
        <v>18990</v>
      </c>
      <c r="T102" s="35">
        <f t="shared" si="4"/>
        <v>4.2159999999999993</v>
      </c>
      <c r="Y102" s="26"/>
    </row>
    <row r="103" spans="1:25" ht="12.75" customHeight="1" x14ac:dyDescent="0.25">
      <c r="A103" s="22" t="s">
        <v>253</v>
      </c>
      <c r="B103" s="30">
        <v>6.64</v>
      </c>
      <c r="C103" s="30"/>
      <c r="D103" s="26"/>
      <c r="H103" s="11" t="str">
        <f t="shared" si="3"/>
        <v>3rd Pay Period ending 30/8/2022</v>
      </c>
      <c r="M103" s="30">
        <v>18858</v>
      </c>
      <c r="T103" s="35">
        <f t="shared" si="4"/>
        <v>0.66399999999999992</v>
      </c>
      <c r="Y103" s="26"/>
    </row>
    <row r="104" spans="1:25" ht="12.75" customHeight="1" x14ac:dyDescent="0.25">
      <c r="A104" s="22" t="s">
        <v>375</v>
      </c>
      <c r="B104" s="30">
        <v>1.19</v>
      </c>
      <c r="C104" s="30"/>
      <c r="D104" s="26"/>
      <c r="H104" s="11" t="str">
        <f t="shared" si="3"/>
        <v>3rd Pay Period ending 30/8/2022</v>
      </c>
      <c r="M104" s="30">
        <v>18970</v>
      </c>
      <c r="T104" s="35">
        <f t="shared" si="4"/>
        <v>0.11899999999999999</v>
      </c>
      <c r="Y104" s="26"/>
    </row>
    <row r="105" spans="1:25" ht="12.75" customHeight="1" x14ac:dyDescent="0.25">
      <c r="A105" s="22" t="s">
        <v>254</v>
      </c>
      <c r="B105" s="30">
        <v>124.23</v>
      </c>
      <c r="C105" s="30"/>
      <c r="D105" s="26"/>
      <c r="H105" s="11" t="str">
        <f t="shared" si="3"/>
        <v>3rd Pay Period ending 30/8/2022</v>
      </c>
      <c r="M105" s="30">
        <v>18895</v>
      </c>
      <c r="T105" s="35">
        <f t="shared" si="4"/>
        <v>12.423</v>
      </c>
      <c r="Y105" s="26"/>
    </row>
    <row r="106" spans="1:25" ht="12.75" customHeight="1" x14ac:dyDescent="0.25">
      <c r="A106" s="22" t="s">
        <v>254</v>
      </c>
      <c r="B106" s="30">
        <v>27.24</v>
      </c>
      <c r="C106" s="30"/>
      <c r="D106" s="26"/>
      <c r="H106" s="11" t="str">
        <f t="shared" si="3"/>
        <v>3rd Pay Period ending 30/8/2022</v>
      </c>
      <c r="M106" s="30">
        <v>18823</v>
      </c>
      <c r="T106" s="35">
        <f t="shared" si="4"/>
        <v>2.7239999999999998</v>
      </c>
      <c r="Y106" s="26"/>
    </row>
    <row r="107" spans="1:25" ht="12.75" customHeight="1" x14ac:dyDescent="0.25">
      <c r="A107" s="22" t="s">
        <v>254</v>
      </c>
      <c r="B107" s="30">
        <v>89.64</v>
      </c>
      <c r="C107" s="30"/>
      <c r="D107" s="26"/>
      <c r="H107" s="11" t="str">
        <f t="shared" si="3"/>
        <v>3rd Pay Period ending 30/8/2022</v>
      </c>
      <c r="M107" s="30">
        <v>18996</v>
      </c>
      <c r="T107" s="35">
        <f t="shared" si="4"/>
        <v>8.9640000000000004</v>
      </c>
      <c r="Y107" s="26"/>
    </row>
    <row r="108" spans="1:25" ht="12.75" customHeight="1" x14ac:dyDescent="0.25">
      <c r="A108" s="22" t="s">
        <v>254</v>
      </c>
      <c r="B108" s="30">
        <v>50.95</v>
      </c>
      <c r="C108" s="30"/>
      <c r="D108" s="26"/>
      <c r="H108" s="11" t="str">
        <f t="shared" si="3"/>
        <v>3rd Pay Period ending 30/8/2022</v>
      </c>
      <c r="M108" s="30">
        <v>18898</v>
      </c>
      <c r="T108" s="35">
        <f t="shared" si="4"/>
        <v>5.0950000000000006</v>
      </c>
      <c r="Y108" s="26"/>
    </row>
    <row r="109" spans="1:25" ht="12.75" customHeight="1" x14ac:dyDescent="0.25">
      <c r="A109" s="22" t="s">
        <v>254</v>
      </c>
      <c r="B109" s="30">
        <v>24.87</v>
      </c>
      <c r="C109" s="30"/>
      <c r="D109" s="26"/>
      <c r="H109" s="11" t="str">
        <f t="shared" si="3"/>
        <v>3rd Pay Period ending 30/8/2022</v>
      </c>
      <c r="M109" s="30">
        <v>18634</v>
      </c>
      <c r="T109" s="35">
        <f t="shared" si="4"/>
        <v>2.4870000000000001</v>
      </c>
      <c r="Y109" s="26"/>
    </row>
    <row r="110" spans="1:25" ht="12.75" customHeight="1" x14ac:dyDescent="0.25">
      <c r="A110" s="22" t="s">
        <v>254</v>
      </c>
      <c r="B110" s="30">
        <v>23.22</v>
      </c>
      <c r="C110" s="30"/>
      <c r="D110" s="26"/>
      <c r="H110" s="11" t="str">
        <f t="shared" si="3"/>
        <v>3rd Pay Period ending 30/8/2022</v>
      </c>
      <c r="M110" s="30">
        <v>18790</v>
      </c>
      <c r="T110" s="35">
        <f t="shared" si="4"/>
        <v>2.3220000000000001</v>
      </c>
      <c r="Y110" s="26"/>
    </row>
    <row r="111" spans="1:25" ht="12.75" customHeight="1" x14ac:dyDescent="0.25">
      <c r="A111" s="22" t="s">
        <v>255</v>
      </c>
      <c r="B111" s="30">
        <v>88.52</v>
      </c>
      <c r="C111" s="30"/>
      <c r="D111" s="26"/>
      <c r="H111" s="11" t="str">
        <f t="shared" si="3"/>
        <v>3rd Pay Period ending 30/8/2022</v>
      </c>
      <c r="M111" s="30">
        <v>18791</v>
      </c>
      <c r="T111" s="35">
        <f t="shared" si="4"/>
        <v>8.8520000000000003</v>
      </c>
      <c r="Y111" s="26"/>
    </row>
    <row r="112" spans="1:25" ht="12.75" customHeight="1" x14ac:dyDescent="0.25">
      <c r="A112" s="22" t="s">
        <v>256</v>
      </c>
      <c r="B112" s="30">
        <v>84.34</v>
      </c>
      <c r="C112" s="30"/>
      <c r="D112" s="26"/>
      <c r="H112" s="11" t="str">
        <f t="shared" si="3"/>
        <v>3rd Pay Period ending 30/8/2022</v>
      </c>
      <c r="M112" s="30">
        <v>18953</v>
      </c>
      <c r="T112" s="35">
        <f t="shared" si="4"/>
        <v>8.4340000000000011</v>
      </c>
      <c r="Y112" s="26"/>
    </row>
    <row r="113" spans="1:25" ht="12.75" customHeight="1" x14ac:dyDescent="0.25">
      <c r="A113" s="22" t="s">
        <v>256</v>
      </c>
      <c r="B113" s="30">
        <v>235.01</v>
      </c>
      <c r="C113" s="30"/>
      <c r="D113" s="26"/>
      <c r="H113" s="11" t="str">
        <f t="shared" si="3"/>
        <v>3rd Pay Period ending 30/8/2022</v>
      </c>
      <c r="M113" s="30">
        <v>18561</v>
      </c>
      <c r="T113" s="35">
        <f t="shared" si="4"/>
        <v>23.500999999999998</v>
      </c>
      <c r="Y113" s="26"/>
    </row>
    <row r="114" spans="1:25" ht="12.75" customHeight="1" x14ac:dyDescent="0.25">
      <c r="A114" s="22" t="s">
        <v>257</v>
      </c>
      <c r="B114" s="30">
        <v>19.350000000000001</v>
      </c>
      <c r="C114" s="30"/>
      <c r="D114" s="26"/>
      <c r="H114" s="11" t="str">
        <f t="shared" si="3"/>
        <v>3rd Pay Period ending 30/8/2022</v>
      </c>
      <c r="M114" s="30">
        <v>18792</v>
      </c>
      <c r="T114" s="35">
        <f t="shared" si="4"/>
        <v>1.9350000000000001</v>
      </c>
      <c r="Y114" s="26"/>
    </row>
    <row r="115" spans="1:25" ht="12.75" customHeight="1" x14ac:dyDescent="0.25">
      <c r="A115" s="22" t="s">
        <v>257</v>
      </c>
      <c r="B115" s="30">
        <v>5.17</v>
      </c>
      <c r="C115" s="30"/>
      <c r="D115" s="26"/>
      <c r="H115" s="11" t="str">
        <f t="shared" si="3"/>
        <v>3rd Pay Period ending 30/8/2022</v>
      </c>
      <c r="M115" s="30">
        <v>156</v>
      </c>
      <c r="T115" s="35">
        <f t="shared" si="4"/>
        <v>0.51700000000000002</v>
      </c>
      <c r="Y115" s="26"/>
    </row>
    <row r="116" spans="1:25" ht="12.75" customHeight="1" x14ac:dyDescent="0.25">
      <c r="A116" s="22" t="s">
        <v>258</v>
      </c>
      <c r="B116" s="30">
        <v>230.77</v>
      </c>
      <c r="C116" s="30"/>
      <c r="D116" s="26"/>
      <c r="H116" s="11" t="str">
        <f t="shared" si="3"/>
        <v>3rd Pay Period ending 30/8/2022</v>
      </c>
      <c r="M116" s="30">
        <v>18517</v>
      </c>
      <c r="T116" s="35">
        <f t="shared" si="4"/>
        <v>23.077000000000002</v>
      </c>
      <c r="Y116" s="26"/>
    </row>
    <row r="117" spans="1:25" ht="12.75" customHeight="1" x14ac:dyDescent="0.25">
      <c r="A117" s="22" t="s">
        <v>258</v>
      </c>
      <c r="B117" s="30">
        <v>230.77</v>
      </c>
      <c r="C117" s="30"/>
      <c r="D117" s="26"/>
      <c r="H117" s="11" t="str">
        <f t="shared" si="3"/>
        <v>3rd Pay Period ending 30/8/2022</v>
      </c>
      <c r="M117" s="30">
        <v>18845</v>
      </c>
      <c r="T117" s="35">
        <f t="shared" si="4"/>
        <v>23.077000000000002</v>
      </c>
      <c r="Y117" s="26"/>
    </row>
    <row r="118" spans="1:25" ht="12.75" customHeight="1" x14ac:dyDescent="0.25">
      <c r="A118" s="22" t="s">
        <v>259</v>
      </c>
      <c r="B118" s="30">
        <v>326.92</v>
      </c>
      <c r="C118" s="30"/>
      <c r="D118" s="26"/>
      <c r="H118" s="11" t="str">
        <f t="shared" si="3"/>
        <v>3rd Pay Period ending 30/8/2022</v>
      </c>
      <c r="M118" s="30">
        <v>18920</v>
      </c>
      <c r="T118" s="35">
        <f t="shared" si="4"/>
        <v>32.692</v>
      </c>
      <c r="Y118" s="26"/>
    </row>
    <row r="119" spans="1:25" ht="12.75" customHeight="1" x14ac:dyDescent="0.25">
      <c r="A119" s="22" t="s">
        <v>259</v>
      </c>
      <c r="B119" s="30">
        <v>384.62</v>
      </c>
      <c r="C119" s="30"/>
      <c r="D119" s="26"/>
      <c r="H119" s="11" t="str">
        <f t="shared" si="3"/>
        <v>3rd Pay Period ending 30/8/2022</v>
      </c>
      <c r="M119" s="30">
        <v>18997</v>
      </c>
      <c r="T119" s="35">
        <f t="shared" si="4"/>
        <v>38.462000000000003</v>
      </c>
      <c r="Y119" s="26"/>
    </row>
    <row r="120" spans="1:25" ht="12.75" customHeight="1" x14ac:dyDescent="0.25">
      <c r="A120" s="22" t="s">
        <v>260</v>
      </c>
      <c r="B120" s="30">
        <v>134.62</v>
      </c>
      <c r="C120" s="30"/>
      <c r="D120" s="26"/>
      <c r="H120" s="11" t="str">
        <f t="shared" si="3"/>
        <v>3rd Pay Period ending 30/8/2022</v>
      </c>
      <c r="M120" s="30">
        <v>18948</v>
      </c>
      <c r="T120" s="35">
        <f t="shared" si="4"/>
        <v>13.462</v>
      </c>
      <c r="Y120" s="26"/>
    </row>
    <row r="121" spans="1:25" ht="12.75" customHeight="1" x14ac:dyDescent="0.25">
      <c r="A121" s="22" t="s">
        <v>260</v>
      </c>
      <c r="B121" s="30">
        <v>692.31</v>
      </c>
      <c r="C121" s="30"/>
      <c r="D121" s="26"/>
      <c r="H121" s="11" t="str">
        <f t="shared" si="3"/>
        <v>3rd Pay Period ending 30/8/2022</v>
      </c>
      <c r="M121" s="30">
        <v>18716</v>
      </c>
      <c r="T121" s="35">
        <f t="shared" si="4"/>
        <v>69.230999999999995</v>
      </c>
      <c r="Y121" s="26"/>
    </row>
    <row r="122" spans="1:25" ht="12.75" customHeight="1" x14ac:dyDescent="0.25">
      <c r="A122" s="22" t="s">
        <v>261</v>
      </c>
      <c r="B122" s="30">
        <v>36.46</v>
      </c>
      <c r="C122" s="30"/>
      <c r="D122" s="26"/>
      <c r="H122" s="11" t="str">
        <f t="shared" si="3"/>
        <v>3rd Pay Period ending 30/8/2022</v>
      </c>
      <c r="M122" s="30">
        <v>18862</v>
      </c>
      <c r="T122" s="35">
        <f t="shared" si="4"/>
        <v>3.6459999999999999</v>
      </c>
      <c r="Y122" s="26"/>
    </row>
    <row r="123" spans="1:25" ht="12.75" customHeight="1" x14ac:dyDescent="0.25">
      <c r="A123" s="22" t="s">
        <v>261</v>
      </c>
      <c r="B123" s="30">
        <v>267.23</v>
      </c>
      <c r="C123" s="30"/>
      <c r="D123" s="26"/>
      <c r="H123" s="11" t="str">
        <f t="shared" si="3"/>
        <v>3rd Pay Period ending 30/8/2022</v>
      </c>
      <c r="M123" s="30">
        <v>18969</v>
      </c>
      <c r="T123" s="35">
        <f t="shared" si="4"/>
        <v>26.723000000000003</v>
      </c>
      <c r="Y123" s="26"/>
    </row>
    <row r="124" spans="1:25" ht="12.75" customHeight="1" x14ac:dyDescent="0.25">
      <c r="A124" s="22" t="s">
        <v>262</v>
      </c>
      <c r="B124" s="30">
        <v>692.31</v>
      </c>
      <c r="C124" s="30"/>
      <c r="D124" s="26"/>
      <c r="H124" s="11" t="str">
        <f t="shared" si="3"/>
        <v>3rd Pay Period ending 30/8/2022</v>
      </c>
      <c r="M124" s="30">
        <v>18886</v>
      </c>
      <c r="T124" s="35">
        <f t="shared" si="4"/>
        <v>69.230999999999995</v>
      </c>
      <c r="Y124" s="26"/>
    </row>
    <row r="125" spans="1:25" ht="12.75" customHeight="1" x14ac:dyDescent="0.25">
      <c r="A125" s="22" t="s">
        <v>263</v>
      </c>
      <c r="B125" s="30">
        <v>692.31</v>
      </c>
      <c r="C125" s="30"/>
      <c r="D125" s="26"/>
      <c r="H125" s="11" t="str">
        <f t="shared" si="3"/>
        <v>3rd Pay Period ending 30/8/2022</v>
      </c>
      <c r="M125" s="30">
        <v>18853</v>
      </c>
      <c r="T125" s="35">
        <f t="shared" si="4"/>
        <v>69.230999999999995</v>
      </c>
      <c r="Y125" s="26"/>
    </row>
    <row r="126" spans="1:25" ht="12.75" customHeight="1" x14ac:dyDescent="0.25">
      <c r="A126" s="22" t="s">
        <v>264</v>
      </c>
      <c r="B126" s="30">
        <v>242.35</v>
      </c>
      <c r="C126" s="30"/>
      <c r="D126" s="26"/>
      <c r="H126" s="11" t="str">
        <f t="shared" si="3"/>
        <v>3rd Pay Period ending 30/8/2022</v>
      </c>
      <c r="M126" s="30">
        <v>18903</v>
      </c>
      <c r="T126" s="35">
        <f t="shared" si="4"/>
        <v>24.234999999999999</v>
      </c>
      <c r="Y126" s="26"/>
    </row>
    <row r="127" spans="1:25" ht="12.75" customHeight="1" x14ac:dyDescent="0.25">
      <c r="A127" s="22" t="s">
        <v>264</v>
      </c>
      <c r="B127" s="30">
        <v>285.35000000000002</v>
      </c>
      <c r="C127" s="30"/>
      <c r="D127" s="26"/>
      <c r="H127" s="11" t="str">
        <f t="shared" si="3"/>
        <v>3rd Pay Period ending 30/8/2022</v>
      </c>
      <c r="M127" s="30">
        <v>18866</v>
      </c>
      <c r="T127" s="35">
        <f t="shared" si="4"/>
        <v>28.535000000000004</v>
      </c>
      <c r="Y127" s="26"/>
    </row>
    <row r="128" spans="1:25" ht="12.75" customHeight="1" x14ac:dyDescent="0.25">
      <c r="A128" s="22" t="s">
        <v>264</v>
      </c>
      <c r="B128" s="30">
        <v>117.63</v>
      </c>
      <c r="C128" s="30"/>
      <c r="D128" s="26"/>
      <c r="H128" s="11" t="str">
        <f t="shared" si="3"/>
        <v>3rd Pay Period ending 30/8/2022</v>
      </c>
      <c r="M128" s="30">
        <v>18831</v>
      </c>
      <c r="T128" s="35">
        <f t="shared" si="4"/>
        <v>11.763</v>
      </c>
      <c r="Y128" s="26"/>
    </row>
    <row r="129" spans="1:25" ht="12.75" customHeight="1" x14ac:dyDescent="0.25">
      <c r="A129" s="22" t="s">
        <v>265</v>
      </c>
      <c r="B129" s="30">
        <v>344.28</v>
      </c>
      <c r="C129" s="30"/>
      <c r="D129" s="26"/>
      <c r="H129" s="11" t="str">
        <f t="shared" si="3"/>
        <v>3rd Pay Period ending 30/8/2022</v>
      </c>
      <c r="M129" s="30">
        <v>18879</v>
      </c>
      <c r="T129" s="35">
        <f t="shared" si="4"/>
        <v>34.427999999999997</v>
      </c>
      <c r="Y129" s="26"/>
    </row>
    <row r="130" spans="1:25" ht="12.75" customHeight="1" x14ac:dyDescent="0.25">
      <c r="A130" s="22" t="s">
        <v>265</v>
      </c>
      <c r="B130" s="30">
        <v>36.46</v>
      </c>
      <c r="C130" s="30"/>
      <c r="D130" s="26"/>
      <c r="H130" s="11" t="str">
        <f t="shared" si="3"/>
        <v>3rd Pay Period ending 30/8/2022</v>
      </c>
      <c r="M130" s="30">
        <v>18631</v>
      </c>
      <c r="T130" s="35">
        <f t="shared" si="4"/>
        <v>3.6459999999999999</v>
      </c>
      <c r="Y130" s="26"/>
    </row>
    <row r="131" spans="1:25" ht="12.75" customHeight="1" x14ac:dyDescent="0.25">
      <c r="A131" s="22" t="s">
        <v>266</v>
      </c>
      <c r="B131" s="30">
        <v>294.07</v>
      </c>
      <c r="C131" s="30"/>
      <c r="D131" s="26"/>
      <c r="H131" s="11" t="str">
        <f t="shared" ref="H131:H194" si="5">$K$1</f>
        <v>3rd Pay Period ending 30/8/2022</v>
      </c>
      <c r="M131" s="30">
        <v>19000</v>
      </c>
      <c r="T131" s="35">
        <f t="shared" si="4"/>
        <v>29.407</v>
      </c>
      <c r="Y131" s="26"/>
    </row>
    <row r="132" spans="1:25" ht="12.75" customHeight="1" x14ac:dyDescent="0.25">
      <c r="A132" s="22" t="s">
        <v>267</v>
      </c>
      <c r="B132" s="30">
        <v>54.16</v>
      </c>
      <c r="C132" s="30"/>
      <c r="D132" s="26"/>
      <c r="H132" s="11" t="str">
        <f t="shared" si="5"/>
        <v>3rd Pay Period ending 30/8/2022</v>
      </c>
      <c r="M132" s="30">
        <v>18960</v>
      </c>
      <c r="T132" s="35">
        <f t="shared" ref="T132:T195" si="6">B132/10*$V$1</f>
        <v>5.4159999999999995</v>
      </c>
      <c r="Y132" s="26"/>
    </row>
    <row r="133" spans="1:25" ht="12.75" customHeight="1" x14ac:dyDescent="0.25">
      <c r="A133" s="22" t="s">
        <v>267</v>
      </c>
      <c r="B133" s="30">
        <v>36.46</v>
      </c>
      <c r="C133" s="30"/>
      <c r="D133" s="26"/>
      <c r="H133" s="11" t="str">
        <f t="shared" si="5"/>
        <v>3rd Pay Period ending 30/8/2022</v>
      </c>
      <c r="M133" s="30">
        <v>18911</v>
      </c>
      <c r="T133" s="35">
        <f t="shared" si="6"/>
        <v>3.6459999999999999</v>
      </c>
      <c r="Y133" s="26"/>
    </row>
    <row r="134" spans="1:25" ht="12.75" customHeight="1" x14ac:dyDescent="0.25">
      <c r="A134" s="22" t="s">
        <v>268</v>
      </c>
      <c r="B134" s="30">
        <v>294.07</v>
      </c>
      <c r="C134" s="30"/>
      <c r="D134" s="26"/>
      <c r="H134" s="11" t="str">
        <f t="shared" si="5"/>
        <v>3rd Pay Period ending 30/8/2022</v>
      </c>
      <c r="M134" s="30">
        <v>18961</v>
      </c>
      <c r="T134" s="35">
        <f t="shared" si="6"/>
        <v>29.407</v>
      </c>
      <c r="Y134" s="26"/>
    </row>
    <row r="135" spans="1:25" ht="12.75" customHeight="1" x14ac:dyDescent="0.25">
      <c r="A135" s="22" t="s">
        <v>268</v>
      </c>
      <c r="B135" s="30">
        <v>311.11</v>
      </c>
      <c r="C135" s="30"/>
      <c r="D135" s="26"/>
      <c r="H135" s="11" t="str">
        <f t="shared" si="5"/>
        <v>3rd Pay Period ending 30/8/2022</v>
      </c>
      <c r="M135" s="30">
        <v>145</v>
      </c>
      <c r="T135" s="35">
        <f t="shared" si="6"/>
        <v>31.111000000000001</v>
      </c>
      <c r="Y135" s="26"/>
    </row>
    <row r="136" spans="1:25" ht="12.75" customHeight="1" x14ac:dyDescent="0.25">
      <c r="A136" s="22" t="s">
        <v>268</v>
      </c>
      <c r="B136" s="30">
        <v>270.81</v>
      </c>
      <c r="C136" s="30"/>
      <c r="D136" s="26"/>
      <c r="H136" s="11" t="str">
        <f t="shared" si="5"/>
        <v>3rd Pay Period ending 30/8/2022</v>
      </c>
      <c r="M136" s="30">
        <v>11229</v>
      </c>
      <c r="T136" s="35">
        <f t="shared" si="6"/>
        <v>27.081</v>
      </c>
      <c r="Y136" s="26"/>
    </row>
    <row r="137" spans="1:25" ht="12.75" customHeight="1" x14ac:dyDescent="0.25">
      <c r="A137" s="22" t="s">
        <v>269</v>
      </c>
      <c r="B137" s="30">
        <v>294.07</v>
      </c>
      <c r="C137" s="30"/>
      <c r="D137" s="26"/>
      <c r="H137" s="11" t="str">
        <f t="shared" si="5"/>
        <v>3rd Pay Period ending 30/8/2022</v>
      </c>
      <c r="M137" s="30">
        <v>19006</v>
      </c>
      <c r="T137" s="35">
        <f t="shared" si="6"/>
        <v>29.407</v>
      </c>
      <c r="Y137" s="26"/>
    </row>
    <row r="138" spans="1:25" ht="12.75" customHeight="1" x14ac:dyDescent="0.25">
      <c r="A138" s="22" t="s">
        <v>269</v>
      </c>
      <c r="B138" s="30">
        <v>36.46</v>
      </c>
      <c r="C138" s="30"/>
      <c r="D138" s="26"/>
      <c r="H138" s="11" t="str">
        <f t="shared" si="5"/>
        <v>3rd Pay Period ending 30/8/2022</v>
      </c>
      <c r="M138" s="30">
        <v>18974</v>
      </c>
      <c r="T138" s="35">
        <f t="shared" si="6"/>
        <v>3.6459999999999999</v>
      </c>
      <c r="Y138" s="26"/>
    </row>
    <row r="139" spans="1:25" ht="12.75" customHeight="1" x14ac:dyDescent="0.25">
      <c r="A139" s="22" t="s">
        <v>269</v>
      </c>
      <c r="B139" s="30">
        <v>230.77</v>
      </c>
      <c r="C139" s="30"/>
      <c r="D139" s="26"/>
      <c r="H139" s="11" t="str">
        <f t="shared" si="5"/>
        <v>3rd Pay Period ending 30/8/2022</v>
      </c>
      <c r="M139" s="30">
        <v>18962</v>
      </c>
      <c r="T139" s="35">
        <f t="shared" si="6"/>
        <v>23.077000000000002</v>
      </c>
      <c r="Y139" s="26"/>
    </row>
    <row r="140" spans="1:25" ht="12.75" customHeight="1" x14ac:dyDescent="0.25">
      <c r="A140" s="22" t="s">
        <v>270</v>
      </c>
      <c r="B140" s="30">
        <v>164.1</v>
      </c>
      <c r="C140" s="30"/>
      <c r="D140" s="26"/>
      <c r="H140" s="11" t="str">
        <f t="shared" si="5"/>
        <v>3rd Pay Period ending 30/8/2022</v>
      </c>
      <c r="M140" s="30">
        <v>18945</v>
      </c>
      <c r="T140" s="35">
        <f t="shared" si="6"/>
        <v>16.41</v>
      </c>
      <c r="Y140" s="26"/>
    </row>
    <row r="141" spans="1:25" ht="12.75" customHeight="1" x14ac:dyDescent="0.25">
      <c r="A141" s="22" t="s">
        <v>270</v>
      </c>
      <c r="B141" s="30">
        <v>846.15</v>
      </c>
      <c r="C141" s="30"/>
      <c r="D141" s="26"/>
      <c r="H141" s="11" t="str">
        <f t="shared" si="5"/>
        <v>3rd Pay Period ending 30/8/2022</v>
      </c>
      <c r="M141" s="30">
        <v>44705</v>
      </c>
      <c r="T141" s="35">
        <f t="shared" si="6"/>
        <v>84.614999999999995</v>
      </c>
      <c r="Y141" s="26"/>
    </row>
    <row r="142" spans="1:25" ht="12.75" customHeight="1" x14ac:dyDescent="0.25">
      <c r="A142" s="22" t="s">
        <v>271</v>
      </c>
      <c r="B142" s="30">
        <v>116.23</v>
      </c>
      <c r="C142" s="30"/>
      <c r="D142" s="26"/>
      <c r="H142" s="11" t="str">
        <f t="shared" si="5"/>
        <v>3rd Pay Period ending 30/8/2022</v>
      </c>
      <c r="M142" s="30">
        <v>18994</v>
      </c>
      <c r="T142" s="35">
        <f t="shared" si="6"/>
        <v>11.623000000000001</v>
      </c>
      <c r="Y142" s="26"/>
    </row>
    <row r="143" spans="1:25" ht="12.75" customHeight="1" x14ac:dyDescent="0.25">
      <c r="A143" s="22" t="s">
        <v>271</v>
      </c>
      <c r="B143" s="30">
        <v>205.85</v>
      </c>
      <c r="C143" s="30"/>
      <c r="D143" s="26"/>
      <c r="H143" s="11" t="str">
        <f t="shared" si="5"/>
        <v>3rd Pay Period ending 30/8/2022</v>
      </c>
      <c r="M143" s="30">
        <v>18918</v>
      </c>
      <c r="T143" s="35">
        <f t="shared" si="6"/>
        <v>20.585000000000001</v>
      </c>
      <c r="Y143" s="26"/>
    </row>
    <row r="144" spans="1:25" ht="12.75" customHeight="1" x14ac:dyDescent="0.25">
      <c r="A144" s="22" t="s">
        <v>271</v>
      </c>
      <c r="B144" s="30">
        <v>360.39</v>
      </c>
      <c r="C144" s="30"/>
      <c r="D144" s="26"/>
      <c r="H144" s="11" t="str">
        <f t="shared" si="5"/>
        <v>3rd Pay Period ending 30/8/2022</v>
      </c>
      <c r="M144" s="30">
        <v>18901</v>
      </c>
      <c r="T144" s="35">
        <f t="shared" si="6"/>
        <v>36.039000000000001</v>
      </c>
      <c r="Y144" s="26"/>
    </row>
    <row r="145" spans="1:25" ht="12.75" customHeight="1" x14ac:dyDescent="0.25">
      <c r="A145" s="22" t="s">
        <v>271</v>
      </c>
      <c r="B145" s="30">
        <v>262.17</v>
      </c>
      <c r="C145" s="30"/>
      <c r="D145" s="26"/>
      <c r="H145" s="11" t="str">
        <f t="shared" si="5"/>
        <v>3rd Pay Period ending 30/8/2022</v>
      </c>
      <c r="M145" s="30">
        <v>18979</v>
      </c>
      <c r="T145" s="35">
        <f t="shared" si="6"/>
        <v>26.217000000000002</v>
      </c>
      <c r="Y145" s="26"/>
    </row>
    <row r="146" spans="1:25" ht="12.75" customHeight="1" x14ac:dyDescent="0.25">
      <c r="A146" s="22" t="s">
        <v>272</v>
      </c>
      <c r="B146" s="30">
        <v>36.46</v>
      </c>
      <c r="C146" s="30"/>
      <c r="D146" s="26"/>
      <c r="H146" s="11" t="str">
        <f t="shared" si="5"/>
        <v>3rd Pay Period ending 30/8/2022</v>
      </c>
      <c r="M146" s="30">
        <v>18692</v>
      </c>
      <c r="T146" s="35">
        <f t="shared" si="6"/>
        <v>3.6459999999999999</v>
      </c>
      <c r="Y146" s="26"/>
    </row>
    <row r="147" spans="1:25" ht="12.75" customHeight="1" x14ac:dyDescent="0.25">
      <c r="A147" s="22" t="s">
        <v>273</v>
      </c>
      <c r="B147" s="30">
        <v>16.100000000000001</v>
      </c>
      <c r="C147" s="30"/>
      <c r="D147" s="26"/>
      <c r="H147" s="11" t="str">
        <f t="shared" si="5"/>
        <v>3rd Pay Period ending 30/8/2022</v>
      </c>
      <c r="M147" s="30">
        <v>19012</v>
      </c>
      <c r="T147" s="35">
        <f t="shared" si="6"/>
        <v>1.61</v>
      </c>
      <c r="Y147" s="26"/>
    </row>
    <row r="148" spans="1:25" ht="12.75" customHeight="1" x14ac:dyDescent="0.25">
      <c r="A148" s="22" t="s">
        <v>273</v>
      </c>
      <c r="B148" s="30">
        <v>333.56</v>
      </c>
      <c r="C148" s="30"/>
      <c r="D148" s="26"/>
      <c r="H148" s="11" t="str">
        <f t="shared" si="5"/>
        <v>3rd Pay Period ending 30/8/2022</v>
      </c>
      <c r="M148" s="30">
        <v>19030</v>
      </c>
      <c r="T148" s="35">
        <f t="shared" si="6"/>
        <v>33.356000000000002</v>
      </c>
      <c r="Y148" s="26"/>
    </row>
    <row r="149" spans="1:25" ht="12.75" customHeight="1" x14ac:dyDescent="0.25">
      <c r="A149" s="22" t="s">
        <v>273</v>
      </c>
      <c r="B149" s="30">
        <v>333.56</v>
      </c>
      <c r="C149" s="30"/>
      <c r="D149" s="26"/>
      <c r="H149" s="11" t="str">
        <f t="shared" si="5"/>
        <v>3rd Pay Period ending 30/8/2022</v>
      </c>
      <c r="M149" s="30">
        <v>18932</v>
      </c>
      <c r="T149" s="35">
        <f t="shared" si="6"/>
        <v>33.356000000000002</v>
      </c>
      <c r="Y149" s="26"/>
    </row>
    <row r="150" spans="1:25" ht="12.75" customHeight="1" x14ac:dyDescent="0.25">
      <c r="A150" s="22" t="s">
        <v>274</v>
      </c>
      <c r="B150" s="30">
        <v>692.31</v>
      </c>
      <c r="C150" s="30"/>
      <c r="D150" s="26"/>
      <c r="H150" s="11" t="str">
        <f t="shared" si="5"/>
        <v>3rd Pay Period ending 30/8/2022</v>
      </c>
      <c r="M150" s="30">
        <v>18998</v>
      </c>
      <c r="T150" s="35">
        <f t="shared" si="6"/>
        <v>69.230999999999995</v>
      </c>
      <c r="Y150" s="26"/>
    </row>
    <row r="151" spans="1:25" ht="12.75" customHeight="1" x14ac:dyDescent="0.25">
      <c r="A151" s="22" t="s">
        <v>275</v>
      </c>
      <c r="B151" s="30">
        <v>36.46</v>
      </c>
      <c r="C151" s="30"/>
      <c r="D151" s="26"/>
      <c r="H151" s="11" t="str">
        <f t="shared" si="5"/>
        <v>3rd Pay Period ending 30/8/2022</v>
      </c>
      <c r="M151" s="30">
        <v>18649</v>
      </c>
      <c r="T151" s="35">
        <f t="shared" si="6"/>
        <v>3.6459999999999999</v>
      </c>
      <c r="Y151" s="26"/>
    </row>
    <row r="152" spans="1:25" ht="12.75" customHeight="1" x14ac:dyDescent="0.25">
      <c r="A152" s="22" t="s">
        <v>276</v>
      </c>
      <c r="B152" s="30">
        <v>176.05</v>
      </c>
      <c r="C152" s="30"/>
      <c r="D152" s="26"/>
      <c r="H152" s="11" t="str">
        <f t="shared" si="5"/>
        <v>3rd Pay Period ending 30/8/2022</v>
      </c>
      <c r="M152" s="30">
        <v>19023</v>
      </c>
      <c r="T152" s="35">
        <f t="shared" si="6"/>
        <v>17.605</v>
      </c>
      <c r="Y152" s="26"/>
    </row>
    <row r="153" spans="1:25" ht="12.75" customHeight="1" x14ac:dyDescent="0.25">
      <c r="A153" s="22" t="s">
        <v>276</v>
      </c>
      <c r="B153" s="30">
        <v>270.81</v>
      </c>
      <c r="C153" s="30"/>
      <c r="D153" s="26"/>
      <c r="H153" s="11" t="str">
        <f t="shared" si="5"/>
        <v>3rd Pay Period ending 30/8/2022</v>
      </c>
      <c r="M153" s="30">
        <v>18986</v>
      </c>
      <c r="T153" s="35">
        <f t="shared" si="6"/>
        <v>27.081</v>
      </c>
      <c r="Y153" s="26"/>
    </row>
    <row r="154" spans="1:25" ht="12.75" customHeight="1" x14ac:dyDescent="0.25">
      <c r="A154" s="22" t="s">
        <v>276</v>
      </c>
      <c r="B154" s="30">
        <v>267.22000000000003</v>
      </c>
      <c r="C154" s="30"/>
      <c r="D154" s="26"/>
      <c r="H154" s="11" t="str">
        <f t="shared" si="5"/>
        <v>3rd Pay Period ending 30/8/2022</v>
      </c>
      <c r="M154" s="30">
        <v>18713</v>
      </c>
      <c r="T154" s="35">
        <f t="shared" si="6"/>
        <v>26.722000000000001</v>
      </c>
      <c r="Y154" s="26"/>
    </row>
    <row r="155" spans="1:25" ht="12.75" customHeight="1" x14ac:dyDescent="0.25">
      <c r="A155" s="22" t="s">
        <v>276</v>
      </c>
      <c r="B155" s="30">
        <v>96.21</v>
      </c>
      <c r="C155" s="30"/>
      <c r="D155" s="26"/>
      <c r="H155" s="11" t="str">
        <f t="shared" si="5"/>
        <v>3rd Pay Period ending 30/8/2022</v>
      </c>
      <c r="M155" s="30">
        <v>18917</v>
      </c>
      <c r="T155" s="35">
        <f t="shared" si="6"/>
        <v>9.6209999999999987</v>
      </c>
      <c r="Y155" s="26"/>
    </row>
    <row r="156" spans="1:25" ht="12.75" customHeight="1" x14ac:dyDescent="0.25">
      <c r="A156" s="22" t="s">
        <v>276</v>
      </c>
      <c r="B156" s="30">
        <v>36.46</v>
      </c>
      <c r="C156" s="30"/>
      <c r="D156" s="26"/>
      <c r="H156" s="11" t="str">
        <f t="shared" si="5"/>
        <v>3rd Pay Period ending 30/8/2022</v>
      </c>
      <c r="M156" s="30">
        <v>18858</v>
      </c>
      <c r="T156" s="35">
        <f t="shared" si="6"/>
        <v>3.6459999999999999</v>
      </c>
      <c r="Y156" s="26"/>
    </row>
    <row r="157" spans="1:25" ht="12.75" customHeight="1" x14ac:dyDescent="0.25">
      <c r="A157" s="22" t="s">
        <v>276</v>
      </c>
      <c r="B157" s="30">
        <v>36.46</v>
      </c>
      <c r="C157" s="30"/>
      <c r="D157" s="26"/>
      <c r="H157" s="11" t="str">
        <f t="shared" si="5"/>
        <v>3rd Pay Period ending 30/8/2022</v>
      </c>
      <c r="M157" s="30">
        <v>18850</v>
      </c>
      <c r="T157" s="35">
        <f t="shared" si="6"/>
        <v>3.6459999999999999</v>
      </c>
      <c r="Y157" s="26"/>
    </row>
    <row r="158" spans="1:25" ht="12.75" customHeight="1" x14ac:dyDescent="0.25">
      <c r="A158" s="22" t="s">
        <v>276</v>
      </c>
      <c r="B158" s="30">
        <v>117.63</v>
      </c>
      <c r="C158" s="30"/>
      <c r="D158" s="26"/>
      <c r="H158" s="11" t="str">
        <f t="shared" si="5"/>
        <v>3rd Pay Period ending 30/8/2022</v>
      </c>
      <c r="M158" s="30">
        <v>18942</v>
      </c>
      <c r="T158" s="35">
        <f t="shared" si="6"/>
        <v>11.763</v>
      </c>
      <c r="Y158" s="26"/>
    </row>
    <row r="159" spans="1:25" ht="12.75" customHeight="1" x14ac:dyDescent="0.25">
      <c r="A159" s="22" t="s">
        <v>277</v>
      </c>
      <c r="B159" s="30">
        <v>692.31</v>
      </c>
      <c r="C159" s="30"/>
      <c r="D159" s="26"/>
      <c r="H159" s="11" t="str">
        <f t="shared" si="5"/>
        <v>3rd Pay Period ending 30/8/2022</v>
      </c>
      <c r="M159" s="30">
        <v>19001</v>
      </c>
      <c r="T159" s="35">
        <f t="shared" si="6"/>
        <v>69.230999999999995</v>
      </c>
      <c r="Y159" s="26"/>
    </row>
    <row r="160" spans="1:25" ht="12.75" customHeight="1" x14ac:dyDescent="0.25">
      <c r="A160" s="22" t="s">
        <v>277</v>
      </c>
      <c r="B160" s="30">
        <v>484.62</v>
      </c>
      <c r="C160" s="30"/>
      <c r="D160" s="26"/>
      <c r="H160" s="11" t="str">
        <f t="shared" si="5"/>
        <v>3rd Pay Period ending 30/8/2022</v>
      </c>
      <c r="M160" s="30">
        <v>19031</v>
      </c>
      <c r="T160" s="35">
        <f t="shared" si="6"/>
        <v>48.462000000000003</v>
      </c>
      <c r="Y160" s="26"/>
    </row>
    <row r="161" spans="1:25" ht="12.75" customHeight="1" x14ac:dyDescent="0.25">
      <c r="A161" s="22" t="s">
        <v>278</v>
      </c>
      <c r="B161" s="30">
        <v>36.46</v>
      </c>
      <c r="C161" s="30"/>
      <c r="D161" s="26"/>
      <c r="H161" s="11" t="str">
        <f t="shared" si="5"/>
        <v>3rd Pay Period ending 30/8/2022</v>
      </c>
      <c r="M161" s="30">
        <v>18442</v>
      </c>
      <c r="T161" s="35">
        <f t="shared" si="6"/>
        <v>3.6459999999999999</v>
      </c>
      <c r="Y161" s="26"/>
    </row>
    <row r="162" spans="1:25" ht="12.75" customHeight="1" x14ac:dyDescent="0.25">
      <c r="A162" s="22" t="s">
        <v>279</v>
      </c>
      <c r="B162" s="30">
        <v>16.100000000000001</v>
      </c>
      <c r="C162" s="30"/>
      <c r="D162" s="26"/>
      <c r="H162" s="11" t="str">
        <f t="shared" si="5"/>
        <v>3rd Pay Period ending 30/8/2022</v>
      </c>
      <c r="M162" s="30">
        <v>18895</v>
      </c>
      <c r="T162" s="35">
        <f t="shared" si="6"/>
        <v>1.61</v>
      </c>
      <c r="Y162" s="26"/>
    </row>
    <row r="163" spans="1:25" ht="12.75" customHeight="1" x14ac:dyDescent="0.25">
      <c r="A163" s="22" t="s">
        <v>279</v>
      </c>
      <c r="B163" s="30">
        <v>36.46</v>
      </c>
      <c r="C163" s="30"/>
      <c r="D163" s="26"/>
      <c r="H163" s="11" t="str">
        <f t="shared" si="5"/>
        <v>3rd Pay Period ending 30/8/2022</v>
      </c>
      <c r="M163" s="30">
        <v>261</v>
      </c>
      <c r="T163" s="35">
        <f t="shared" si="6"/>
        <v>3.6459999999999999</v>
      </c>
      <c r="Y163" s="26"/>
    </row>
    <row r="164" spans="1:25" ht="12.75" customHeight="1" x14ac:dyDescent="0.25">
      <c r="A164" s="22" t="s">
        <v>279</v>
      </c>
      <c r="B164" s="30">
        <v>36.46</v>
      </c>
      <c r="C164" s="30"/>
      <c r="D164" s="26"/>
      <c r="H164" s="11" t="str">
        <f t="shared" si="5"/>
        <v>3rd Pay Period ending 30/8/2022</v>
      </c>
      <c r="M164" s="30">
        <v>18823</v>
      </c>
      <c r="T164" s="35">
        <f t="shared" si="6"/>
        <v>3.6459999999999999</v>
      </c>
      <c r="Y164" s="26"/>
    </row>
    <row r="165" spans="1:25" ht="12.75" customHeight="1" x14ac:dyDescent="0.25">
      <c r="A165" s="22" t="s">
        <v>280</v>
      </c>
      <c r="B165" s="30">
        <v>692.31</v>
      </c>
      <c r="C165" s="30"/>
      <c r="D165" s="26"/>
      <c r="H165" s="11" t="str">
        <f t="shared" si="5"/>
        <v>3rd Pay Period ending 30/8/2022</v>
      </c>
      <c r="M165" s="30">
        <v>18876</v>
      </c>
      <c r="T165" s="35">
        <f t="shared" si="6"/>
        <v>69.230999999999995</v>
      </c>
      <c r="Y165" s="26"/>
    </row>
    <row r="166" spans="1:25" ht="12.75" customHeight="1" x14ac:dyDescent="0.25">
      <c r="A166" s="22" t="s">
        <v>281</v>
      </c>
      <c r="B166" s="30">
        <v>165</v>
      </c>
      <c r="C166" s="30"/>
      <c r="D166" s="26"/>
      <c r="H166" s="11" t="str">
        <f t="shared" si="5"/>
        <v>3rd Pay Period ending 30/8/2022</v>
      </c>
      <c r="M166" s="30">
        <v>18726</v>
      </c>
      <c r="T166" s="35">
        <f t="shared" si="6"/>
        <v>16.5</v>
      </c>
      <c r="Y166" s="26"/>
    </row>
    <row r="167" spans="1:25" ht="12.75" customHeight="1" x14ac:dyDescent="0.25">
      <c r="A167" s="22" t="s">
        <v>282</v>
      </c>
      <c r="B167" s="30">
        <v>300</v>
      </c>
      <c r="C167" s="30"/>
      <c r="D167" s="26"/>
      <c r="H167" s="11" t="str">
        <f t="shared" si="5"/>
        <v>3rd Pay Period ending 30/8/2022</v>
      </c>
      <c r="M167" s="30">
        <v>18946</v>
      </c>
      <c r="T167" s="35">
        <f t="shared" si="6"/>
        <v>30</v>
      </c>
      <c r="Y167" s="26"/>
    </row>
    <row r="168" spans="1:25" ht="12.75" customHeight="1" x14ac:dyDescent="0.25">
      <c r="A168" s="22" t="s">
        <v>283</v>
      </c>
      <c r="B168" s="30">
        <v>75</v>
      </c>
      <c r="C168" s="30"/>
      <c r="D168" s="26"/>
      <c r="H168" s="11" t="str">
        <f t="shared" si="5"/>
        <v>3rd Pay Period ending 30/8/2022</v>
      </c>
      <c r="M168" s="30">
        <v>220</v>
      </c>
      <c r="T168" s="35">
        <f t="shared" si="6"/>
        <v>7.5</v>
      </c>
      <c r="Y168" s="26"/>
    </row>
    <row r="169" spans="1:25" ht="12.75" customHeight="1" x14ac:dyDescent="0.25">
      <c r="A169" s="22" t="s">
        <v>284</v>
      </c>
      <c r="B169" s="30">
        <v>400</v>
      </c>
      <c r="C169" s="30"/>
      <c r="D169" s="26"/>
      <c r="H169" s="11" t="str">
        <f t="shared" si="5"/>
        <v>3rd Pay Period ending 30/8/2022</v>
      </c>
      <c r="M169" s="30">
        <v>18968</v>
      </c>
      <c r="T169" s="35">
        <f t="shared" si="6"/>
        <v>40</v>
      </c>
      <c r="Y169" s="26"/>
    </row>
    <row r="170" spans="1:25" ht="12.75" customHeight="1" x14ac:dyDescent="0.25">
      <c r="A170" s="22" t="s">
        <v>284</v>
      </c>
      <c r="B170" s="30">
        <v>780</v>
      </c>
      <c r="C170" s="30"/>
      <c r="D170" s="26"/>
      <c r="H170" s="11" t="str">
        <f t="shared" si="5"/>
        <v>3rd Pay Period ending 30/8/2022</v>
      </c>
      <c r="M170" s="30">
        <v>18550</v>
      </c>
      <c r="T170" s="35">
        <f t="shared" si="6"/>
        <v>78</v>
      </c>
      <c r="Y170" s="26"/>
    </row>
    <row r="171" spans="1:25" ht="12.75" customHeight="1" x14ac:dyDescent="0.25">
      <c r="A171" s="22" t="s">
        <v>293</v>
      </c>
      <c r="B171" s="30">
        <v>860</v>
      </c>
      <c r="C171" s="30"/>
      <c r="D171" s="26"/>
      <c r="H171" s="11" t="str">
        <f t="shared" si="5"/>
        <v>3rd Pay Period ending 30/8/2022</v>
      </c>
      <c r="M171" s="30">
        <v>18957</v>
      </c>
      <c r="T171" s="35">
        <f t="shared" si="6"/>
        <v>86</v>
      </c>
      <c r="Y171" s="26"/>
    </row>
    <row r="172" spans="1:25" ht="12.75" customHeight="1" x14ac:dyDescent="0.25">
      <c r="A172" s="22" t="s">
        <v>285</v>
      </c>
      <c r="B172" s="30">
        <v>150</v>
      </c>
      <c r="C172" s="30"/>
      <c r="D172" s="26"/>
      <c r="H172" s="11" t="str">
        <f t="shared" si="5"/>
        <v>3rd Pay Period ending 30/8/2022</v>
      </c>
      <c r="M172" s="30">
        <v>261</v>
      </c>
      <c r="T172" s="35">
        <f t="shared" si="6"/>
        <v>15</v>
      </c>
      <c r="Y172" s="26"/>
    </row>
    <row r="173" spans="1:25" ht="12.75" customHeight="1" x14ac:dyDescent="0.25">
      <c r="A173" s="22" t="s">
        <v>281</v>
      </c>
      <c r="B173" s="30">
        <v>437.55</v>
      </c>
      <c r="C173" s="30"/>
      <c r="D173" s="26"/>
      <c r="H173" s="11" t="str">
        <f t="shared" si="5"/>
        <v>3rd Pay Period ending 30/8/2022</v>
      </c>
      <c r="M173" s="30">
        <v>18647</v>
      </c>
      <c r="T173" s="35">
        <f t="shared" si="6"/>
        <v>43.755000000000003</v>
      </c>
      <c r="Y173" s="26"/>
    </row>
    <row r="174" spans="1:25" ht="12.75" customHeight="1" x14ac:dyDescent="0.25">
      <c r="A174" s="22" t="s">
        <v>281</v>
      </c>
      <c r="B174" s="30">
        <v>565.39</v>
      </c>
      <c r="C174" s="30"/>
      <c r="D174" s="26"/>
      <c r="H174" s="11" t="str">
        <f t="shared" si="5"/>
        <v>3rd Pay Period ending 30/8/2022</v>
      </c>
      <c r="M174" s="30">
        <v>18517</v>
      </c>
      <c r="T174" s="35">
        <f t="shared" si="6"/>
        <v>56.539000000000001</v>
      </c>
      <c r="Y174" s="26"/>
    </row>
    <row r="175" spans="1:25" ht="12.75" customHeight="1" x14ac:dyDescent="0.25">
      <c r="A175" s="22" t="s">
        <v>281</v>
      </c>
      <c r="B175" s="30">
        <v>169.62</v>
      </c>
      <c r="C175" s="30"/>
      <c r="D175" s="26"/>
      <c r="H175" s="11" t="str">
        <f t="shared" si="5"/>
        <v>3rd Pay Period ending 30/8/2022</v>
      </c>
      <c r="M175" s="30">
        <v>18845</v>
      </c>
      <c r="T175" s="35">
        <f t="shared" si="6"/>
        <v>16.962</v>
      </c>
      <c r="Y175" s="26"/>
    </row>
    <row r="176" spans="1:25" ht="12.75" customHeight="1" x14ac:dyDescent="0.25">
      <c r="A176" s="22" t="s">
        <v>281</v>
      </c>
      <c r="B176" s="30">
        <v>343.27</v>
      </c>
      <c r="C176" s="30"/>
      <c r="D176" s="26"/>
      <c r="H176" s="11" t="str">
        <f t="shared" si="5"/>
        <v>3rd Pay Period ending 30/8/2022</v>
      </c>
      <c r="M176" s="30">
        <v>18726</v>
      </c>
      <c r="T176" s="35">
        <f t="shared" si="6"/>
        <v>34.326999999999998</v>
      </c>
      <c r="Y176" s="26"/>
    </row>
    <row r="177" spans="1:25" ht="12.75" customHeight="1" x14ac:dyDescent="0.25">
      <c r="A177" s="22" t="s">
        <v>281</v>
      </c>
      <c r="B177" s="30">
        <v>444.23</v>
      </c>
      <c r="C177" s="30"/>
      <c r="D177" s="26"/>
      <c r="H177" s="11" t="str">
        <f t="shared" si="5"/>
        <v>3rd Pay Period ending 30/8/2022</v>
      </c>
      <c r="M177" s="30">
        <v>18871</v>
      </c>
      <c r="T177" s="35">
        <f t="shared" si="6"/>
        <v>44.423000000000002</v>
      </c>
      <c r="Y177" s="26"/>
    </row>
    <row r="178" spans="1:25" ht="12.75" customHeight="1" x14ac:dyDescent="0.25">
      <c r="A178" s="22" t="s">
        <v>286</v>
      </c>
      <c r="B178" s="30">
        <v>403.85</v>
      </c>
      <c r="C178" s="30"/>
      <c r="D178" s="26"/>
      <c r="H178" s="11" t="str">
        <f t="shared" si="5"/>
        <v>3rd Pay Period ending 30/8/2022</v>
      </c>
      <c r="M178" s="30">
        <v>152</v>
      </c>
      <c r="T178" s="35">
        <f t="shared" si="6"/>
        <v>40.385000000000005</v>
      </c>
      <c r="Y178" s="26"/>
    </row>
    <row r="179" spans="1:25" ht="12.75" customHeight="1" x14ac:dyDescent="0.25">
      <c r="A179" s="22" t="s">
        <v>287</v>
      </c>
      <c r="B179" s="30">
        <v>58.74</v>
      </c>
      <c r="C179" s="30"/>
      <c r="D179" s="26"/>
      <c r="H179" s="11" t="str">
        <f t="shared" si="5"/>
        <v>3rd Pay Period ending 30/8/2022</v>
      </c>
      <c r="M179" s="30">
        <v>18736</v>
      </c>
      <c r="T179" s="35">
        <f t="shared" si="6"/>
        <v>5.8740000000000006</v>
      </c>
      <c r="Y179" s="26"/>
    </row>
    <row r="180" spans="1:25" ht="12.75" customHeight="1" x14ac:dyDescent="0.25">
      <c r="A180" s="22" t="s">
        <v>287</v>
      </c>
      <c r="B180" s="30">
        <v>262.5</v>
      </c>
      <c r="C180" s="30"/>
      <c r="D180" s="26"/>
      <c r="H180" s="11" t="str">
        <f t="shared" si="5"/>
        <v>3rd Pay Period ending 30/8/2022</v>
      </c>
      <c r="M180" s="30">
        <v>19014</v>
      </c>
      <c r="T180" s="35">
        <f t="shared" si="6"/>
        <v>26.25</v>
      </c>
      <c r="Y180" s="26"/>
    </row>
    <row r="181" spans="1:25" ht="12.75" customHeight="1" x14ac:dyDescent="0.25">
      <c r="A181" s="22" t="s">
        <v>282</v>
      </c>
      <c r="B181" s="30">
        <v>253.51</v>
      </c>
      <c r="C181" s="30"/>
      <c r="D181" s="26"/>
      <c r="H181" s="11" t="str">
        <f t="shared" si="5"/>
        <v>3rd Pay Period ending 30/8/2022</v>
      </c>
      <c r="M181" s="30">
        <v>18946</v>
      </c>
      <c r="T181" s="35">
        <f t="shared" si="6"/>
        <v>25.350999999999999</v>
      </c>
      <c r="Y181" s="26"/>
    </row>
    <row r="182" spans="1:25" ht="12.75" customHeight="1" x14ac:dyDescent="0.25">
      <c r="A182" s="22" t="s">
        <v>282</v>
      </c>
      <c r="B182" s="30">
        <v>294.81</v>
      </c>
      <c r="C182" s="30"/>
      <c r="D182" s="26"/>
      <c r="H182" s="11" t="str">
        <f t="shared" si="5"/>
        <v>3rd Pay Period ending 30/8/2022</v>
      </c>
      <c r="M182" s="30">
        <v>18721</v>
      </c>
      <c r="T182" s="35">
        <f t="shared" si="6"/>
        <v>29.481000000000002</v>
      </c>
      <c r="Y182" s="26"/>
    </row>
    <row r="183" spans="1:25" ht="12.75" customHeight="1" x14ac:dyDescent="0.25">
      <c r="A183" s="22" t="s">
        <v>282</v>
      </c>
      <c r="B183" s="30">
        <v>444.23</v>
      </c>
      <c r="C183" s="30"/>
      <c r="D183" s="26"/>
      <c r="H183" s="11" t="str">
        <f t="shared" si="5"/>
        <v>3rd Pay Period ending 30/8/2022</v>
      </c>
      <c r="M183" s="30">
        <v>18997</v>
      </c>
      <c r="T183" s="35">
        <f t="shared" si="6"/>
        <v>44.423000000000002</v>
      </c>
      <c r="Y183" s="26"/>
    </row>
    <row r="184" spans="1:25" ht="12.75" customHeight="1" x14ac:dyDescent="0.25">
      <c r="A184" s="22" t="s">
        <v>282</v>
      </c>
      <c r="B184" s="30">
        <v>323.08</v>
      </c>
      <c r="C184" s="30"/>
      <c r="D184" s="26"/>
      <c r="H184" s="11" t="str">
        <f t="shared" si="5"/>
        <v>3rd Pay Period ending 30/8/2022</v>
      </c>
      <c r="M184" s="30">
        <v>18987</v>
      </c>
      <c r="T184" s="35">
        <f t="shared" si="6"/>
        <v>32.308</v>
      </c>
      <c r="Y184" s="26"/>
    </row>
    <row r="185" spans="1:25" ht="12.75" customHeight="1" x14ac:dyDescent="0.25">
      <c r="A185" s="22" t="s">
        <v>282</v>
      </c>
      <c r="B185" s="30">
        <v>476.03</v>
      </c>
      <c r="C185" s="30"/>
      <c r="D185" s="26"/>
      <c r="H185" s="11" t="str">
        <f t="shared" si="5"/>
        <v>3rd Pay Period ending 30/8/2022</v>
      </c>
      <c r="M185" s="30">
        <v>18920</v>
      </c>
      <c r="T185" s="35">
        <f t="shared" si="6"/>
        <v>47.602999999999994</v>
      </c>
      <c r="Y185" s="26"/>
    </row>
    <row r="186" spans="1:25" ht="12.75" customHeight="1" x14ac:dyDescent="0.25">
      <c r="A186" s="22" t="s">
        <v>282</v>
      </c>
      <c r="B186" s="30">
        <v>242.31</v>
      </c>
      <c r="C186" s="30"/>
      <c r="D186" s="26"/>
      <c r="H186" s="11" t="str">
        <f t="shared" si="5"/>
        <v>3rd Pay Period ending 30/8/2022</v>
      </c>
      <c r="M186" s="30">
        <v>18995</v>
      </c>
      <c r="T186" s="35">
        <f t="shared" si="6"/>
        <v>24.231000000000002</v>
      </c>
      <c r="Y186" s="26"/>
    </row>
    <row r="187" spans="1:25" ht="12.75" customHeight="1" x14ac:dyDescent="0.25">
      <c r="A187" s="22" t="s">
        <v>282</v>
      </c>
      <c r="B187" s="30">
        <v>282.69</v>
      </c>
      <c r="C187" s="30"/>
      <c r="D187" s="26"/>
      <c r="H187" s="11" t="str">
        <f t="shared" si="5"/>
        <v>3rd Pay Period ending 30/8/2022</v>
      </c>
      <c r="M187" s="30">
        <v>18988</v>
      </c>
      <c r="T187" s="35">
        <f t="shared" si="6"/>
        <v>28.268999999999998</v>
      </c>
      <c r="Y187" s="26"/>
    </row>
    <row r="188" spans="1:25" ht="12.75" customHeight="1" x14ac:dyDescent="0.25">
      <c r="A188" s="22" t="s">
        <v>283</v>
      </c>
      <c r="B188" s="30">
        <v>504.19</v>
      </c>
      <c r="C188" s="30"/>
      <c r="D188" s="26"/>
      <c r="H188" s="11" t="str">
        <f t="shared" si="5"/>
        <v>3rd Pay Period ending 30/8/2022</v>
      </c>
      <c r="M188" s="30">
        <v>18772</v>
      </c>
      <c r="T188" s="35">
        <f t="shared" si="6"/>
        <v>50.418999999999997</v>
      </c>
      <c r="Y188" s="26"/>
    </row>
    <row r="189" spans="1:25" ht="12.75" customHeight="1" x14ac:dyDescent="0.25">
      <c r="A189" s="22" t="s">
        <v>283</v>
      </c>
      <c r="B189" s="30">
        <v>337.9</v>
      </c>
      <c r="C189" s="30"/>
      <c r="D189" s="26"/>
      <c r="H189" s="11" t="str">
        <f t="shared" si="5"/>
        <v>3rd Pay Period ending 30/8/2022</v>
      </c>
      <c r="M189" s="30">
        <v>220</v>
      </c>
      <c r="T189" s="35">
        <f t="shared" si="6"/>
        <v>33.79</v>
      </c>
      <c r="Y189" s="26"/>
    </row>
    <row r="190" spans="1:25" ht="12.75" customHeight="1" x14ac:dyDescent="0.25">
      <c r="A190" s="22" t="s">
        <v>288</v>
      </c>
      <c r="B190" s="30">
        <v>248.37</v>
      </c>
      <c r="C190" s="30"/>
      <c r="D190" s="26"/>
      <c r="H190" s="11" t="str">
        <f t="shared" si="5"/>
        <v>3rd Pay Period ending 30/8/2022</v>
      </c>
      <c r="M190" s="30">
        <v>18948</v>
      </c>
      <c r="T190" s="35">
        <f t="shared" si="6"/>
        <v>24.837</v>
      </c>
      <c r="Y190" s="26"/>
    </row>
    <row r="191" spans="1:25" ht="12.75" customHeight="1" x14ac:dyDescent="0.25">
      <c r="A191" s="22" t="s">
        <v>288</v>
      </c>
      <c r="B191" s="30">
        <v>565.39</v>
      </c>
      <c r="C191" s="30"/>
      <c r="D191" s="26"/>
      <c r="H191" s="11" t="str">
        <f t="shared" si="5"/>
        <v>3rd Pay Period ending 30/8/2022</v>
      </c>
      <c r="M191" s="30">
        <v>18716</v>
      </c>
      <c r="T191" s="35">
        <f t="shared" si="6"/>
        <v>56.539000000000001</v>
      </c>
      <c r="Y191" s="26"/>
    </row>
    <row r="192" spans="1:25" ht="12.75" customHeight="1" x14ac:dyDescent="0.25">
      <c r="A192" s="22" t="s">
        <v>289</v>
      </c>
      <c r="B192" s="30">
        <v>374.85</v>
      </c>
      <c r="C192" s="30"/>
      <c r="D192" s="26"/>
      <c r="H192" s="11" t="str">
        <f t="shared" si="5"/>
        <v>3rd Pay Period ending 30/8/2022</v>
      </c>
      <c r="M192" s="30">
        <v>18939</v>
      </c>
      <c r="T192" s="35">
        <f t="shared" si="6"/>
        <v>37.484999999999999</v>
      </c>
      <c r="Y192" s="26"/>
    </row>
    <row r="193" spans="1:25" ht="12.75" customHeight="1" x14ac:dyDescent="0.25">
      <c r="A193" s="22" t="s">
        <v>290</v>
      </c>
      <c r="B193" s="30">
        <v>274.62</v>
      </c>
      <c r="C193" s="30"/>
      <c r="D193" s="26"/>
      <c r="H193" s="11" t="str">
        <f t="shared" si="5"/>
        <v>3rd Pay Period ending 30/8/2022</v>
      </c>
      <c r="M193" s="30">
        <v>18862</v>
      </c>
      <c r="T193" s="35">
        <f t="shared" si="6"/>
        <v>27.462</v>
      </c>
      <c r="Y193" s="26"/>
    </row>
    <row r="194" spans="1:25" ht="12.75" customHeight="1" x14ac:dyDescent="0.25">
      <c r="A194" s="22" t="s">
        <v>290</v>
      </c>
      <c r="B194" s="30">
        <v>565.39</v>
      </c>
      <c r="C194" s="30"/>
      <c r="D194" s="26"/>
      <c r="H194" s="11" t="str">
        <f t="shared" si="5"/>
        <v>3rd Pay Period ending 30/8/2022</v>
      </c>
      <c r="M194" s="30">
        <v>18969</v>
      </c>
      <c r="T194" s="35">
        <f t="shared" si="6"/>
        <v>56.539000000000001</v>
      </c>
      <c r="Y194" s="26"/>
    </row>
    <row r="195" spans="1:25" ht="12.75" customHeight="1" x14ac:dyDescent="0.25">
      <c r="A195" s="22" t="s">
        <v>291</v>
      </c>
      <c r="B195" s="30">
        <v>857.42</v>
      </c>
      <c r="C195" s="30"/>
      <c r="D195" s="26"/>
      <c r="H195" s="11" t="str">
        <f t="shared" ref="H195:H258" si="7">$K$1</f>
        <v>3rd Pay Period ending 30/8/2022</v>
      </c>
      <c r="M195" s="30">
        <v>18886</v>
      </c>
      <c r="T195" s="35">
        <f t="shared" si="6"/>
        <v>85.74199999999999</v>
      </c>
      <c r="Y195" s="26"/>
    </row>
    <row r="196" spans="1:25" ht="12.75" customHeight="1" x14ac:dyDescent="0.25">
      <c r="A196" s="22" t="s">
        <v>284</v>
      </c>
      <c r="B196" s="30">
        <v>327.11</v>
      </c>
      <c r="C196" s="30"/>
      <c r="D196" s="26"/>
      <c r="H196" s="11" t="str">
        <f t="shared" si="7"/>
        <v>3rd Pay Period ending 30/8/2022</v>
      </c>
      <c r="M196" s="30">
        <v>18741</v>
      </c>
      <c r="T196" s="35">
        <f t="shared" ref="T196:T259" si="8">B196/10*$V$1</f>
        <v>32.710999999999999</v>
      </c>
      <c r="Y196" s="26"/>
    </row>
    <row r="197" spans="1:25" ht="12.75" customHeight="1" x14ac:dyDescent="0.25">
      <c r="A197" s="22" t="s">
        <v>284</v>
      </c>
      <c r="B197" s="30">
        <v>282.69</v>
      </c>
      <c r="C197" s="30"/>
      <c r="D197" s="26"/>
      <c r="H197" s="11" t="str">
        <f t="shared" si="7"/>
        <v>3rd Pay Period ending 30/8/2022</v>
      </c>
      <c r="M197" s="30">
        <v>18968</v>
      </c>
      <c r="T197" s="35">
        <f t="shared" si="8"/>
        <v>28.268999999999998</v>
      </c>
      <c r="Y197" s="26"/>
    </row>
    <row r="198" spans="1:25" ht="12.75" customHeight="1" x14ac:dyDescent="0.25">
      <c r="A198" s="22" t="s">
        <v>284</v>
      </c>
      <c r="B198" s="30">
        <v>272.60000000000002</v>
      </c>
      <c r="C198" s="30"/>
      <c r="D198" s="26"/>
      <c r="H198" s="11" t="str">
        <f t="shared" si="7"/>
        <v>3rd Pay Period ending 30/8/2022</v>
      </c>
      <c r="M198" s="30">
        <v>18993</v>
      </c>
      <c r="T198" s="35">
        <f t="shared" si="8"/>
        <v>27.26</v>
      </c>
      <c r="Y198" s="26"/>
    </row>
    <row r="199" spans="1:25" ht="12.75" customHeight="1" x14ac:dyDescent="0.25">
      <c r="A199" s="22" t="s">
        <v>284</v>
      </c>
      <c r="B199" s="30">
        <v>262.5</v>
      </c>
      <c r="C199" s="30"/>
      <c r="D199" s="26"/>
      <c r="H199" s="11" t="str">
        <f t="shared" si="7"/>
        <v>3rd Pay Period ending 30/8/2022</v>
      </c>
      <c r="M199" s="30">
        <v>19025</v>
      </c>
      <c r="T199" s="35">
        <f t="shared" si="8"/>
        <v>26.25</v>
      </c>
      <c r="Y199" s="26"/>
    </row>
    <row r="200" spans="1:25" ht="12.75" customHeight="1" x14ac:dyDescent="0.25">
      <c r="A200" s="22" t="s">
        <v>284</v>
      </c>
      <c r="B200" s="30">
        <v>272.56</v>
      </c>
      <c r="C200" s="30"/>
      <c r="D200" s="26"/>
      <c r="H200" s="11" t="str">
        <f t="shared" si="7"/>
        <v>3rd Pay Period ending 30/8/2022</v>
      </c>
      <c r="M200" s="30">
        <v>18550</v>
      </c>
      <c r="T200" s="35">
        <f t="shared" si="8"/>
        <v>27.256</v>
      </c>
      <c r="Y200" s="26"/>
    </row>
    <row r="201" spans="1:25" ht="12.75" customHeight="1" x14ac:dyDescent="0.25">
      <c r="A201" s="22" t="s">
        <v>284</v>
      </c>
      <c r="B201" s="30">
        <v>327.11</v>
      </c>
      <c r="C201" s="30"/>
      <c r="D201" s="26"/>
      <c r="H201" s="11" t="str">
        <f t="shared" si="7"/>
        <v>3rd Pay Period ending 30/8/2022</v>
      </c>
      <c r="M201" s="30">
        <v>19003</v>
      </c>
      <c r="T201" s="35">
        <f t="shared" si="8"/>
        <v>32.710999999999999</v>
      </c>
      <c r="Y201" s="26"/>
    </row>
    <row r="202" spans="1:25" ht="12.75" customHeight="1" x14ac:dyDescent="0.25">
      <c r="A202" s="22" t="s">
        <v>284</v>
      </c>
      <c r="B202" s="30">
        <v>637.4</v>
      </c>
      <c r="C202" s="30"/>
      <c r="D202" s="26"/>
      <c r="H202" s="11" t="str">
        <f t="shared" si="7"/>
        <v>3rd Pay Period ending 30/8/2022</v>
      </c>
      <c r="M202" s="30">
        <v>18853</v>
      </c>
      <c r="T202" s="35">
        <f t="shared" si="8"/>
        <v>63.739999999999995</v>
      </c>
      <c r="Y202" s="26"/>
    </row>
    <row r="203" spans="1:25" ht="12.75" customHeight="1" x14ac:dyDescent="0.25">
      <c r="A203" s="22" t="s">
        <v>292</v>
      </c>
      <c r="B203" s="30">
        <v>245.94</v>
      </c>
      <c r="C203" s="30"/>
      <c r="D203" s="26"/>
      <c r="H203" s="11" t="str">
        <f t="shared" si="7"/>
        <v>3rd Pay Period ending 30/8/2022</v>
      </c>
      <c r="M203" s="30">
        <v>18619</v>
      </c>
      <c r="T203" s="35">
        <f t="shared" si="8"/>
        <v>24.594000000000001</v>
      </c>
      <c r="Y203" s="26"/>
    </row>
    <row r="204" spans="1:25" ht="12.75" customHeight="1" x14ac:dyDescent="0.25">
      <c r="A204" s="22" t="s">
        <v>292</v>
      </c>
      <c r="B204" s="30">
        <v>269.19</v>
      </c>
      <c r="C204" s="30"/>
      <c r="D204" s="26"/>
      <c r="H204" s="11" t="str">
        <f t="shared" si="7"/>
        <v>3rd Pay Period ending 30/8/2022</v>
      </c>
      <c r="M204" s="30">
        <v>18836</v>
      </c>
      <c r="T204" s="35">
        <f t="shared" si="8"/>
        <v>26.919</v>
      </c>
      <c r="Y204" s="26"/>
    </row>
    <row r="205" spans="1:25" ht="12.75" customHeight="1" x14ac:dyDescent="0.25">
      <c r="A205" s="22" t="s">
        <v>293</v>
      </c>
      <c r="B205" s="30">
        <v>193.59</v>
      </c>
      <c r="C205" s="30"/>
      <c r="D205" s="26"/>
      <c r="H205" s="11" t="str">
        <f t="shared" si="7"/>
        <v>3rd Pay Period ending 30/8/2022</v>
      </c>
      <c r="M205" s="30">
        <v>18891</v>
      </c>
      <c r="T205" s="35">
        <f t="shared" si="8"/>
        <v>19.359000000000002</v>
      </c>
      <c r="Y205" s="26"/>
    </row>
    <row r="206" spans="1:25" ht="12.75" customHeight="1" x14ac:dyDescent="0.25">
      <c r="A206" s="22" t="s">
        <v>293</v>
      </c>
      <c r="B206" s="30">
        <v>178.72</v>
      </c>
      <c r="C206" s="30"/>
      <c r="D206" s="26"/>
      <c r="H206" s="11" t="str">
        <f t="shared" si="7"/>
        <v>3rd Pay Period ending 30/8/2022</v>
      </c>
      <c r="M206" s="30">
        <v>18831</v>
      </c>
      <c r="T206" s="35">
        <f t="shared" si="8"/>
        <v>17.872</v>
      </c>
      <c r="Y206" s="26"/>
    </row>
    <row r="207" spans="1:25" ht="12.75" customHeight="1" x14ac:dyDescent="0.25">
      <c r="A207" s="22" t="s">
        <v>293</v>
      </c>
      <c r="B207" s="30">
        <v>261.17</v>
      </c>
      <c r="C207" s="30"/>
      <c r="D207" s="26"/>
      <c r="H207" s="11" t="str">
        <f t="shared" si="7"/>
        <v>3rd Pay Period ending 30/8/2022</v>
      </c>
      <c r="M207" s="30">
        <v>18903</v>
      </c>
      <c r="T207" s="35">
        <f t="shared" si="8"/>
        <v>26.117000000000001</v>
      </c>
      <c r="Y207" s="26"/>
    </row>
    <row r="208" spans="1:25" ht="12.75" customHeight="1" x14ac:dyDescent="0.25">
      <c r="A208" s="22" t="s">
        <v>293</v>
      </c>
      <c r="B208" s="30">
        <v>272.01</v>
      </c>
      <c r="C208" s="30"/>
      <c r="D208" s="26"/>
      <c r="H208" s="11" t="str">
        <f t="shared" si="7"/>
        <v>3rd Pay Period ending 30/8/2022</v>
      </c>
      <c r="M208" s="30">
        <v>18957</v>
      </c>
      <c r="T208" s="35">
        <f t="shared" si="8"/>
        <v>27.201000000000001</v>
      </c>
      <c r="Y208" s="26"/>
    </row>
    <row r="209" spans="1:25" ht="12.75" customHeight="1" x14ac:dyDescent="0.25">
      <c r="A209" s="22" t="s">
        <v>293</v>
      </c>
      <c r="B209" s="30">
        <v>282.86</v>
      </c>
      <c r="C209" s="30"/>
      <c r="D209" s="26"/>
      <c r="H209" s="11" t="str">
        <f t="shared" si="7"/>
        <v>3rd Pay Period ending 30/8/2022</v>
      </c>
      <c r="M209" s="30">
        <v>18589</v>
      </c>
      <c r="T209" s="35">
        <f t="shared" si="8"/>
        <v>28.286000000000001</v>
      </c>
      <c r="Y209" s="26"/>
    </row>
    <row r="210" spans="1:25" ht="12.75" customHeight="1" x14ac:dyDescent="0.25">
      <c r="A210" s="22" t="s">
        <v>293</v>
      </c>
      <c r="B210" s="30">
        <v>30.76</v>
      </c>
      <c r="C210" s="30"/>
      <c r="D210" s="26"/>
      <c r="H210" s="11" t="str">
        <f t="shared" si="7"/>
        <v>3rd Pay Period ending 30/8/2022</v>
      </c>
      <c r="M210" s="30">
        <v>18614</v>
      </c>
      <c r="T210" s="35">
        <f t="shared" si="8"/>
        <v>3.0760000000000001</v>
      </c>
      <c r="Y210" s="26"/>
    </row>
    <row r="211" spans="1:25" ht="12.75" customHeight="1" x14ac:dyDescent="0.25">
      <c r="A211" s="22" t="s">
        <v>293</v>
      </c>
      <c r="B211" s="30">
        <v>290.2</v>
      </c>
      <c r="C211" s="30"/>
      <c r="D211" s="26"/>
      <c r="H211" s="11" t="str">
        <f t="shared" si="7"/>
        <v>3rd Pay Period ending 30/8/2022</v>
      </c>
      <c r="M211" s="30">
        <v>18866</v>
      </c>
      <c r="T211" s="35">
        <f t="shared" si="8"/>
        <v>29.02</v>
      </c>
      <c r="Y211" s="26"/>
    </row>
    <row r="212" spans="1:25" ht="12.75" customHeight="1" x14ac:dyDescent="0.25">
      <c r="A212" s="22" t="s">
        <v>294</v>
      </c>
      <c r="B212" s="30">
        <v>274.64999999999998</v>
      </c>
      <c r="C212" s="30"/>
      <c r="D212" s="26"/>
      <c r="H212" s="11" t="str">
        <f t="shared" si="7"/>
        <v>3rd Pay Period ending 30/8/2022</v>
      </c>
      <c r="M212" s="30">
        <v>18879</v>
      </c>
      <c r="T212" s="35">
        <f t="shared" si="8"/>
        <v>27.464999999999996</v>
      </c>
      <c r="Y212" s="26"/>
    </row>
    <row r="213" spans="1:25" ht="12.75" customHeight="1" x14ac:dyDescent="0.25">
      <c r="A213" s="22" t="s">
        <v>294</v>
      </c>
      <c r="B213" s="30">
        <v>113.93</v>
      </c>
      <c r="C213" s="30"/>
      <c r="D213" s="26"/>
      <c r="H213" s="11" t="str">
        <f t="shared" si="7"/>
        <v>3rd Pay Period ending 30/8/2022</v>
      </c>
      <c r="M213" s="30">
        <v>18</v>
      </c>
      <c r="T213" s="35">
        <f t="shared" si="8"/>
        <v>11.393000000000001</v>
      </c>
      <c r="Y213" s="26"/>
    </row>
    <row r="214" spans="1:25" ht="12.75" customHeight="1" x14ac:dyDescent="0.25">
      <c r="A214" s="22" t="s">
        <v>294</v>
      </c>
      <c r="B214" s="30">
        <v>149.85</v>
      </c>
      <c r="C214" s="30"/>
      <c r="D214" s="26"/>
      <c r="H214" s="11" t="str">
        <f t="shared" si="7"/>
        <v>3rd Pay Period ending 30/8/2022</v>
      </c>
      <c r="M214" s="30">
        <v>18631</v>
      </c>
      <c r="T214" s="35">
        <f t="shared" si="8"/>
        <v>14.984999999999999</v>
      </c>
      <c r="Y214" s="26"/>
    </row>
    <row r="215" spans="1:25" ht="12.75" customHeight="1" x14ac:dyDescent="0.25">
      <c r="A215" s="22" t="s">
        <v>294</v>
      </c>
      <c r="B215" s="30">
        <v>302.88</v>
      </c>
      <c r="C215" s="30"/>
      <c r="D215" s="26"/>
      <c r="H215" s="11" t="str">
        <f t="shared" si="7"/>
        <v>3rd Pay Period ending 30/8/2022</v>
      </c>
      <c r="M215" s="30">
        <v>18954</v>
      </c>
      <c r="T215" s="35">
        <f t="shared" si="8"/>
        <v>30.288</v>
      </c>
      <c r="Y215" s="26"/>
    </row>
    <row r="216" spans="1:25" ht="12.75" customHeight="1" x14ac:dyDescent="0.25">
      <c r="A216" s="22" t="s">
        <v>295</v>
      </c>
      <c r="B216" s="30">
        <v>266.64999999999998</v>
      </c>
      <c r="C216" s="30"/>
      <c r="D216" s="26"/>
      <c r="H216" s="11" t="str">
        <f t="shared" si="7"/>
        <v>3rd Pay Period ending 30/8/2022</v>
      </c>
      <c r="M216" s="30">
        <v>19013</v>
      </c>
      <c r="T216" s="35">
        <f t="shared" si="8"/>
        <v>26.664999999999999</v>
      </c>
      <c r="Y216" s="26"/>
    </row>
    <row r="217" spans="1:25" ht="12.75" customHeight="1" x14ac:dyDescent="0.25">
      <c r="A217" s="22" t="s">
        <v>295</v>
      </c>
      <c r="B217" s="30">
        <v>238.97</v>
      </c>
      <c r="C217" s="30"/>
      <c r="D217" s="26"/>
      <c r="H217" s="11" t="str">
        <f t="shared" si="7"/>
        <v>3rd Pay Period ending 30/8/2022</v>
      </c>
      <c r="M217" s="30">
        <v>19000</v>
      </c>
      <c r="T217" s="35">
        <f t="shared" si="8"/>
        <v>23.896999999999998</v>
      </c>
      <c r="Y217" s="26"/>
    </row>
    <row r="218" spans="1:25" ht="12.75" customHeight="1" x14ac:dyDescent="0.25">
      <c r="A218" s="22" t="s">
        <v>296</v>
      </c>
      <c r="B218" s="30">
        <v>385.61</v>
      </c>
      <c r="C218" s="30"/>
      <c r="D218" s="26"/>
      <c r="H218" s="11" t="str">
        <f t="shared" si="7"/>
        <v>3rd Pay Period ending 30/8/2022</v>
      </c>
      <c r="M218" s="30">
        <v>18559</v>
      </c>
      <c r="T218" s="35">
        <f t="shared" si="8"/>
        <v>38.561</v>
      </c>
      <c r="Y218" s="26"/>
    </row>
    <row r="219" spans="1:25" ht="12.75" customHeight="1" x14ac:dyDescent="0.25">
      <c r="A219" s="22" t="s">
        <v>296</v>
      </c>
      <c r="B219" s="30">
        <v>272.01</v>
      </c>
      <c r="C219" s="30"/>
      <c r="D219" s="26"/>
      <c r="H219" s="11" t="str">
        <f t="shared" si="7"/>
        <v>3rd Pay Period ending 30/8/2022</v>
      </c>
      <c r="M219" s="30">
        <v>18967</v>
      </c>
      <c r="T219" s="35">
        <f t="shared" si="8"/>
        <v>27.201000000000001</v>
      </c>
      <c r="Y219" s="26"/>
    </row>
    <row r="220" spans="1:25" ht="12.75" customHeight="1" x14ac:dyDescent="0.25">
      <c r="A220" s="22" t="s">
        <v>296</v>
      </c>
      <c r="B220" s="30">
        <v>266.64999999999998</v>
      </c>
      <c r="C220" s="30"/>
      <c r="D220" s="26"/>
      <c r="H220" s="11" t="str">
        <f t="shared" si="7"/>
        <v>3rd Pay Period ending 30/8/2022</v>
      </c>
      <c r="M220" s="30">
        <v>18911</v>
      </c>
      <c r="T220" s="35">
        <f t="shared" si="8"/>
        <v>26.664999999999999</v>
      </c>
      <c r="Y220" s="26"/>
    </row>
    <row r="221" spans="1:25" ht="12.75" customHeight="1" x14ac:dyDescent="0.25">
      <c r="A221" s="22" t="s">
        <v>296</v>
      </c>
      <c r="B221" s="30">
        <v>201.8</v>
      </c>
      <c r="C221" s="30"/>
      <c r="D221" s="26"/>
      <c r="H221" s="11" t="str">
        <f t="shared" si="7"/>
        <v>3rd Pay Period ending 30/8/2022</v>
      </c>
      <c r="M221" s="30">
        <v>18892</v>
      </c>
      <c r="T221" s="35">
        <f t="shared" si="8"/>
        <v>20.18</v>
      </c>
      <c r="Y221" s="26"/>
    </row>
    <row r="222" spans="1:25" ht="12.75" customHeight="1" x14ac:dyDescent="0.25">
      <c r="A222" s="22" t="s">
        <v>296</v>
      </c>
      <c r="B222" s="30">
        <v>272.01</v>
      </c>
      <c r="C222" s="30"/>
      <c r="D222" s="26"/>
      <c r="H222" s="11" t="str">
        <f t="shared" si="7"/>
        <v>3rd Pay Period ending 30/8/2022</v>
      </c>
      <c r="M222" s="30">
        <v>18781</v>
      </c>
      <c r="T222" s="35">
        <f t="shared" si="8"/>
        <v>27.201000000000001</v>
      </c>
      <c r="Y222" s="26"/>
    </row>
    <row r="223" spans="1:25" ht="12.75" customHeight="1" x14ac:dyDescent="0.25">
      <c r="A223" s="22" t="s">
        <v>296</v>
      </c>
      <c r="B223" s="30">
        <v>39.03</v>
      </c>
      <c r="C223" s="30"/>
      <c r="D223" s="26"/>
      <c r="H223" s="11" t="str">
        <f t="shared" si="7"/>
        <v>3rd Pay Period ending 30/8/2022</v>
      </c>
      <c r="M223" s="30">
        <v>19033</v>
      </c>
      <c r="T223" s="35">
        <f t="shared" si="8"/>
        <v>3.903</v>
      </c>
      <c r="Y223" s="26"/>
    </row>
    <row r="224" spans="1:25" ht="12.75" customHeight="1" x14ac:dyDescent="0.25">
      <c r="A224" s="22" t="s">
        <v>296</v>
      </c>
      <c r="B224" s="30">
        <v>240.44</v>
      </c>
      <c r="C224" s="30"/>
      <c r="D224" s="26"/>
      <c r="H224" s="11" t="str">
        <f t="shared" si="7"/>
        <v>3rd Pay Period ending 30/8/2022</v>
      </c>
      <c r="M224" s="30">
        <v>18687</v>
      </c>
      <c r="T224" s="35">
        <f t="shared" si="8"/>
        <v>24.044</v>
      </c>
      <c r="Y224" s="26"/>
    </row>
    <row r="225" spans="1:25" ht="12.75" customHeight="1" x14ac:dyDescent="0.25">
      <c r="A225" s="22" t="s">
        <v>296</v>
      </c>
      <c r="B225" s="30">
        <v>250.28</v>
      </c>
      <c r="C225" s="30"/>
      <c r="D225" s="26"/>
      <c r="H225" s="11" t="str">
        <f t="shared" si="7"/>
        <v>3rd Pay Period ending 30/8/2022</v>
      </c>
      <c r="M225" s="30">
        <v>18659</v>
      </c>
      <c r="T225" s="35">
        <f t="shared" si="8"/>
        <v>25.027999999999999</v>
      </c>
      <c r="Y225" s="26"/>
    </row>
    <row r="226" spans="1:25" ht="12.75" customHeight="1" x14ac:dyDescent="0.25">
      <c r="A226" s="22" t="s">
        <v>296</v>
      </c>
      <c r="B226" s="30">
        <v>170.6</v>
      </c>
      <c r="C226" s="30"/>
      <c r="D226" s="26"/>
      <c r="H226" s="11" t="str">
        <f t="shared" si="7"/>
        <v>3rd Pay Period ending 30/8/2022</v>
      </c>
      <c r="M226" s="30">
        <v>18894</v>
      </c>
      <c r="T226" s="35">
        <f t="shared" si="8"/>
        <v>17.059999999999999</v>
      </c>
      <c r="Y226" s="26"/>
    </row>
    <row r="227" spans="1:25" ht="12.75" customHeight="1" x14ac:dyDescent="0.25">
      <c r="A227" s="22" t="s">
        <v>296</v>
      </c>
      <c r="B227" s="30">
        <v>233.96</v>
      </c>
      <c r="C227" s="30"/>
      <c r="D227" s="26"/>
      <c r="H227" s="11" t="str">
        <f t="shared" si="7"/>
        <v>3rd Pay Period ending 30/8/2022</v>
      </c>
      <c r="M227" s="30">
        <v>18733</v>
      </c>
      <c r="T227" s="35">
        <f t="shared" si="8"/>
        <v>23.396000000000001</v>
      </c>
      <c r="Y227" s="26"/>
    </row>
    <row r="228" spans="1:25" ht="12.75" customHeight="1" x14ac:dyDescent="0.25">
      <c r="A228" s="22" t="s">
        <v>296</v>
      </c>
      <c r="B228" s="30">
        <v>54.4</v>
      </c>
      <c r="C228" s="30"/>
      <c r="D228" s="26"/>
      <c r="H228" s="11" t="str">
        <f t="shared" si="7"/>
        <v>3rd Pay Period ending 30/8/2022</v>
      </c>
      <c r="M228" s="30">
        <v>346</v>
      </c>
      <c r="T228" s="35">
        <f t="shared" si="8"/>
        <v>5.4399999999999995</v>
      </c>
      <c r="Y228" s="26"/>
    </row>
    <row r="229" spans="1:25" ht="12.75" customHeight="1" x14ac:dyDescent="0.25">
      <c r="A229" s="22" t="s">
        <v>296</v>
      </c>
      <c r="B229" s="30">
        <v>82.08</v>
      </c>
      <c r="C229" s="30"/>
      <c r="D229" s="26"/>
      <c r="H229" s="11" t="str">
        <f t="shared" si="7"/>
        <v>3rd Pay Period ending 30/8/2022</v>
      </c>
      <c r="M229" s="30">
        <v>18960</v>
      </c>
      <c r="T229" s="35">
        <f t="shared" si="8"/>
        <v>8.2080000000000002</v>
      </c>
      <c r="Y229" s="26"/>
    </row>
    <row r="230" spans="1:25" ht="12.75" customHeight="1" x14ac:dyDescent="0.25">
      <c r="A230" s="22" t="s">
        <v>297</v>
      </c>
      <c r="B230" s="30">
        <v>220.08</v>
      </c>
      <c r="C230" s="30"/>
      <c r="D230" s="26"/>
      <c r="H230" s="11" t="str">
        <f t="shared" si="7"/>
        <v>3rd Pay Period ending 30/8/2022</v>
      </c>
      <c r="M230" s="30">
        <v>11229</v>
      </c>
      <c r="T230" s="35">
        <f t="shared" si="8"/>
        <v>22.008000000000003</v>
      </c>
      <c r="Y230" s="26"/>
    </row>
    <row r="231" spans="1:25" ht="12.75" customHeight="1" x14ac:dyDescent="0.25">
      <c r="A231" s="22" t="s">
        <v>297</v>
      </c>
      <c r="B231" s="30">
        <v>238.97</v>
      </c>
      <c r="C231" s="30"/>
      <c r="D231" s="26"/>
      <c r="H231" s="11" t="str">
        <f t="shared" si="7"/>
        <v>3rd Pay Period ending 30/8/2022</v>
      </c>
      <c r="M231" s="30">
        <v>18961</v>
      </c>
      <c r="T231" s="35">
        <f t="shared" si="8"/>
        <v>23.896999999999998</v>
      </c>
      <c r="Y231" s="26"/>
    </row>
    <row r="232" spans="1:25" ht="12.75" customHeight="1" x14ac:dyDescent="0.25">
      <c r="A232" s="22" t="s">
        <v>297</v>
      </c>
      <c r="B232" s="30">
        <v>252.83</v>
      </c>
      <c r="C232" s="30"/>
      <c r="D232" s="26"/>
      <c r="H232" s="11" t="str">
        <f t="shared" si="7"/>
        <v>3rd Pay Period ending 30/8/2022</v>
      </c>
      <c r="M232" s="30">
        <v>145</v>
      </c>
      <c r="T232" s="35">
        <f t="shared" si="8"/>
        <v>25.283000000000001</v>
      </c>
      <c r="Y232" s="26"/>
    </row>
    <row r="233" spans="1:25" ht="12.75" customHeight="1" x14ac:dyDescent="0.25">
      <c r="A233" s="22" t="s">
        <v>297</v>
      </c>
      <c r="B233" s="30">
        <v>114.82</v>
      </c>
      <c r="C233" s="30"/>
      <c r="D233" s="26"/>
      <c r="H233" s="11" t="str">
        <f t="shared" si="7"/>
        <v>3rd Pay Period ending 30/8/2022</v>
      </c>
      <c r="M233" s="30">
        <v>141</v>
      </c>
      <c r="T233" s="35">
        <f t="shared" si="8"/>
        <v>11.481999999999999</v>
      </c>
      <c r="Y233" s="26"/>
    </row>
    <row r="234" spans="1:25" ht="12.75" customHeight="1" x14ac:dyDescent="0.25">
      <c r="A234" s="22" t="s">
        <v>298</v>
      </c>
      <c r="B234" s="30">
        <v>124.69</v>
      </c>
      <c r="C234" s="30"/>
      <c r="D234" s="26"/>
      <c r="H234" s="11" t="str">
        <f t="shared" si="7"/>
        <v>3rd Pay Period ending 30/8/2022</v>
      </c>
      <c r="M234" s="30">
        <v>19026</v>
      </c>
      <c r="T234" s="35">
        <f t="shared" si="8"/>
        <v>12.468999999999999</v>
      </c>
      <c r="Y234" s="26"/>
    </row>
    <row r="235" spans="1:25" ht="12.75" customHeight="1" x14ac:dyDescent="0.25">
      <c r="A235" s="22" t="s">
        <v>298</v>
      </c>
      <c r="B235" s="30">
        <v>235.48</v>
      </c>
      <c r="C235" s="30"/>
      <c r="D235" s="26"/>
      <c r="H235" s="11" t="str">
        <f t="shared" si="7"/>
        <v>3rd Pay Period ending 30/8/2022</v>
      </c>
      <c r="M235" s="30">
        <v>18999</v>
      </c>
      <c r="T235" s="35">
        <f t="shared" si="8"/>
        <v>23.547999999999998</v>
      </c>
      <c r="Y235" s="26"/>
    </row>
    <row r="236" spans="1:25" ht="12.75" customHeight="1" x14ac:dyDescent="0.25">
      <c r="A236" s="22" t="s">
        <v>298</v>
      </c>
      <c r="B236" s="30">
        <v>94.29</v>
      </c>
      <c r="C236" s="30"/>
      <c r="D236" s="26"/>
      <c r="H236" s="11" t="str">
        <f t="shared" si="7"/>
        <v>3rd Pay Period ending 30/8/2022</v>
      </c>
      <c r="M236" s="30">
        <v>19002</v>
      </c>
      <c r="T236" s="35">
        <f t="shared" si="8"/>
        <v>9.4290000000000003</v>
      </c>
      <c r="Y236" s="26"/>
    </row>
    <row r="237" spans="1:25" ht="12.75" customHeight="1" x14ac:dyDescent="0.25">
      <c r="A237" s="22" t="s">
        <v>298</v>
      </c>
      <c r="B237" s="30">
        <v>525</v>
      </c>
      <c r="C237" s="30"/>
      <c r="D237" s="26"/>
      <c r="H237" s="11" t="str">
        <f t="shared" si="7"/>
        <v>3rd Pay Period ending 30/8/2022</v>
      </c>
      <c r="M237" s="30">
        <v>18962</v>
      </c>
      <c r="T237" s="35">
        <f t="shared" si="8"/>
        <v>52.5</v>
      </c>
      <c r="Y237" s="26"/>
    </row>
    <row r="238" spans="1:25" ht="12.75" customHeight="1" x14ac:dyDescent="0.25">
      <c r="A238" s="22" t="s">
        <v>298</v>
      </c>
      <c r="B238" s="30">
        <v>228.59</v>
      </c>
      <c r="C238" s="30"/>
      <c r="D238" s="26"/>
      <c r="H238" s="11" t="str">
        <f t="shared" si="7"/>
        <v>3rd Pay Period ending 30/8/2022</v>
      </c>
      <c r="M238" s="30">
        <v>19007</v>
      </c>
      <c r="T238" s="35">
        <f t="shared" si="8"/>
        <v>22.859000000000002</v>
      </c>
      <c r="Y238" s="26"/>
    </row>
    <row r="239" spans="1:25" ht="12.75" customHeight="1" x14ac:dyDescent="0.25">
      <c r="A239" s="22" t="s">
        <v>298</v>
      </c>
      <c r="B239" s="30">
        <v>62.34</v>
      </c>
      <c r="C239" s="30"/>
      <c r="D239" s="26"/>
      <c r="H239" s="11" t="str">
        <f t="shared" si="7"/>
        <v>3rd Pay Period ending 30/8/2022</v>
      </c>
      <c r="M239" s="30">
        <v>19032</v>
      </c>
      <c r="T239" s="35">
        <f t="shared" si="8"/>
        <v>6.234</v>
      </c>
      <c r="Y239" s="26"/>
    </row>
    <row r="240" spans="1:25" ht="12.75" customHeight="1" x14ac:dyDescent="0.25">
      <c r="A240" s="22" t="s">
        <v>298</v>
      </c>
      <c r="B240" s="30">
        <v>228.59</v>
      </c>
      <c r="C240" s="30"/>
      <c r="D240" s="26"/>
      <c r="H240" s="11" t="str">
        <f t="shared" si="7"/>
        <v>3rd Pay Period ending 30/8/2022</v>
      </c>
      <c r="M240" s="30">
        <v>19016</v>
      </c>
      <c r="T240" s="35">
        <f t="shared" si="8"/>
        <v>22.859000000000002</v>
      </c>
      <c r="Y240" s="26"/>
    </row>
    <row r="241" spans="1:25" ht="12.75" customHeight="1" x14ac:dyDescent="0.25">
      <c r="A241" s="22" t="s">
        <v>298</v>
      </c>
      <c r="B241" s="30">
        <v>306.43</v>
      </c>
      <c r="C241" s="30"/>
      <c r="D241" s="26"/>
      <c r="H241" s="11" t="str">
        <f t="shared" si="7"/>
        <v>3rd Pay Period ending 30/8/2022</v>
      </c>
      <c r="M241" s="30">
        <v>18974</v>
      </c>
      <c r="T241" s="35">
        <f t="shared" si="8"/>
        <v>30.643000000000001</v>
      </c>
      <c r="Y241" s="26"/>
    </row>
    <row r="242" spans="1:25" ht="12.75" customHeight="1" x14ac:dyDescent="0.25">
      <c r="A242" s="22" t="s">
        <v>298</v>
      </c>
      <c r="B242" s="30">
        <v>238.97</v>
      </c>
      <c r="C242" s="30"/>
      <c r="D242" s="26"/>
      <c r="H242" s="11" t="str">
        <f t="shared" si="7"/>
        <v>3rd Pay Period ending 30/8/2022</v>
      </c>
      <c r="M242" s="30">
        <v>19006</v>
      </c>
      <c r="T242" s="35">
        <f t="shared" si="8"/>
        <v>23.896999999999998</v>
      </c>
      <c r="Y242" s="26"/>
    </row>
    <row r="243" spans="1:25" ht="12.75" customHeight="1" x14ac:dyDescent="0.25">
      <c r="A243" s="22" t="s">
        <v>298</v>
      </c>
      <c r="B243" s="30">
        <v>174.47</v>
      </c>
      <c r="C243" s="30"/>
      <c r="D243" s="26"/>
      <c r="H243" s="11" t="str">
        <f t="shared" si="7"/>
        <v>3rd Pay Period ending 30/8/2022</v>
      </c>
      <c r="M243" s="30">
        <v>18973</v>
      </c>
      <c r="T243" s="35">
        <f t="shared" si="8"/>
        <v>17.446999999999999</v>
      </c>
      <c r="Y243" s="26"/>
    </row>
    <row r="244" spans="1:25" ht="12.75" customHeight="1" x14ac:dyDescent="0.25">
      <c r="A244" s="22" t="s">
        <v>299</v>
      </c>
      <c r="B244" s="30">
        <v>207.72</v>
      </c>
      <c r="C244" s="30"/>
      <c r="D244" s="26"/>
      <c r="H244" s="11" t="str">
        <f t="shared" si="7"/>
        <v>3rd Pay Period ending 30/8/2022</v>
      </c>
      <c r="M244" s="30">
        <v>18980</v>
      </c>
      <c r="T244" s="35">
        <f t="shared" si="8"/>
        <v>20.771999999999998</v>
      </c>
      <c r="Y244" s="26"/>
    </row>
    <row r="245" spans="1:25" ht="12.75" customHeight="1" x14ac:dyDescent="0.25">
      <c r="A245" s="22" t="s">
        <v>299</v>
      </c>
      <c r="B245" s="30">
        <v>180.22</v>
      </c>
      <c r="C245" s="30"/>
      <c r="D245" s="26"/>
      <c r="H245" s="11" t="str">
        <f t="shared" si="7"/>
        <v>3rd Pay Period ending 30/8/2022</v>
      </c>
      <c r="M245" s="30">
        <v>19021</v>
      </c>
      <c r="T245" s="35">
        <f t="shared" si="8"/>
        <v>18.021999999999998</v>
      </c>
      <c r="Y245" s="26"/>
    </row>
    <row r="246" spans="1:25" ht="12.75" customHeight="1" x14ac:dyDescent="0.25">
      <c r="A246" s="22" t="s">
        <v>299</v>
      </c>
      <c r="B246" s="30">
        <v>249.23</v>
      </c>
      <c r="C246" s="30"/>
      <c r="D246" s="26"/>
      <c r="H246" s="11" t="str">
        <f t="shared" si="7"/>
        <v>3rd Pay Period ending 30/8/2022</v>
      </c>
      <c r="M246" s="30">
        <v>19027</v>
      </c>
      <c r="T246" s="35">
        <f t="shared" si="8"/>
        <v>24.922999999999998</v>
      </c>
      <c r="Y246" s="26"/>
    </row>
    <row r="247" spans="1:25" ht="12.75" customHeight="1" x14ac:dyDescent="0.25">
      <c r="A247" s="22" t="s">
        <v>300</v>
      </c>
      <c r="B247" s="30">
        <v>332.07</v>
      </c>
      <c r="C247" s="30"/>
      <c r="D247" s="26"/>
      <c r="H247" s="11" t="str">
        <f t="shared" si="7"/>
        <v>3rd Pay Period ending 30/8/2022</v>
      </c>
      <c r="M247" s="30">
        <v>18581</v>
      </c>
      <c r="T247" s="35">
        <f t="shared" si="8"/>
        <v>33.207000000000001</v>
      </c>
      <c r="Y247" s="26"/>
    </row>
    <row r="248" spans="1:25" ht="12.75" customHeight="1" x14ac:dyDescent="0.25">
      <c r="A248" s="22" t="s">
        <v>301</v>
      </c>
      <c r="B248" s="30">
        <v>226.15</v>
      </c>
      <c r="C248" s="30"/>
      <c r="D248" s="26"/>
      <c r="H248" s="11" t="str">
        <f t="shared" si="7"/>
        <v>3rd Pay Period ending 30/8/2022</v>
      </c>
      <c r="M248" s="30">
        <v>18945</v>
      </c>
      <c r="T248" s="35">
        <f t="shared" si="8"/>
        <v>22.615000000000002</v>
      </c>
      <c r="Y248" s="26"/>
    </row>
    <row r="249" spans="1:25" ht="12.75" customHeight="1" x14ac:dyDescent="0.25">
      <c r="A249" s="22" t="s">
        <v>301</v>
      </c>
      <c r="B249" s="30">
        <v>565.38</v>
      </c>
      <c r="C249" s="30"/>
      <c r="D249" s="26"/>
      <c r="H249" s="11" t="str">
        <f t="shared" si="7"/>
        <v>3rd Pay Period ending 30/8/2022</v>
      </c>
      <c r="M249" s="30">
        <v>44705</v>
      </c>
      <c r="T249" s="35">
        <f t="shared" si="8"/>
        <v>56.537999999999997</v>
      </c>
      <c r="Y249" s="26"/>
    </row>
    <row r="250" spans="1:25" ht="12.75" customHeight="1" x14ac:dyDescent="0.25">
      <c r="A250" s="22" t="s">
        <v>302</v>
      </c>
      <c r="B250" s="30">
        <v>242.31</v>
      </c>
      <c r="C250" s="30"/>
      <c r="D250" s="26"/>
      <c r="H250" s="11" t="str">
        <f t="shared" si="7"/>
        <v>3rd Pay Period ending 30/8/2022</v>
      </c>
      <c r="M250" s="30">
        <v>18805</v>
      </c>
      <c r="T250" s="35">
        <f t="shared" si="8"/>
        <v>24.231000000000002</v>
      </c>
      <c r="Y250" s="26"/>
    </row>
    <row r="251" spans="1:25" ht="12.75" customHeight="1" x14ac:dyDescent="0.25">
      <c r="A251" s="22" t="s">
        <v>302</v>
      </c>
      <c r="B251" s="30">
        <v>228.17</v>
      </c>
      <c r="C251" s="30"/>
      <c r="D251" s="26"/>
      <c r="H251" s="11" t="str">
        <f t="shared" si="7"/>
        <v>3rd Pay Period ending 30/8/2022</v>
      </c>
      <c r="M251" s="30">
        <v>18982</v>
      </c>
      <c r="T251" s="35">
        <f t="shared" si="8"/>
        <v>22.817</v>
      </c>
      <c r="Y251" s="26"/>
    </row>
    <row r="252" spans="1:25" ht="12.75" customHeight="1" x14ac:dyDescent="0.25">
      <c r="A252" s="22" t="s">
        <v>303</v>
      </c>
      <c r="B252" s="30">
        <v>259.95999999999998</v>
      </c>
      <c r="C252" s="30"/>
      <c r="D252" s="26"/>
      <c r="H252" s="11" t="str">
        <f t="shared" si="7"/>
        <v>3rd Pay Period ending 30/8/2022</v>
      </c>
      <c r="M252" s="30">
        <v>266</v>
      </c>
      <c r="T252" s="35">
        <f t="shared" si="8"/>
        <v>25.995999999999999</v>
      </c>
      <c r="Y252" s="26"/>
    </row>
    <row r="253" spans="1:25" ht="12.75" customHeight="1" x14ac:dyDescent="0.25">
      <c r="A253" s="22" t="s">
        <v>303</v>
      </c>
      <c r="B253" s="30">
        <v>226.15</v>
      </c>
      <c r="C253" s="30"/>
      <c r="D253" s="26"/>
      <c r="H253" s="11" t="str">
        <f t="shared" si="7"/>
        <v>3rd Pay Period ending 30/8/2022</v>
      </c>
      <c r="M253" s="30">
        <v>18841</v>
      </c>
      <c r="T253" s="35">
        <f t="shared" si="8"/>
        <v>22.615000000000002</v>
      </c>
      <c r="Y253" s="26"/>
    </row>
    <row r="254" spans="1:25" ht="12.75" customHeight="1" x14ac:dyDescent="0.25">
      <c r="A254" s="22" t="s">
        <v>303</v>
      </c>
      <c r="B254" s="30">
        <v>240.09</v>
      </c>
      <c r="C254" s="30"/>
      <c r="D254" s="26"/>
      <c r="H254" s="11" t="str">
        <f t="shared" si="7"/>
        <v>3rd Pay Period ending 30/8/2022</v>
      </c>
      <c r="M254" s="30">
        <v>302</v>
      </c>
      <c r="T254" s="35">
        <f t="shared" si="8"/>
        <v>24.009</v>
      </c>
      <c r="Y254" s="26"/>
    </row>
    <row r="255" spans="1:25" ht="12.75" customHeight="1" x14ac:dyDescent="0.25">
      <c r="A255" s="22" t="s">
        <v>304</v>
      </c>
      <c r="B255" s="30">
        <v>91.08</v>
      </c>
      <c r="C255" s="30"/>
      <c r="D255" s="26"/>
      <c r="H255" s="11" t="str">
        <f t="shared" si="7"/>
        <v>3rd Pay Period ending 30/8/2022</v>
      </c>
      <c r="M255" s="30">
        <v>18929</v>
      </c>
      <c r="T255" s="35">
        <f t="shared" si="8"/>
        <v>9.1080000000000005</v>
      </c>
      <c r="Y255" s="26"/>
    </row>
    <row r="256" spans="1:25" ht="12.75" customHeight="1" x14ac:dyDescent="0.25">
      <c r="A256" s="22" t="s">
        <v>304</v>
      </c>
      <c r="B256" s="30">
        <v>286.45</v>
      </c>
      <c r="C256" s="30"/>
      <c r="D256" s="26"/>
      <c r="H256" s="11" t="str">
        <f t="shared" si="7"/>
        <v>3rd Pay Period ending 30/8/2022</v>
      </c>
      <c r="M256" s="30">
        <v>18901</v>
      </c>
      <c r="T256" s="35">
        <f t="shared" si="8"/>
        <v>28.645</v>
      </c>
      <c r="Y256" s="26"/>
    </row>
    <row r="257" spans="1:25" ht="12.75" customHeight="1" x14ac:dyDescent="0.25">
      <c r="A257" s="22" t="s">
        <v>304</v>
      </c>
      <c r="B257" s="30">
        <v>363.46</v>
      </c>
      <c r="C257" s="30"/>
      <c r="D257" s="26"/>
      <c r="H257" s="11" t="str">
        <f t="shared" si="7"/>
        <v>3rd Pay Period ending 30/8/2022</v>
      </c>
      <c r="M257" s="30">
        <v>18626</v>
      </c>
      <c r="T257" s="35">
        <f t="shared" si="8"/>
        <v>36.345999999999997</v>
      </c>
      <c r="Y257" s="26"/>
    </row>
    <row r="258" spans="1:25" ht="12.75" customHeight="1" x14ac:dyDescent="0.25">
      <c r="A258" s="22" t="s">
        <v>304</v>
      </c>
      <c r="B258" s="30">
        <v>249.37</v>
      </c>
      <c r="C258" s="30"/>
      <c r="D258" s="26"/>
      <c r="H258" s="11" t="str">
        <f t="shared" si="7"/>
        <v>3rd Pay Period ending 30/8/2022</v>
      </c>
      <c r="M258" s="30">
        <v>18827</v>
      </c>
      <c r="T258" s="35">
        <f t="shared" si="8"/>
        <v>24.937000000000001</v>
      </c>
      <c r="Y258" s="26"/>
    </row>
    <row r="259" spans="1:25" ht="12.75" customHeight="1" x14ac:dyDescent="0.25">
      <c r="A259" s="22" t="s">
        <v>304</v>
      </c>
      <c r="B259" s="30">
        <v>228.31</v>
      </c>
      <c r="C259" s="30"/>
      <c r="D259" s="26"/>
      <c r="H259" s="11" t="str">
        <f t="shared" ref="H259:H322" si="9">$K$1</f>
        <v>3rd Pay Period ending 30/8/2022</v>
      </c>
      <c r="M259" s="30">
        <v>18822</v>
      </c>
      <c r="T259" s="35">
        <f t="shared" si="8"/>
        <v>22.831</v>
      </c>
      <c r="Y259" s="26"/>
    </row>
    <row r="260" spans="1:25" ht="12.75" customHeight="1" x14ac:dyDescent="0.25">
      <c r="A260" s="22" t="s">
        <v>304</v>
      </c>
      <c r="B260" s="30">
        <v>191.38</v>
      </c>
      <c r="C260" s="30"/>
      <c r="D260" s="26"/>
      <c r="H260" s="11" t="str">
        <f t="shared" si="9"/>
        <v>3rd Pay Period ending 30/8/2022</v>
      </c>
      <c r="M260" s="30">
        <v>18887</v>
      </c>
      <c r="T260" s="35">
        <f t="shared" ref="T260:T323" si="10">B260/10*$V$1</f>
        <v>19.137999999999998</v>
      </c>
      <c r="Y260" s="26"/>
    </row>
    <row r="261" spans="1:25" ht="12.75" customHeight="1" x14ac:dyDescent="0.25">
      <c r="A261" s="22" t="s">
        <v>304</v>
      </c>
      <c r="B261" s="30">
        <v>209</v>
      </c>
      <c r="C261" s="30"/>
      <c r="D261" s="26"/>
      <c r="H261" s="11" t="str">
        <f t="shared" si="9"/>
        <v>3rd Pay Period ending 30/8/2022</v>
      </c>
      <c r="M261" s="30">
        <v>18949</v>
      </c>
      <c r="T261" s="35">
        <f t="shared" si="10"/>
        <v>20.9</v>
      </c>
      <c r="Y261" s="26"/>
    </row>
    <row r="262" spans="1:25" ht="12.75" customHeight="1" x14ac:dyDescent="0.25">
      <c r="A262" s="22" t="s">
        <v>304</v>
      </c>
      <c r="B262" s="30">
        <v>100.72</v>
      </c>
      <c r="C262" s="30"/>
      <c r="D262" s="26"/>
      <c r="H262" s="11" t="str">
        <f t="shared" si="9"/>
        <v>3rd Pay Period ending 30/8/2022</v>
      </c>
      <c r="M262" s="30">
        <v>134</v>
      </c>
      <c r="T262" s="35">
        <f t="shared" si="10"/>
        <v>10.071999999999999</v>
      </c>
      <c r="Y262" s="26"/>
    </row>
    <row r="263" spans="1:25" ht="12.75" customHeight="1" x14ac:dyDescent="0.25">
      <c r="A263" s="22" t="s">
        <v>304</v>
      </c>
      <c r="B263" s="30">
        <v>25.44</v>
      </c>
      <c r="C263" s="30"/>
      <c r="D263" s="26"/>
      <c r="H263" s="11" t="str">
        <f t="shared" si="9"/>
        <v>3rd Pay Period ending 30/8/2022</v>
      </c>
      <c r="M263" s="30">
        <v>18994</v>
      </c>
      <c r="T263" s="35">
        <f t="shared" si="10"/>
        <v>2.544</v>
      </c>
      <c r="Y263" s="26"/>
    </row>
    <row r="264" spans="1:25" ht="12.75" customHeight="1" x14ac:dyDescent="0.25">
      <c r="A264" s="22" t="s">
        <v>304</v>
      </c>
      <c r="B264" s="30">
        <v>228.46</v>
      </c>
      <c r="C264" s="30"/>
      <c r="D264" s="26"/>
      <c r="H264" s="11" t="str">
        <f t="shared" si="9"/>
        <v>3rd Pay Period ending 30/8/2022</v>
      </c>
      <c r="M264" s="30">
        <v>18797</v>
      </c>
      <c r="T264" s="35">
        <f t="shared" si="10"/>
        <v>22.846</v>
      </c>
      <c r="Y264" s="26"/>
    </row>
    <row r="265" spans="1:25" ht="12.75" customHeight="1" x14ac:dyDescent="0.25">
      <c r="A265" s="22" t="s">
        <v>304</v>
      </c>
      <c r="B265" s="30">
        <v>212.98</v>
      </c>
      <c r="C265" s="30"/>
      <c r="D265" s="26"/>
      <c r="H265" s="11" t="str">
        <f t="shared" si="9"/>
        <v>3rd Pay Period ending 30/8/2022</v>
      </c>
      <c r="M265" s="30">
        <v>18979</v>
      </c>
      <c r="T265" s="35">
        <f t="shared" si="10"/>
        <v>21.297999999999998</v>
      </c>
      <c r="Y265" s="26"/>
    </row>
    <row r="266" spans="1:25" ht="12.75" customHeight="1" x14ac:dyDescent="0.25">
      <c r="A266" s="22" t="s">
        <v>304</v>
      </c>
      <c r="B266" s="30">
        <v>250.34</v>
      </c>
      <c r="C266" s="30"/>
      <c r="D266" s="26"/>
      <c r="H266" s="11" t="str">
        <f t="shared" si="9"/>
        <v>3rd Pay Period ending 30/8/2022</v>
      </c>
      <c r="M266" s="30">
        <v>18918</v>
      </c>
      <c r="T266" s="35">
        <f t="shared" si="10"/>
        <v>25.033999999999999</v>
      </c>
      <c r="Y266" s="26"/>
    </row>
    <row r="267" spans="1:25" ht="12.75" customHeight="1" x14ac:dyDescent="0.25">
      <c r="A267" s="22" t="s">
        <v>305</v>
      </c>
      <c r="B267" s="30">
        <v>254.67</v>
      </c>
      <c r="C267" s="30"/>
      <c r="D267" s="26"/>
      <c r="H267" s="11" t="str">
        <f t="shared" si="9"/>
        <v>3rd Pay Period ending 30/8/2022</v>
      </c>
      <c r="M267" s="30">
        <v>18692</v>
      </c>
      <c r="T267" s="35">
        <f t="shared" si="10"/>
        <v>25.466999999999999</v>
      </c>
      <c r="Y267" s="26"/>
    </row>
    <row r="268" spans="1:25" ht="12.75" customHeight="1" x14ac:dyDescent="0.25">
      <c r="A268" s="22" t="s">
        <v>306</v>
      </c>
      <c r="B268" s="30">
        <v>209.63</v>
      </c>
      <c r="C268" s="30"/>
      <c r="D268" s="26"/>
      <c r="H268" s="11" t="str">
        <f t="shared" si="9"/>
        <v>3rd Pay Period ending 30/8/2022</v>
      </c>
      <c r="M268" s="30">
        <v>18989</v>
      </c>
      <c r="T268" s="35">
        <f t="shared" si="10"/>
        <v>20.963000000000001</v>
      </c>
      <c r="Y268" s="26"/>
    </row>
    <row r="269" spans="1:25" ht="12.75" customHeight="1" x14ac:dyDescent="0.25">
      <c r="A269" s="22" t="s">
        <v>307</v>
      </c>
      <c r="B269" s="30">
        <v>166.25</v>
      </c>
      <c r="C269" s="30"/>
      <c r="D269" s="26"/>
      <c r="H269" s="11" t="str">
        <f t="shared" si="9"/>
        <v>3rd Pay Period ending 30/8/2022</v>
      </c>
      <c r="M269" s="30">
        <v>18916</v>
      </c>
      <c r="T269" s="35">
        <f t="shared" si="10"/>
        <v>16.625</v>
      </c>
      <c r="Y269" s="26"/>
    </row>
    <row r="270" spans="1:25" ht="12.75" customHeight="1" x14ac:dyDescent="0.25">
      <c r="A270" s="22" t="s">
        <v>307</v>
      </c>
      <c r="B270" s="30">
        <v>176.2</v>
      </c>
      <c r="C270" s="30"/>
      <c r="D270" s="26"/>
      <c r="H270" s="11" t="str">
        <f t="shared" si="9"/>
        <v>3rd Pay Period ending 30/8/2022</v>
      </c>
      <c r="M270" s="30">
        <v>18736</v>
      </c>
      <c r="T270" s="35">
        <f t="shared" si="10"/>
        <v>17.619999999999997</v>
      </c>
      <c r="Y270" s="26"/>
    </row>
    <row r="271" spans="1:25" ht="12.75" customHeight="1" x14ac:dyDescent="0.25">
      <c r="A271" s="22" t="s">
        <v>308</v>
      </c>
      <c r="B271" s="30">
        <v>210.21</v>
      </c>
      <c r="C271" s="30"/>
      <c r="D271" s="26"/>
      <c r="H271" s="11" t="str">
        <f t="shared" si="9"/>
        <v>3rd Pay Period ending 30/8/2022</v>
      </c>
      <c r="M271" s="30">
        <v>19009</v>
      </c>
      <c r="T271" s="35">
        <f t="shared" si="10"/>
        <v>21.021000000000001</v>
      </c>
      <c r="Y271" s="26"/>
    </row>
    <row r="272" spans="1:25" ht="12.75" customHeight="1" x14ac:dyDescent="0.25">
      <c r="A272" s="22" t="s">
        <v>308</v>
      </c>
      <c r="B272" s="30">
        <v>176.79</v>
      </c>
      <c r="C272" s="30"/>
      <c r="D272" s="26"/>
      <c r="H272" s="11" t="str">
        <f t="shared" si="9"/>
        <v>3rd Pay Period ending 30/8/2022</v>
      </c>
      <c r="M272" s="30">
        <v>19030</v>
      </c>
      <c r="T272" s="35">
        <f t="shared" si="10"/>
        <v>17.678999999999998</v>
      </c>
      <c r="Y272" s="26"/>
    </row>
    <row r="273" spans="1:25" ht="12.75" customHeight="1" x14ac:dyDescent="0.25">
      <c r="A273" s="22" t="s">
        <v>308</v>
      </c>
      <c r="B273" s="30">
        <v>210.51</v>
      </c>
      <c r="C273" s="30"/>
      <c r="D273" s="26"/>
      <c r="H273" s="11" t="str">
        <f t="shared" si="9"/>
        <v>3rd Pay Period ending 30/8/2022</v>
      </c>
      <c r="M273" s="30">
        <v>19029</v>
      </c>
      <c r="T273" s="35">
        <f t="shared" si="10"/>
        <v>21.050999999999998</v>
      </c>
      <c r="Y273" s="26"/>
    </row>
    <row r="274" spans="1:25" ht="12.75" customHeight="1" x14ac:dyDescent="0.25">
      <c r="A274" s="22" t="s">
        <v>308</v>
      </c>
      <c r="B274" s="30">
        <v>271.02999999999997</v>
      </c>
      <c r="C274" s="30"/>
      <c r="D274" s="26"/>
      <c r="H274" s="11" t="str">
        <f t="shared" si="9"/>
        <v>3rd Pay Period ending 30/8/2022</v>
      </c>
      <c r="M274" s="30">
        <v>18932</v>
      </c>
      <c r="T274" s="35">
        <f t="shared" si="10"/>
        <v>27.102999999999998</v>
      </c>
      <c r="Y274" s="26"/>
    </row>
    <row r="275" spans="1:25" ht="12.75" customHeight="1" x14ac:dyDescent="0.25">
      <c r="A275" s="22" t="s">
        <v>308</v>
      </c>
      <c r="B275" s="30">
        <v>186.78</v>
      </c>
      <c r="C275" s="30"/>
      <c r="D275" s="26"/>
      <c r="H275" s="11" t="str">
        <f t="shared" si="9"/>
        <v>3rd Pay Period ending 30/8/2022</v>
      </c>
      <c r="M275" s="30">
        <v>19028</v>
      </c>
      <c r="T275" s="35">
        <f t="shared" si="10"/>
        <v>18.678000000000001</v>
      </c>
      <c r="Y275" s="26"/>
    </row>
    <row r="276" spans="1:25" ht="12.75" customHeight="1" x14ac:dyDescent="0.25">
      <c r="A276" s="22" t="s">
        <v>308</v>
      </c>
      <c r="B276" s="30">
        <v>191.12</v>
      </c>
      <c r="C276" s="30"/>
      <c r="D276" s="26"/>
      <c r="H276" s="11" t="str">
        <f t="shared" si="9"/>
        <v>3rd Pay Period ending 30/8/2022</v>
      </c>
      <c r="M276" s="30">
        <v>18983</v>
      </c>
      <c r="T276" s="35">
        <f t="shared" si="10"/>
        <v>19.112000000000002</v>
      </c>
      <c r="Y276" s="26"/>
    </row>
    <row r="277" spans="1:25" ht="12.75" customHeight="1" x14ac:dyDescent="0.25">
      <c r="A277" s="22" t="s">
        <v>308</v>
      </c>
      <c r="B277" s="30">
        <v>99.76</v>
      </c>
      <c r="C277" s="30"/>
      <c r="D277" s="26"/>
      <c r="H277" s="11" t="str">
        <f t="shared" si="9"/>
        <v>3rd Pay Period ending 30/8/2022</v>
      </c>
      <c r="M277" s="30">
        <v>19008</v>
      </c>
      <c r="T277" s="35">
        <f t="shared" si="10"/>
        <v>9.9760000000000009</v>
      </c>
      <c r="Y277" s="26"/>
    </row>
    <row r="278" spans="1:25" ht="12.75" customHeight="1" x14ac:dyDescent="0.25">
      <c r="A278" s="22" t="s">
        <v>308</v>
      </c>
      <c r="B278" s="30">
        <v>235.48</v>
      </c>
      <c r="C278" s="30"/>
      <c r="D278" s="26"/>
      <c r="H278" s="11" t="str">
        <f t="shared" si="9"/>
        <v>3rd Pay Period ending 30/8/2022</v>
      </c>
      <c r="M278" s="30">
        <v>18829</v>
      </c>
      <c r="T278" s="35">
        <f t="shared" si="10"/>
        <v>23.547999999999998</v>
      </c>
      <c r="Y278" s="26"/>
    </row>
    <row r="279" spans="1:25" ht="12.75" customHeight="1" x14ac:dyDescent="0.25">
      <c r="A279" s="22" t="s">
        <v>308</v>
      </c>
      <c r="B279" s="30">
        <v>163.88</v>
      </c>
      <c r="C279" s="30"/>
      <c r="D279" s="26"/>
      <c r="H279" s="11" t="str">
        <f t="shared" si="9"/>
        <v>3rd Pay Period ending 30/8/2022</v>
      </c>
      <c r="M279" s="30">
        <v>19017</v>
      </c>
      <c r="T279" s="35">
        <f t="shared" si="10"/>
        <v>16.387999999999998</v>
      </c>
      <c r="Y279" s="26"/>
    </row>
    <row r="280" spans="1:25" ht="12.75" customHeight="1" x14ac:dyDescent="0.25">
      <c r="A280" s="22" t="s">
        <v>308</v>
      </c>
      <c r="B280" s="30">
        <v>206.61</v>
      </c>
      <c r="C280" s="30"/>
      <c r="D280" s="26"/>
      <c r="H280" s="11" t="str">
        <f t="shared" si="9"/>
        <v>3rd Pay Period ending 30/8/2022</v>
      </c>
      <c r="M280" s="30">
        <v>19015</v>
      </c>
      <c r="T280" s="35">
        <f t="shared" si="10"/>
        <v>20.661000000000001</v>
      </c>
      <c r="Y280" s="26"/>
    </row>
    <row r="281" spans="1:25" ht="12.75" customHeight="1" x14ac:dyDescent="0.25">
      <c r="A281" s="22" t="s">
        <v>308</v>
      </c>
      <c r="B281" s="30">
        <v>184.78</v>
      </c>
      <c r="C281" s="30"/>
      <c r="D281" s="26"/>
      <c r="H281" s="11" t="str">
        <f t="shared" si="9"/>
        <v>3rd Pay Period ending 30/8/2022</v>
      </c>
      <c r="M281" s="30">
        <v>18679</v>
      </c>
      <c r="T281" s="35">
        <f t="shared" si="10"/>
        <v>18.478000000000002</v>
      </c>
      <c r="Y281" s="26"/>
    </row>
    <row r="282" spans="1:25" ht="12.75" customHeight="1" x14ac:dyDescent="0.25">
      <c r="A282" s="22" t="s">
        <v>308</v>
      </c>
      <c r="B282" s="30">
        <v>170.52</v>
      </c>
      <c r="C282" s="30"/>
      <c r="D282" s="26"/>
      <c r="H282" s="11" t="str">
        <f t="shared" si="9"/>
        <v>3rd Pay Period ending 30/8/2022</v>
      </c>
      <c r="M282" s="30">
        <v>18923</v>
      </c>
      <c r="T282" s="35">
        <f t="shared" si="10"/>
        <v>17.052</v>
      </c>
      <c r="Y282" s="26"/>
    </row>
    <row r="283" spans="1:25" ht="12.75" customHeight="1" x14ac:dyDescent="0.25">
      <c r="A283" s="22" t="s">
        <v>308</v>
      </c>
      <c r="B283" s="30">
        <v>180.93</v>
      </c>
      <c r="C283" s="30"/>
      <c r="D283" s="26"/>
      <c r="H283" s="11" t="str">
        <f t="shared" si="9"/>
        <v>3rd Pay Period ending 30/8/2022</v>
      </c>
      <c r="M283" s="30">
        <v>19022</v>
      </c>
      <c r="T283" s="35">
        <f t="shared" si="10"/>
        <v>18.093</v>
      </c>
      <c r="Y283" s="26"/>
    </row>
    <row r="284" spans="1:25" ht="12.75" customHeight="1" x14ac:dyDescent="0.25">
      <c r="A284" s="22" t="s">
        <v>308</v>
      </c>
      <c r="B284" s="30">
        <v>234.63</v>
      </c>
      <c r="C284" s="30"/>
      <c r="D284" s="26"/>
      <c r="H284" s="11" t="str">
        <f t="shared" si="9"/>
        <v>3rd Pay Period ending 30/8/2022</v>
      </c>
      <c r="M284" s="30">
        <v>18607</v>
      </c>
      <c r="T284" s="35">
        <f t="shared" si="10"/>
        <v>23.463000000000001</v>
      </c>
      <c r="Y284" s="26"/>
    </row>
    <row r="285" spans="1:25" ht="12.75" customHeight="1" x14ac:dyDescent="0.25">
      <c r="A285" s="22" t="s">
        <v>308</v>
      </c>
      <c r="B285" s="30">
        <v>195.55</v>
      </c>
      <c r="C285" s="30"/>
      <c r="D285" s="26"/>
      <c r="H285" s="11" t="str">
        <f t="shared" si="9"/>
        <v>3rd Pay Period ending 30/8/2022</v>
      </c>
      <c r="M285" s="30">
        <v>19012</v>
      </c>
      <c r="T285" s="35">
        <f t="shared" si="10"/>
        <v>19.555</v>
      </c>
      <c r="Y285" s="26"/>
    </row>
    <row r="286" spans="1:25" ht="12.75" customHeight="1" x14ac:dyDescent="0.25">
      <c r="A286" s="22" t="s">
        <v>308</v>
      </c>
      <c r="B286" s="30">
        <v>191.38</v>
      </c>
      <c r="C286" s="30"/>
      <c r="D286" s="26"/>
      <c r="H286" s="11" t="str">
        <f t="shared" si="9"/>
        <v>3rd Pay Period ending 30/8/2022</v>
      </c>
      <c r="M286" s="30">
        <v>19011</v>
      </c>
      <c r="T286" s="35">
        <f t="shared" si="10"/>
        <v>19.137999999999998</v>
      </c>
      <c r="Y286" s="26"/>
    </row>
    <row r="287" spans="1:25" ht="12.75" customHeight="1" x14ac:dyDescent="0.25">
      <c r="A287" s="22" t="s">
        <v>308</v>
      </c>
      <c r="B287" s="30">
        <v>206.61</v>
      </c>
      <c r="C287" s="30"/>
      <c r="D287" s="26"/>
      <c r="H287" s="11" t="str">
        <f t="shared" si="9"/>
        <v>3rd Pay Period ending 30/8/2022</v>
      </c>
      <c r="M287" s="30">
        <v>19019</v>
      </c>
      <c r="T287" s="35">
        <f t="shared" si="10"/>
        <v>20.661000000000001</v>
      </c>
      <c r="Y287" s="26"/>
    </row>
    <row r="288" spans="1:25" ht="12.75" customHeight="1" x14ac:dyDescent="0.25">
      <c r="A288" s="22" t="s">
        <v>309</v>
      </c>
      <c r="B288" s="30">
        <v>302.89</v>
      </c>
      <c r="C288" s="30"/>
      <c r="D288" s="26"/>
      <c r="H288" s="11" t="str">
        <f t="shared" si="9"/>
        <v>3rd Pay Period ending 30/8/2022</v>
      </c>
      <c r="M288" s="30">
        <v>18998</v>
      </c>
      <c r="T288" s="35">
        <f t="shared" si="10"/>
        <v>30.288999999999998</v>
      </c>
      <c r="Y288" s="26"/>
    </row>
    <row r="289" spans="1:25" ht="12.75" customHeight="1" x14ac:dyDescent="0.25">
      <c r="A289" s="22" t="s">
        <v>310</v>
      </c>
      <c r="B289" s="30">
        <v>310.76</v>
      </c>
      <c r="C289" s="30"/>
      <c r="D289" s="26"/>
      <c r="H289" s="11" t="str">
        <f t="shared" si="9"/>
        <v>3rd Pay Period ending 30/8/2022</v>
      </c>
      <c r="M289" s="30">
        <v>115</v>
      </c>
      <c r="T289" s="35">
        <f t="shared" si="10"/>
        <v>31.076000000000001</v>
      </c>
      <c r="Y289" s="26"/>
    </row>
    <row r="290" spans="1:25" ht="12.75" customHeight="1" x14ac:dyDescent="0.25">
      <c r="A290" s="22" t="s">
        <v>311</v>
      </c>
      <c r="B290" s="30">
        <v>323.08</v>
      </c>
      <c r="C290" s="30"/>
      <c r="D290" s="26"/>
      <c r="H290" s="11" t="str">
        <f t="shared" si="9"/>
        <v>3rd Pay Period ending 30/8/2022</v>
      </c>
      <c r="M290" s="30">
        <v>18649</v>
      </c>
      <c r="T290" s="35">
        <f t="shared" si="10"/>
        <v>32.308</v>
      </c>
      <c r="Y290" s="26"/>
    </row>
    <row r="291" spans="1:25" ht="12.75" customHeight="1" x14ac:dyDescent="0.25">
      <c r="A291" s="22" t="s">
        <v>311</v>
      </c>
      <c r="B291" s="30">
        <v>213.19</v>
      </c>
      <c r="C291" s="30"/>
      <c r="D291" s="26"/>
      <c r="H291" s="11" t="str">
        <f t="shared" si="9"/>
        <v>3rd Pay Period ending 30/8/2022</v>
      </c>
      <c r="M291" s="30">
        <v>19020</v>
      </c>
      <c r="T291" s="35">
        <f t="shared" si="10"/>
        <v>21.318999999999999</v>
      </c>
      <c r="Y291" s="26"/>
    </row>
    <row r="292" spans="1:25" ht="12.75" customHeight="1" x14ac:dyDescent="0.25">
      <c r="A292" s="22" t="s">
        <v>312</v>
      </c>
      <c r="B292" s="30">
        <v>127.04</v>
      </c>
      <c r="C292" s="30"/>
      <c r="D292" s="26"/>
      <c r="H292" s="11" t="str">
        <f t="shared" si="9"/>
        <v>3rd Pay Period ending 30/8/2022</v>
      </c>
      <c r="M292" s="30">
        <v>18839</v>
      </c>
      <c r="T292" s="35">
        <f t="shared" si="10"/>
        <v>12.704000000000001</v>
      </c>
      <c r="Y292" s="26"/>
    </row>
    <row r="293" spans="1:25" ht="12.75" customHeight="1" x14ac:dyDescent="0.25">
      <c r="A293" s="22" t="s">
        <v>312</v>
      </c>
      <c r="B293" s="30">
        <v>206.8</v>
      </c>
      <c r="C293" s="30"/>
      <c r="D293" s="26"/>
      <c r="H293" s="11" t="str">
        <f t="shared" si="9"/>
        <v>3rd Pay Period ending 30/8/2022</v>
      </c>
      <c r="M293" s="30">
        <v>18904</v>
      </c>
      <c r="T293" s="35">
        <f t="shared" si="10"/>
        <v>20.68</v>
      </c>
      <c r="Y293" s="26"/>
    </row>
    <row r="294" spans="1:25" ht="12.75" customHeight="1" x14ac:dyDescent="0.25">
      <c r="A294" s="22" t="s">
        <v>313</v>
      </c>
      <c r="B294" s="30">
        <v>195.33</v>
      </c>
      <c r="C294" s="30"/>
      <c r="D294" s="26"/>
      <c r="H294" s="11" t="str">
        <f t="shared" si="9"/>
        <v>3rd Pay Period ending 30/8/2022</v>
      </c>
      <c r="M294" s="30">
        <v>18650</v>
      </c>
      <c r="T294" s="35">
        <f t="shared" si="10"/>
        <v>19.533000000000001</v>
      </c>
      <c r="Y294" s="26"/>
    </row>
    <row r="295" spans="1:25" ht="12.75" customHeight="1" x14ac:dyDescent="0.25">
      <c r="A295" s="22" t="s">
        <v>314</v>
      </c>
      <c r="B295" s="30">
        <v>251.89</v>
      </c>
      <c r="C295" s="30"/>
      <c r="D295" s="26"/>
      <c r="H295" s="11" t="str">
        <f t="shared" si="9"/>
        <v>3rd Pay Period ending 30/8/2022</v>
      </c>
      <c r="M295" s="30">
        <v>18703</v>
      </c>
      <c r="T295" s="35">
        <f t="shared" si="10"/>
        <v>25.189</v>
      </c>
      <c r="Y295" s="26"/>
    </row>
    <row r="296" spans="1:25" ht="12.75" customHeight="1" x14ac:dyDescent="0.25">
      <c r="A296" s="22" t="s">
        <v>314</v>
      </c>
      <c r="B296" s="30">
        <v>288.79000000000002</v>
      </c>
      <c r="C296" s="30"/>
      <c r="D296" s="26"/>
      <c r="H296" s="11" t="str">
        <f t="shared" si="9"/>
        <v>3rd Pay Period ending 30/8/2022</v>
      </c>
      <c r="M296" s="30">
        <v>18944</v>
      </c>
      <c r="T296" s="35">
        <f t="shared" si="10"/>
        <v>28.879000000000001</v>
      </c>
      <c r="Y296" s="26"/>
    </row>
    <row r="297" spans="1:25" ht="12.75" customHeight="1" x14ac:dyDescent="0.25">
      <c r="A297" s="22" t="s">
        <v>314</v>
      </c>
      <c r="B297" s="30">
        <v>104.28</v>
      </c>
      <c r="C297" s="30"/>
      <c r="D297" s="26"/>
      <c r="H297" s="11" t="str">
        <f t="shared" si="9"/>
        <v>3rd Pay Period ending 30/8/2022</v>
      </c>
      <c r="M297" s="30">
        <v>19023</v>
      </c>
      <c r="T297" s="35">
        <f t="shared" si="10"/>
        <v>10.428000000000001</v>
      </c>
      <c r="Y297" s="26"/>
    </row>
    <row r="298" spans="1:25" ht="12.75" customHeight="1" x14ac:dyDescent="0.25">
      <c r="A298" s="22" t="s">
        <v>314</v>
      </c>
      <c r="B298" s="30">
        <v>234.45</v>
      </c>
      <c r="C298" s="30"/>
      <c r="D298" s="26"/>
      <c r="H298" s="11" t="str">
        <f t="shared" si="9"/>
        <v>3rd Pay Period ending 30/8/2022</v>
      </c>
      <c r="M298" s="30">
        <v>18858</v>
      </c>
      <c r="T298" s="35">
        <f t="shared" si="10"/>
        <v>23.445</v>
      </c>
      <c r="Y298" s="26"/>
    </row>
    <row r="299" spans="1:25" ht="12.75" customHeight="1" x14ac:dyDescent="0.25">
      <c r="A299" s="22" t="s">
        <v>314</v>
      </c>
      <c r="B299" s="30">
        <v>235.25</v>
      </c>
      <c r="C299" s="30"/>
      <c r="D299" s="26"/>
      <c r="H299" s="11" t="str">
        <f t="shared" si="9"/>
        <v>3rd Pay Period ending 30/8/2022</v>
      </c>
      <c r="M299" s="30">
        <v>18850</v>
      </c>
      <c r="T299" s="35">
        <f t="shared" si="10"/>
        <v>23.524999999999999</v>
      </c>
      <c r="Y299" s="26"/>
    </row>
    <row r="300" spans="1:25" ht="12.75" customHeight="1" x14ac:dyDescent="0.25">
      <c r="A300" s="22" t="s">
        <v>314</v>
      </c>
      <c r="B300" s="30">
        <v>152.51</v>
      </c>
      <c r="C300" s="30"/>
      <c r="D300" s="26"/>
      <c r="H300" s="11" t="str">
        <f t="shared" si="9"/>
        <v>3rd Pay Period ending 30/8/2022</v>
      </c>
      <c r="M300" s="30">
        <v>18646</v>
      </c>
      <c r="T300" s="35">
        <f t="shared" si="10"/>
        <v>15.250999999999999</v>
      </c>
      <c r="Y300" s="26"/>
    </row>
    <row r="301" spans="1:25" ht="12.75" customHeight="1" x14ac:dyDescent="0.25">
      <c r="A301" s="22" t="s">
        <v>314</v>
      </c>
      <c r="B301" s="30">
        <v>219.03</v>
      </c>
      <c r="C301" s="30"/>
      <c r="D301" s="26"/>
      <c r="H301" s="11" t="str">
        <f t="shared" si="9"/>
        <v>3rd Pay Period ending 30/8/2022</v>
      </c>
      <c r="M301" s="30">
        <v>18986</v>
      </c>
      <c r="T301" s="35">
        <f t="shared" si="10"/>
        <v>21.902999999999999</v>
      </c>
      <c r="Y301" s="26"/>
    </row>
    <row r="302" spans="1:25" ht="12.75" customHeight="1" x14ac:dyDescent="0.25">
      <c r="A302" s="22" t="s">
        <v>314</v>
      </c>
      <c r="B302" s="30">
        <v>190.87</v>
      </c>
      <c r="C302" s="30"/>
      <c r="D302" s="26"/>
      <c r="H302" s="11" t="str">
        <f t="shared" si="9"/>
        <v>3rd Pay Period ending 30/8/2022</v>
      </c>
      <c r="M302" s="30">
        <v>18990</v>
      </c>
      <c r="T302" s="35">
        <f t="shared" si="10"/>
        <v>19.087</v>
      </c>
      <c r="Y302" s="26"/>
    </row>
    <row r="303" spans="1:25" ht="12.75" customHeight="1" x14ac:dyDescent="0.25">
      <c r="A303" s="22" t="s">
        <v>314</v>
      </c>
      <c r="B303" s="30">
        <v>113.23</v>
      </c>
      <c r="C303" s="30"/>
      <c r="D303" s="26"/>
      <c r="H303" s="11" t="str">
        <f t="shared" si="9"/>
        <v>3rd Pay Period ending 30/8/2022</v>
      </c>
      <c r="M303" s="30">
        <v>18924</v>
      </c>
      <c r="T303" s="35">
        <f t="shared" si="10"/>
        <v>11.323</v>
      </c>
      <c r="Y303" s="26"/>
    </row>
    <row r="304" spans="1:25" ht="12.75" customHeight="1" x14ac:dyDescent="0.25">
      <c r="A304" s="22" t="s">
        <v>314</v>
      </c>
      <c r="B304" s="30">
        <v>50.99</v>
      </c>
      <c r="C304" s="30"/>
      <c r="D304" s="26"/>
      <c r="H304" s="11" t="str">
        <f t="shared" si="9"/>
        <v>3rd Pay Period ending 30/8/2022</v>
      </c>
      <c r="M304" s="30">
        <v>18917</v>
      </c>
      <c r="T304" s="35">
        <f t="shared" si="10"/>
        <v>5.0990000000000002</v>
      </c>
      <c r="Y304" s="26"/>
    </row>
    <row r="305" spans="1:25" ht="12.75" customHeight="1" x14ac:dyDescent="0.25">
      <c r="A305" s="22" t="s">
        <v>314</v>
      </c>
      <c r="B305" s="30">
        <v>331.2</v>
      </c>
      <c r="C305" s="30"/>
      <c r="D305" s="26"/>
      <c r="H305" s="11" t="str">
        <f t="shared" si="9"/>
        <v>3rd Pay Period ending 30/8/2022</v>
      </c>
      <c r="M305" s="30">
        <v>18713</v>
      </c>
      <c r="T305" s="35">
        <f t="shared" si="10"/>
        <v>33.119999999999997</v>
      </c>
      <c r="Y305" s="26"/>
    </row>
    <row r="306" spans="1:25" ht="12.75" customHeight="1" x14ac:dyDescent="0.25">
      <c r="A306" s="22" t="s">
        <v>314</v>
      </c>
      <c r="B306" s="30">
        <v>258.33</v>
      </c>
      <c r="C306" s="30"/>
      <c r="D306" s="26"/>
      <c r="H306" s="11" t="str">
        <f t="shared" si="9"/>
        <v>3rd Pay Period ending 30/8/2022</v>
      </c>
      <c r="M306" s="30">
        <v>18942</v>
      </c>
      <c r="T306" s="35">
        <f t="shared" si="10"/>
        <v>25.832999999999998</v>
      </c>
      <c r="Y306" s="26"/>
    </row>
    <row r="307" spans="1:25" ht="12.75" customHeight="1" x14ac:dyDescent="0.25">
      <c r="A307" s="22" t="s">
        <v>315</v>
      </c>
      <c r="B307" s="30">
        <v>152</v>
      </c>
      <c r="C307" s="30"/>
      <c r="D307" s="26"/>
      <c r="H307" s="11" t="str">
        <f t="shared" si="9"/>
        <v>3rd Pay Period ending 30/8/2022</v>
      </c>
      <c r="M307" s="30">
        <v>18970</v>
      </c>
      <c r="T307" s="35">
        <f t="shared" si="10"/>
        <v>15.2</v>
      </c>
      <c r="Y307" s="26"/>
    </row>
    <row r="308" spans="1:25" ht="12.75" customHeight="1" x14ac:dyDescent="0.25">
      <c r="A308" s="22" t="s">
        <v>316</v>
      </c>
      <c r="B308" s="30">
        <v>363.46</v>
      </c>
      <c r="C308" s="30"/>
      <c r="D308" s="26"/>
      <c r="H308" s="11" t="str">
        <f t="shared" si="9"/>
        <v>3rd Pay Period ending 30/8/2022</v>
      </c>
      <c r="M308" s="30">
        <v>19001</v>
      </c>
      <c r="T308" s="35">
        <f t="shared" si="10"/>
        <v>36.345999999999997</v>
      </c>
      <c r="Y308" s="26"/>
    </row>
    <row r="309" spans="1:25" ht="12.75" customHeight="1" x14ac:dyDescent="0.25">
      <c r="A309" s="22" t="s">
        <v>316</v>
      </c>
      <c r="B309" s="30">
        <v>230.19</v>
      </c>
      <c r="C309" s="30"/>
      <c r="D309" s="26"/>
      <c r="H309" s="11" t="str">
        <f t="shared" si="9"/>
        <v>3rd Pay Period ending 30/8/2022</v>
      </c>
      <c r="M309" s="30">
        <v>18976</v>
      </c>
      <c r="T309" s="35">
        <f t="shared" si="10"/>
        <v>23.018999999999998</v>
      </c>
      <c r="Y309" s="26"/>
    </row>
    <row r="310" spans="1:25" ht="12.75" customHeight="1" x14ac:dyDescent="0.25">
      <c r="A310" s="22" t="s">
        <v>316</v>
      </c>
      <c r="B310" s="30">
        <v>240.29</v>
      </c>
      <c r="C310" s="30"/>
      <c r="D310" s="26"/>
      <c r="H310" s="11" t="str">
        <f t="shared" si="9"/>
        <v>3rd Pay Period ending 30/8/2022</v>
      </c>
      <c r="M310" s="30">
        <v>19031</v>
      </c>
      <c r="T310" s="35">
        <f t="shared" si="10"/>
        <v>24.029</v>
      </c>
      <c r="Y310" s="26"/>
    </row>
    <row r="311" spans="1:25" ht="12.75" customHeight="1" x14ac:dyDescent="0.25">
      <c r="A311" s="22" t="s">
        <v>317</v>
      </c>
      <c r="B311" s="30">
        <v>230.2</v>
      </c>
      <c r="C311" s="30"/>
      <c r="D311" s="26"/>
      <c r="H311" s="11" t="str">
        <f t="shared" si="9"/>
        <v>3rd Pay Period ending 30/8/2022</v>
      </c>
      <c r="M311" s="30">
        <v>18442</v>
      </c>
      <c r="T311" s="35">
        <f t="shared" si="10"/>
        <v>23.02</v>
      </c>
      <c r="Y311" s="26"/>
    </row>
    <row r="312" spans="1:25" ht="12.75" customHeight="1" x14ac:dyDescent="0.25">
      <c r="A312" s="22" t="s">
        <v>285</v>
      </c>
      <c r="B312" s="30">
        <v>202.16</v>
      </c>
      <c r="C312" s="30"/>
      <c r="D312" s="26"/>
      <c r="H312" s="11" t="str">
        <f t="shared" si="9"/>
        <v>3rd Pay Period ending 30/8/2022</v>
      </c>
      <c r="M312" s="30">
        <v>18898</v>
      </c>
      <c r="T312" s="35">
        <f t="shared" si="10"/>
        <v>20.216000000000001</v>
      </c>
      <c r="Y312" s="26"/>
    </row>
    <row r="313" spans="1:25" ht="12.75" customHeight="1" x14ac:dyDescent="0.25">
      <c r="A313" s="22" t="s">
        <v>285</v>
      </c>
      <c r="B313" s="30">
        <v>127.86</v>
      </c>
      <c r="C313" s="30"/>
      <c r="D313" s="26"/>
      <c r="H313" s="11" t="str">
        <f t="shared" si="9"/>
        <v>3rd Pay Period ending 30/8/2022</v>
      </c>
      <c r="M313" s="30">
        <v>18634</v>
      </c>
      <c r="T313" s="35">
        <f t="shared" si="10"/>
        <v>12.786</v>
      </c>
      <c r="Y313" s="26"/>
    </row>
    <row r="314" spans="1:25" ht="12.75" customHeight="1" x14ac:dyDescent="0.25">
      <c r="A314" s="22" t="s">
        <v>285</v>
      </c>
      <c r="B314" s="30">
        <v>323.08</v>
      </c>
      <c r="C314" s="30"/>
      <c r="D314" s="26"/>
      <c r="H314" s="11" t="str">
        <f t="shared" si="9"/>
        <v>3rd Pay Period ending 30/8/2022</v>
      </c>
      <c r="M314" s="30">
        <v>261</v>
      </c>
      <c r="T314" s="35">
        <f t="shared" si="10"/>
        <v>32.308</v>
      </c>
      <c r="Y314" s="26"/>
    </row>
    <row r="315" spans="1:25" ht="12.75" customHeight="1" x14ac:dyDescent="0.25">
      <c r="A315" s="38" t="s">
        <v>285</v>
      </c>
      <c r="B315" s="30">
        <v>169.76</v>
      </c>
      <c r="C315" s="30"/>
      <c r="D315" s="26"/>
      <c r="H315" s="11" t="str">
        <f t="shared" si="9"/>
        <v>3rd Pay Period ending 30/8/2022</v>
      </c>
      <c r="M315" s="30">
        <v>18895</v>
      </c>
      <c r="T315" s="35">
        <f t="shared" si="10"/>
        <v>16.975999999999999</v>
      </c>
      <c r="Y315" s="26"/>
    </row>
    <row r="316" spans="1:25" ht="12.75" customHeight="1" x14ac:dyDescent="0.25">
      <c r="A316" s="38" t="s">
        <v>285</v>
      </c>
      <c r="B316" s="30">
        <v>161.59</v>
      </c>
      <c r="C316" s="30"/>
      <c r="D316" s="26"/>
      <c r="H316" s="11" t="str">
        <f t="shared" si="9"/>
        <v>3rd Pay Period ending 30/8/2022</v>
      </c>
      <c r="M316" s="30">
        <v>18790</v>
      </c>
      <c r="T316" s="35">
        <f t="shared" si="10"/>
        <v>16.158999999999999</v>
      </c>
      <c r="Y316" s="26"/>
    </row>
    <row r="317" spans="1:25" ht="12.75" customHeight="1" x14ac:dyDescent="0.25">
      <c r="A317" s="22" t="s">
        <v>285</v>
      </c>
      <c r="B317" s="30">
        <v>195.91</v>
      </c>
      <c r="C317" s="30"/>
      <c r="D317" s="26"/>
      <c r="H317" s="11" t="str">
        <f t="shared" si="9"/>
        <v>3rd Pay Period ending 30/8/2022</v>
      </c>
      <c r="M317" s="30">
        <v>18823</v>
      </c>
      <c r="T317" s="35">
        <f t="shared" si="10"/>
        <v>19.591000000000001</v>
      </c>
      <c r="Y317" s="26"/>
    </row>
    <row r="318" spans="1:25" ht="12.75" customHeight="1" x14ac:dyDescent="0.25">
      <c r="A318" s="22" t="s">
        <v>285</v>
      </c>
      <c r="B318" s="30">
        <v>133.84</v>
      </c>
      <c r="C318" s="30"/>
      <c r="D318" s="26"/>
      <c r="H318" s="11" t="str">
        <f t="shared" si="9"/>
        <v>3rd Pay Period ending 30/8/2022</v>
      </c>
      <c r="M318" s="30">
        <v>18927</v>
      </c>
      <c r="T318" s="35">
        <f t="shared" si="10"/>
        <v>13.384</v>
      </c>
      <c r="Y318" s="26"/>
    </row>
    <row r="319" spans="1:25" ht="12.75" customHeight="1" x14ac:dyDescent="0.25">
      <c r="A319" s="22" t="s">
        <v>285</v>
      </c>
      <c r="B319" s="30">
        <v>119.43</v>
      </c>
      <c r="C319" s="30"/>
      <c r="D319" s="26"/>
      <c r="H319" s="11" t="str">
        <f t="shared" si="9"/>
        <v>3rd Pay Period ending 30/8/2022</v>
      </c>
      <c r="M319" s="30">
        <v>18996</v>
      </c>
      <c r="T319" s="35">
        <f t="shared" si="10"/>
        <v>11.943000000000001</v>
      </c>
      <c r="Y319" s="26"/>
    </row>
    <row r="320" spans="1:25" ht="12.75" customHeight="1" x14ac:dyDescent="0.25">
      <c r="A320" s="22" t="s">
        <v>318</v>
      </c>
      <c r="B320" s="30">
        <v>295.10000000000002</v>
      </c>
      <c r="C320" s="30"/>
      <c r="D320" s="26"/>
      <c r="H320" s="11" t="str">
        <f t="shared" si="9"/>
        <v>3rd Pay Period ending 30/8/2022</v>
      </c>
      <c r="M320" s="30">
        <v>18791</v>
      </c>
      <c r="T320" s="35">
        <f t="shared" si="10"/>
        <v>29.51</v>
      </c>
      <c r="Y320" s="26"/>
    </row>
    <row r="321" spans="1:25" ht="12.75" customHeight="1" x14ac:dyDescent="0.25">
      <c r="A321" s="22" t="s">
        <v>319</v>
      </c>
      <c r="B321" s="30">
        <v>266.64999999999998</v>
      </c>
      <c r="C321" s="30"/>
      <c r="D321" s="26"/>
      <c r="H321" s="11" t="str">
        <f t="shared" si="9"/>
        <v>3rd Pay Period ending 30/8/2022</v>
      </c>
      <c r="M321" s="30">
        <v>18561</v>
      </c>
      <c r="T321" s="35">
        <f t="shared" si="10"/>
        <v>26.664999999999999</v>
      </c>
      <c r="Y321" s="26"/>
    </row>
    <row r="322" spans="1:25" ht="12.75" customHeight="1" x14ac:dyDescent="0.25">
      <c r="A322" s="22" t="s">
        <v>319</v>
      </c>
      <c r="B322" s="30">
        <v>191.2</v>
      </c>
      <c r="C322" s="30"/>
      <c r="D322" s="26"/>
      <c r="H322" s="11" t="str">
        <f t="shared" si="9"/>
        <v>3rd Pay Period ending 30/8/2022</v>
      </c>
      <c r="M322" s="30">
        <v>18953</v>
      </c>
      <c r="T322" s="35">
        <f t="shared" si="10"/>
        <v>19.119999999999997</v>
      </c>
      <c r="Y322" s="26"/>
    </row>
    <row r="323" spans="1:25" ht="12.75" customHeight="1" x14ac:dyDescent="0.25">
      <c r="A323" s="22" t="s">
        <v>320</v>
      </c>
      <c r="B323" s="30">
        <v>58.5</v>
      </c>
      <c r="C323" s="30"/>
      <c r="D323" s="26"/>
      <c r="H323" s="11" t="str">
        <f t="shared" ref="H323:H386" si="11">$K$1</f>
        <v>3rd Pay Period ending 30/8/2022</v>
      </c>
      <c r="M323" s="30">
        <v>156</v>
      </c>
      <c r="T323" s="35">
        <f t="shared" si="10"/>
        <v>5.85</v>
      </c>
      <c r="Y323" s="26"/>
    </row>
    <row r="324" spans="1:25" ht="12.75" customHeight="1" x14ac:dyDescent="0.25">
      <c r="A324" s="22" t="s">
        <v>320</v>
      </c>
      <c r="B324" s="30">
        <v>207.12</v>
      </c>
      <c r="C324" s="30"/>
      <c r="D324" s="26"/>
      <c r="H324" s="11" t="str">
        <f t="shared" si="11"/>
        <v>3rd Pay Period ending 30/8/2022</v>
      </c>
      <c r="M324" s="30">
        <v>18792</v>
      </c>
      <c r="T324" s="35">
        <f t="shared" ref="T324:T387" si="12">B324/10*$V$1</f>
        <v>20.712</v>
      </c>
      <c r="Y324" s="26"/>
    </row>
    <row r="325" spans="1:25" ht="12.75" customHeight="1" x14ac:dyDescent="0.25">
      <c r="A325" s="22" t="s">
        <v>321</v>
      </c>
      <c r="B325" s="30">
        <v>302.89</v>
      </c>
      <c r="C325" s="30"/>
      <c r="D325" s="26"/>
      <c r="H325" s="11" t="str">
        <f t="shared" si="11"/>
        <v>3rd Pay Period ending 30/8/2022</v>
      </c>
      <c r="M325" s="30">
        <v>18876</v>
      </c>
      <c r="T325" s="35">
        <f t="shared" si="12"/>
        <v>30.288999999999998</v>
      </c>
      <c r="Y325" s="26"/>
    </row>
    <row r="326" spans="1:25" ht="12.75" customHeight="1" x14ac:dyDescent="0.25">
      <c r="A326" s="22" t="s">
        <v>322</v>
      </c>
      <c r="B326" s="30">
        <v>3104.23</v>
      </c>
      <c r="C326" s="30"/>
      <c r="D326" s="26"/>
      <c r="H326" s="11" t="str">
        <f t="shared" si="11"/>
        <v>3rd Pay Period ending 30/8/2022</v>
      </c>
      <c r="M326" s="30">
        <v>18726</v>
      </c>
      <c r="T326" s="35">
        <f t="shared" si="12"/>
        <v>310.423</v>
      </c>
      <c r="Y326" s="26"/>
    </row>
    <row r="327" spans="1:25" ht="12.75" customHeight="1" x14ac:dyDescent="0.25">
      <c r="A327" s="22" t="s">
        <v>322</v>
      </c>
      <c r="B327" s="30">
        <v>4230.78</v>
      </c>
      <c r="C327" s="30"/>
      <c r="D327" s="26"/>
      <c r="H327" s="11" t="str">
        <f t="shared" si="11"/>
        <v>3rd Pay Period ending 30/8/2022</v>
      </c>
      <c r="M327" s="30">
        <v>18871</v>
      </c>
      <c r="T327" s="35">
        <f t="shared" si="12"/>
        <v>423.07799999999997</v>
      </c>
      <c r="Y327" s="26"/>
    </row>
    <row r="328" spans="1:25" ht="12.75" customHeight="1" x14ac:dyDescent="0.25">
      <c r="A328" s="22" t="s">
        <v>322</v>
      </c>
      <c r="B328" s="30">
        <v>1615.39</v>
      </c>
      <c r="C328" s="30"/>
      <c r="D328" s="26"/>
      <c r="H328" s="11" t="str">
        <f t="shared" si="11"/>
        <v>3rd Pay Period ending 30/8/2022</v>
      </c>
      <c r="M328" s="30">
        <v>18845</v>
      </c>
      <c r="T328" s="35">
        <f t="shared" si="12"/>
        <v>161.53900000000002</v>
      </c>
      <c r="Y328" s="26"/>
    </row>
    <row r="329" spans="1:25" ht="12.75" customHeight="1" x14ac:dyDescent="0.25">
      <c r="A329" s="22" t="s">
        <v>322</v>
      </c>
      <c r="B329" s="30">
        <v>3750.41</v>
      </c>
      <c r="C329" s="30"/>
      <c r="D329" s="26"/>
      <c r="H329" s="11" t="str">
        <f t="shared" si="11"/>
        <v>3rd Pay Period ending 30/8/2022</v>
      </c>
      <c r="M329" s="30">
        <v>18647</v>
      </c>
      <c r="T329" s="35">
        <f t="shared" si="12"/>
        <v>375.041</v>
      </c>
      <c r="Y329" s="26"/>
    </row>
    <row r="330" spans="1:25" ht="12.75" customHeight="1" x14ac:dyDescent="0.25">
      <c r="A330" s="22" t="s">
        <v>322</v>
      </c>
      <c r="B330" s="30">
        <v>5384.62</v>
      </c>
      <c r="C330" s="30"/>
      <c r="D330" s="26"/>
      <c r="H330" s="11" t="str">
        <f t="shared" si="11"/>
        <v>3rd Pay Period ending 30/8/2022</v>
      </c>
      <c r="M330" s="30">
        <v>18517</v>
      </c>
      <c r="T330" s="35">
        <f t="shared" si="12"/>
        <v>538.46199999999999</v>
      </c>
      <c r="Y330" s="26"/>
    </row>
    <row r="331" spans="1:25" ht="12.75" customHeight="1" x14ac:dyDescent="0.25">
      <c r="A331" s="22" t="s">
        <v>323</v>
      </c>
      <c r="B331" s="30">
        <v>3846.16</v>
      </c>
      <c r="C331" s="30"/>
      <c r="D331" s="26"/>
      <c r="H331" s="11" t="str">
        <f t="shared" si="11"/>
        <v>3rd Pay Period ending 30/8/2022</v>
      </c>
      <c r="M331" s="30">
        <v>152</v>
      </c>
      <c r="T331" s="35">
        <f t="shared" si="12"/>
        <v>384.61599999999999</v>
      </c>
      <c r="Y331" s="26"/>
    </row>
    <row r="332" spans="1:25" ht="12.75" customHeight="1" x14ac:dyDescent="0.25">
      <c r="A332" s="22" t="s">
        <v>324</v>
      </c>
      <c r="B332" s="30">
        <v>554.11</v>
      </c>
      <c r="C332" s="30"/>
      <c r="D332" s="26"/>
      <c r="H332" s="11" t="str">
        <f t="shared" si="11"/>
        <v>3rd Pay Period ending 30/8/2022</v>
      </c>
      <c r="M332" s="30">
        <v>18736</v>
      </c>
      <c r="T332" s="35">
        <f t="shared" si="12"/>
        <v>55.411000000000001</v>
      </c>
      <c r="Y332" s="26"/>
    </row>
    <row r="333" spans="1:25" ht="12.75" customHeight="1" x14ac:dyDescent="0.25">
      <c r="A333" s="22" t="s">
        <v>324</v>
      </c>
      <c r="B333" s="30">
        <v>2500</v>
      </c>
      <c r="C333" s="30"/>
      <c r="D333" s="26"/>
      <c r="H333" s="11" t="str">
        <f t="shared" si="11"/>
        <v>3rd Pay Period ending 30/8/2022</v>
      </c>
      <c r="M333" s="30">
        <v>19014</v>
      </c>
      <c r="T333" s="35">
        <f t="shared" si="12"/>
        <v>250</v>
      </c>
      <c r="Y333" s="26"/>
    </row>
    <row r="334" spans="1:25" ht="12.75" customHeight="1" x14ac:dyDescent="0.25">
      <c r="A334" s="22" t="s">
        <v>325</v>
      </c>
      <c r="B334" s="30">
        <v>2807.7</v>
      </c>
      <c r="C334" s="30"/>
      <c r="D334" s="26"/>
      <c r="H334" s="11" t="str">
        <f t="shared" si="11"/>
        <v>3rd Pay Period ending 30/8/2022</v>
      </c>
      <c r="M334" s="30">
        <v>18721</v>
      </c>
      <c r="T334" s="35">
        <f t="shared" si="12"/>
        <v>280.77</v>
      </c>
      <c r="Y334" s="26"/>
    </row>
    <row r="335" spans="1:25" ht="12.75" customHeight="1" x14ac:dyDescent="0.25">
      <c r="A335" s="22" t="s">
        <v>325</v>
      </c>
      <c r="B335" s="30">
        <v>3256.58</v>
      </c>
      <c r="C335" s="30"/>
      <c r="D335" s="26"/>
      <c r="H335" s="11" t="str">
        <f t="shared" si="11"/>
        <v>3rd Pay Period ending 30/8/2022</v>
      </c>
      <c r="M335" s="30">
        <v>18997</v>
      </c>
      <c r="T335" s="35">
        <f t="shared" si="12"/>
        <v>325.65800000000002</v>
      </c>
      <c r="Y335" s="26"/>
    </row>
    <row r="336" spans="1:25" ht="12.75" customHeight="1" x14ac:dyDescent="0.25">
      <c r="A336" s="22" t="s">
        <v>325</v>
      </c>
      <c r="B336" s="30">
        <v>2114.42</v>
      </c>
      <c r="C336" s="30"/>
      <c r="D336" s="26"/>
      <c r="H336" s="11" t="str">
        <f t="shared" si="11"/>
        <v>3rd Pay Period ending 30/8/2022</v>
      </c>
      <c r="M336" s="30">
        <v>18946</v>
      </c>
      <c r="T336" s="35">
        <f t="shared" si="12"/>
        <v>211.44200000000001</v>
      </c>
      <c r="Y336" s="26"/>
    </row>
    <row r="337" spans="1:25" ht="12.75" customHeight="1" x14ac:dyDescent="0.25">
      <c r="A337" s="22" t="s">
        <v>325</v>
      </c>
      <c r="B337" s="30">
        <v>3076.93</v>
      </c>
      <c r="C337" s="30"/>
      <c r="D337" s="26"/>
      <c r="H337" s="11" t="str">
        <f t="shared" si="11"/>
        <v>3rd Pay Period ending 30/8/2022</v>
      </c>
      <c r="M337" s="30">
        <v>18987</v>
      </c>
      <c r="T337" s="35">
        <f t="shared" si="12"/>
        <v>307.69299999999998</v>
      </c>
      <c r="Y337" s="26"/>
    </row>
    <row r="338" spans="1:25" ht="12.75" customHeight="1" x14ac:dyDescent="0.25">
      <c r="A338" s="22" t="s">
        <v>325</v>
      </c>
      <c r="B338" s="30">
        <v>4533.6499999999996</v>
      </c>
      <c r="C338" s="30"/>
      <c r="D338" s="26"/>
      <c r="H338" s="11" t="str">
        <f t="shared" si="11"/>
        <v>3rd Pay Period ending 30/8/2022</v>
      </c>
      <c r="M338" s="30">
        <v>18920</v>
      </c>
      <c r="T338" s="35">
        <f t="shared" si="12"/>
        <v>453.36499999999995</v>
      </c>
      <c r="Y338" s="26"/>
    </row>
    <row r="339" spans="1:25" ht="12.75" customHeight="1" x14ac:dyDescent="0.25">
      <c r="A339" s="22" t="s">
        <v>325</v>
      </c>
      <c r="B339" s="30">
        <v>2307.69</v>
      </c>
      <c r="C339" s="30"/>
      <c r="D339" s="26"/>
      <c r="H339" s="11" t="str">
        <f t="shared" si="11"/>
        <v>3rd Pay Period ending 30/8/2022</v>
      </c>
      <c r="M339" s="30">
        <v>18995</v>
      </c>
      <c r="T339" s="35">
        <f t="shared" si="12"/>
        <v>230.76900000000001</v>
      </c>
      <c r="Y339" s="26"/>
    </row>
    <row r="340" spans="1:25" ht="12.75" customHeight="1" x14ac:dyDescent="0.25">
      <c r="A340" s="22" t="s">
        <v>325</v>
      </c>
      <c r="B340" s="30">
        <v>2692.31</v>
      </c>
      <c r="C340" s="30"/>
      <c r="D340" s="26"/>
      <c r="H340" s="11" t="str">
        <f t="shared" si="11"/>
        <v>3rd Pay Period ending 30/8/2022</v>
      </c>
      <c r="M340" s="30">
        <v>18988</v>
      </c>
      <c r="T340" s="35">
        <f t="shared" si="12"/>
        <v>269.23099999999999</v>
      </c>
      <c r="Y340" s="26"/>
    </row>
    <row r="341" spans="1:25" ht="12.75" customHeight="1" x14ac:dyDescent="0.25">
      <c r="A341" s="22" t="s">
        <v>326</v>
      </c>
      <c r="B341" s="30">
        <v>4801.8500000000004</v>
      </c>
      <c r="C341" s="30"/>
      <c r="D341" s="26"/>
      <c r="H341" s="11" t="str">
        <f t="shared" si="11"/>
        <v>3rd Pay Period ending 30/8/2022</v>
      </c>
      <c r="M341" s="30">
        <v>18772</v>
      </c>
      <c r="T341" s="35">
        <f t="shared" si="12"/>
        <v>480.18500000000006</v>
      </c>
      <c r="Y341" s="26"/>
    </row>
    <row r="342" spans="1:25" ht="12.75" customHeight="1" x14ac:dyDescent="0.25">
      <c r="A342" s="22" t="s">
        <v>326</v>
      </c>
      <c r="B342" s="30">
        <v>3143.1</v>
      </c>
      <c r="C342" s="30"/>
      <c r="D342" s="26"/>
      <c r="H342" s="11" t="str">
        <f t="shared" si="11"/>
        <v>3rd Pay Period ending 30/8/2022</v>
      </c>
      <c r="M342" s="30">
        <v>220</v>
      </c>
      <c r="T342" s="35">
        <f t="shared" si="12"/>
        <v>314.31</v>
      </c>
      <c r="Y342" s="26"/>
    </row>
    <row r="343" spans="1:25" ht="12.75" customHeight="1" x14ac:dyDescent="0.25">
      <c r="A343" s="22" t="s">
        <v>327</v>
      </c>
      <c r="B343" s="30">
        <v>5384.62</v>
      </c>
      <c r="C343" s="30"/>
      <c r="D343" s="26"/>
      <c r="H343" s="11" t="str">
        <f t="shared" si="11"/>
        <v>3rd Pay Period ending 30/8/2022</v>
      </c>
      <c r="M343" s="30">
        <v>18716</v>
      </c>
      <c r="T343" s="35">
        <f t="shared" si="12"/>
        <v>538.46199999999999</v>
      </c>
      <c r="Y343" s="26"/>
    </row>
    <row r="344" spans="1:25" ht="12.75" customHeight="1" x14ac:dyDescent="0.25">
      <c r="A344" s="22" t="s">
        <v>327</v>
      </c>
      <c r="B344" s="30">
        <v>2365.39</v>
      </c>
      <c r="C344" s="30"/>
      <c r="D344" s="26"/>
      <c r="H344" s="11" t="str">
        <f t="shared" si="11"/>
        <v>3rd Pay Period ending 30/8/2022</v>
      </c>
      <c r="M344" s="30">
        <v>18948</v>
      </c>
      <c r="T344" s="35">
        <f t="shared" si="12"/>
        <v>236.53899999999999</v>
      </c>
      <c r="Y344" s="26"/>
    </row>
    <row r="345" spans="1:25" ht="12.75" customHeight="1" x14ac:dyDescent="0.25">
      <c r="A345" s="22" t="s">
        <v>328</v>
      </c>
      <c r="B345" s="30">
        <v>3391.5</v>
      </c>
      <c r="C345" s="30"/>
      <c r="D345" s="26"/>
      <c r="H345" s="11" t="str">
        <f t="shared" si="11"/>
        <v>3rd Pay Period ending 30/8/2022</v>
      </c>
      <c r="M345" s="30">
        <v>18939</v>
      </c>
      <c r="T345" s="35">
        <f t="shared" si="12"/>
        <v>339.15</v>
      </c>
      <c r="Y345" s="26"/>
    </row>
    <row r="346" spans="1:25" ht="12.75" customHeight="1" x14ac:dyDescent="0.25">
      <c r="A346" s="22" t="s">
        <v>329</v>
      </c>
      <c r="B346" s="30">
        <v>5384.62</v>
      </c>
      <c r="C346" s="30"/>
      <c r="D346" s="26"/>
      <c r="H346" s="11" t="str">
        <f t="shared" si="11"/>
        <v>3rd Pay Period ending 30/8/2022</v>
      </c>
      <c r="M346" s="30">
        <v>18969</v>
      </c>
      <c r="T346" s="35">
        <f t="shared" si="12"/>
        <v>538.46199999999999</v>
      </c>
      <c r="Y346" s="26"/>
    </row>
    <row r="347" spans="1:25" ht="12.75" customHeight="1" x14ac:dyDescent="0.25">
      <c r="A347" s="22" t="s">
        <v>329</v>
      </c>
      <c r="B347" s="30">
        <v>2615.39</v>
      </c>
      <c r="C347" s="30"/>
      <c r="D347" s="26"/>
      <c r="H347" s="11" t="str">
        <f t="shared" si="11"/>
        <v>3rd Pay Period ending 30/8/2022</v>
      </c>
      <c r="M347" s="30">
        <v>18862</v>
      </c>
      <c r="T347" s="35">
        <f t="shared" si="12"/>
        <v>261.53899999999999</v>
      </c>
      <c r="Y347" s="26"/>
    </row>
    <row r="348" spans="1:25" ht="12.75" customHeight="1" x14ac:dyDescent="0.25">
      <c r="A348" s="22" t="s">
        <v>330</v>
      </c>
      <c r="B348" s="30">
        <v>8165.89</v>
      </c>
      <c r="C348" s="30"/>
      <c r="D348" s="26"/>
      <c r="H348" s="11" t="str">
        <f t="shared" si="11"/>
        <v>3rd Pay Period ending 30/8/2022</v>
      </c>
      <c r="M348" s="30">
        <v>18886</v>
      </c>
      <c r="T348" s="35">
        <f t="shared" si="12"/>
        <v>816.58900000000006</v>
      </c>
      <c r="Y348" s="26"/>
    </row>
    <row r="349" spans="1:25" ht="12.75" customHeight="1" x14ac:dyDescent="0.25">
      <c r="A349" s="22" t="s">
        <v>331</v>
      </c>
      <c r="B349" s="30">
        <v>3115.38</v>
      </c>
      <c r="C349" s="30"/>
      <c r="D349" s="26"/>
      <c r="H349" s="11" t="str">
        <f t="shared" si="11"/>
        <v>3rd Pay Period ending 30/8/2022</v>
      </c>
      <c r="M349" s="30">
        <v>19003</v>
      </c>
      <c r="T349" s="35">
        <f t="shared" si="12"/>
        <v>311.53800000000001</v>
      </c>
      <c r="Y349" s="26"/>
    </row>
    <row r="350" spans="1:25" ht="12.75" customHeight="1" x14ac:dyDescent="0.25">
      <c r="A350" s="22" t="s">
        <v>331</v>
      </c>
      <c r="B350" s="30">
        <v>2596.15</v>
      </c>
      <c r="C350" s="30"/>
      <c r="D350" s="26"/>
      <c r="H350" s="11" t="str">
        <f t="shared" si="11"/>
        <v>3rd Pay Period ending 30/8/2022</v>
      </c>
      <c r="M350" s="30">
        <v>18993</v>
      </c>
      <c r="T350" s="35">
        <f t="shared" si="12"/>
        <v>259.61500000000001</v>
      </c>
      <c r="Y350" s="26"/>
    </row>
    <row r="351" spans="1:25" ht="12.75" customHeight="1" x14ac:dyDescent="0.25">
      <c r="A351" s="22" t="s">
        <v>331</v>
      </c>
      <c r="B351" s="30">
        <v>1556.26</v>
      </c>
      <c r="C351" s="30"/>
      <c r="D351" s="26"/>
      <c r="H351" s="11" t="str">
        <f t="shared" si="11"/>
        <v>3rd Pay Period ending 30/8/2022</v>
      </c>
      <c r="M351" s="30">
        <v>18550</v>
      </c>
      <c r="T351" s="35">
        <f t="shared" si="12"/>
        <v>155.626</v>
      </c>
      <c r="Y351" s="26"/>
    </row>
    <row r="352" spans="1:25" ht="12.75" customHeight="1" x14ac:dyDescent="0.25">
      <c r="A352" s="22" t="s">
        <v>331</v>
      </c>
      <c r="B352" s="30">
        <v>2500</v>
      </c>
      <c r="C352" s="30"/>
      <c r="D352" s="26"/>
      <c r="H352" s="11" t="str">
        <f t="shared" si="11"/>
        <v>3rd Pay Period ending 30/8/2022</v>
      </c>
      <c r="M352" s="30">
        <v>19025</v>
      </c>
      <c r="T352" s="35">
        <f t="shared" si="12"/>
        <v>250</v>
      </c>
      <c r="Y352" s="26"/>
    </row>
    <row r="353" spans="1:25" ht="12.75" customHeight="1" x14ac:dyDescent="0.25">
      <c r="A353" s="22" t="s">
        <v>331</v>
      </c>
      <c r="B353" s="30">
        <v>1246.1500000000001</v>
      </c>
      <c r="C353" s="30"/>
      <c r="D353" s="26"/>
      <c r="H353" s="11" t="str">
        <f t="shared" si="11"/>
        <v>3rd Pay Period ending 30/8/2022</v>
      </c>
      <c r="M353" s="30">
        <v>18741</v>
      </c>
      <c r="T353" s="35">
        <f t="shared" si="12"/>
        <v>124.61500000000001</v>
      </c>
      <c r="Y353" s="26"/>
    </row>
    <row r="354" spans="1:25" ht="12.75" customHeight="1" x14ac:dyDescent="0.25">
      <c r="A354" s="22" t="s">
        <v>331</v>
      </c>
      <c r="B354" s="30">
        <v>2292.31</v>
      </c>
      <c r="C354" s="30"/>
      <c r="D354" s="26"/>
      <c r="H354" s="11" t="str">
        <f t="shared" si="11"/>
        <v>3rd Pay Period ending 30/8/2022</v>
      </c>
      <c r="M354" s="30">
        <v>18968</v>
      </c>
      <c r="T354" s="35">
        <f t="shared" si="12"/>
        <v>229.23099999999999</v>
      </c>
      <c r="Y354" s="26"/>
    </row>
    <row r="355" spans="1:25" ht="12.75" customHeight="1" x14ac:dyDescent="0.25">
      <c r="A355" s="22" t="s">
        <v>331</v>
      </c>
      <c r="B355" s="30">
        <v>4249.33</v>
      </c>
      <c r="C355" s="30"/>
      <c r="D355" s="26"/>
      <c r="H355" s="11" t="str">
        <f t="shared" si="11"/>
        <v>3rd Pay Period ending 30/8/2022</v>
      </c>
      <c r="M355" s="30">
        <v>18853</v>
      </c>
      <c r="T355" s="35">
        <f t="shared" si="12"/>
        <v>424.93299999999999</v>
      </c>
      <c r="Y355" s="26"/>
    </row>
    <row r="356" spans="1:25" ht="12.75" customHeight="1" x14ac:dyDescent="0.25">
      <c r="A356" s="22" t="s">
        <v>332</v>
      </c>
      <c r="B356" s="30">
        <v>2342.31</v>
      </c>
      <c r="C356" s="30"/>
      <c r="D356" s="26"/>
      <c r="H356" s="11" t="str">
        <f t="shared" si="11"/>
        <v>3rd Pay Period ending 30/8/2022</v>
      </c>
      <c r="M356" s="30">
        <v>18619</v>
      </c>
      <c r="T356" s="35">
        <f t="shared" si="12"/>
        <v>234.23099999999999</v>
      </c>
      <c r="Y356" s="26"/>
    </row>
    <row r="357" spans="1:25" ht="12.75" customHeight="1" x14ac:dyDescent="0.25">
      <c r="A357" s="22" t="s">
        <v>332</v>
      </c>
      <c r="B357" s="30">
        <v>2563.6999999999998</v>
      </c>
      <c r="C357" s="30"/>
      <c r="D357" s="26"/>
      <c r="H357" s="11" t="str">
        <f t="shared" si="11"/>
        <v>3rd Pay Period ending 30/8/2022</v>
      </c>
      <c r="M357" s="30">
        <v>18836</v>
      </c>
      <c r="T357" s="35">
        <f t="shared" si="12"/>
        <v>256.37</v>
      </c>
      <c r="Y357" s="26"/>
    </row>
    <row r="358" spans="1:25" ht="12.75" customHeight="1" x14ac:dyDescent="0.25">
      <c r="A358" s="22" t="s">
        <v>333</v>
      </c>
      <c r="B358" s="30">
        <v>1503.87</v>
      </c>
      <c r="C358" s="30"/>
      <c r="D358" s="26"/>
      <c r="H358" s="11" t="str">
        <f t="shared" si="11"/>
        <v>3rd Pay Period ending 30/8/2022</v>
      </c>
      <c r="M358" s="30">
        <v>18831</v>
      </c>
      <c r="T358" s="35">
        <f t="shared" si="12"/>
        <v>150.387</v>
      </c>
      <c r="Y358" s="26"/>
    </row>
    <row r="359" spans="1:25" ht="12.75" customHeight="1" x14ac:dyDescent="0.25">
      <c r="A359" s="22" t="s">
        <v>333</v>
      </c>
      <c r="B359" s="30">
        <v>2488.86</v>
      </c>
      <c r="C359" s="30"/>
      <c r="D359" s="26"/>
      <c r="H359" s="11" t="str">
        <f t="shared" si="11"/>
        <v>3rd Pay Period ending 30/8/2022</v>
      </c>
      <c r="M359" s="30">
        <v>18866</v>
      </c>
      <c r="T359" s="35">
        <f t="shared" si="12"/>
        <v>248.88600000000002</v>
      </c>
      <c r="Y359" s="26"/>
    </row>
    <row r="360" spans="1:25" ht="12.75" customHeight="1" x14ac:dyDescent="0.25">
      <c r="A360" s="22" t="s">
        <v>333</v>
      </c>
      <c r="B360" s="30">
        <v>1826.27</v>
      </c>
      <c r="C360" s="30"/>
      <c r="D360" s="26"/>
      <c r="H360" s="11" t="str">
        <f t="shared" si="11"/>
        <v>3rd Pay Period ending 30/8/2022</v>
      </c>
      <c r="M360" s="30">
        <v>18891</v>
      </c>
      <c r="T360" s="35">
        <f t="shared" si="12"/>
        <v>182.62700000000001</v>
      </c>
      <c r="Y360" s="26"/>
    </row>
    <row r="361" spans="1:25" ht="12.75" customHeight="1" x14ac:dyDescent="0.25">
      <c r="A361" s="22" t="s">
        <v>333</v>
      </c>
      <c r="B361" s="30">
        <v>2668.48</v>
      </c>
      <c r="C361" s="30"/>
      <c r="D361" s="26"/>
      <c r="H361" s="11" t="str">
        <f t="shared" si="11"/>
        <v>3rd Pay Period ending 30/8/2022</v>
      </c>
      <c r="M361" s="30">
        <v>18589</v>
      </c>
      <c r="T361" s="35">
        <f t="shared" si="12"/>
        <v>266.84800000000001</v>
      </c>
      <c r="Y361" s="26"/>
    </row>
    <row r="362" spans="1:25" ht="12.75" customHeight="1" x14ac:dyDescent="0.25">
      <c r="A362" s="22" t="s">
        <v>333</v>
      </c>
      <c r="B362" s="30">
        <v>1706.09</v>
      </c>
      <c r="C362" s="30"/>
      <c r="D362" s="26"/>
      <c r="H362" s="11" t="str">
        <f t="shared" si="11"/>
        <v>3rd Pay Period ending 30/8/2022</v>
      </c>
      <c r="M362" s="30">
        <v>18957</v>
      </c>
      <c r="T362" s="35">
        <f t="shared" si="12"/>
        <v>170.60899999999998</v>
      </c>
      <c r="Y362" s="26"/>
    </row>
    <row r="363" spans="1:25" ht="12.75" customHeight="1" x14ac:dyDescent="0.25">
      <c r="A363" s="22" t="s">
        <v>333</v>
      </c>
      <c r="B363" s="30">
        <v>2155.08</v>
      </c>
      <c r="C363" s="30"/>
      <c r="D363" s="26"/>
      <c r="H363" s="11" t="str">
        <f t="shared" si="11"/>
        <v>3rd Pay Period ending 30/8/2022</v>
      </c>
      <c r="M363" s="30">
        <v>18903</v>
      </c>
      <c r="T363" s="35">
        <f t="shared" si="12"/>
        <v>215.50799999999998</v>
      </c>
      <c r="Y363" s="26"/>
    </row>
    <row r="364" spans="1:25" ht="12.75" customHeight="1" x14ac:dyDescent="0.25">
      <c r="A364" s="22" t="s">
        <v>333</v>
      </c>
      <c r="B364" s="30">
        <v>290.2</v>
      </c>
      <c r="C364" s="30"/>
      <c r="D364" s="26"/>
      <c r="H364" s="11" t="str">
        <f t="shared" si="11"/>
        <v>3rd Pay Period ending 30/8/2022</v>
      </c>
      <c r="M364" s="30">
        <v>18614</v>
      </c>
      <c r="T364" s="35">
        <f t="shared" si="12"/>
        <v>29.02</v>
      </c>
      <c r="Y364" s="26"/>
    </row>
    <row r="365" spans="1:25" ht="12.75" customHeight="1" x14ac:dyDescent="0.25">
      <c r="A365" s="22" t="s">
        <v>334</v>
      </c>
      <c r="B365" s="30">
        <v>1413.69</v>
      </c>
      <c r="C365" s="30"/>
      <c r="D365" s="26"/>
      <c r="H365" s="11" t="str">
        <f t="shared" si="11"/>
        <v>3rd Pay Period ending 30/8/2022</v>
      </c>
      <c r="M365" s="30">
        <v>18631</v>
      </c>
      <c r="T365" s="35">
        <f t="shared" si="12"/>
        <v>141.369</v>
      </c>
      <c r="Y365" s="26"/>
    </row>
    <row r="366" spans="1:25" ht="12.75" customHeight="1" x14ac:dyDescent="0.25">
      <c r="A366" s="22" t="s">
        <v>334</v>
      </c>
      <c r="B366" s="30">
        <v>2282.84</v>
      </c>
      <c r="C366" s="30"/>
      <c r="D366" s="26"/>
      <c r="H366" s="11" t="str">
        <f t="shared" si="11"/>
        <v>3rd Pay Period ending 30/8/2022</v>
      </c>
      <c r="M366" s="30">
        <v>18879</v>
      </c>
      <c r="T366" s="35">
        <f t="shared" si="12"/>
        <v>228.28400000000002</v>
      </c>
      <c r="Y366" s="26"/>
    </row>
    <row r="367" spans="1:25" ht="12.75" customHeight="1" x14ac:dyDescent="0.25">
      <c r="A367" s="22" t="s">
        <v>334</v>
      </c>
      <c r="B367" s="30">
        <v>1074.81</v>
      </c>
      <c r="C367" s="30"/>
      <c r="D367" s="26"/>
      <c r="H367" s="11" t="str">
        <f t="shared" si="11"/>
        <v>3rd Pay Period ending 30/8/2022</v>
      </c>
      <c r="M367" s="30">
        <v>18</v>
      </c>
      <c r="T367" s="35">
        <f t="shared" si="12"/>
        <v>107.48099999999999</v>
      </c>
      <c r="Y367" s="26"/>
    </row>
    <row r="368" spans="1:25" ht="12.75" customHeight="1" x14ac:dyDescent="0.25">
      <c r="A368" s="22" t="s">
        <v>334</v>
      </c>
      <c r="B368" s="30">
        <v>2019.23</v>
      </c>
      <c r="C368" s="30"/>
      <c r="D368" s="26"/>
      <c r="H368" s="11" t="str">
        <f t="shared" si="11"/>
        <v>3rd Pay Period ending 30/8/2022</v>
      </c>
      <c r="M368" s="30">
        <v>18954</v>
      </c>
      <c r="T368" s="35">
        <f t="shared" si="12"/>
        <v>201.923</v>
      </c>
      <c r="Y368" s="26"/>
    </row>
    <row r="369" spans="1:25" ht="12.75" customHeight="1" x14ac:dyDescent="0.25">
      <c r="A369" s="22" t="s">
        <v>335</v>
      </c>
      <c r="B369" s="30">
        <v>1960.45</v>
      </c>
      <c r="C369" s="30"/>
      <c r="D369" s="26"/>
      <c r="H369" s="11" t="str">
        <f t="shared" si="11"/>
        <v>3rd Pay Period ending 30/8/2022</v>
      </c>
      <c r="M369" s="30">
        <v>19000</v>
      </c>
      <c r="T369" s="35">
        <f t="shared" si="12"/>
        <v>196.04500000000002</v>
      </c>
      <c r="Y369" s="26"/>
    </row>
    <row r="370" spans="1:25" ht="12.75" customHeight="1" x14ac:dyDescent="0.25">
      <c r="A370" s="22" t="s">
        <v>335</v>
      </c>
      <c r="B370" s="30">
        <v>2515.5500000000002</v>
      </c>
      <c r="C370" s="30"/>
      <c r="D370" s="26"/>
      <c r="H370" s="11" t="str">
        <f t="shared" si="11"/>
        <v>3rd Pay Period ending 30/8/2022</v>
      </c>
      <c r="M370" s="30">
        <v>19013</v>
      </c>
      <c r="T370" s="35">
        <f t="shared" si="12"/>
        <v>251.55500000000001</v>
      </c>
      <c r="Y370" s="26"/>
    </row>
    <row r="371" spans="1:25" ht="12.75" customHeight="1" x14ac:dyDescent="0.25">
      <c r="A371" s="22" t="s">
        <v>335</v>
      </c>
      <c r="B371" s="30">
        <v>1624.9</v>
      </c>
      <c r="C371" s="30"/>
      <c r="D371" s="26"/>
      <c r="H371" s="11" t="str">
        <f t="shared" si="11"/>
        <v>3rd Pay Period ending 30/8/2022</v>
      </c>
      <c r="M371" s="30">
        <v>18630</v>
      </c>
      <c r="T371" s="35">
        <f t="shared" si="12"/>
        <v>162.49</v>
      </c>
      <c r="Y371" s="26"/>
    </row>
    <row r="372" spans="1:25" ht="12.75" customHeight="1" x14ac:dyDescent="0.25">
      <c r="A372" s="22" t="s">
        <v>336</v>
      </c>
      <c r="B372" s="30">
        <v>2207.16</v>
      </c>
      <c r="C372" s="30"/>
      <c r="D372" s="26"/>
      <c r="H372" s="11" t="str">
        <f t="shared" si="11"/>
        <v>3rd Pay Period ending 30/8/2022</v>
      </c>
      <c r="M372" s="30">
        <v>18733</v>
      </c>
      <c r="T372" s="35">
        <f t="shared" si="12"/>
        <v>220.71599999999998</v>
      </c>
      <c r="Y372" s="26"/>
    </row>
    <row r="373" spans="1:25" ht="12.75" customHeight="1" x14ac:dyDescent="0.25">
      <c r="A373" s="22" t="s">
        <v>336</v>
      </c>
      <c r="B373" s="30">
        <v>1903.83</v>
      </c>
      <c r="C373" s="30"/>
      <c r="D373" s="26"/>
      <c r="H373" s="11" t="str">
        <f t="shared" si="11"/>
        <v>3rd Pay Period ending 30/8/2022</v>
      </c>
      <c r="M373" s="30">
        <v>18892</v>
      </c>
      <c r="T373" s="35">
        <f t="shared" si="12"/>
        <v>190.38299999999998</v>
      </c>
      <c r="Y373" s="26"/>
    </row>
    <row r="374" spans="1:25" ht="12.75" customHeight="1" x14ac:dyDescent="0.25">
      <c r="A374" s="22" t="s">
        <v>336</v>
      </c>
      <c r="B374" s="30">
        <v>368.21</v>
      </c>
      <c r="C374" s="30"/>
      <c r="D374" s="26"/>
      <c r="H374" s="11" t="str">
        <f t="shared" si="11"/>
        <v>3rd Pay Period ending 30/8/2022</v>
      </c>
      <c r="M374" s="30">
        <v>19033</v>
      </c>
      <c r="T374" s="35">
        <f t="shared" si="12"/>
        <v>36.820999999999998</v>
      </c>
      <c r="Y374" s="26"/>
    </row>
    <row r="375" spans="1:25" ht="12.75" customHeight="1" x14ac:dyDescent="0.25">
      <c r="A375" s="22" t="s">
        <v>336</v>
      </c>
      <c r="B375" s="30">
        <v>2268.2600000000002</v>
      </c>
      <c r="C375" s="30"/>
      <c r="D375" s="26"/>
      <c r="H375" s="11" t="str">
        <f t="shared" si="11"/>
        <v>3rd Pay Period ending 30/8/2022</v>
      </c>
      <c r="M375" s="30">
        <v>18687</v>
      </c>
      <c r="T375" s="35">
        <f t="shared" si="12"/>
        <v>226.82600000000002</v>
      </c>
      <c r="Y375" s="26"/>
    </row>
    <row r="376" spans="1:25" ht="12.75" customHeight="1" x14ac:dyDescent="0.25">
      <c r="A376" s="22" t="s">
        <v>336</v>
      </c>
      <c r="B376" s="30">
        <v>2566.09</v>
      </c>
      <c r="C376" s="30"/>
      <c r="D376" s="26"/>
      <c r="H376" s="11" t="str">
        <f t="shared" si="11"/>
        <v>3rd Pay Period ending 30/8/2022</v>
      </c>
      <c r="M376" s="30">
        <v>18967</v>
      </c>
      <c r="T376" s="35">
        <f t="shared" si="12"/>
        <v>256.60900000000004</v>
      </c>
      <c r="Y376" s="26"/>
    </row>
    <row r="377" spans="1:25" ht="12.75" customHeight="1" x14ac:dyDescent="0.25">
      <c r="A377" s="22" t="s">
        <v>336</v>
      </c>
      <c r="B377" s="30">
        <v>3637.77</v>
      </c>
      <c r="C377" s="30"/>
      <c r="D377" s="26"/>
      <c r="H377" s="11" t="str">
        <f t="shared" si="11"/>
        <v>3rd Pay Period ending 30/8/2022</v>
      </c>
      <c r="M377" s="30">
        <v>18559</v>
      </c>
      <c r="T377" s="35">
        <f t="shared" si="12"/>
        <v>363.77699999999999</v>
      </c>
      <c r="Y377" s="26"/>
    </row>
    <row r="378" spans="1:25" ht="12.75" customHeight="1" x14ac:dyDescent="0.25">
      <c r="A378" s="22" t="s">
        <v>336</v>
      </c>
      <c r="B378" s="30">
        <v>513.22</v>
      </c>
      <c r="C378" s="30"/>
      <c r="D378" s="26"/>
      <c r="H378" s="11" t="str">
        <f t="shared" si="11"/>
        <v>3rd Pay Period ending 30/8/2022</v>
      </c>
      <c r="M378" s="30">
        <v>346</v>
      </c>
      <c r="T378" s="35">
        <f t="shared" si="12"/>
        <v>51.322000000000003</v>
      </c>
      <c r="Y378" s="26"/>
    </row>
    <row r="379" spans="1:25" ht="12.75" customHeight="1" x14ac:dyDescent="0.25">
      <c r="A379" s="22" t="s">
        <v>336</v>
      </c>
      <c r="B379" s="30">
        <v>720.18</v>
      </c>
      <c r="C379" s="30"/>
      <c r="D379" s="26"/>
      <c r="H379" s="11" t="str">
        <f t="shared" si="11"/>
        <v>3rd Pay Period ending 30/8/2022</v>
      </c>
      <c r="M379" s="30">
        <v>18960</v>
      </c>
      <c r="T379" s="35">
        <f t="shared" si="12"/>
        <v>72.018000000000001</v>
      </c>
      <c r="Y379" s="26"/>
    </row>
    <row r="380" spans="1:25" ht="12.75" customHeight="1" x14ac:dyDescent="0.25">
      <c r="A380" s="22" t="s">
        <v>336</v>
      </c>
      <c r="B380" s="30">
        <v>2124.85</v>
      </c>
      <c r="C380" s="30"/>
      <c r="D380" s="26"/>
      <c r="H380" s="11" t="str">
        <f t="shared" si="11"/>
        <v>3rd Pay Period ending 30/8/2022</v>
      </c>
      <c r="M380" s="30">
        <v>18659</v>
      </c>
      <c r="T380" s="35">
        <f t="shared" si="12"/>
        <v>212.48499999999999</v>
      </c>
      <c r="Y380" s="26"/>
    </row>
    <row r="381" spans="1:25" ht="12.75" customHeight="1" x14ac:dyDescent="0.25">
      <c r="A381" s="22" t="s">
        <v>336</v>
      </c>
      <c r="B381" s="30">
        <v>2566.09</v>
      </c>
      <c r="C381" s="30"/>
      <c r="D381" s="26"/>
      <c r="H381" s="11" t="str">
        <f t="shared" si="11"/>
        <v>3rd Pay Period ending 30/8/2022</v>
      </c>
      <c r="M381" s="30">
        <v>18781</v>
      </c>
      <c r="T381" s="35">
        <f t="shared" si="12"/>
        <v>256.60900000000004</v>
      </c>
      <c r="Y381" s="26"/>
    </row>
    <row r="382" spans="1:25" ht="12.75" customHeight="1" x14ac:dyDescent="0.25">
      <c r="A382" s="22" t="s">
        <v>336</v>
      </c>
      <c r="B382" s="30">
        <v>1609.44</v>
      </c>
      <c r="C382" s="30"/>
      <c r="D382" s="26"/>
      <c r="H382" s="11" t="str">
        <f t="shared" si="11"/>
        <v>3rd Pay Period ending 30/8/2022</v>
      </c>
      <c r="M382" s="30">
        <v>18894</v>
      </c>
      <c r="T382" s="35">
        <f t="shared" si="12"/>
        <v>160.94400000000002</v>
      </c>
      <c r="Y382" s="26"/>
    </row>
    <row r="383" spans="1:25" ht="12.75" customHeight="1" x14ac:dyDescent="0.25">
      <c r="A383" s="22" t="s">
        <v>337</v>
      </c>
      <c r="B383" s="30">
        <v>1960.45</v>
      </c>
      <c r="C383" s="30"/>
      <c r="D383" s="26"/>
      <c r="H383" s="11" t="str">
        <f t="shared" si="11"/>
        <v>3rd Pay Period ending 30/8/2022</v>
      </c>
      <c r="M383" s="30">
        <v>18961</v>
      </c>
      <c r="T383" s="35">
        <f t="shared" si="12"/>
        <v>196.04500000000002</v>
      </c>
      <c r="Y383" s="26"/>
    </row>
    <row r="384" spans="1:25" ht="12.75" customHeight="1" x14ac:dyDescent="0.25">
      <c r="A384" s="22" t="s">
        <v>337</v>
      </c>
      <c r="B384" s="30">
        <v>2074.06</v>
      </c>
      <c r="C384" s="30"/>
      <c r="D384" s="26"/>
      <c r="H384" s="11" t="str">
        <f t="shared" si="11"/>
        <v>3rd Pay Period ending 30/8/2022</v>
      </c>
      <c r="M384" s="30">
        <v>145</v>
      </c>
      <c r="T384" s="35">
        <f t="shared" si="12"/>
        <v>207.40600000000001</v>
      </c>
      <c r="Y384" s="26"/>
    </row>
    <row r="385" spans="1:25" ht="12.75" customHeight="1" x14ac:dyDescent="0.25">
      <c r="A385" s="22" t="s">
        <v>337</v>
      </c>
      <c r="B385" s="30">
        <v>1805.4</v>
      </c>
      <c r="C385" s="30"/>
      <c r="D385" s="26"/>
      <c r="H385" s="11" t="str">
        <f t="shared" si="11"/>
        <v>3rd Pay Period ending 30/8/2022</v>
      </c>
      <c r="M385" s="30">
        <v>11229</v>
      </c>
      <c r="T385" s="35">
        <f t="shared" si="12"/>
        <v>180.54000000000002</v>
      </c>
      <c r="Y385" s="26"/>
    </row>
    <row r="386" spans="1:25" ht="12.75" customHeight="1" x14ac:dyDescent="0.25">
      <c r="A386" s="22" t="s">
        <v>337</v>
      </c>
      <c r="B386" s="30">
        <v>1083.24</v>
      </c>
      <c r="C386" s="30"/>
      <c r="D386" s="26"/>
      <c r="H386" s="11" t="str">
        <f t="shared" si="11"/>
        <v>3rd Pay Period ending 30/8/2022</v>
      </c>
      <c r="M386" s="30">
        <v>141</v>
      </c>
      <c r="T386" s="35">
        <f t="shared" si="12"/>
        <v>108.324</v>
      </c>
      <c r="Y386" s="26"/>
    </row>
    <row r="387" spans="1:25" ht="12.75" customHeight="1" x14ac:dyDescent="0.25">
      <c r="A387" s="22" t="s">
        <v>338</v>
      </c>
      <c r="B387" s="30">
        <v>2221.5100000000002</v>
      </c>
      <c r="C387" s="30"/>
      <c r="D387" s="26"/>
      <c r="H387" s="11" t="str">
        <f t="shared" ref="H387:H450" si="13">$K$1</f>
        <v>3rd Pay Period ending 30/8/2022</v>
      </c>
      <c r="M387" s="30">
        <v>18999</v>
      </c>
      <c r="T387" s="35">
        <f t="shared" si="12"/>
        <v>222.15100000000001</v>
      </c>
      <c r="Y387" s="26"/>
    </row>
    <row r="388" spans="1:25" ht="12.75" customHeight="1" x14ac:dyDescent="0.25">
      <c r="A388" s="22" t="s">
        <v>338</v>
      </c>
      <c r="B388" s="30">
        <v>1176.27</v>
      </c>
      <c r="C388" s="30"/>
      <c r="D388" s="26"/>
      <c r="H388" s="11" t="str">
        <f t="shared" si="13"/>
        <v>3rd Pay Period ending 30/8/2022</v>
      </c>
      <c r="M388" s="30">
        <v>19026</v>
      </c>
      <c r="T388" s="35">
        <f t="shared" ref="T388:T451" si="14">B388/10*$V$1</f>
        <v>117.627</v>
      </c>
      <c r="Y388" s="26"/>
    </row>
    <row r="389" spans="1:25" ht="12.75" customHeight="1" x14ac:dyDescent="0.25">
      <c r="A389" s="22" t="s">
        <v>338</v>
      </c>
      <c r="B389" s="30">
        <v>2156.5</v>
      </c>
      <c r="C389" s="30"/>
      <c r="D389" s="26"/>
      <c r="H389" s="11" t="str">
        <f t="shared" si="13"/>
        <v>3rd Pay Period ending 30/8/2022</v>
      </c>
      <c r="M389" s="30">
        <v>19007</v>
      </c>
      <c r="T389" s="35">
        <f t="shared" si="14"/>
        <v>215.65</v>
      </c>
      <c r="Y389" s="26"/>
    </row>
    <row r="390" spans="1:25" ht="12.75" customHeight="1" x14ac:dyDescent="0.25">
      <c r="A390" s="22" t="s">
        <v>338</v>
      </c>
      <c r="B390" s="30">
        <v>588.14</v>
      </c>
      <c r="C390" s="30"/>
      <c r="D390" s="26"/>
      <c r="H390" s="11" t="str">
        <f t="shared" si="13"/>
        <v>3rd Pay Period ending 30/8/2022</v>
      </c>
      <c r="M390" s="30">
        <v>19032</v>
      </c>
      <c r="T390" s="35">
        <f t="shared" si="14"/>
        <v>58.814</v>
      </c>
      <c r="Y390" s="26"/>
    </row>
    <row r="391" spans="1:25" ht="12.75" customHeight="1" x14ac:dyDescent="0.25">
      <c r="A391" s="22" t="s">
        <v>338</v>
      </c>
      <c r="B391" s="30">
        <v>2744.55</v>
      </c>
      <c r="C391" s="30"/>
      <c r="D391" s="26"/>
      <c r="H391" s="11" t="str">
        <f t="shared" si="13"/>
        <v>3rd Pay Period ending 30/8/2022</v>
      </c>
      <c r="M391" s="30">
        <v>18974</v>
      </c>
      <c r="T391" s="35">
        <f t="shared" si="14"/>
        <v>274.45500000000004</v>
      </c>
      <c r="Y391" s="26"/>
    </row>
    <row r="392" spans="1:25" ht="12.75" customHeight="1" x14ac:dyDescent="0.25">
      <c r="A392" s="22" t="s">
        <v>338</v>
      </c>
      <c r="B392" s="30">
        <v>5000</v>
      </c>
      <c r="C392" s="30"/>
      <c r="D392" s="26"/>
      <c r="H392" s="11" t="str">
        <f t="shared" si="13"/>
        <v>3rd Pay Period ending 30/8/2022</v>
      </c>
      <c r="M392" s="30">
        <v>18962</v>
      </c>
      <c r="T392" s="35">
        <f t="shared" si="14"/>
        <v>500</v>
      </c>
      <c r="Y392" s="26"/>
    </row>
    <row r="393" spans="1:25" ht="12.75" customHeight="1" x14ac:dyDescent="0.25">
      <c r="A393" s="22" t="s">
        <v>338</v>
      </c>
      <c r="B393" s="30">
        <v>1960.45</v>
      </c>
      <c r="C393" s="30"/>
      <c r="D393" s="26"/>
      <c r="H393" s="11" t="str">
        <f t="shared" si="13"/>
        <v>3rd Pay Period ending 30/8/2022</v>
      </c>
      <c r="M393" s="30">
        <v>19006</v>
      </c>
      <c r="T393" s="35">
        <f t="shared" si="14"/>
        <v>196.04500000000002</v>
      </c>
      <c r="Y393" s="26"/>
    </row>
    <row r="394" spans="1:25" ht="12.75" customHeight="1" x14ac:dyDescent="0.25">
      <c r="A394" s="22" t="s">
        <v>338</v>
      </c>
      <c r="B394" s="30">
        <v>1645.89</v>
      </c>
      <c r="C394" s="30"/>
      <c r="D394" s="26"/>
      <c r="H394" s="11" t="str">
        <f t="shared" si="13"/>
        <v>3rd Pay Period ending 30/8/2022</v>
      </c>
      <c r="M394" s="30">
        <v>18973</v>
      </c>
      <c r="T394" s="35">
        <f t="shared" si="14"/>
        <v>164.589</v>
      </c>
      <c r="Y394" s="26"/>
    </row>
    <row r="395" spans="1:25" ht="12.75" customHeight="1" x14ac:dyDescent="0.25">
      <c r="A395" s="22" t="s">
        <v>338</v>
      </c>
      <c r="B395" s="30">
        <v>889.49</v>
      </c>
      <c r="C395" s="30"/>
      <c r="D395" s="26"/>
      <c r="H395" s="11" t="str">
        <f t="shared" si="13"/>
        <v>3rd Pay Period ending 30/8/2022</v>
      </c>
      <c r="M395" s="30">
        <v>19002</v>
      </c>
      <c r="T395" s="35">
        <f t="shared" si="14"/>
        <v>88.948999999999998</v>
      </c>
      <c r="Y395" s="26"/>
    </row>
    <row r="396" spans="1:25" ht="12.75" customHeight="1" x14ac:dyDescent="0.25">
      <c r="A396" s="22" t="s">
        <v>338</v>
      </c>
      <c r="B396" s="30">
        <v>2156.5</v>
      </c>
      <c r="C396" s="30"/>
      <c r="D396" s="26"/>
      <c r="H396" s="11" t="str">
        <f t="shared" si="13"/>
        <v>3rd Pay Period ending 30/8/2022</v>
      </c>
      <c r="M396" s="30">
        <v>19016</v>
      </c>
      <c r="T396" s="35">
        <f t="shared" si="14"/>
        <v>215.65</v>
      </c>
      <c r="Y396" s="26"/>
    </row>
    <row r="397" spans="1:25" ht="12.75" customHeight="1" x14ac:dyDescent="0.25">
      <c r="A397" s="22" t="s">
        <v>339</v>
      </c>
      <c r="B397" s="30">
        <v>1700.22</v>
      </c>
      <c r="C397" s="30"/>
      <c r="D397" s="26"/>
      <c r="H397" s="11" t="str">
        <f t="shared" si="13"/>
        <v>3rd Pay Period ending 30/8/2022</v>
      </c>
      <c r="M397" s="30">
        <v>19021</v>
      </c>
      <c r="T397" s="35">
        <f t="shared" si="14"/>
        <v>170.02199999999999</v>
      </c>
      <c r="Y397" s="26"/>
    </row>
    <row r="398" spans="1:25" ht="12.75" customHeight="1" x14ac:dyDescent="0.25">
      <c r="A398" s="22" t="s">
        <v>339</v>
      </c>
      <c r="B398" s="30">
        <v>2351.25</v>
      </c>
      <c r="C398" s="30"/>
      <c r="D398" s="26"/>
      <c r="H398" s="11" t="str">
        <f t="shared" si="13"/>
        <v>3rd Pay Period ending 30/8/2022</v>
      </c>
      <c r="M398" s="30">
        <v>19027</v>
      </c>
      <c r="T398" s="35">
        <f t="shared" si="14"/>
        <v>235.125</v>
      </c>
      <c r="Y398" s="26"/>
    </row>
    <row r="399" spans="1:25" ht="12.75" customHeight="1" x14ac:dyDescent="0.25">
      <c r="A399" s="22" t="s">
        <v>339</v>
      </c>
      <c r="B399" s="30">
        <v>1959.59</v>
      </c>
      <c r="C399" s="30"/>
      <c r="D399" s="26"/>
      <c r="H399" s="11" t="str">
        <f t="shared" si="13"/>
        <v>3rd Pay Period ending 30/8/2022</v>
      </c>
      <c r="M399" s="30">
        <v>18980</v>
      </c>
      <c r="T399" s="35">
        <f t="shared" si="14"/>
        <v>195.959</v>
      </c>
      <c r="Y399" s="26"/>
    </row>
    <row r="400" spans="1:25" ht="12.75" customHeight="1" x14ac:dyDescent="0.25">
      <c r="A400" s="22" t="s">
        <v>340</v>
      </c>
      <c r="B400" s="30">
        <v>3162.6</v>
      </c>
      <c r="C400" s="30"/>
      <c r="D400" s="26"/>
      <c r="H400" s="11" t="str">
        <f t="shared" si="13"/>
        <v>3rd Pay Period ending 30/8/2022</v>
      </c>
      <c r="M400" s="30">
        <v>18581</v>
      </c>
      <c r="T400" s="35">
        <f t="shared" si="14"/>
        <v>316.26</v>
      </c>
      <c r="Y400" s="26"/>
    </row>
    <row r="401" spans="1:25" ht="12.75" customHeight="1" x14ac:dyDescent="0.25">
      <c r="A401" s="22" t="s">
        <v>341</v>
      </c>
      <c r="B401" s="30">
        <v>4846.1499999999996</v>
      </c>
      <c r="C401" s="30"/>
      <c r="D401" s="26"/>
      <c r="H401" s="11" t="str">
        <f t="shared" si="13"/>
        <v>3rd Pay Period ending 30/8/2022</v>
      </c>
      <c r="M401" s="30">
        <v>44705</v>
      </c>
      <c r="T401" s="35">
        <f t="shared" si="14"/>
        <v>484.61499999999995</v>
      </c>
      <c r="Y401" s="26"/>
    </row>
    <row r="402" spans="1:25" ht="12.75" customHeight="1" x14ac:dyDescent="0.25">
      <c r="A402" s="22" t="s">
        <v>341</v>
      </c>
      <c r="B402" s="30">
        <v>2153.85</v>
      </c>
      <c r="C402" s="30"/>
      <c r="D402" s="26"/>
      <c r="H402" s="11" t="str">
        <f t="shared" si="13"/>
        <v>3rd Pay Period ending 30/8/2022</v>
      </c>
      <c r="M402" s="30">
        <v>18945</v>
      </c>
      <c r="T402" s="35">
        <f t="shared" si="14"/>
        <v>215.38499999999999</v>
      </c>
      <c r="Y402" s="26"/>
    </row>
    <row r="403" spans="1:25" ht="12.75" customHeight="1" x14ac:dyDescent="0.25">
      <c r="A403" s="22" t="s">
        <v>342</v>
      </c>
      <c r="B403" s="30">
        <v>2173.08</v>
      </c>
      <c r="C403" s="30"/>
      <c r="D403" s="26"/>
      <c r="H403" s="11" t="str">
        <f t="shared" si="13"/>
        <v>3rd Pay Period ending 30/8/2022</v>
      </c>
      <c r="M403" s="30">
        <v>18982</v>
      </c>
      <c r="T403" s="35">
        <f t="shared" si="14"/>
        <v>217.30799999999999</v>
      </c>
      <c r="Y403" s="26"/>
    </row>
    <row r="404" spans="1:25" ht="12.75" customHeight="1" x14ac:dyDescent="0.25">
      <c r="A404" s="22" t="s">
        <v>342</v>
      </c>
      <c r="B404" s="30">
        <v>2076.92</v>
      </c>
      <c r="C404" s="30"/>
      <c r="D404" s="26"/>
      <c r="H404" s="11" t="str">
        <f t="shared" si="13"/>
        <v>3rd Pay Period ending 30/8/2022</v>
      </c>
      <c r="M404" s="30">
        <v>18805</v>
      </c>
      <c r="T404" s="35">
        <f t="shared" si="14"/>
        <v>207.69200000000001</v>
      </c>
      <c r="Y404" s="26"/>
    </row>
    <row r="405" spans="1:25" ht="12.75" customHeight="1" x14ac:dyDescent="0.25">
      <c r="A405" s="22" t="s">
        <v>343</v>
      </c>
      <c r="B405" s="30">
        <v>2286.54</v>
      </c>
      <c r="C405" s="30"/>
      <c r="D405" s="26"/>
      <c r="H405" s="11" t="str">
        <f t="shared" si="13"/>
        <v>3rd Pay Period ending 30/8/2022</v>
      </c>
      <c r="M405" s="30">
        <v>302</v>
      </c>
      <c r="T405" s="35">
        <f t="shared" si="14"/>
        <v>228.654</v>
      </c>
      <c r="Y405" s="26"/>
    </row>
    <row r="406" spans="1:25" ht="12.75" customHeight="1" x14ac:dyDescent="0.25">
      <c r="A406" s="22" t="s">
        <v>343</v>
      </c>
      <c r="B406" s="30">
        <v>1938.46</v>
      </c>
      <c r="C406" s="30"/>
      <c r="D406" s="26"/>
      <c r="H406" s="11" t="str">
        <f t="shared" si="13"/>
        <v>3rd Pay Period ending 30/8/2022</v>
      </c>
      <c r="M406" s="30">
        <v>18841</v>
      </c>
      <c r="T406" s="35">
        <f t="shared" si="14"/>
        <v>193.846</v>
      </c>
      <c r="Y406" s="26"/>
    </row>
    <row r="407" spans="1:25" ht="12.75" customHeight="1" x14ac:dyDescent="0.25">
      <c r="A407" s="22" t="s">
        <v>343</v>
      </c>
      <c r="B407" s="30">
        <v>2475.8000000000002</v>
      </c>
      <c r="C407" s="30"/>
      <c r="D407" s="26"/>
      <c r="H407" s="11" t="str">
        <f t="shared" si="13"/>
        <v>3rd Pay Period ending 30/8/2022</v>
      </c>
      <c r="M407" s="30">
        <v>266</v>
      </c>
      <c r="T407" s="35">
        <f t="shared" si="14"/>
        <v>247.58</v>
      </c>
      <c r="Y407" s="26"/>
    </row>
    <row r="408" spans="1:25" ht="12.75" customHeight="1" x14ac:dyDescent="0.25">
      <c r="A408" s="22" t="s">
        <v>344</v>
      </c>
      <c r="B408" s="30">
        <v>2352.5500000000002</v>
      </c>
      <c r="C408" s="30"/>
      <c r="D408" s="26"/>
      <c r="H408" s="11" t="str">
        <f t="shared" si="13"/>
        <v>3rd Pay Period ending 30/8/2022</v>
      </c>
      <c r="M408" s="30">
        <v>18827</v>
      </c>
      <c r="T408" s="35">
        <f t="shared" si="14"/>
        <v>235.25500000000002</v>
      </c>
      <c r="Y408" s="26"/>
    </row>
    <row r="409" spans="1:25" ht="12.75" customHeight="1" x14ac:dyDescent="0.25">
      <c r="A409" s="22" t="s">
        <v>344</v>
      </c>
      <c r="B409" s="30">
        <v>663.16</v>
      </c>
      <c r="C409" s="30"/>
      <c r="D409" s="26"/>
      <c r="H409" s="11" t="str">
        <f t="shared" si="13"/>
        <v>3rd Pay Period ending 30/8/2022</v>
      </c>
      <c r="M409" s="30">
        <v>18929</v>
      </c>
      <c r="T409" s="35">
        <f t="shared" si="14"/>
        <v>66.316000000000003</v>
      </c>
      <c r="Y409" s="26"/>
    </row>
    <row r="410" spans="1:25" ht="12.75" customHeight="1" x14ac:dyDescent="0.25">
      <c r="A410" s="22" t="s">
        <v>344</v>
      </c>
      <c r="B410" s="30">
        <v>2155.86</v>
      </c>
      <c r="C410" s="30"/>
      <c r="D410" s="26"/>
      <c r="H410" s="11" t="str">
        <f t="shared" si="13"/>
        <v>3rd Pay Period ending 30/8/2022</v>
      </c>
      <c r="M410" s="30">
        <v>18918</v>
      </c>
      <c r="T410" s="35">
        <f t="shared" si="14"/>
        <v>215.58600000000001</v>
      </c>
      <c r="Y410" s="26"/>
    </row>
    <row r="411" spans="1:25" ht="12.75" customHeight="1" x14ac:dyDescent="0.25">
      <c r="A411" s="22" t="s">
        <v>344</v>
      </c>
      <c r="B411" s="30">
        <v>1805.4</v>
      </c>
      <c r="C411" s="30"/>
      <c r="D411" s="26"/>
      <c r="H411" s="11" t="str">
        <f t="shared" si="13"/>
        <v>3rd Pay Period ending 30/8/2022</v>
      </c>
      <c r="M411" s="30">
        <v>18887</v>
      </c>
      <c r="T411" s="35">
        <f t="shared" si="14"/>
        <v>180.54000000000002</v>
      </c>
      <c r="Y411" s="26"/>
    </row>
    <row r="412" spans="1:25" ht="12.75" customHeight="1" x14ac:dyDescent="0.25">
      <c r="A412" s="22" t="s">
        <v>344</v>
      </c>
      <c r="B412" s="30">
        <v>2342</v>
      </c>
      <c r="C412" s="30"/>
      <c r="D412" s="26"/>
      <c r="H412" s="11" t="str">
        <f t="shared" si="13"/>
        <v>3rd Pay Period ending 30/8/2022</v>
      </c>
      <c r="M412" s="30">
        <v>18901</v>
      </c>
      <c r="T412" s="35">
        <f t="shared" si="14"/>
        <v>234.2</v>
      </c>
      <c r="Y412" s="26"/>
    </row>
    <row r="413" spans="1:25" ht="12.75" customHeight="1" x14ac:dyDescent="0.25">
      <c r="A413" s="22" t="s">
        <v>344</v>
      </c>
      <c r="B413" s="30">
        <v>1971.69</v>
      </c>
      <c r="C413" s="30"/>
      <c r="D413" s="26"/>
      <c r="H413" s="11" t="str">
        <f t="shared" si="13"/>
        <v>3rd Pay Period ending 30/8/2022</v>
      </c>
      <c r="M413" s="30">
        <v>18949</v>
      </c>
      <c r="T413" s="35">
        <f t="shared" si="14"/>
        <v>197.16900000000001</v>
      </c>
      <c r="Y413" s="26"/>
    </row>
    <row r="414" spans="1:25" ht="12.75" customHeight="1" x14ac:dyDescent="0.25">
      <c r="A414" s="22" t="s">
        <v>344</v>
      </c>
      <c r="B414" s="30">
        <v>1038.46</v>
      </c>
      <c r="C414" s="30"/>
      <c r="D414" s="26"/>
      <c r="H414" s="11" t="str">
        <f t="shared" si="13"/>
        <v>3rd Pay Period ending 30/8/2022</v>
      </c>
      <c r="M414" s="30">
        <v>18626</v>
      </c>
      <c r="T414" s="35">
        <f t="shared" si="14"/>
        <v>103.846</v>
      </c>
      <c r="Y414" s="26"/>
    </row>
    <row r="415" spans="1:25" ht="12.75" customHeight="1" x14ac:dyDescent="0.25">
      <c r="A415" s="22" t="s">
        <v>344</v>
      </c>
      <c r="B415" s="30">
        <v>1572.28</v>
      </c>
      <c r="C415" s="30"/>
      <c r="D415" s="26"/>
      <c r="H415" s="11" t="str">
        <f t="shared" si="13"/>
        <v>3rd Pay Period ending 30/8/2022</v>
      </c>
      <c r="M415" s="30">
        <v>18979</v>
      </c>
      <c r="T415" s="35">
        <f t="shared" si="14"/>
        <v>157.22800000000001</v>
      </c>
      <c r="Y415" s="26"/>
    </row>
    <row r="416" spans="1:25" ht="12.75" customHeight="1" x14ac:dyDescent="0.25">
      <c r="A416" s="22" t="s">
        <v>344</v>
      </c>
      <c r="B416" s="30">
        <v>950.21</v>
      </c>
      <c r="C416" s="30"/>
      <c r="D416" s="26"/>
      <c r="H416" s="11" t="str">
        <f t="shared" si="13"/>
        <v>3rd Pay Period ending 30/8/2022</v>
      </c>
      <c r="M416" s="30">
        <v>134</v>
      </c>
      <c r="T416" s="35">
        <f t="shared" si="14"/>
        <v>95.021000000000001</v>
      </c>
      <c r="Y416" s="26"/>
    </row>
    <row r="417" spans="1:25" ht="12.75" customHeight="1" x14ac:dyDescent="0.25">
      <c r="A417" s="22" t="s">
        <v>344</v>
      </c>
      <c r="B417" s="30">
        <v>2155.21</v>
      </c>
      <c r="C417" s="30"/>
      <c r="D417" s="26"/>
      <c r="H417" s="11" t="str">
        <f t="shared" si="13"/>
        <v>3rd Pay Period ending 30/8/2022</v>
      </c>
      <c r="M417" s="30">
        <v>18797</v>
      </c>
      <c r="T417" s="35">
        <f t="shared" si="14"/>
        <v>215.52100000000002</v>
      </c>
      <c r="Y417" s="26"/>
    </row>
    <row r="418" spans="1:25" ht="12.75" customHeight="1" x14ac:dyDescent="0.25">
      <c r="A418" s="22" t="s">
        <v>344</v>
      </c>
      <c r="B418" s="30">
        <v>2153.92</v>
      </c>
      <c r="C418" s="30"/>
      <c r="D418" s="26"/>
      <c r="H418" s="11" t="str">
        <f t="shared" si="13"/>
        <v>3rd Pay Period ending 30/8/2022</v>
      </c>
      <c r="M418" s="30">
        <v>18822</v>
      </c>
      <c r="T418" s="35">
        <f t="shared" si="14"/>
        <v>215.392</v>
      </c>
      <c r="Y418" s="26"/>
    </row>
    <row r="419" spans="1:25" ht="12.75" customHeight="1" x14ac:dyDescent="0.25">
      <c r="A419" s="22" t="s">
        <v>345</v>
      </c>
      <c r="B419" s="30">
        <v>2402.59</v>
      </c>
      <c r="C419" s="30"/>
      <c r="D419" s="26"/>
      <c r="H419" s="11" t="str">
        <f t="shared" si="13"/>
        <v>3rd Pay Period ending 30/8/2022</v>
      </c>
      <c r="M419" s="30">
        <v>18692</v>
      </c>
      <c r="T419" s="35">
        <f t="shared" si="14"/>
        <v>240.25900000000001</v>
      </c>
      <c r="Y419" s="26"/>
    </row>
    <row r="420" spans="1:25" ht="12.75" customHeight="1" x14ac:dyDescent="0.25">
      <c r="A420" s="22" t="s">
        <v>346</v>
      </c>
      <c r="B420" s="30">
        <v>1977.62</v>
      </c>
      <c r="C420" s="30"/>
      <c r="D420" s="26"/>
      <c r="H420" s="11" t="str">
        <f t="shared" si="13"/>
        <v>3rd Pay Period ending 30/8/2022</v>
      </c>
      <c r="M420" s="30">
        <v>18989</v>
      </c>
      <c r="T420" s="35">
        <f t="shared" si="14"/>
        <v>197.762</v>
      </c>
      <c r="Y420" s="26"/>
    </row>
    <row r="421" spans="1:25" ht="12.75" customHeight="1" x14ac:dyDescent="0.25">
      <c r="A421" s="22" t="s">
        <v>347</v>
      </c>
      <c r="B421" s="30">
        <v>1662.31</v>
      </c>
      <c r="C421" s="30"/>
      <c r="D421" s="26"/>
      <c r="H421" s="11" t="str">
        <f t="shared" si="13"/>
        <v>3rd Pay Period ending 30/8/2022</v>
      </c>
      <c r="M421" s="30">
        <v>18736</v>
      </c>
      <c r="T421" s="35">
        <f t="shared" si="14"/>
        <v>166.23099999999999</v>
      </c>
      <c r="Y421" s="26"/>
    </row>
    <row r="422" spans="1:25" ht="12.75" customHeight="1" x14ac:dyDescent="0.25">
      <c r="A422" s="22" t="s">
        <v>348</v>
      </c>
      <c r="B422" s="30">
        <v>2221.52</v>
      </c>
      <c r="C422" s="30"/>
      <c r="D422" s="26"/>
      <c r="H422" s="11" t="str">
        <f t="shared" si="13"/>
        <v>3rd Pay Period ending 30/8/2022</v>
      </c>
      <c r="M422" s="30">
        <v>18829</v>
      </c>
      <c r="T422" s="35">
        <f t="shared" si="14"/>
        <v>222.15199999999999</v>
      </c>
      <c r="Y422" s="26"/>
    </row>
    <row r="423" spans="1:25" ht="12.75" customHeight="1" x14ac:dyDescent="0.25">
      <c r="A423" s="22" t="s">
        <v>348</v>
      </c>
      <c r="B423" s="30">
        <v>1545.98</v>
      </c>
      <c r="C423" s="30"/>
      <c r="D423" s="26"/>
      <c r="H423" s="11" t="str">
        <f t="shared" si="13"/>
        <v>3rd Pay Period ending 30/8/2022</v>
      </c>
      <c r="M423" s="30">
        <v>19017</v>
      </c>
      <c r="T423" s="35">
        <f t="shared" si="14"/>
        <v>154.59800000000001</v>
      </c>
      <c r="Y423" s="26"/>
    </row>
    <row r="424" spans="1:25" ht="12.75" customHeight="1" x14ac:dyDescent="0.25">
      <c r="A424" s="22" t="s">
        <v>348</v>
      </c>
      <c r="B424" s="30">
        <v>1949.12</v>
      </c>
      <c r="C424" s="30"/>
      <c r="D424" s="26"/>
      <c r="H424" s="11" t="str">
        <f t="shared" si="13"/>
        <v>3rd Pay Period ending 30/8/2022</v>
      </c>
      <c r="M424" s="30">
        <v>19019</v>
      </c>
      <c r="T424" s="35">
        <f t="shared" si="14"/>
        <v>194.91199999999998</v>
      </c>
      <c r="Y424" s="26"/>
    </row>
    <row r="425" spans="1:25" ht="12.75" customHeight="1" x14ac:dyDescent="0.25">
      <c r="A425" s="22" t="s">
        <v>348</v>
      </c>
      <c r="B425" s="30">
        <v>1762.08</v>
      </c>
      <c r="C425" s="30"/>
      <c r="D425" s="26"/>
      <c r="H425" s="11" t="str">
        <f t="shared" si="13"/>
        <v>3rd Pay Period ending 30/8/2022</v>
      </c>
      <c r="M425" s="30">
        <v>19028</v>
      </c>
      <c r="T425" s="35">
        <f t="shared" si="14"/>
        <v>176.208</v>
      </c>
      <c r="Y425" s="26"/>
    </row>
    <row r="426" spans="1:25" ht="12.75" customHeight="1" x14ac:dyDescent="0.25">
      <c r="A426" s="22" t="s">
        <v>348</v>
      </c>
      <c r="B426" s="30">
        <v>2223.25</v>
      </c>
      <c r="C426" s="30"/>
      <c r="D426" s="26"/>
      <c r="H426" s="11" t="str">
        <f t="shared" si="13"/>
        <v>3rd Pay Period ending 30/8/2022</v>
      </c>
      <c r="M426" s="30">
        <v>18932</v>
      </c>
      <c r="T426" s="35">
        <f t="shared" si="14"/>
        <v>222.32499999999999</v>
      </c>
      <c r="Y426" s="26"/>
    </row>
    <row r="427" spans="1:25" ht="12.75" customHeight="1" x14ac:dyDescent="0.25">
      <c r="A427" s="22" t="s">
        <v>348</v>
      </c>
      <c r="B427" s="30">
        <v>178.16</v>
      </c>
      <c r="C427" s="30"/>
      <c r="D427" s="26"/>
      <c r="H427" s="11" t="str">
        <f t="shared" si="13"/>
        <v>3rd Pay Period ending 30/8/2022</v>
      </c>
      <c r="M427" s="30">
        <v>18983</v>
      </c>
      <c r="T427" s="35">
        <f t="shared" si="14"/>
        <v>17.815999999999999</v>
      </c>
      <c r="Y427" s="26"/>
    </row>
    <row r="428" spans="1:25" ht="12.75" customHeight="1" x14ac:dyDescent="0.25">
      <c r="A428" s="22" t="s">
        <v>348</v>
      </c>
      <c r="B428" s="30">
        <v>1805.4</v>
      </c>
      <c r="C428" s="30"/>
      <c r="D428" s="26"/>
      <c r="H428" s="11" t="str">
        <f t="shared" si="13"/>
        <v>3rd Pay Period ending 30/8/2022</v>
      </c>
      <c r="M428" s="30">
        <v>19011</v>
      </c>
      <c r="T428" s="35">
        <f t="shared" si="14"/>
        <v>180.54000000000002</v>
      </c>
      <c r="Y428" s="26"/>
    </row>
    <row r="429" spans="1:25" ht="12.75" customHeight="1" x14ac:dyDescent="0.25">
      <c r="A429" s="22" t="s">
        <v>348</v>
      </c>
      <c r="B429" s="30">
        <v>2213.4899999999998</v>
      </c>
      <c r="C429" s="30"/>
      <c r="D429" s="26"/>
      <c r="H429" s="11" t="str">
        <f t="shared" si="13"/>
        <v>3rd Pay Period ending 30/8/2022</v>
      </c>
      <c r="M429" s="30">
        <v>18607</v>
      </c>
      <c r="T429" s="35">
        <f t="shared" si="14"/>
        <v>221.34899999999999</v>
      </c>
      <c r="Y429" s="26"/>
    </row>
    <row r="430" spans="1:25" ht="12.75" customHeight="1" x14ac:dyDescent="0.25">
      <c r="A430" s="22" t="s">
        <v>348</v>
      </c>
      <c r="B430" s="30">
        <v>1983.16</v>
      </c>
      <c r="C430" s="30"/>
      <c r="D430" s="26"/>
      <c r="H430" s="11" t="str">
        <f t="shared" si="13"/>
        <v>3rd Pay Period ending 30/8/2022</v>
      </c>
      <c r="M430" s="30">
        <v>19009</v>
      </c>
      <c r="T430" s="35">
        <f t="shared" si="14"/>
        <v>198.316</v>
      </c>
      <c r="Y430" s="26"/>
    </row>
    <row r="431" spans="1:25" ht="12.75" customHeight="1" x14ac:dyDescent="0.25">
      <c r="A431" s="22" t="s">
        <v>348</v>
      </c>
      <c r="B431" s="30">
        <v>1949.12</v>
      </c>
      <c r="C431" s="30"/>
      <c r="D431" s="26"/>
      <c r="H431" s="11" t="str">
        <f t="shared" si="13"/>
        <v>3rd Pay Period ending 30/8/2022</v>
      </c>
      <c r="M431" s="30">
        <v>19015</v>
      </c>
      <c r="T431" s="35">
        <f t="shared" si="14"/>
        <v>194.91199999999998</v>
      </c>
      <c r="Y431" s="26"/>
    </row>
    <row r="432" spans="1:25" ht="12.75" customHeight="1" x14ac:dyDescent="0.25">
      <c r="A432" s="22" t="s">
        <v>348</v>
      </c>
      <c r="B432" s="30">
        <v>1304.54</v>
      </c>
      <c r="C432" s="30"/>
      <c r="D432" s="26"/>
      <c r="H432" s="11" t="str">
        <f t="shared" si="13"/>
        <v>3rd Pay Period ending 30/8/2022</v>
      </c>
      <c r="M432" s="30">
        <v>19012</v>
      </c>
      <c r="T432" s="35">
        <f t="shared" si="14"/>
        <v>130.45400000000001</v>
      </c>
      <c r="Y432" s="26"/>
    </row>
    <row r="433" spans="1:25" ht="12.75" customHeight="1" x14ac:dyDescent="0.25">
      <c r="A433" s="22" t="s">
        <v>348</v>
      </c>
      <c r="B433" s="30">
        <v>1706.81</v>
      </c>
      <c r="C433" s="30"/>
      <c r="D433" s="26"/>
      <c r="H433" s="11" t="str">
        <f t="shared" si="13"/>
        <v>3rd Pay Period ending 30/8/2022</v>
      </c>
      <c r="M433" s="30">
        <v>19022</v>
      </c>
      <c r="T433" s="35">
        <f t="shared" si="14"/>
        <v>170.68099999999998</v>
      </c>
      <c r="Y433" s="26"/>
    </row>
    <row r="434" spans="1:25" ht="12.75" customHeight="1" x14ac:dyDescent="0.25">
      <c r="A434" s="22" t="s">
        <v>348</v>
      </c>
      <c r="B434" s="30">
        <v>344.97</v>
      </c>
      <c r="C434" s="30"/>
      <c r="D434" s="26"/>
      <c r="H434" s="11" t="str">
        <f t="shared" si="13"/>
        <v>3rd Pay Period ending 30/8/2022</v>
      </c>
      <c r="M434" s="30">
        <v>18679</v>
      </c>
      <c r="T434" s="35">
        <f t="shared" si="14"/>
        <v>34.497</v>
      </c>
      <c r="Y434" s="26"/>
    </row>
    <row r="435" spans="1:25" ht="12.75" customHeight="1" x14ac:dyDescent="0.25">
      <c r="A435" s="22" t="s">
        <v>348</v>
      </c>
      <c r="B435" s="30">
        <v>1985.94</v>
      </c>
      <c r="C435" s="30"/>
      <c r="D435" s="26"/>
      <c r="H435" s="11" t="str">
        <f t="shared" si="13"/>
        <v>3rd Pay Period ending 30/8/2022</v>
      </c>
      <c r="M435" s="30">
        <v>19029</v>
      </c>
      <c r="T435" s="35">
        <f t="shared" si="14"/>
        <v>198.59399999999999</v>
      </c>
      <c r="Y435" s="26"/>
    </row>
    <row r="436" spans="1:25" ht="12.75" customHeight="1" x14ac:dyDescent="0.25">
      <c r="A436" s="22" t="s">
        <v>348</v>
      </c>
      <c r="B436" s="30">
        <v>941.17</v>
      </c>
      <c r="C436" s="30"/>
      <c r="D436" s="26"/>
      <c r="H436" s="11" t="str">
        <f t="shared" si="13"/>
        <v>3rd Pay Period ending 30/8/2022</v>
      </c>
      <c r="M436" s="30">
        <v>19008</v>
      </c>
      <c r="T436" s="35">
        <f t="shared" si="14"/>
        <v>94.11699999999999</v>
      </c>
      <c r="Y436" s="26"/>
    </row>
    <row r="437" spans="1:25" ht="12.75" customHeight="1" x14ac:dyDescent="0.25">
      <c r="A437" s="22" t="s">
        <v>348</v>
      </c>
      <c r="B437" s="30">
        <v>1608.68</v>
      </c>
      <c r="C437" s="30"/>
      <c r="D437" s="26"/>
      <c r="H437" s="11" t="str">
        <f t="shared" si="13"/>
        <v>3rd Pay Period ending 30/8/2022</v>
      </c>
      <c r="M437" s="30">
        <v>18923</v>
      </c>
      <c r="T437" s="35">
        <f t="shared" si="14"/>
        <v>160.86799999999999</v>
      </c>
      <c r="Y437" s="26"/>
    </row>
    <row r="438" spans="1:25" ht="12.75" customHeight="1" x14ac:dyDescent="0.25">
      <c r="A438" s="22" t="s">
        <v>349</v>
      </c>
      <c r="B438" s="30">
        <v>2884.62</v>
      </c>
      <c r="C438" s="30"/>
      <c r="D438" s="26"/>
      <c r="H438" s="11" t="str">
        <f t="shared" si="13"/>
        <v>3rd Pay Period ending 30/8/2022</v>
      </c>
      <c r="M438" s="30">
        <v>18998</v>
      </c>
      <c r="T438" s="35">
        <f t="shared" si="14"/>
        <v>288.46199999999999</v>
      </c>
      <c r="Y438" s="26"/>
    </row>
    <row r="439" spans="1:25" ht="12.75" customHeight="1" x14ac:dyDescent="0.25">
      <c r="A439" s="22" t="s">
        <v>351</v>
      </c>
      <c r="B439" s="30">
        <v>3076.92</v>
      </c>
      <c r="C439" s="30"/>
      <c r="D439" s="26"/>
      <c r="H439" s="11" t="str">
        <f t="shared" si="13"/>
        <v>3rd Pay Period ending 30/8/2022</v>
      </c>
      <c r="M439" s="30">
        <v>18649</v>
      </c>
      <c r="T439" s="35">
        <f t="shared" si="14"/>
        <v>307.69200000000001</v>
      </c>
      <c r="Y439" s="26"/>
    </row>
    <row r="440" spans="1:25" ht="12.75" customHeight="1" x14ac:dyDescent="0.25">
      <c r="A440" s="22" t="s">
        <v>351</v>
      </c>
      <c r="B440" s="30">
        <v>2030.36</v>
      </c>
      <c r="C440" s="30"/>
      <c r="D440" s="26"/>
      <c r="H440" s="11" t="str">
        <f t="shared" si="13"/>
        <v>3rd Pay Period ending 30/8/2022</v>
      </c>
      <c r="M440" s="30">
        <v>19020</v>
      </c>
      <c r="T440" s="35">
        <f t="shared" si="14"/>
        <v>203.036</v>
      </c>
      <c r="Y440" s="26"/>
    </row>
    <row r="441" spans="1:25" ht="12.75" customHeight="1" x14ac:dyDescent="0.25">
      <c r="A441" s="22" t="s">
        <v>352</v>
      </c>
      <c r="B441" s="30">
        <v>1950.99</v>
      </c>
      <c r="C441" s="30"/>
      <c r="D441" s="26"/>
      <c r="H441" s="11" t="str">
        <f t="shared" si="13"/>
        <v>3rd Pay Period ending 30/8/2022</v>
      </c>
      <c r="M441" s="30">
        <v>18904</v>
      </c>
      <c r="T441" s="35">
        <f t="shared" si="14"/>
        <v>195.09899999999999</v>
      </c>
      <c r="Y441" s="26"/>
    </row>
    <row r="442" spans="1:25" ht="12.75" customHeight="1" x14ac:dyDescent="0.25">
      <c r="A442" s="22" t="s">
        <v>352</v>
      </c>
      <c r="B442" s="30">
        <v>1198.45</v>
      </c>
      <c r="C442" s="30"/>
      <c r="D442" s="26"/>
      <c r="H442" s="11" t="str">
        <f t="shared" si="13"/>
        <v>3rd Pay Period ending 30/8/2022</v>
      </c>
      <c r="M442" s="30">
        <v>18839</v>
      </c>
      <c r="T442" s="35">
        <f>B442/10*$V$1</f>
        <v>119.845</v>
      </c>
      <c r="Y442" s="26"/>
    </row>
    <row r="443" spans="1:25" ht="12.75" customHeight="1" x14ac:dyDescent="0.25">
      <c r="A443" s="22" t="s">
        <v>353</v>
      </c>
      <c r="B443" s="30">
        <v>1842.76</v>
      </c>
      <c r="C443" s="30"/>
      <c r="D443" s="26"/>
      <c r="H443" s="11" t="str">
        <f t="shared" si="13"/>
        <v>3rd Pay Period ending 30/8/2022</v>
      </c>
      <c r="M443" s="30">
        <v>18650</v>
      </c>
      <c r="T443" s="35">
        <f t="shared" si="14"/>
        <v>184.27600000000001</v>
      </c>
      <c r="Y443" s="26"/>
    </row>
    <row r="444" spans="1:25" ht="12.75" customHeight="1" x14ac:dyDescent="0.25">
      <c r="A444" s="22" t="s">
        <v>354</v>
      </c>
      <c r="B444" s="30">
        <v>1800.65</v>
      </c>
      <c r="C444" s="30"/>
      <c r="D444" s="26"/>
      <c r="H444" s="11" t="str">
        <f t="shared" si="13"/>
        <v>3rd Pay Period ending 30/8/2022</v>
      </c>
      <c r="M444" s="30">
        <v>18990</v>
      </c>
      <c r="T444" s="35">
        <f t="shared" si="14"/>
        <v>180.065</v>
      </c>
      <c r="Y444" s="26"/>
    </row>
    <row r="445" spans="1:25" ht="12.75" customHeight="1" x14ac:dyDescent="0.25">
      <c r="A445" s="22" t="s">
        <v>354</v>
      </c>
      <c r="B445" s="30">
        <v>2332.33</v>
      </c>
      <c r="C445" s="30"/>
      <c r="D445" s="26"/>
      <c r="H445" s="11" t="str">
        <f t="shared" si="13"/>
        <v>3rd Pay Period ending 30/8/2022</v>
      </c>
      <c r="M445" s="30">
        <v>18944</v>
      </c>
      <c r="T445" s="35">
        <f t="shared" si="14"/>
        <v>233.233</v>
      </c>
      <c r="Y445" s="26"/>
    </row>
    <row r="446" spans="1:25" ht="12.75" customHeight="1" x14ac:dyDescent="0.25">
      <c r="A446" s="22" t="s">
        <v>354</v>
      </c>
      <c r="B446" s="30">
        <v>1795.5</v>
      </c>
      <c r="C446" s="30"/>
      <c r="D446" s="26"/>
      <c r="H446" s="11" t="str">
        <f t="shared" si="13"/>
        <v>3rd Pay Period ending 30/8/2022</v>
      </c>
      <c r="M446" s="30">
        <v>18986</v>
      </c>
      <c r="T446" s="35">
        <f t="shared" si="14"/>
        <v>179.55</v>
      </c>
      <c r="Y446" s="26"/>
    </row>
    <row r="447" spans="1:25" ht="12.75" customHeight="1" x14ac:dyDescent="0.25">
      <c r="A447" s="22" t="s">
        <v>354</v>
      </c>
      <c r="B447" s="30">
        <v>103.53</v>
      </c>
      <c r="C447" s="30"/>
      <c r="D447" s="26"/>
      <c r="H447" s="11" t="str">
        <f t="shared" si="13"/>
        <v>3rd Pay Period ending 30/8/2022</v>
      </c>
      <c r="M447" s="30">
        <v>19023</v>
      </c>
      <c r="T447" s="35">
        <f t="shared" si="14"/>
        <v>10.353</v>
      </c>
      <c r="Y447" s="26"/>
    </row>
    <row r="448" spans="1:25" ht="12.75" customHeight="1" x14ac:dyDescent="0.25">
      <c r="A448" s="22" t="s">
        <v>354</v>
      </c>
      <c r="B448" s="30">
        <v>2376.2399999999998</v>
      </c>
      <c r="C448" s="30"/>
      <c r="D448" s="26"/>
      <c r="H448" s="11" t="str">
        <f t="shared" si="13"/>
        <v>3rd Pay Period ending 30/8/2022</v>
      </c>
      <c r="M448" s="30">
        <v>18703</v>
      </c>
      <c r="T448" s="35">
        <f t="shared" si="14"/>
        <v>237.62399999999997</v>
      </c>
      <c r="Y448" s="26"/>
    </row>
    <row r="449" spans="1:25" ht="12.75" customHeight="1" x14ac:dyDescent="0.25">
      <c r="A449" s="22" t="s">
        <v>354</v>
      </c>
      <c r="B449" s="30">
        <v>2017.34</v>
      </c>
      <c r="C449" s="30"/>
      <c r="D449" s="26"/>
      <c r="H449" s="11" t="str">
        <f t="shared" si="13"/>
        <v>3rd Pay Period ending 30/8/2022</v>
      </c>
      <c r="M449" s="30">
        <v>18850</v>
      </c>
      <c r="T449" s="35">
        <f t="shared" si="14"/>
        <v>201.73399999999998</v>
      </c>
      <c r="Y449" s="26"/>
    </row>
    <row r="450" spans="1:25" ht="12.75" customHeight="1" x14ac:dyDescent="0.25">
      <c r="A450" s="22" t="s">
        <v>354</v>
      </c>
      <c r="B450" s="30">
        <v>2211.7800000000002</v>
      </c>
      <c r="C450" s="30"/>
      <c r="D450" s="26"/>
      <c r="H450" s="11" t="str">
        <f t="shared" si="13"/>
        <v>3rd Pay Period ending 30/8/2022</v>
      </c>
      <c r="M450" s="30">
        <v>18858</v>
      </c>
      <c r="T450" s="35">
        <f t="shared" si="14"/>
        <v>221.17800000000003</v>
      </c>
      <c r="Y450" s="26"/>
    </row>
    <row r="451" spans="1:25" ht="12.75" customHeight="1" x14ac:dyDescent="0.25">
      <c r="A451" s="22" t="s">
        <v>354</v>
      </c>
      <c r="B451" s="30">
        <v>3154.33</v>
      </c>
      <c r="C451" s="30"/>
      <c r="D451" s="26"/>
      <c r="H451" s="11" t="str">
        <f t="shared" ref="H451:H514" si="15">$K$1</f>
        <v>3rd Pay Period ending 30/8/2022</v>
      </c>
      <c r="M451" s="30">
        <v>18713</v>
      </c>
      <c r="T451" s="35">
        <f t="shared" si="14"/>
        <v>315.43299999999999</v>
      </c>
      <c r="Y451" s="26"/>
    </row>
    <row r="452" spans="1:25" ht="12.75" customHeight="1" x14ac:dyDescent="0.25">
      <c r="A452" s="22" t="s">
        <v>354</v>
      </c>
      <c r="B452" s="30">
        <v>1438.79</v>
      </c>
      <c r="C452" s="30"/>
      <c r="D452" s="26"/>
      <c r="H452" s="11" t="str">
        <f t="shared" si="15"/>
        <v>3rd Pay Period ending 30/8/2022</v>
      </c>
      <c r="M452" s="30">
        <v>18646</v>
      </c>
      <c r="T452" s="35">
        <f t="shared" ref="T452:T478" si="16">B452/10*$V$1</f>
        <v>143.87899999999999</v>
      </c>
      <c r="Y452" s="26"/>
    </row>
    <row r="453" spans="1:25" ht="12.75" customHeight="1" x14ac:dyDescent="0.25">
      <c r="A453" s="22" t="s">
        <v>354</v>
      </c>
      <c r="B453" s="30">
        <v>2319.44</v>
      </c>
      <c r="C453" s="30"/>
      <c r="D453" s="26"/>
      <c r="H453" s="11" t="str">
        <f t="shared" si="15"/>
        <v>3rd Pay Period ending 30/8/2022</v>
      </c>
      <c r="M453" s="30">
        <v>18942</v>
      </c>
      <c r="T453" s="35">
        <f t="shared" si="16"/>
        <v>231.94400000000002</v>
      </c>
      <c r="Y453" s="26"/>
    </row>
    <row r="454" spans="1:25" ht="12.75" customHeight="1" x14ac:dyDescent="0.25">
      <c r="A454" s="22" t="s">
        <v>354</v>
      </c>
      <c r="B454" s="30">
        <v>1068.19</v>
      </c>
      <c r="C454" s="30"/>
      <c r="D454" s="26"/>
      <c r="H454" s="11" t="str">
        <f t="shared" si="15"/>
        <v>3rd Pay Period ending 30/8/2022</v>
      </c>
      <c r="M454" s="30">
        <v>18924</v>
      </c>
      <c r="T454" s="35">
        <f t="shared" si="16"/>
        <v>106.819</v>
      </c>
      <c r="Y454" s="26"/>
    </row>
    <row r="455" spans="1:25" ht="12.75" customHeight="1" x14ac:dyDescent="0.25">
      <c r="A455" s="22" t="s">
        <v>355</v>
      </c>
      <c r="B455" s="30">
        <v>1434.02</v>
      </c>
      <c r="C455" s="30"/>
      <c r="D455" s="26"/>
      <c r="H455" s="11" t="str">
        <f t="shared" si="15"/>
        <v>3rd Pay Period ending 30/8/2022</v>
      </c>
      <c r="M455" s="30">
        <v>18970</v>
      </c>
      <c r="T455" s="35">
        <f t="shared" si="16"/>
        <v>143.40199999999999</v>
      </c>
      <c r="Y455" s="26"/>
    </row>
    <row r="456" spans="1:25" ht="12.75" customHeight="1" x14ac:dyDescent="0.25">
      <c r="A456" s="22" t="s">
        <v>356</v>
      </c>
      <c r="B456" s="30">
        <v>2769.23</v>
      </c>
      <c r="C456" s="30"/>
      <c r="D456" s="26"/>
      <c r="H456" s="11" t="str">
        <f t="shared" si="15"/>
        <v>3rd Pay Period ending 30/8/2022</v>
      </c>
      <c r="M456" s="30">
        <v>19001</v>
      </c>
      <c r="T456" s="35">
        <f t="shared" si="16"/>
        <v>276.923</v>
      </c>
      <c r="Y456" s="26"/>
    </row>
    <row r="457" spans="1:25" ht="12.75" customHeight="1" x14ac:dyDescent="0.25">
      <c r="A457" s="22" t="s">
        <v>356</v>
      </c>
      <c r="B457" s="30">
        <v>2192.31</v>
      </c>
      <c r="C457" s="30"/>
      <c r="D457" s="26"/>
      <c r="H457" s="11" t="str">
        <f t="shared" si="15"/>
        <v>3rd Pay Period ending 30/8/2022</v>
      </c>
      <c r="M457" s="30">
        <v>18976</v>
      </c>
      <c r="T457" s="35">
        <f t="shared" si="16"/>
        <v>219.23099999999999</v>
      </c>
      <c r="Y457" s="26"/>
    </row>
    <row r="458" spans="1:25" ht="12.75" customHeight="1" x14ac:dyDescent="0.25">
      <c r="A458" s="22" t="s">
        <v>356</v>
      </c>
      <c r="B458" s="30">
        <v>2288.46</v>
      </c>
      <c r="C458" s="30"/>
      <c r="D458" s="26"/>
      <c r="H458" s="11" t="str">
        <f t="shared" si="15"/>
        <v>3rd Pay Period ending 30/8/2022</v>
      </c>
      <c r="M458" s="30">
        <v>19031</v>
      </c>
      <c r="T458" s="35">
        <f t="shared" si="16"/>
        <v>228.846</v>
      </c>
      <c r="Y458" s="26"/>
    </row>
    <row r="459" spans="1:25" ht="12.75" customHeight="1" x14ac:dyDescent="0.25">
      <c r="A459" s="22" t="s">
        <v>357</v>
      </c>
      <c r="B459" s="30">
        <v>2192.34</v>
      </c>
      <c r="C459" s="30"/>
      <c r="D459" s="26"/>
      <c r="H459" s="11" t="str">
        <f t="shared" si="15"/>
        <v>3rd Pay Period ending 30/8/2022</v>
      </c>
      <c r="M459" s="30">
        <v>18442</v>
      </c>
      <c r="T459" s="35">
        <f t="shared" si="16"/>
        <v>219.23400000000001</v>
      </c>
      <c r="Y459" s="26"/>
    </row>
    <row r="460" spans="1:25" ht="12.75" customHeight="1" x14ac:dyDescent="0.25">
      <c r="A460" s="22" t="s">
        <v>358</v>
      </c>
      <c r="B460" s="30">
        <v>1126.6199999999999</v>
      </c>
      <c r="C460" s="30"/>
      <c r="D460" s="26"/>
      <c r="H460" s="11" t="str">
        <f t="shared" si="15"/>
        <v>3rd Pay Period ending 30/8/2022</v>
      </c>
      <c r="M460" s="30">
        <v>18996</v>
      </c>
      <c r="T460" s="35">
        <f t="shared" si="16"/>
        <v>112.66199999999999</v>
      </c>
      <c r="Y460" s="26"/>
    </row>
    <row r="461" spans="1:25" ht="12.75" customHeight="1" x14ac:dyDescent="0.25">
      <c r="A461" s="22" t="s">
        <v>358</v>
      </c>
      <c r="B461" s="30">
        <v>1262.69</v>
      </c>
      <c r="C461" s="30"/>
      <c r="D461" s="26"/>
      <c r="H461" s="11" t="str">
        <f t="shared" si="15"/>
        <v>3rd Pay Period ending 30/8/2022</v>
      </c>
      <c r="M461" s="30">
        <v>18927</v>
      </c>
      <c r="T461" s="35">
        <f t="shared" si="16"/>
        <v>126.26900000000001</v>
      </c>
      <c r="Y461" s="26"/>
    </row>
    <row r="462" spans="1:25" ht="12.75" customHeight="1" x14ac:dyDescent="0.25">
      <c r="A462" s="22" t="s">
        <v>358</v>
      </c>
      <c r="B462" s="30">
        <v>1657.71</v>
      </c>
      <c r="C462" s="30"/>
      <c r="D462" s="26"/>
      <c r="H462" s="11" t="str">
        <f t="shared" si="15"/>
        <v>3rd Pay Period ending 30/8/2022</v>
      </c>
      <c r="M462" s="30">
        <v>18823</v>
      </c>
      <c r="T462" s="35">
        <f t="shared" si="16"/>
        <v>165.77100000000002</v>
      </c>
      <c r="Y462" s="26"/>
    </row>
    <row r="463" spans="1:25" ht="12.75" customHeight="1" x14ac:dyDescent="0.25">
      <c r="A463" s="22" t="s">
        <v>358</v>
      </c>
      <c r="B463" s="30">
        <v>1585.53</v>
      </c>
      <c r="C463" s="30"/>
      <c r="D463" s="26"/>
      <c r="H463" s="11" t="str">
        <f t="shared" si="15"/>
        <v>3rd Pay Period ending 30/8/2022</v>
      </c>
      <c r="M463" s="30">
        <v>18895</v>
      </c>
      <c r="T463" s="35">
        <f t="shared" si="16"/>
        <v>158.553</v>
      </c>
      <c r="Y463" s="26"/>
    </row>
    <row r="464" spans="1:25" ht="12.75" customHeight="1" x14ac:dyDescent="0.25">
      <c r="A464" s="22" t="s">
        <v>358</v>
      </c>
      <c r="B464" s="30">
        <v>1206.2</v>
      </c>
      <c r="C464" s="30"/>
      <c r="D464" s="26"/>
      <c r="H464" s="11" t="str">
        <f t="shared" si="15"/>
        <v>3rd Pay Period ending 30/8/2022</v>
      </c>
      <c r="M464" s="30">
        <v>18634</v>
      </c>
      <c r="T464" s="35">
        <f t="shared" si="16"/>
        <v>120.62</v>
      </c>
      <c r="Y464" s="26"/>
    </row>
    <row r="465" spans="1:25" ht="12.75" customHeight="1" x14ac:dyDescent="0.25">
      <c r="A465" s="22" t="s">
        <v>358</v>
      </c>
      <c r="B465" s="30">
        <v>2926.92</v>
      </c>
      <c r="C465" s="30"/>
      <c r="D465" s="26"/>
      <c r="H465" s="11" t="str">
        <f t="shared" si="15"/>
        <v>3rd Pay Period ending 30/8/2022</v>
      </c>
      <c r="M465" s="104" t="s">
        <v>460</v>
      </c>
      <c r="T465" s="35">
        <f t="shared" si="16"/>
        <v>292.69200000000001</v>
      </c>
      <c r="Y465" s="26"/>
    </row>
    <row r="466" spans="1:25" ht="12.75" customHeight="1" x14ac:dyDescent="0.25">
      <c r="A466" s="22" t="s">
        <v>358</v>
      </c>
      <c r="B466" s="30">
        <v>1524.51</v>
      </c>
      <c r="C466" s="30"/>
      <c r="D466" s="26"/>
      <c r="H466" s="11" t="str">
        <f t="shared" si="15"/>
        <v>3rd Pay Period ending 30/8/2022</v>
      </c>
      <c r="M466" s="30">
        <v>18790</v>
      </c>
      <c r="T466" s="35">
        <f t="shared" si="16"/>
        <v>152.45099999999999</v>
      </c>
      <c r="Y466" s="26"/>
    </row>
    <row r="467" spans="1:25" ht="12.75" customHeight="1" x14ac:dyDescent="0.25">
      <c r="A467" s="22" t="s">
        <v>358</v>
      </c>
      <c r="B467" s="30">
        <v>1907.14</v>
      </c>
      <c r="C467" s="30"/>
      <c r="D467" s="26"/>
      <c r="H467" s="11" t="str">
        <f t="shared" si="15"/>
        <v>3rd Pay Period ending 30/8/2022</v>
      </c>
      <c r="M467" s="30">
        <v>18898</v>
      </c>
      <c r="T467" s="35">
        <f t="shared" si="16"/>
        <v>190.714</v>
      </c>
      <c r="Y467" s="26"/>
    </row>
    <row r="468" spans="1:25" ht="12.75" customHeight="1" x14ac:dyDescent="0.25">
      <c r="A468" s="22" t="s">
        <v>359</v>
      </c>
      <c r="B468" s="30">
        <v>2784.04</v>
      </c>
      <c r="C468" s="30"/>
      <c r="D468" s="26"/>
      <c r="H468" s="11" t="str">
        <f t="shared" si="15"/>
        <v>3rd Pay Period ending 30/8/2022</v>
      </c>
      <c r="M468" s="30">
        <v>18791</v>
      </c>
      <c r="T468" s="35">
        <f t="shared" si="16"/>
        <v>278.404</v>
      </c>
      <c r="Y468" s="26"/>
    </row>
    <row r="469" spans="1:25" ht="12.75" customHeight="1" x14ac:dyDescent="0.25">
      <c r="A469" s="22" t="s">
        <v>360</v>
      </c>
      <c r="B469" s="30">
        <v>1803.81</v>
      </c>
      <c r="C469" s="30"/>
      <c r="D469" s="26"/>
      <c r="H469" s="11" t="str">
        <f t="shared" si="15"/>
        <v>3rd Pay Period ending 30/8/2022</v>
      </c>
      <c r="M469" s="30">
        <v>18953</v>
      </c>
      <c r="T469" s="35">
        <f t="shared" si="16"/>
        <v>180.381</v>
      </c>
      <c r="Y469" s="26"/>
    </row>
    <row r="470" spans="1:25" ht="12.75" customHeight="1" x14ac:dyDescent="0.25">
      <c r="A470" s="22" t="s">
        <v>360</v>
      </c>
      <c r="B470" s="30">
        <v>2515.5500000000002</v>
      </c>
      <c r="C470" s="30"/>
      <c r="D470" s="26"/>
      <c r="H470" s="11" t="str">
        <f t="shared" si="15"/>
        <v>3rd Pay Period ending 30/8/2022</v>
      </c>
      <c r="M470" s="30">
        <v>18561</v>
      </c>
      <c r="T470" s="35">
        <f t="shared" si="16"/>
        <v>251.55500000000001</v>
      </c>
      <c r="Y470" s="26"/>
    </row>
    <row r="471" spans="1:25" ht="12.75" customHeight="1" x14ac:dyDescent="0.25">
      <c r="A471" s="22" t="s">
        <v>361</v>
      </c>
      <c r="B471" s="30">
        <v>1954</v>
      </c>
      <c r="C471" s="30"/>
      <c r="D471" s="26"/>
      <c r="H471" s="11" t="str">
        <f t="shared" si="15"/>
        <v>3rd Pay Period ending 30/8/2022</v>
      </c>
      <c r="M471" s="30">
        <v>18792</v>
      </c>
      <c r="T471" s="35">
        <f t="shared" si="16"/>
        <v>195.4</v>
      </c>
      <c r="Y471" s="26"/>
    </row>
    <row r="472" spans="1:25" ht="12.75" customHeight="1" x14ac:dyDescent="0.25">
      <c r="A472" s="22" t="s">
        <v>361</v>
      </c>
      <c r="B472" s="30">
        <v>551.94000000000005</v>
      </c>
      <c r="C472" s="30"/>
      <c r="D472" s="26"/>
      <c r="H472" s="11" t="str">
        <f t="shared" si="15"/>
        <v>3rd Pay Period ending 30/8/2022</v>
      </c>
      <c r="M472" s="30">
        <v>156</v>
      </c>
      <c r="T472" s="35">
        <f t="shared" si="16"/>
        <v>55.194000000000003</v>
      </c>
      <c r="Y472" s="26"/>
    </row>
    <row r="473" spans="1:25" ht="12.75" customHeight="1" x14ac:dyDescent="0.25">
      <c r="A473" s="22" t="s">
        <v>362</v>
      </c>
      <c r="B473" s="30">
        <v>2884.62</v>
      </c>
      <c r="C473" s="30"/>
      <c r="D473" s="26"/>
      <c r="H473" s="11" t="str">
        <f t="shared" si="15"/>
        <v>3rd Pay Period ending 30/8/2022</v>
      </c>
      <c r="M473" s="30">
        <v>18876</v>
      </c>
      <c r="T473" s="35">
        <f t="shared" si="16"/>
        <v>288.46199999999999</v>
      </c>
      <c r="Y473" s="26"/>
    </row>
    <row r="474" spans="1:25" ht="12.75" customHeight="1" x14ac:dyDescent="0.25">
      <c r="A474" s="22" t="s">
        <v>206</v>
      </c>
      <c r="B474" s="30"/>
      <c r="C474" s="30">
        <v>416.71</v>
      </c>
      <c r="D474" s="26"/>
      <c r="H474" s="11" t="str">
        <f t="shared" si="15"/>
        <v>3rd Pay Period ending 30/8/2022</v>
      </c>
      <c r="M474" s="30">
        <v>18647</v>
      </c>
      <c r="T474" s="35">
        <f t="shared" si="16"/>
        <v>0</v>
      </c>
    </row>
    <row r="475" spans="1:25" ht="12.75" customHeight="1" x14ac:dyDescent="0.25">
      <c r="A475" s="22" t="s">
        <v>206</v>
      </c>
      <c r="B475" s="30"/>
      <c r="C475" s="30">
        <v>974.19</v>
      </c>
      <c r="D475" s="26"/>
      <c r="H475" s="11" t="str">
        <f t="shared" si="15"/>
        <v>3rd Pay Period ending 30/8/2022</v>
      </c>
      <c r="M475" s="30">
        <v>18997</v>
      </c>
      <c r="T475" s="35">
        <f t="shared" si="16"/>
        <v>0</v>
      </c>
    </row>
    <row r="476" spans="1:25" ht="12.75" customHeight="1" x14ac:dyDescent="0.25">
      <c r="A476" s="22" t="s">
        <v>206</v>
      </c>
      <c r="B476" s="30"/>
      <c r="C476" s="30">
        <v>178.5</v>
      </c>
      <c r="D476" s="26"/>
      <c r="H476" s="11" t="str">
        <f t="shared" si="15"/>
        <v>3rd Pay Period ending 30/8/2022</v>
      </c>
      <c r="M476" s="30">
        <v>18939</v>
      </c>
      <c r="T476" s="35">
        <f t="shared" si="16"/>
        <v>0</v>
      </c>
    </row>
    <row r="477" spans="1:25" ht="12.75" customHeight="1" x14ac:dyDescent="0.25">
      <c r="A477" s="22" t="s">
        <v>206</v>
      </c>
      <c r="B477" s="30"/>
      <c r="C477" s="30">
        <v>1821.14</v>
      </c>
      <c r="D477" s="26"/>
      <c r="H477" s="11" t="str">
        <f t="shared" si="15"/>
        <v>3rd Pay Period ending 30/8/2022</v>
      </c>
      <c r="M477" s="30">
        <v>18853</v>
      </c>
      <c r="T477" s="35">
        <f t="shared" si="16"/>
        <v>0</v>
      </c>
    </row>
    <row r="478" spans="1:25" ht="12.75" customHeight="1" x14ac:dyDescent="0.25">
      <c r="A478" s="22" t="s">
        <v>206</v>
      </c>
      <c r="B478" s="30"/>
      <c r="C478" s="30">
        <v>259.58</v>
      </c>
      <c r="D478" s="26"/>
      <c r="H478" s="11" t="str">
        <f t="shared" si="15"/>
        <v>3rd Pay Period ending 30/8/2022</v>
      </c>
      <c r="M478" s="30">
        <v>18550</v>
      </c>
      <c r="T478" s="35">
        <f t="shared" si="16"/>
        <v>0</v>
      </c>
    </row>
    <row r="479" spans="1:25" ht="12.75" customHeight="1" x14ac:dyDescent="0.25">
      <c r="A479" s="22" t="s">
        <v>206</v>
      </c>
      <c r="B479" s="30"/>
      <c r="C479" s="30">
        <v>1869.23</v>
      </c>
      <c r="D479" s="26"/>
      <c r="H479" s="11" t="str">
        <f t="shared" si="15"/>
        <v>3rd Pay Period ending 30/8/2022</v>
      </c>
      <c r="M479" s="30">
        <v>18741</v>
      </c>
      <c r="T479" s="35">
        <f t="shared" ref="T479:T515" si="17">B479/10*$V$1</f>
        <v>0</v>
      </c>
    </row>
    <row r="480" spans="1:25" ht="12.75" customHeight="1" x14ac:dyDescent="0.25">
      <c r="A480" s="22" t="s">
        <v>206</v>
      </c>
      <c r="B480" s="30"/>
      <c r="C480" s="30">
        <v>66.430000000000007</v>
      </c>
      <c r="D480" s="26"/>
      <c r="H480" s="11" t="str">
        <f t="shared" si="15"/>
        <v>3rd Pay Period ending 30/8/2022</v>
      </c>
      <c r="M480" s="30">
        <v>18903</v>
      </c>
      <c r="T480" s="35">
        <f t="shared" si="17"/>
        <v>0</v>
      </c>
    </row>
    <row r="481" spans="1:20" ht="12.75" customHeight="1" x14ac:dyDescent="0.25">
      <c r="A481" s="22" t="s">
        <v>206</v>
      </c>
      <c r="B481" s="30"/>
      <c r="C481" s="30">
        <v>64.489999999999995</v>
      </c>
      <c r="D481" s="26"/>
      <c r="H481" s="11" t="str">
        <f t="shared" si="15"/>
        <v>3rd Pay Period ending 30/8/2022</v>
      </c>
      <c r="M481" s="30">
        <v>18831</v>
      </c>
      <c r="T481" s="35">
        <f t="shared" si="17"/>
        <v>0</v>
      </c>
    </row>
    <row r="482" spans="1:20" ht="12.75" customHeight="1" x14ac:dyDescent="0.25">
      <c r="A482" s="22" t="s">
        <v>206</v>
      </c>
      <c r="B482" s="30"/>
      <c r="C482" s="30">
        <v>865.38</v>
      </c>
      <c r="D482" s="26"/>
      <c r="H482" s="11" t="str">
        <f t="shared" si="15"/>
        <v>3rd Pay Period ending 30/8/2022</v>
      </c>
      <c r="M482" s="30">
        <v>18954</v>
      </c>
      <c r="T482" s="35">
        <f t="shared" si="17"/>
        <v>0</v>
      </c>
    </row>
    <row r="483" spans="1:20" ht="12.75" customHeight="1" x14ac:dyDescent="0.25">
      <c r="A483" s="22" t="s">
        <v>206</v>
      </c>
      <c r="B483" s="30"/>
      <c r="C483" s="30">
        <v>236.27</v>
      </c>
      <c r="D483" s="26"/>
      <c r="H483" s="11" t="str">
        <f t="shared" si="15"/>
        <v>3rd Pay Period ending 30/8/2022</v>
      </c>
      <c r="M483" s="30">
        <v>18659</v>
      </c>
      <c r="T483" s="35">
        <f t="shared" si="17"/>
        <v>0</v>
      </c>
    </row>
    <row r="484" spans="1:20" ht="12.75" customHeight="1" x14ac:dyDescent="0.25">
      <c r="A484" s="22" t="s">
        <v>206</v>
      </c>
      <c r="B484" s="30"/>
      <c r="C484" s="30">
        <v>2515.5</v>
      </c>
      <c r="D484" s="26"/>
      <c r="H484" s="11" t="str">
        <f t="shared" si="15"/>
        <v>3rd Pay Period ending 30/8/2022</v>
      </c>
      <c r="M484" s="30">
        <v>18911</v>
      </c>
      <c r="T484" s="35">
        <f t="shared" si="17"/>
        <v>0</v>
      </c>
    </row>
    <row r="485" spans="1:20" ht="12.75" customHeight="1" x14ac:dyDescent="0.25">
      <c r="A485" s="22" t="s">
        <v>206</v>
      </c>
      <c r="B485" s="30"/>
      <c r="C485" s="30">
        <v>146.30000000000001</v>
      </c>
      <c r="D485" s="26"/>
      <c r="H485" s="11" t="str">
        <f t="shared" si="15"/>
        <v>3rd Pay Period ending 30/8/2022</v>
      </c>
      <c r="M485" s="30">
        <v>18974</v>
      </c>
      <c r="T485" s="35">
        <f t="shared" si="17"/>
        <v>0</v>
      </c>
    </row>
    <row r="486" spans="1:20" ht="12.75" customHeight="1" x14ac:dyDescent="0.25">
      <c r="A486" s="22" t="s">
        <v>206</v>
      </c>
      <c r="B486" s="30"/>
      <c r="C486" s="30">
        <v>538.46</v>
      </c>
      <c r="D486" s="26"/>
      <c r="H486" s="11" t="str">
        <f t="shared" si="15"/>
        <v>3rd Pay Period ending 30/8/2022</v>
      </c>
      <c r="M486" s="30">
        <v>44705</v>
      </c>
      <c r="T486" s="35">
        <f t="shared" si="17"/>
        <v>0</v>
      </c>
    </row>
    <row r="487" spans="1:20" ht="12.75" customHeight="1" x14ac:dyDescent="0.25">
      <c r="A487" s="22" t="s">
        <v>206</v>
      </c>
      <c r="B487" s="30"/>
      <c r="C487" s="30">
        <v>230.77</v>
      </c>
      <c r="D487" s="26"/>
      <c r="H487" s="11" t="str">
        <f t="shared" si="15"/>
        <v>3rd Pay Period ending 30/8/2022</v>
      </c>
      <c r="M487" s="30">
        <v>18805</v>
      </c>
      <c r="T487" s="35">
        <f t="shared" si="17"/>
        <v>0</v>
      </c>
    </row>
    <row r="488" spans="1:20" ht="12.75" customHeight="1" x14ac:dyDescent="0.25">
      <c r="A488" s="22" t="s">
        <v>206</v>
      </c>
      <c r="B488" s="30"/>
      <c r="C488" s="30">
        <v>215.38</v>
      </c>
      <c r="D488" s="26"/>
      <c r="H488" s="11" t="str">
        <f t="shared" si="15"/>
        <v>3rd Pay Period ending 30/8/2022</v>
      </c>
      <c r="M488" s="30">
        <v>18841</v>
      </c>
      <c r="T488" s="35">
        <f t="shared" si="17"/>
        <v>0</v>
      </c>
    </row>
    <row r="489" spans="1:20" ht="12.75" customHeight="1" x14ac:dyDescent="0.25">
      <c r="A489" s="22" t="s">
        <v>206</v>
      </c>
      <c r="B489" s="30"/>
      <c r="C489" s="30">
        <v>2423.08</v>
      </c>
      <c r="D489" s="26"/>
      <c r="H489" s="11" t="str">
        <f t="shared" si="15"/>
        <v>3rd Pay Period ending 30/8/2022</v>
      </c>
      <c r="M489" s="30">
        <v>18626</v>
      </c>
      <c r="T489" s="35">
        <f t="shared" si="17"/>
        <v>0</v>
      </c>
    </row>
    <row r="490" spans="1:20" ht="12.75" customHeight="1" x14ac:dyDescent="0.25">
      <c r="A490" s="22" t="s">
        <v>206</v>
      </c>
      <c r="B490" s="30"/>
      <c r="C490" s="30">
        <v>174.78</v>
      </c>
      <c r="D490" s="26"/>
      <c r="H490" s="11" t="str">
        <f t="shared" si="15"/>
        <v>3rd Pay Period ending 30/8/2022</v>
      </c>
      <c r="M490" s="30">
        <v>18979</v>
      </c>
      <c r="T490" s="35">
        <f t="shared" si="17"/>
        <v>0</v>
      </c>
    </row>
    <row r="491" spans="1:20" ht="12.75" customHeight="1" x14ac:dyDescent="0.25">
      <c r="A491" s="22" t="s">
        <v>206</v>
      </c>
      <c r="B491" s="30"/>
      <c r="C491" s="30">
        <v>196.05</v>
      </c>
      <c r="D491" s="26"/>
      <c r="H491" s="11" t="str">
        <f t="shared" si="15"/>
        <v>3rd Pay Period ending 30/8/2022</v>
      </c>
      <c r="M491" s="30">
        <v>18929</v>
      </c>
      <c r="T491" s="35">
        <f t="shared" si="17"/>
        <v>0</v>
      </c>
    </row>
    <row r="492" spans="1:20" ht="12.75" customHeight="1" x14ac:dyDescent="0.25">
      <c r="A492" s="22" t="s">
        <v>206</v>
      </c>
      <c r="B492" s="30"/>
      <c r="C492" s="30">
        <v>1568.4</v>
      </c>
      <c r="D492" s="26"/>
      <c r="H492" s="11" t="str">
        <f t="shared" si="15"/>
        <v>3rd Pay Period ending 30/8/2022</v>
      </c>
      <c r="M492" s="30">
        <v>18916</v>
      </c>
      <c r="T492" s="35">
        <f t="shared" si="17"/>
        <v>0</v>
      </c>
    </row>
    <row r="493" spans="1:20" ht="12.75" customHeight="1" x14ac:dyDescent="0.25">
      <c r="A493" s="22" t="s">
        <v>206</v>
      </c>
      <c r="B493" s="30"/>
      <c r="C493" s="30">
        <v>1624.86</v>
      </c>
      <c r="D493" s="26"/>
      <c r="H493" s="11" t="str">
        <f t="shared" si="15"/>
        <v>3rd Pay Period ending 30/8/2022</v>
      </c>
      <c r="M493" s="30">
        <v>18983</v>
      </c>
      <c r="T493" s="35">
        <f t="shared" si="17"/>
        <v>0</v>
      </c>
    </row>
    <row r="494" spans="1:20" ht="12.75" customHeight="1" x14ac:dyDescent="0.25">
      <c r="A494" s="22" t="s">
        <v>206</v>
      </c>
      <c r="B494" s="30"/>
      <c r="C494" s="30">
        <v>1398.24</v>
      </c>
      <c r="D494" s="26"/>
      <c r="H494" s="11" t="str">
        <f t="shared" si="15"/>
        <v>3rd Pay Period ending 30/8/2022</v>
      </c>
      <c r="M494" s="30">
        <v>18679</v>
      </c>
      <c r="T494" s="35">
        <f t="shared" si="17"/>
        <v>0</v>
      </c>
    </row>
    <row r="495" spans="1:20" ht="12.75" customHeight="1" x14ac:dyDescent="0.25">
      <c r="A495" s="22" t="s">
        <v>206</v>
      </c>
      <c r="B495" s="30"/>
      <c r="C495" s="30">
        <v>524.34</v>
      </c>
      <c r="D495" s="26"/>
      <c r="H495" s="11" t="str">
        <f t="shared" si="15"/>
        <v>3rd Pay Period ending 30/8/2022</v>
      </c>
      <c r="M495" s="30">
        <v>19012</v>
      </c>
      <c r="T495" s="35">
        <f t="shared" si="17"/>
        <v>0</v>
      </c>
    </row>
    <row r="496" spans="1:20" ht="12.75" customHeight="1" x14ac:dyDescent="0.25">
      <c r="A496" s="22" t="s">
        <v>206</v>
      </c>
      <c r="B496" s="30"/>
      <c r="C496" s="30">
        <v>1479.81</v>
      </c>
      <c r="D496" s="26"/>
      <c r="H496" s="11" t="str">
        <f t="shared" si="15"/>
        <v>3rd Pay Period ending 30/8/2022</v>
      </c>
      <c r="M496" s="30">
        <v>115</v>
      </c>
      <c r="T496" s="35">
        <f t="shared" si="17"/>
        <v>0</v>
      </c>
    </row>
    <row r="497" spans="1:20" ht="12.75" customHeight="1" x14ac:dyDescent="0.25">
      <c r="A497" s="22" t="s">
        <v>206</v>
      </c>
      <c r="B497" s="30"/>
      <c r="C497" s="30">
        <v>201.96</v>
      </c>
      <c r="D497" s="26"/>
      <c r="H497" s="11" t="str">
        <f t="shared" si="15"/>
        <v>3rd Pay Period ending 30/8/2022</v>
      </c>
      <c r="M497" s="30">
        <v>18850</v>
      </c>
      <c r="T497" s="35">
        <f t="shared" si="17"/>
        <v>0</v>
      </c>
    </row>
    <row r="498" spans="1:20" ht="12.75" customHeight="1" x14ac:dyDescent="0.25">
      <c r="A498" s="22" t="s">
        <v>206</v>
      </c>
      <c r="B498" s="30"/>
      <c r="C498" s="30">
        <v>392.1</v>
      </c>
      <c r="D498" s="26"/>
      <c r="H498" s="11" t="str">
        <f t="shared" si="15"/>
        <v>3rd Pay Period ending 30/8/2022</v>
      </c>
      <c r="M498" s="30">
        <v>18944</v>
      </c>
      <c r="T498" s="35">
        <f t="shared" si="17"/>
        <v>0</v>
      </c>
    </row>
    <row r="499" spans="1:20" ht="12.75" customHeight="1" x14ac:dyDescent="0.25">
      <c r="A499" s="22" t="s">
        <v>206</v>
      </c>
      <c r="B499" s="30"/>
      <c r="C499" s="30">
        <v>692.31</v>
      </c>
      <c r="D499" s="26"/>
      <c r="H499" s="11" t="str">
        <f t="shared" si="15"/>
        <v>3rd Pay Period ending 30/8/2022</v>
      </c>
      <c r="M499" s="30">
        <v>19001</v>
      </c>
      <c r="T499" s="35">
        <f t="shared" si="17"/>
        <v>0</v>
      </c>
    </row>
    <row r="500" spans="1:20" ht="12.75" customHeight="1" x14ac:dyDescent="0.25">
      <c r="A500" s="22" t="s">
        <v>206</v>
      </c>
      <c r="B500" s="30"/>
      <c r="C500" s="30">
        <v>190.44</v>
      </c>
      <c r="D500" s="26"/>
      <c r="H500" s="11" t="str">
        <f t="shared" si="15"/>
        <v>3rd Pay Period ending 30/8/2022</v>
      </c>
      <c r="M500" s="30">
        <v>18823</v>
      </c>
      <c r="T500" s="35">
        <f t="shared" si="17"/>
        <v>0</v>
      </c>
    </row>
    <row r="501" spans="1:20" ht="12.75" customHeight="1" x14ac:dyDescent="0.25">
      <c r="A501" s="22" t="s">
        <v>206</v>
      </c>
      <c r="B501" s="30"/>
      <c r="C501" s="30">
        <v>1479.81</v>
      </c>
      <c r="D501" s="26"/>
      <c r="H501" s="11" t="str">
        <f t="shared" si="15"/>
        <v>3rd Pay Period ending 30/8/2022</v>
      </c>
      <c r="M501" s="30">
        <v>115</v>
      </c>
      <c r="T501" s="35">
        <f t="shared" si="17"/>
        <v>0</v>
      </c>
    </row>
    <row r="502" spans="1:20" ht="12.75" customHeight="1" x14ac:dyDescent="0.25">
      <c r="A502" s="105">
        <v>112.215</v>
      </c>
      <c r="B502" s="30"/>
      <c r="C502" s="30">
        <v>706</v>
      </c>
      <c r="D502" s="26"/>
      <c r="H502" s="11" t="str">
        <f t="shared" si="15"/>
        <v>3rd Pay Period ending 30/8/2022</v>
      </c>
      <c r="M502" s="30">
        <v>18726</v>
      </c>
      <c r="T502" s="35">
        <f t="shared" si="17"/>
        <v>0</v>
      </c>
    </row>
    <row r="503" spans="1:20" ht="12.75" customHeight="1" x14ac:dyDescent="0.25">
      <c r="A503" s="105">
        <v>112.215</v>
      </c>
      <c r="B503" s="30"/>
      <c r="C503" s="30">
        <v>1072</v>
      </c>
      <c r="D503" s="26"/>
      <c r="H503" s="11" t="str">
        <f t="shared" si="15"/>
        <v>3rd Pay Period ending 30/8/2022</v>
      </c>
      <c r="M503" s="30">
        <v>18647</v>
      </c>
      <c r="T503" s="35">
        <f t="shared" si="17"/>
        <v>0</v>
      </c>
    </row>
    <row r="504" spans="1:20" ht="12.75" customHeight="1" x14ac:dyDescent="0.25">
      <c r="A504" s="105">
        <v>112.215</v>
      </c>
      <c r="B504" s="30"/>
      <c r="C504" s="30">
        <v>2180</v>
      </c>
      <c r="D504" s="26"/>
      <c r="H504" s="11" t="str">
        <f t="shared" si="15"/>
        <v>3rd Pay Period ending 30/8/2022</v>
      </c>
      <c r="M504" s="30">
        <v>18517</v>
      </c>
      <c r="T504" s="35">
        <f t="shared" si="17"/>
        <v>0</v>
      </c>
    </row>
    <row r="505" spans="1:20" ht="12.75" customHeight="1" x14ac:dyDescent="0.25">
      <c r="A505" s="105">
        <v>112.215</v>
      </c>
      <c r="B505" s="30"/>
      <c r="C505" s="30">
        <v>1094</v>
      </c>
      <c r="D505" s="26"/>
      <c r="H505" s="11" t="str">
        <f t="shared" si="15"/>
        <v>3rd Pay Period ending 30/8/2022</v>
      </c>
      <c r="M505" s="30">
        <v>18871</v>
      </c>
      <c r="T505" s="35">
        <f t="shared" si="17"/>
        <v>0</v>
      </c>
    </row>
    <row r="506" spans="1:20" ht="12.75" customHeight="1" x14ac:dyDescent="0.25">
      <c r="A506" s="105">
        <v>112.215</v>
      </c>
      <c r="B506" s="30"/>
      <c r="C506" s="30">
        <v>5990</v>
      </c>
      <c r="D506" s="26"/>
      <c r="H506" s="11" t="str">
        <f t="shared" si="15"/>
        <v>3rd Pay Period ending 30/8/2022</v>
      </c>
      <c r="M506" s="30">
        <v>18845</v>
      </c>
      <c r="T506" s="35">
        <f t="shared" si="17"/>
        <v>0</v>
      </c>
    </row>
    <row r="507" spans="1:20" ht="12.75" customHeight="1" x14ac:dyDescent="0.25">
      <c r="A507" s="105">
        <v>112.215</v>
      </c>
      <c r="B507" s="30"/>
      <c r="C507" s="30">
        <v>962</v>
      </c>
      <c r="D507" s="26"/>
      <c r="H507" s="11" t="str">
        <f t="shared" si="15"/>
        <v>3rd Pay Period ending 30/8/2022</v>
      </c>
      <c r="M507" s="30">
        <v>152</v>
      </c>
      <c r="T507" s="35">
        <f t="shared" si="17"/>
        <v>0</v>
      </c>
    </row>
    <row r="508" spans="1:20" ht="12.75" customHeight="1" x14ac:dyDescent="0.25">
      <c r="A508" s="105">
        <v>112.215</v>
      </c>
      <c r="B508" s="30"/>
      <c r="C508" s="30">
        <v>574</v>
      </c>
      <c r="D508" s="26"/>
      <c r="H508" s="11" t="str">
        <f t="shared" si="15"/>
        <v>3rd Pay Period ending 30/8/2022</v>
      </c>
      <c r="M508" s="30">
        <v>19014</v>
      </c>
      <c r="T508" s="35">
        <f t="shared" si="17"/>
        <v>0</v>
      </c>
    </row>
    <row r="509" spans="1:20" ht="12.75" customHeight="1" x14ac:dyDescent="0.25">
      <c r="A509" s="105">
        <v>112.215</v>
      </c>
      <c r="B509" s="30"/>
      <c r="C509" s="30">
        <v>123</v>
      </c>
      <c r="D509" s="26"/>
      <c r="H509" s="11" t="str">
        <f t="shared" si="15"/>
        <v>3rd Pay Period ending 30/8/2022</v>
      </c>
      <c r="M509" s="30">
        <v>18736</v>
      </c>
      <c r="T509" s="35">
        <f t="shared" si="17"/>
        <v>0</v>
      </c>
    </row>
    <row r="510" spans="1:20" ht="12.75" customHeight="1" x14ac:dyDescent="0.25">
      <c r="A510" s="105">
        <v>112.215</v>
      </c>
      <c r="B510" s="30"/>
      <c r="C510" s="30">
        <v>696</v>
      </c>
      <c r="D510" s="26"/>
      <c r="H510" s="11" t="str">
        <f t="shared" si="15"/>
        <v>3rd Pay Period ending 30/8/2022</v>
      </c>
      <c r="M510" s="30">
        <v>18987</v>
      </c>
      <c r="T510" s="35">
        <f t="shared" si="17"/>
        <v>0</v>
      </c>
    </row>
    <row r="511" spans="1:20" ht="12.75" customHeight="1" x14ac:dyDescent="0.25">
      <c r="A511" s="105">
        <v>112.215</v>
      </c>
      <c r="B511" s="30"/>
      <c r="C511" s="30">
        <v>364</v>
      </c>
      <c r="D511" s="26"/>
      <c r="H511" s="11" t="str">
        <f t="shared" si="15"/>
        <v>3rd Pay Period ending 30/8/2022</v>
      </c>
      <c r="M511" s="30">
        <v>18946</v>
      </c>
      <c r="T511" s="35">
        <f t="shared" si="17"/>
        <v>0</v>
      </c>
    </row>
    <row r="512" spans="1:20" ht="12.75" customHeight="1" x14ac:dyDescent="0.25">
      <c r="A512" s="105">
        <v>112.215</v>
      </c>
      <c r="B512" s="30"/>
      <c r="C512" s="30">
        <v>1322</v>
      </c>
      <c r="D512" s="26"/>
      <c r="H512" s="11" t="str">
        <f t="shared" si="15"/>
        <v>3rd Pay Period ending 30/8/2022</v>
      </c>
      <c r="M512" s="30">
        <v>18920</v>
      </c>
      <c r="T512" s="35">
        <f t="shared" si="17"/>
        <v>0</v>
      </c>
    </row>
    <row r="513" spans="1:20" ht="12.75" customHeight="1" x14ac:dyDescent="0.25">
      <c r="A513" s="105">
        <v>112.215</v>
      </c>
      <c r="B513" s="30"/>
      <c r="C513" s="30">
        <v>1228</v>
      </c>
      <c r="D513" s="26"/>
      <c r="H513" s="11" t="str">
        <f t="shared" si="15"/>
        <v>3rd Pay Period ending 30/8/2022</v>
      </c>
      <c r="M513" s="30">
        <v>18997</v>
      </c>
      <c r="T513" s="35">
        <f t="shared" si="17"/>
        <v>0</v>
      </c>
    </row>
    <row r="514" spans="1:20" ht="12.75" customHeight="1" x14ac:dyDescent="0.25">
      <c r="A514" s="105">
        <v>112.215</v>
      </c>
      <c r="B514" s="30"/>
      <c r="C514" s="30">
        <v>430</v>
      </c>
      <c r="D514" s="26"/>
      <c r="H514" s="11" t="str">
        <f t="shared" si="15"/>
        <v>3rd Pay Period ending 30/8/2022</v>
      </c>
      <c r="M514" s="30">
        <v>18995</v>
      </c>
      <c r="T514" s="35">
        <f t="shared" si="17"/>
        <v>0</v>
      </c>
    </row>
    <row r="515" spans="1:20" ht="12.75" customHeight="1" x14ac:dyDescent="0.25">
      <c r="A515" s="105">
        <v>112.215</v>
      </c>
      <c r="B515" s="30"/>
      <c r="C515" s="30">
        <v>604</v>
      </c>
      <c r="D515" s="26"/>
      <c r="H515" s="11" t="str">
        <f t="shared" ref="H515:H578" si="18">$K$1</f>
        <v>3rd Pay Period ending 30/8/2022</v>
      </c>
      <c r="M515" s="30">
        <v>18721</v>
      </c>
      <c r="T515" s="35">
        <f t="shared" si="17"/>
        <v>0</v>
      </c>
    </row>
    <row r="516" spans="1:20" ht="12.75" customHeight="1" x14ac:dyDescent="0.25">
      <c r="A516" s="105">
        <v>112.215</v>
      </c>
      <c r="B516" s="30"/>
      <c r="C516" s="30">
        <v>564</v>
      </c>
      <c r="D516" s="26"/>
      <c r="H516" s="11" t="str">
        <f t="shared" si="18"/>
        <v>3rd Pay Period ending 30/8/2022</v>
      </c>
      <c r="M516" s="30">
        <v>18988</v>
      </c>
      <c r="T516" s="35">
        <f t="shared" ref="T516:T579" si="19">B516/10*$V$1</f>
        <v>0</v>
      </c>
    </row>
    <row r="517" spans="1:20" ht="12.75" customHeight="1" x14ac:dyDescent="0.25">
      <c r="A517" s="105">
        <v>112.215</v>
      </c>
      <c r="B517" s="30"/>
      <c r="C517" s="30">
        <v>770</v>
      </c>
      <c r="D517" s="26"/>
      <c r="H517" s="11" t="str">
        <f t="shared" si="18"/>
        <v>3rd Pay Period ending 30/8/2022</v>
      </c>
      <c r="M517" s="30">
        <v>220</v>
      </c>
      <c r="T517" s="35">
        <f t="shared" si="19"/>
        <v>0</v>
      </c>
    </row>
    <row r="518" spans="1:20" ht="12.75" customHeight="1" x14ac:dyDescent="0.25">
      <c r="A518" s="105">
        <v>112.215</v>
      </c>
      <c r="B518" s="30"/>
      <c r="C518" s="30">
        <v>1300</v>
      </c>
      <c r="D518" s="26"/>
      <c r="H518" s="11" t="str">
        <f t="shared" si="18"/>
        <v>3rd Pay Period ending 30/8/2022</v>
      </c>
      <c r="M518" s="30">
        <v>18772</v>
      </c>
      <c r="T518" s="35">
        <f t="shared" si="19"/>
        <v>0</v>
      </c>
    </row>
    <row r="519" spans="1:20" ht="12.75" customHeight="1" x14ac:dyDescent="0.25">
      <c r="A519" s="105">
        <v>112.215</v>
      </c>
      <c r="B519" s="30"/>
      <c r="C519" s="30">
        <v>498</v>
      </c>
      <c r="D519" s="26"/>
      <c r="H519" s="11" t="str">
        <f t="shared" si="18"/>
        <v>3rd Pay Period ending 30/8/2022</v>
      </c>
      <c r="M519" s="30">
        <v>18948</v>
      </c>
      <c r="T519" s="35">
        <f t="shared" si="19"/>
        <v>0</v>
      </c>
    </row>
    <row r="520" spans="1:20" ht="12.75" customHeight="1" x14ac:dyDescent="0.25">
      <c r="A520" s="105">
        <v>112.215</v>
      </c>
      <c r="B520" s="30"/>
      <c r="C520" s="30">
        <v>1798</v>
      </c>
      <c r="D520" s="26"/>
      <c r="H520" s="11" t="str">
        <f t="shared" si="18"/>
        <v>3rd Pay Period ending 30/8/2022</v>
      </c>
      <c r="M520" s="30">
        <v>18716</v>
      </c>
      <c r="T520" s="35">
        <f t="shared" si="19"/>
        <v>0</v>
      </c>
    </row>
    <row r="521" spans="1:20" ht="12.75" customHeight="1" x14ac:dyDescent="0.25">
      <c r="A521" s="105">
        <v>112.215</v>
      </c>
      <c r="B521" s="30"/>
      <c r="C521" s="30">
        <v>866</v>
      </c>
      <c r="D521" s="26"/>
      <c r="H521" s="11" t="str">
        <f t="shared" si="18"/>
        <v>3rd Pay Period ending 30/8/2022</v>
      </c>
      <c r="M521" s="30">
        <v>18939</v>
      </c>
      <c r="T521" s="35">
        <f t="shared" si="19"/>
        <v>0</v>
      </c>
    </row>
    <row r="522" spans="1:20" ht="12.75" customHeight="1" x14ac:dyDescent="0.25">
      <c r="A522" s="105">
        <v>112.215</v>
      </c>
      <c r="B522" s="30"/>
      <c r="C522" s="30">
        <v>1618</v>
      </c>
      <c r="D522" s="26"/>
      <c r="H522" s="11" t="str">
        <f t="shared" si="18"/>
        <v>3rd Pay Period ending 30/8/2022</v>
      </c>
      <c r="M522" s="30">
        <v>18969</v>
      </c>
      <c r="T522" s="35">
        <f t="shared" si="19"/>
        <v>0</v>
      </c>
    </row>
    <row r="523" spans="1:20" ht="12.75" customHeight="1" x14ac:dyDescent="0.25">
      <c r="A523" s="105">
        <v>112.215</v>
      </c>
      <c r="B523" s="30"/>
      <c r="C523" s="30">
        <v>630</v>
      </c>
      <c r="D523" s="26"/>
      <c r="H523" s="11" t="str">
        <f t="shared" si="18"/>
        <v>3rd Pay Period ending 30/8/2022</v>
      </c>
      <c r="M523" s="30">
        <v>18862</v>
      </c>
      <c r="T523" s="35">
        <f t="shared" si="19"/>
        <v>0</v>
      </c>
    </row>
    <row r="524" spans="1:20" ht="12.75" customHeight="1" x14ac:dyDescent="0.25">
      <c r="A524" s="105">
        <v>112.215</v>
      </c>
      <c r="B524" s="30"/>
      <c r="C524" s="30">
        <v>2710</v>
      </c>
      <c r="D524" s="26"/>
      <c r="H524" s="11" t="str">
        <f t="shared" si="18"/>
        <v>3rd Pay Period ending 30/8/2022</v>
      </c>
      <c r="M524" s="30">
        <v>18886</v>
      </c>
      <c r="T524" s="35">
        <f t="shared" si="19"/>
        <v>0</v>
      </c>
    </row>
    <row r="525" spans="1:20" ht="12.75" customHeight="1" x14ac:dyDescent="0.25">
      <c r="A525" s="105">
        <v>112.215</v>
      </c>
      <c r="B525" s="30"/>
      <c r="C525" s="30">
        <v>498</v>
      </c>
      <c r="D525" s="26"/>
      <c r="H525" s="11" t="str">
        <f t="shared" si="18"/>
        <v>3rd Pay Period ending 30/8/2022</v>
      </c>
      <c r="M525" s="30">
        <v>19025</v>
      </c>
      <c r="T525" s="35">
        <f t="shared" si="19"/>
        <v>0</v>
      </c>
    </row>
    <row r="526" spans="1:20" ht="12.75" customHeight="1" x14ac:dyDescent="0.25">
      <c r="A526" s="105">
        <v>112.215</v>
      </c>
      <c r="B526"/>
      <c r="C526" s="10">
        <v>526</v>
      </c>
      <c r="D526" s="26"/>
      <c r="H526" s="11" t="str">
        <f t="shared" si="18"/>
        <v>3rd Pay Period ending 30/8/2022</v>
      </c>
      <c r="M526" s="10">
        <v>18968</v>
      </c>
      <c r="T526" s="35">
        <f t="shared" si="19"/>
        <v>0</v>
      </c>
    </row>
    <row r="527" spans="1:20" ht="12.75" customHeight="1" x14ac:dyDescent="0.25">
      <c r="A527" s="105">
        <v>112.215</v>
      </c>
      <c r="B527"/>
      <c r="C527" s="10">
        <v>710</v>
      </c>
      <c r="D527" s="26"/>
      <c r="H527" s="11" t="str">
        <f t="shared" si="18"/>
        <v>3rd Pay Period ending 30/8/2022</v>
      </c>
      <c r="M527" s="10">
        <v>19003</v>
      </c>
      <c r="T527" s="35">
        <f t="shared" si="19"/>
        <v>0</v>
      </c>
    </row>
    <row r="528" spans="1:20" ht="12.75" customHeight="1" x14ac:dyDescent="0.25">
      <c r="A528" s="105">
        <v>112.215</v>
      </c>
      <c r="B528"/>
      <c r="C528" s="10">
        <v>530</v>
      </c>
      <c r="D528" s="26"/>
      <c r="H528" s="11" t="str">
        <f t="shared" si="18"/>
        <v>3rd Pay Period ending 30/8/2022</v>
      </c>
      <c r="M528" s="10">
        <v>18993</v>
      </c>
      <c r="T528" s="35">
        <f t="shared" si="19"/>
        <v>0</v>
      </c>
    </row>
    <row r="529" spans="1:20" ht="12.75" customHeight="1" x14ac:dyDescent="0.25">
      <c r="A529" s="105">
        <v>112.215</v>
      </c>
      <c r="B529"/>
      <c r="C529" s="10">
        <v>2064</v>
      </c>
      <c r="D529" s="26"/>
      <c r="H529" s="11" t="str">
        <f t="shared" si="18"/>
        <v>3rd Pay Period ending 30/8/2022</v>
      </c>
      <c r="M529" s="10">
        <v>18853</v>
      </c>
      <c r="T529" s="35">
        <f t="shared" si="19"/>
        <v>0</v>
      </c>
    </row>
    <row r="530" spans="1:20" ht="12.75" customHeight="1" x14ac:dyDescent="0.25">
      <c r="A530" s="105">
        <v>112.215</v>
      </c>
      <c r="B530"/>
      <c r="C530" s="10">
        <v>258</v>
      </c>
      <c r="D530" s="26"/>
      <c r="H530" s="11" t="str">
        <f t="shared" si="18"/>
        <v>3rd Pay Period ending 30/8/2022</v>
      </c>
      <c r="M530" s="10">
        <v>18550</v>
      </c>
      <c r="T530" s="35">
        <f t="shared" si="19"/>
        <v>0</v>
      </c>
    </row>
    <row r="531" spans="1:20" ht="12.75" customHeight="1" x14ac:dyDescent="0.25">
      <c r="A531" s="105">
        <v>112.215</v>
      </c>
      <c r="B531"/>
      <c r="C531" s="10">
        <v>710</v>
      </c>
      <c r="D531" s="26"/>
      <c r="H531" s="11" t="str">
        <f t="shared" si="18"/>
        <v>3rd Pay Period ending 30/8/2022</v>
      </c>
      <c r="M531" s="10">
        <v>18741</v>
      </c>
      <c r="T531" s="35">
        <f t="shared" si="19"/>
        <v>0</v>
      </c>
    </row>
    <row r="532" spans="1:20" ht="12.75" customHeight="1" x14ac:dyDescent="0.25">
      <c r="A532" s="105">
        <v>112.215</v>
      </c>
      <c r="B532"/>
      <c r="C532" s="10">
        <v>610</v>
      </c>
      <c r="D532" s="26"/>
      <c r="H532" s="11" t="str">
        <f t="shared" si="18"/>
        <v>3rd Pay Period ending 30/8/2022</v>
      </c>
      <c r="M532" s="10">
        <v>18836</v>
      </c>
      <c r="T532" s="35">
        <f t="shared" si="19"/>
        <v>0</v>
      </c>
    </row>
    <row r="533" spans="1:20" ht="12.75" customHeight="1" x14ac:dyDescent="0.25">
      <c r="A533" s="105">
        <v>112.215</v>
      </c>
      <c r="B533"/>
      <c r="C533" s="10">
        <v>442</v>
      </c>
      <c r="D533" s="26"/>
      <c r="H533" s="11" t="str">
        <f t="shared" si="18"/>
        <v>3rd Pay Period ending 30/8/2022</v>
      </c>
      <c r="M533" s="10">
        <v>18619</v>
      </c>
      <c r="T533" s="35">
        <f t="shared" si="19"/>
        <v>0</v>
      </c>
    </row>
    <row r="534" spans="1:20" ht="12.75" customHeight="1" x14ac:dyDescent="0.25">
      <c r="A534" s="105">
        <v>112.215</v>
      </c>
      <c r="B534"/>
      <c r="C534" s="10">
        <v>556</v>
      </c>
      <c r="D534" s="26"/>
      <c r="H534" s="11" t="str">
        <f t="shared" si="18"/>
        <v>3rd Pay Period ending 30/8/2022</v>
      </c>
      <c r="M534" s="10">
        <v>18589</v>
      </c>
      <c r="T534" s="35">
        <f t="shared" si="19"/>
        <v>0</v>
      </c>
    </row>
    <row r="535" spans="1:20" ht="12.75" customHeight="1" x14ac:dyDescent="0.25">
      <c r="A535" s="105">
        <v>112.215</v>
      </c>
      <c r="B535"/>
      <c r="C535" s="10">
        <v>278</v>
      </c>
      <c r="D535" s="26"/>
      <c r="H535" s="11" t="str">
        <f t="shared" si="18"/>
        <v>3rd Pay Period ending 30/8/2022</v>
      </c>
      <c r="M535" s="10">
        <v>18891</v>
      </c>
      <c r="T535" s="35">
        <f t="shared" si="19"/>
        <v>0</v>
      </c>
    </row>
    <row r="536" spans="1:20" ht="12.75" customHeight="1" x14ac:dyDescent="0.25">
      <c r="A536" s="105">
        <v>112.215</v>
      </c>
      <c r="B536"/>
      <c r="C536" s="10">
        <v>484</v>
      </c>
      <c r="D536" s="26"/>
      <c r="H536" s="11" t="str">
        <f t="shared" si="18"/>
        <v>3rd Pay Period ending 30/8/2022</v>
      </c>
      <c r="M536" s="10">
        <v>18903</v>
      </c>
      <c r="T536" s="35">
        <f t="shared" si="19"/>
        <v>0</v>
      </c>
    </row>
    <row r="537" spans="1:20" ht="12.75" customHeight="1" x14ac:dyDescent="0.25">
      <c r="A537" s="105">
        <v>112.215</v>
      </c>
      <c r="B537"/>
      <c r="C537" s="10">
        <v>248</v>
      </c>
      <c r="D537" s="26"/>
      <c r="H537" s="11" t="str">
        <f t="shared" si="18"/>
        <v>3rd Pay Period ending 30/8/2022</v>
      </c>
      <c r="M537" s="10">
        <v>18957</v>
      </c>
      <c r="T537" s="35">
        <f t="shared" si="19"/>
        <v>0</v>
      </c>
    </row>
    <row r="538" spans="1:20" ht="12.75" customHeight="1" x14ac:dyDescent="0.25">
      <c r="A538" s="105">
        <v>112.215</v>
      </c>
      <c r="B538"/>
      <c r="C538" s="10">
        <v>220</v>
      </c>
      <c r="D538" s="26"/>
      <c r="H538" s="11" t="str">
        <f t="shared" si="18"/>
        <v>3rd Pay Period ending 30/8/2022</v>
      </c>
      <c r="M538" s="10">
        <v>18831</v>
      </c>
      <c r="T538" s="35">
        <f t="shared" si="19"/>
        <v>0</v>
      </c>
    </row>
    <row r="539" spans="1:20" ht="12.75" customHeight="1" x14ac:dyDescent="0.25">
      <c r="A539" s="105">
        <v>112.215</v>
      </c>
      <c r="B539"/>
      <c r="C539" s="10">
        <v>600</v>
      </c>
      <c r="D539" s="26"/>
      <c r="H539" s="11" t="str">
        <f t="shared" si="18"/>
        <v>3rd Pay Period ending 30/8/2022</v>
      </c>
      <c r="M539" s="10">
        <v>18866</v>
      </c>
      <c r="T539" s="35">
        <f t="shared" si="19"/>
        <v>0</v>
      </c>
    </row>
    <row r="540" spans="1:20" ht="12.75" customHeight="1" x14ac:dyDescent="0.25">
      <c r="A540" s="105">
        <v>112.215</v>
      </c>
      <c r="B540"/>
      <c r="C540" s="10">
        <v>104</v>
      </c>
      <c r="D540" s="26"/>
      <c r="H540" s="11" t="str">
        <f t="shared" si="18"/>
        <v>3rd Pay Period ending 30/8/2022</v>
      </c>
      <c r="M540" s="10">
        <v>18</v>
      </c>
      <c r="T540" s="35">
        <f t="shared" si="19"/>
        <v>0</v>
      </c>
    </row>
    <row r="541" spans="1:20" ht="12.75" customHeight="1" x14ac:dyDescent="0.25">
      <c r="A541" s="105">
        <v>112.215</v>
      </c>
      <c r="B541"/>
      <c r="C541" s="10">
        <v>260</v>
      </c>
      <c r="D541" s="26"/>
      <c r="H541" s="11" t="str">
        <f t="shared" si="18"/>
        <v>3rd Pay Period ending 30/8/2022</v>
      </c>
      <c r="M541" s="10">
        <v>18631</v>
      </c>
      <c r="T541" s="35">
        <f t="shared" si="19"/>
        <v>0</v>
      </c>
    </row>
    <row r="542" spans="1:20" ht="12.75" customHeight="1" x14ac:dyDescent="0.25">
      <c r="A542" s="105">
        <v>112.215</v>
      </c>
      <c r="B542"/>
      <c r="C542" s="10">
        <v>802</v>
      </c>
      <c r="D542" s="26"/>
      <c r="H542" s="11" t="str">
        <f t="shared" si="18"/>
        <v>3rd Pay Period ending 30/8/2022</v>
      </c>
      <c r="M542" s="10">
        <v>18879</v>
      </c>
      <c r="T542" s="35">
        <f t="shared" si="19"/>
        <v>0</v>
      </c>
    </row>
    <row r="543" spans="1:20" ht="12.75" customHeight="1" x14ac:dyDescent="0.25">
      <c r="A543" s="105">
        <v>112.215</v>
      </c>
      <c r="B543"/>
      <c r="C543" s="10">
        <v>630</v>
      </c>
      <c r="D543" s="26"/>
      <c r="H543" s="11" t="str">
        <f t="shared" si="18"/>
        <v>3rd Pay Period ending 30/8/2022</v>
      </c>
      <c r="M543" s="10">
        <v>18954</v>
      </c>
      <c r="T543" s="35">
        <f t="shared" si="19"/>
        <v>0</v>
      </c>
    </row>
    <row r="544" spans="1:20" ht="12.75" customHeight="1" x14ac:dyDescent="0.25">
      <c r="A544" s="105">
        <v>112.215</v>
      </c>
      <c r="B544"/>
      <c r="C544" s="10">
        <v>452</v>
      </c>
      <c r="D544" s="26"/>
      <c r="H544" s="11" t="str">
        <f t="shared" si="18"/>
        <v>3rd Pay Period ending 30/8/2022</v>
      </c>
      <c r="M544" s="10">
        <v>19000</v>
      </c>
      <c r="T544" s="35">
        <f t="shared" si="19"/>
        <v>0</v>
      </c>
    </row>
    <row r="545" spans="1:20" ht="12.75" customHeight="1" x14ac:dyDescent="0.25">
      <c r="A545" s="105">
        <v>112.215</v>
      </c>
      <c r="B545"/>
      <c r="C545" s="10">
        <v>206</v>
      </c>
      <c r="D545" s="26"/>
      <c r="H545" s="11" t="str">
        <f t="shared" si="18"/>
        <v>3rd Pay Period ending 30/8/2022</v>
      </c>
      <c r="M545" s="10">
        <v>18630</v>
      </c>
      <c r="T545" s="35">
        <f t="shared" si="19"/>
        <v>0</v>
      </c>
    </row>
    <row r="546" spans="1:20" ht="12.75" customHeight="1" x14ac:dyDescent="0.25">
      <c r="A546" s="105">
        <v>112.215</v>
      </c>
      <c r="B546"/>
      <c r="C546" s="10">
        <v>792</v>
      </c>
      <c r="D546" s="26"/>
      <c r="H546" s="11" t="str">
        <f t="shared" si="18"/>
        <v>3rd Pay Period ending 30/8/2022</v>
      </c>
      <c r="M546" s="10">
        <v>19013</v>
      </c>
      <c r="T546" s="35">
        <f t="shared" si="19"/>
        <v>0</v>
      </c>
    </row>
    <row r="547" spans="1:20" ht="12.75" customHeight="1" x14ac:dyDescent="0.25">
      <c r="A547" s="105">
        <v>112.215</v>
      </c>
      <c r="B547"/>
      <c r="C547" s="10">
        <v>424</v>
      </c>
      <c r="D547" s="26"/>
      <c r="H547" s="11" t="str">
        <f t="shared" si="18"/>
        <v>3rd Pay Period ending 30/8/2022</v>
      </c>
      <c r="M547" s="10">
        <v>18733</v>
      </c>
      <c r="T547" s="35">
        <f t="shared" si="19"/>
        <v>0</v>
      </c>
    </row>
    <row r="548" spans="1:20" ht="12.75" customHeight="1" x14ac:dyDescent="0.25">
      <c r="A548" s="105">
        <v>112.215</v>
      </c>
      <c r="B548"/>
      <c r="C548" s="10">
        <v>290</v>
      </c>
      <c r="D548" s="26"/>
      <c r="H548" s="11" t="str">
        <f t="shared" si="18"/>
        <v>3rd Pay Period ending 30/8/2022</v>
      </c>
      <c r="M548" s="10">
        <v>18892</v>
      </c>
      <c r="T548" s="35">
        <f t="shared" si="19"/>
        <v>0</v>
      </c>
    </row>
    <row r="549" spans="1:20" ht="12.75" customHeight="1" x14ac:dyDescent="0.25">
      <c r="A549" s="105">
        <v>112.215</v>
      </c>
      <c r="B549"/>
      <c r="C549" s="10">
        <v>550</v>
      </c>
      <c r="D549" s="26"/>
      <c r="H549" s="11" t="str">
        <f t="shared" si="18"/>
        <v>3rd Pay Period ending 30/8/2022</v>
      </c>
      <c r="M549" s="10">
        <v>18659</v>
      </c>
      <c r="T549" s="35">
        <f t="shared" si="19"/>
        <v>0</v>
      </c>
    </row>
    <row r="550" spans="1:20" ht="12.75" customHeight="1" x14ac:dyDescent="0.25">
      <c r="A550" s="105">
        <v>112.215</v>
      </c>
      <c r="B550"/>
      <c r="C550" s="10">
        <v>1308</v>
      </c>
      <c r="D550" s="26"/>
      <c r="H550" s="11" t="str">
        <f t="shared" si="18"/>
        <v>3rd Pay Period ending 30/8/2022</v>
      </c>
      <c r="M550" s="10">
        <v>18559</v>
      </c>
      <c r="T550" s="35">
        <f t="shared" si="19"/>
        <v>0</v>
      </c>
    </row>
    <row r="551" spans="1:20" ht="12.75" customHeight="1" x14ac:dyDescent="0.25">
      <c r="A551" s="105">
        <v>112.215</v>
      </c>
      <c r="B551"/>
      <c r="C551" s="10">
        <v>564</v>
      </c>
      <c r="D551" s="26"/>
      <c r="H551" s="11" t="str">
        <f t="shared" si="18"/>
        <v>3rd Pay Period ending 30/8/2022</v>
      </c>
      <c r="M551" s="10">
        <v>18687</v>
      </c>
      <c r="T551" s="35">
        <f t="shared" si="19"/>
        <v>0</v>
      </c>
    </row>
    <row r="552" spans="1:20" ht="12.75" customHeight="1" x14ac:dyDescent="0.25">
      <c r="A552" s="105">
        <v>112.215</v>
      </c>
      <c r="B552"/>
      <c r="C552" s="10">
        <v>20</v>
      </c>
      <c r="D552" s="26"/>
      <c r="H552" s="11" t="str">
        <f t="shared" si="18"/>
        <v>3rd Pay Period ending 30/8/2022</v>
      </c>
      <c r="M552" s="10">
        <v>18960</v>
      </c>
      <c r="T552" s="35">
        <f t="shared" si="19"/>
        <v>0</v>
      </c>
    </row>
    <row r="553" spans="1:20" ht="12.75" customHeight="1" x14ac:dyDescent="0.25">
      <c r="A553" s="105">
        <v>112.215</v>
      </c>
      <c r="B553"/>
      <c r="C553" s="10">
        <v>4264</v>
      </c>
      <c r="D553" s="26"/>
      <c r="H553" s="11" t="str">
        <f t="shared" si="18"/>
        <v>3rd Pay Period ending 30/8/2022</v>
      </c>
      <c r="M553" s="10">
        <v>346</v>
      </c>
      <c r="T553" s="35">
        <f t="shared" si="19"/>
        <v>0</v>
      </c>
    </row>
    <row r="554" spans="1:20" ht="12.75" customHeight="1" x14ac:dyDescent="0.25">
      <c r="A554" s="105">
        <v>112.215</v>
      </c>
      <c r="B554"/>
      <c r="C554" s="10">
        <v>502</v>
      </c>
      <c r="D554" s="26"/>
      <c r="H554" s="11" t="str">
        <f t="shared" si="18"/>
        <v>3rd Pay Period ending 30/8/2022</v>
      </c>
      <c r="M554" s="10">
        <v>18911</v>
      </c>
      <c r="T554" s="35">
        <f t="shared" si="19"/>
        <v>0</v>
      </c>
    </row>
    <row r="555" spans="1:20" ht="12.75" customHeight="1" x14ac:dyDescent="0.25">
      <c r="A555" s="105">
        <v>112.215</v>
      </c>
      <c r="B555"/>
      <c r="C555" s="10">
        <v>590</v>
      </c>
      <c r="D555" s="26"/>
      <c r="H555" s="11" t="str">
        <f t="shared" si="18"/>
        <v>3rd Pay Period ending 30/8/2022</v>
      </c>
      <c r="M555" s="10">
        <v>18781</v>
      </c>
      <c r="T555" s="35">
        <f t="shared" si="19"/>
        <v>0</v>
      </c>
    </row>
    <row r="556" spans="1:20" ht="12.75" customHeight="1" x14ac:dyDescent="0.25">
      <c r="A556" s="105">
        <v>112.215</v>
      </c>
      <c r="B556"/>
      <c r="C556" s="10">
        <v>698</v>
      </c>
      <c r="D556" s="26"/>
      <c r="H556" s="11" t="str">
        <f t="shared" si="18"/>
        <v>3rd Pay Period ending 30/8/2022</v>
      </c>
      <c r="M556" s="10">
        <v>18967</v>
      </c>
      <c r="T556" s="35">
        <f t="shared" si="19"/>
        <v>0</v>
      </c>
    </row>
    <row r="557" spans="1:20" ht="12.75" customHeight="1" x14ac:dyDescent="0.25">
      <c r="A557" s="105">
        <v>112.215</v>
      </c>
      <c r="B557"/>
      <c r="C557" s="10">
        <v>310</v>
      </c>
      <c r="D557" s="26"/>
      <c r="H557" s="11" t="str">
        <f t="shared" si="18"/>
        <v>3rd Pay Period ending 30/8/2022</v>
      </c>
      <c r="M557" s="10">
        <v>18894</v>
      </c>
      <c r="T557" s="35">
        <f t="shared" si="19"/>
        <v>0</v>
      </c>
    </row>
    <row r="558" spans="1:20" ht="12.75" customHeight="1" x14ac:dyDescent="0.25">
      <c r="A558" s="105">
        <v>112.215</v>
      </c>
      <c r="B558"/>
      <c r="C558" s="10">
        <v>734</v>
      </c>
      <c r="D558" s="26"/>
      <c r="H558" s="11" t="str">
        <f t="shared" si="18"/>
        <v>3rd Pay Period ending 30/8/2022</v>
      </c>
      <c r="M558" s="10">
        <v>18961</v>
      </c>
      <c r="T558" s="35">
        <f t="shared" si="19"/>
        <v>0</v>
      </c>
    </row>
    <row r="559" spans="1:20" ht="12.75" customHeight="1" x14ac:dyDescent="0.25">
      <c r="A559" s="105">
        <v>112.215</v>
      </c>
      <c r="B559"/>
      <c r="C559" s="10">
        <v>394</v>
      </c>
      <c r="D559" s="26"/>
      <c r="H559" s="11" t="str">
        <f t="shared" si="18"/>
        <v>3rd Pay Period ending 30/8/2022</v>
      </c>
      <c r="M559" s="10">
        <v>11229</v>
      </c>
      <c r="T559" s="35">
        <f t="shared" si="19"/>
        <v>0</v>
      </c>
    </row>
    <row r="560" spans="1:20" ht="12.75" customHeight="1" x14ac:dyDescent="0.25">
      <c r="A560" s="105">
        <v>112.215</v>
      </c>
      <c r="B560"/>
      <c r="C560" s="10">
        <v>112</v>
      </c>
      <c r="D560" s="26"/>
      <c r="H560" s="11" t="str">
        <f t="shared" si="18"/>
        <v>3rd Pay Period ending 30/8/2022</v>
      </c>
      <c r="M560" s="10">
        <v>141</v>
      </c>
      <c r="T560" s="35">
        <f t="shared" si="19"/>
        <v>0</v>
      </c>
    </row>
    <row r="561" spans="1:20" ht="12.75" customHeight="1" x14ac:dyDescent="0.25">
      <c r="A561" s="105">
        <v>112.215</v>
      </c>
      <c r="B561"/>
      <c r="C561" s="10">
        <v>518</v>
      </c>
      <c r="D561" s="26"/>
      <c r="H561" s="11" t="str">
        <f t="shared" si="18"/>
        <v>3rd Pay Period ending 30/8/2022</v>
      </c>
      <c r="M561" s="10">
        <v>145</v>
      </c>
      <c r="T561" s="35">
        <f t="shared" si="19"/>
        <v>0</v>
      </c>
    </row>
    <row r="562" spans="1:20" ht="12.75" customHeight="1" x14ac:dyDescent="0.25">
      <c r="A562" s="105">
        <v>112.215</v>
      </c>
      <c r="B562"/>
      <c r="C562" s="10">
        <v>210</v>
      </c>
      <c r="D562" s="26"/>
      <c r="H562" s="11" t="str">
        <f t="shared" si="18"/>
        <v>3rd Pay Period ending 30/8/2022</v>
      </c>
      <c r="M562" s="10">
        <v>18973</v>
      </c>
      <c r="T562" s="35">
        <f t="shared" si="19"/>
        <v>0</v>
      </c>
    </row>
    <row r="563" spans="1:20" ht="12.75" customHeight="1" x14ac:dyDescent="0.25">
      <c r="A563" s="105">
        <v>112.215</v>
      </c>
      <c r="B563"/>
      <c r="C563" s="10">
        <v>398</v>
      </c>
      <c r="D563" s="26"/>
      <c r="H563" s="11" t="str">
        <f t="shared" si="18"/>
        <v>3rd Pay Period ending 30/8/2022</v>
      </c>
      <c r="M563" s="10">
        <v>19016</v>
      </c>
      <c r="T563" s="35">
        <f t="shared" si="19"/>
        <v>0</v>
      </c>
    </row>
    <row r="564" spans="1:20" ht="12.75" customHeight="1" x14ac:dyDescent="0.25">
      <c r="A564" s="105">
        <v>112.215</v>
      </c>
      <c r="B564"/>
      <c r="C564" s="10">
        <v>620</v>
      </c>
      <c r="D564" s="26"/>
      <c r="H564" s="11" t="str">
        <f t="shared" si="18"/>
        <v>3rd Pay Period ending 30/8/2022</v>
      </c>
      <c r="M564" s="10">
        <v>19007</v>
      </c>
      <c r="T564" s="35">
        <f t="shared" si="19"/>
        <v>0</v>
      </c>
    </row>
    <row r="565" spans="1:20" ht="12.75" customHeight="1" x14ac:dyDescent="0.25">
      <c r="A565" s="105">
        <v>112.215</v>
      </c>
      <c r="B565"/>
      <c r="C565" s="10">
        <v>198</v>
      </c>
      <c r="D565" s="26"/>
      <c r="H565" s="11" t="str">
        <f t="shared" si="18"/>
        <v>3rd Pay Period ending 30/8/2022</v>
      </c>
      <c r="M565" s="10">
        <v>19002</v>
      </c>
      <c r="T565" s="35">
        <f t="shared" si="19"/>
        <v>0</v>
      </c>
    </row>
    <row r="566" spans="1:20" ht="12.75" customHeight="1" x14ac:dyDescent="0.25">
      <c r="A566" s="105">
        <v>112.215</v>
      </c>
      <c r="B566"/>
      <c r="C566" s="10">
        <v>1468</v>
      </c>
      <c r="D566" s="26"/>
      <c r="H566" s="11" t="str">
        <f t="shared" si="18"/>
        <v>3rd Pay Period ending 30/8/2022</v>
      </c>
      <c r="M566" s="10">
        <v>18962</v>
      </c>
      <c r="T566" s="35">
        <f t="shared" si="19"/>
        <v>0</v>
      </c>
    </row>
    <row r="567" spans="1:20" ht="12.75" customHeight="1" x14ac:dyDescent="0.25">
      <c r="A567" s="105">
        <v>112.215</v>
      </c>
      <c r="B567"/>
      <c r="C567" s="10">
        <v>280</v>
      </c>
      <c r="D567" s="26"/>
      <c r="H567" s="11" t="str">
        <f t="shared" si="18"/>
        <v>3rd Pay Period ending 30/8/2022</v>
      </c>
      <c r="M567" s="10">
        <v>19026</v>
      </c>
      <c r="T567" s="35">
        <f t="shared" si="19"/>
        <v>0</v>
      </c>
    </row>
    <row r="568" spans="1:20" ht="12.75" customHeight="1" x14ac:dyDescent="0.25">
      <c r="A568" s="105">
        <v>112.215</v>
      </c>
      <c r="B568"/>
      <c r="C568" s="10">
        <v>560</v>
      </c>
      <c r="D568" s="26"/>
      <c r="H568" s="11" t="str">
        <f t="shared" si="18"/>
        <v>3rd Pay Period ending 30/8/2022</v>
      </c>
      <c r="M568" s="10">
        <v>19006</v>
      </c>
      <c r="T568" s="35">
        <f t="shared" si="19"/>
        <v>0</v>
      </c>
    </row>
    <row r="569" spans="1:20" ht="12.75" customHeight="1" x14ac:dyDescent="0.25">
      <c r="A569" s="105">
        <v>112.215</v>
      </c>
      <c r="B569"/>
      <c r="C569" s="10">
        <v>48</v>
      </c>
      <c r="D569" s="26"/>
      <c r="H569" s="11" t="str">
        <f t="shared" si="18"/>
        <v>3rd Pay Period ending 30/8/2022</v>
      </c>
      <c r="M569" s="10">
        <v>19032</v>
      </c>
      <c r="T569" s="35">
        <f t="shared" si="19"/>
        <v>0</v>
      </c>
    </row>
    <row r="570" spans="1:20" ht="12.75" customHeight="1" x14ac:dyDescent="0.25">
      <c r="A570" s="105">
        <v>112.215</v>
      </c>
      <c r="B570"/>
      <c r="C570" s="10">
        <v>762</v>
      </c>
      <c r="D570" s="26"/>
      <c r="H570" s="11" t="str">
        <f t="shared" si="18"/>
        <v>3rd Pay Period ending 30/8/2022</v>
      </c>
      <c r="M570" s="10">
        <v>18974</v>
      </c>
      <c r="T570" s="35">
        <f t="shared" si="19"/>
        <v>0</v>
      </c>
    </row>
    <row r="571" spans="1:20" ht="12.75" customHeight="1" x14ac:dyDescent="0.25">
      <c r="A571" s="105">
        <v>112.215</v>
      </c>
      <c r="B571"/>
      <c r="C571" s="10">
        <v>434</v>
      </c>
      <c r="D571" s="26"/>
      <c r="H571" s="11" t="str">
        <f t="shared" si="18"/>
        <v>3rd Pay Period ending 30/8/2022</v>
      </c>
      <c r="M571" s="10">
        <v>18999</v>
      </c>
      <c r="T571" s="35">
        <f t="shared" si="19"/>
        <v>0</v>
      </c>
    </row>
    <row r="572" spans="1:20" ht="12.75" customHeight="1" x14ac:dyDescent="0.25">
      <c r="A572" s="105">
        <v>112.215</v>
      </c>
      <c r="B572"/>
      <c r="C572" s="10">
        <v>342</v>
      </c>
      <c r="D572" s="26"/>
      <c r="H572" s="11" t="str">
        <f t="shared" si="18"/>
        <v>3rd Pay Period ending 30/8/2022</v>
      </c>
      <c r="M572" s="10">
        <v>19021</v>
      </c>
      <c r="T572" s="35">
        <f t="shared" si="19"/>
        <v>0</v>
      </c>
    </row>
    <row r="573" spans="1:20" ht="12.75" customHeight="1" x14ac:dyDescent="0.25">
      <c r="A573" s="105">
        <v>112.215</v>
      </c>
      <c r="B573"/>
      <c r="C573" s="10">
        <v>340</v>
      </c>
      <c r="D573" s="26"/>
      <c r="H573" s="11" t="str">
        <f t="shared" si="18"/>
        <v>3rd Pay Period ending 30/8/2022</v>
      </c>
      <c r="M573" s="10">
        <v>18980</v>
      </c>
      <c r="T573" s="35">
        <f t="shared" si="19"/>
        <v>0</v>
      </c>
    </row>
    <row r="574" spans="1:20" ht="12.75" customHeight="1" x14ac:dyDescent="0.25">
      <c r="A574" s="105">
        <v>112.215</v>
      </c>
      <c r="B574"/>
      <c r="C574" s="10">
        <v>502</v>
      </c>
      <c r="D574" s="26"/>
      <c r="H574" s="11" t="str">
        <f t="shared" si="18"/>
        <v>3rd Pay Period ending 30/8/2022</v>
      </c>
      <c r="M574" s="10">
        <v>19027</v>
      </c>
      <c r="T574" s="35">
        <f t="shared" si="19"/>
        <v>0</v>
      </c>
    </row>
    <row r="575" spans="1:20" ht="12.75" customHeight="1" x14ac:dyDescent="0.25">
      <c r="A575" s="105">
        <v>112.215</v>
      </c>
      <c r="B575"/>
      <c r="C575" s="10">
        <v>726</v>
      </c>
      <c r="D575" s="26"/>
      <c r="H575" s="11" t="str">
        <f t="shared" si="18"/>
        <v>3rd Pay Period ending 30/8/2022</v>
      </c>
      <c r="M575" s="10">
        <v>18581</v>
      </c>
      <c r="T575" s="35">
        <f t="shared" si="19"/>
        <v>0</v>
      </c>
    </row>
    <row r="576" spans="1:20" ht="12.75" customHeight="1" x14ac:dyDescent="0.25">
      <c r="A576" s="105">
        <v>112.215</v>
      </c>
      <c r="B576"/>
      <c r="C576" s="10">
        <v>1636</v>
      </c>
      <c r="D576" s="26"/>
      <c r="H576" s="11" t="str">
        <f t="shared" si="18"/>
        <v>3rd Pay Period ending 30/8/2022</v>
      </c>
      <c r="M576" s="10">
        <v>18945</v>
      </c>
      <c r="T576" s="35">
        <f t="shared" si="19"/>
        <v>0</v>
      </c>
    </row>
    <row r="577" spans="1:20" ht="12.75" customHeight="1" x14ac:dyDescent="0.25">
      <c r="A577" s="105">
        <v>112.215</v>
      </c>
      <c r="B577"/>
      <c r="C577" s="10">
        <v>1858</v>
      </c>
      <c r="D577" s="26"/>
      <c r="H577" s="11" t="str">
        <f t="shared" si="18"/>
        <v>3rd Pay Period ending 30/8/2022</v>
      </c>
      <c r="M577" s="10">
        <v>44705</v>
      </c>
      <c r="T577" s="35">
        <f t="shared" si="19"/>
        <v>0</v>
      </c>
    </row>
    <row r="578" spans="1:20" ht="12.75" customHeight="1" x14ac:dyDescent="0.25">
      <c r="A578" s="105">
        <v>112.215</v>
      </c>
      <c r="B578"/>
      <c r="C578" s="10">
        <v>430</v>
      </c>
      <c r="D578" s="26"/>
      <c r="H578" s="11" t="str">
        <f t="shared" si="18"/>
        <v>3rd Pay Period ending 30/8/2022</v>
      </c>
      <c r="M578" s="10">
        <v>18805</v>
      </c>
      <c r="T578" s="35">
        <f t="shared" si="19"/>
        <v>0</v>
      </c>
    </row>
    <row r="579" spans="1:20" ht="12.75" customHeight="1" x14ac:dyDescent="0.25">
      <c r="A579" s="105">
        <v>112.215</v>
      </c>
      <c r="B579"/>
      <c r="C579" s="10">
        <v>428</v>
      </c>
      <c r="D579" s="26"/>
      <c r="H579" s="11" t="str">
        <f t="shared" ref="H579:H642" si="20">$K$1</f>
        <v>3rd Pay Period ending 30/8/2022</v>
      </c>
      <c r="M579" s="10">
        <v>18982</v>
      </c>
      <c r="T579" s="35">
        <f t="shared" si="19"/>
        <v>0</v>
      </c>
    </row>
    <row r="580" spans="1:20" ht="12.75" customHeight="1" x14ac:dyDescent="0.25">
      <c r="A580" s="105">
        <v>112.215</v>
      </c>
      <c r="B580"/>
      <c r="C580" s="10">
        <v>488</v>
      </c>
      <c r="D580" s="26"/>
      <c r="H580" s="11" t="str">
        <f t="shared" si="20"/>
        <v>3rd Pay Period ending 30/8/2022</v>
      </c>
      <c r="M580" s="10">
        <v>266</v>
      </c>
      <c r="T580" s="35">
        <f>B580/10*$V$1</f>
        <v>0</v>
      </c>
    </row>
    <row r="581" spans="1:20" ht="12.75" customHeight="1" x14ac:dyDescent="0.25">
      <c r="A581" s="105">
        <v>112.215</v>
      </c>
      <c r="B581"/>
      <c r="C581" s="10">
        <v>420</v>
      </c>
      <c r="D581" s="26"/>
      <c r="H581" s="11" t="str">
        <f t="shared" si="20"/>
        <v>3rd Pay Period ending 30/8/2022</v>
      </c>
      <c r="M581" s="10">
        <v>18841</v>
      </c>
      <c r="T581" s="35">
        <f t="shared" ref="T581:T644" si="21">B581/10*$V$1</f>
        <v>0</v>
      </c>
    </row>
    <row r="582" spans="1:20" ht="12.75" customHeight="1" x14ac:dyDescent="0.25">
      <c r="A582" s="105">
        <v>112.215</v>
      </c>
      <c r="B582"/>
      <c r="C582" s="10">
        <v>424</v>
      </c>
      <c r="D582" s="26"/>
      <c r="H582" s="11" t="str">
        <f t="shared" si="20"/>
        <v>3rd Pay Period ending 30/8/2022</v>
      </c>
      <c r="M582" s="10">
        <v>302</v>
      </c>
      <c r="T582" s="35">
        <f t="shared" si="21"/>
        <v>0</v>
      </c>
    </row>
    <row r="583" spans="1:20" ht="12.75" customHeight="1" x14ac:dyDescent="0.25">
      <c r="A583" s="105">
        <v>112.215</v>
      </c>
      <c r="B583"/>
      <c r="C583" s="10">
        <v>828</v>
      </c>
      <c r="D583" s="26"/>
      <c r="H583" s="11" t="str">
        <f t="shared" si="20"/>
        <v>3rd Pay Period ending 30/8/2022</v>
      </c>
      <c r="M583" s="10">
        <v>18626</v>
      </c>
      <c r="T583" s="35">
        <f t="shared" si="21"/>
        <v>0</v>
      </c>
    </row>
    <row r="584" spans="1:20" ht="12.75" customHeight="1" x14ac:dyDescent="0.25">
      <c r="A584" s="105">
        <v>112.215</v>
      </c>
      <c r="B584"/>
      <c r="C584" s="10">
        <v>542</v>
      </c>
      <c r="D584" s="26"/>
      <c r="H584" s="11" t="str">
        <f t="shared" si="20"/>
        <v>3rd Pay Period ending 30/8/2022</v>
      </c>
      <c r="M584" s="10">
        <v>18949</v>
      </c>
      <c r="T584" s="35">
        <f t="shared" si="21"/>
        <v>0</v>
      </c>
    </row>
    <row r="585" spans="1:20" ht="12.75" customHeight="1" x14ac:dyDescent="0.25">
      <c r="A585" s="105">
        <v>112.215</v>
      </c>
      <c r="B585"/>
      <c r="C585" s="10">
        <v>362</v>
      </c>
      <c r="D585" s="26"/>
      <c r="H585" s="11" t="str">
        <f t="shared" si="20"/>
        <v>3rd Pay Period ending 30/8/2022</v>
      </c>
      <c r="M585" s="10">
        <v>18979</v>
      </c>
      <c r="T585" s="35">
        <f t="shared" si="21"/>
        <v>0</v>
      </c>
    </row>
    <row r="586" spans="1:20" ht="12.75" customHeight="1" x14ac:dyDescent="0.25">
      <c r="A586" s="105">
        <v>112.215</v>
      </c>
      <c r="B586"/>
      <c r="C586" s="10">
        <v>524</v>
      </c>
      <c r="D586" s="26"/>
      <c r="H586" s="11" t="str">
        <f t="shared" si="20"/>
        <v>3rd Pay Period ending 30/8/2022</v>
      </c>
      <c r="M586" s="10">
        <v>18827</v>
      </c>
      <c r="T586" s="35">
        <f t="shared" si="21"/>
        <v>0</v>
      </c>
    </row>
    <row r="587" spans="1:20" ht="12.75" customHeight="1" x14ac:dyDescent="0.25">
      <c r="A587" s="105">
        <v>112.215</v>
      </c>
      <c r="B587"/>
      <c r="C587" s="10">
        <v>26</v>
      </c>
      <c r="D587" s="26"/>
      <c r="H587" s="11" t="str">
        <f t="shared" si="20"/>
        <v>3rd Pay Period ending 30/8/2022</v>
      </c>
      <c r="M587" s="10">
        <v>18929</v>
      </c>
      <c r="T587" s="35">
        <f t="shared" si="21"/>
        <v>0</v>
      </c>
    </row>
    <row r="588" spans="1:20" ht="12.75" customHeight="1" x14ac:dyDescent="0.25">
      <c r="A588" s="105">
        <v>112.215</v>
      </c>
      <c r="B588"/>
      <c r="C588" s="10">
        <v>578</v>
      </c>
      <c r="D588" s="26"/>
      <c r="H588" s="11" t="str">
        <f t="shared" si="20"/>
        <v>3rd Pay Period ending 30/8/2022</v>
      </c>
      <c r="M588" s="10">
        <v>18918</v>
      </c>
      <c r="T588" s="35">
        <f t="shared" si="21"/>
        <v>0</v>
      </c>
    </row>
    <row r="589" spans="1:20" ht="12.75" customHeight="1" x14ac:dyDescent="0.25">
      <c r="A589" s="105">
        <v>112.215</v>
      </c>
      <c r="B589"/>
      <c r="C589" s="10">
        <v>344</v>
      </c>
      <c r="D589" s="26"/>
      <c r="H589" s="11" t="str">
        <f t="shared" si="20"/>
        <v>3rd Pay Period ending 30/8/2022</v>
      </c>
      <c r="M589" s="10">
        <v>18887</v>
      </c>
      <c r="T589" s="35">
        <f t="shared" si="21"/>
        <v>0</v>
      </c>
    </row>
    <row r="590" spans="1:20" ht="12.75" customHeight="1" x14ac:dyDescent="0.25">
      <c r="A590" s="105">
        <v>112.215</v>
      </c>
      <c r="B590"/>
      <c r="C590" s="10">
        <v>802</v>
      </c>
      <c r="D590" s="26"/>
      <c r="H590" s="11" t="str">
        <f t="shared" si="20"/>
        <v>3rd Pay Period ending 30/8/2022</v>
      </c>
      <c r="M590" s="10">
        <v>18901</v>
      </c>
      <c r="T590" s="35">
        <f t="shared" si="21"/>
        <v>0</v>
      </c>
    </row>
    <row r="591" spans="1:20" ht="12.75" customHeight="1" x14ac:dyDescent="0.25">
      <c r="A591" s="105">
        <v>112.215</v>
      </c>
      <c r="B591"/>
      <c r="C591" s="10">
        <v>168</v>
      </c>
      <c r="D591" s="26"/>
      <c r="H591" s="11" t="str">
        <f t="shared" si="20"/>
        <v>3rd Pay Period ending 30/8/2022</v>
      </c>
      <c r="M591" s="10">
        <v>134</v>
      </c>
      <c r="T591" s="35">
        <f t="shared" si="21"/>
        <v>0</v>
      </c>
    </row>
    <row r="592" spans="1:20" ht="12.75" customHeight="1" x14ac:dyDescent="0.25">
      <c r="A592" s="105">
        <v>112.215</v>
      </c>
      <c r="B592"/>
      <c r="C592" s="10">
        <v>426</v>
      </c>
      <c r="D592" s="26"/>
      <c r="H592" s="11" t="str">
        <f t="shared" si="20"/>
        <v>3rd Pay Period ending 30/8/2022</v>
      </c>
      <c r="M592" s="10">
        <v>18797</v>
      </c>
      <c r="T592" s="35">
        <f t="shared" si="21"/>
        <v>0</v>
      </c>
    </row>
    <row r="593" spans="1:20" ht="12.75" customHeight="1" x14ac:dyDescent="0.25">
      <c r="A593" s="105">
        <v>112.215</v>
      </c>
      <c r="B593"/>
      <c r="C593" s="10">
        <v>418</v>
      </c>
      <c r="D593" s="26"/>
      <c r="H593" s="11" t="str">
        <f t="shared" si="20"/>
        <v>3rd Pay Period ending 30/8/2022</v>
      </c>
      <c r="M593" s="10">
        <v>18822</v>
      </c>
      <c r="T593" s="35">
        <f t="shared" si="21"/>
        <v>0</v>
      </c>
    </row>
    <row r="594" spans="1:20" ht="12.75" customHeight="1" x14ac:dyDescent="0.25">
      <c r="A594" s="105">
        <v>112.215</v>
      </c>
      <c r="B594"/>
      <c r="C594" s="10">
        <v>516</v>
      </c>
      <c r="D594" s="26"/>
      <c r="H594" s="11" t="str">
        <f t="shared" si="20"/>
        <v>3rd Pay Period ending 30/8/2022</v>
      </c>
      <c r="M594" s="10">
        <v>18692</v>
      </c>
      <c r="T594" s="35">
        <f t="shared" si="21"/>
        <v>0</v>
      </c>
    </row>
    <row r="595" spans="1:20" ht="12.75" customHeight="1" x14ac:dyDescent="0.25">
      <c r="A595" s="105">
        <v>112.215</v>
      </c>
      <c r="B595"/>
      <c r="C595" s="10">
        <v>398</v>
      </c>
      <c r="D595" s="26"/>
      <c r="H595" s="11" t="str">
        <f t="shared" si="20"/>
        <v>3rd Pay Period ending 30/8/2022</v>
      </c>
      <c r="M595" s="10">
        <v>18989</v>
      </c>
      <c r="T595" s="35">
        <f t="shared" si="21"/>
        <v>0</v>
      </c>
    </row>
    <row r="596" spans="1:20" ht="12.75" customHeight="1" x14ac:dyDescent="0.25">
      <c r="A596" s="105">
        <v>112.215</v>
      </c>
      <c r="B596"/>
      <c r="C596" s="10">
        <v>194</v>
      </c>
      <c r="D596" s="26"/>
      <c r="H596" s="11" t="str">
        <f t="shared" si="20"/>
        <v>3rd Pay Period ending 30/8/2022</v>
      </c>
      <c r="M596" s="10">
        <v>18916</v>
      </c>
      <c r="T596" s="35">
        <f t="shared" si="21"/>
        <v>0</v>
      </c>
    </row>
    <row r="597" spans="1:20" ht="12.75" customHeight="1" x14ac:dyDescent="0.25">
      <c r="A597" s="105">
        <v>112.215</v>
      </c>
      <c r="B597"/>
      <c r="C597" s="10">
        <v>369</v>
      </c>
      <c r="D597" s="26"/>
      <c r="H597" s="11" t="str">
        <f t="shared" si="20"/>
        <v>3rd Pay Period ending 30/8/2022</v>
      </c>
      <c r="M597" s="10">
        <v>18736</v>
      </c>
      <c r="T597" s="35">
        <f t="shared" si="21"/>
        <v>0</v>
      </c>
    </row>
    <row r="598" spans="1:20" ht="12.75" customHeight="1" x14ac:dyDescent="0.25">
      <c r="A598" s="105">
        <v>112.215</v>
      </c>
      <c r="B598"/>
      <c r="C598" s="10">
        <v>234</v>
      </c>
      <c r="D598" s="26"/>
      <c r="H598" s="11" t="str">
        <f t="shared" si="20"/>
        <v>3rd Pay Period ending 30/8/2022</v>
      </c>
      <c r="M598" s="10">
        <v>19022</v>
      </c>
      <c r="T598" s="35">
        <f t="shared" si="21"/>
        <v>0</v>
      </c>
    </row>
    <row r="599" spans="1:20" ht="12.75" customHeight="1" x14ac:dyDescent="0.25">
      <c r="A599" s="105">
        <v>112.215</v>
      </c>
      <c r="B599"/>
      <c r="C599" s="10">
        <v>370</v>
      </c>
      <c r="D599" s="26"/>
      <c r="H599" s="11" t="str">
        <f t="shared" si="20"/>
        <v>3rd Pay Period ending 30/8/2022</v>
      </c>
      <c r="M599" s="10">
        <v>19011</v>
      </c>
      <c r="T599" s="35">
        <f t="shared" si="21"/>
        <v>0</v>
      </c>
    </row>
    <row r="600" spans="1:20" ht="12.75" customHeight="1" x14ac:dyDescent="0.25">
      <c r="A600" s="105">
        <v>112.215</v>
      </c>
      <c r="B600"/>
      <c r="C600" s="10">
        <v>464</v>
      </c>
      <c r="D600" s="26"/>
      <c r="H600" s="11" t="str">
        <f t="shared" si="20"/>
        <v>3rd Pay Period ending 30/8/2022</v>
      </c>
      <c r="M600" s="10">
        <v>19028</v>
      </c>
      <c r="T600" s="35">
        <f t="shared" si="21"/>
        <v>0</v>
      </c>
    </row>
    <row r="601" spans="1:20" ht="12.75" customHeight="1" x14ac:dyDescent="0.25">
      <c r="A601" s="105">
        <v>112.215</v>
      </c>
      <c r="B601"/>
      <c r="C601" s="10">
        <v>452</v>
      </c>
      <c r="D601" s="26"/>
      <c r="H601" s="11" t="str">
        <f t="shared" si="20"/>
        <v>3rd Pay Period ending 30/8/2022</v>
      </c>
      <c r="M601" s="10">
        <v>18607</v>
      </c>
      <c r="T601" s="35">
        <f t="shared" si="21"/>
        <v>0</v>
      </c>
    </row>
    <row r="602" spans="1:20" ht="12.75" customHeight="1" x14ac:dyDescent="0.25">
      <c r="A602" s="105">
        <v>112.215</v>
      </c>
      <c r="B602"/>
      <c r="C602" s="10">
        <v>426</v>
      </c>
      <c r="D602" s="26"/>
      <c r="H602" s="11" t="str">
        <f t="shared" si="20"/>
        <v>3rd Pay Period ending 30/8/2022</v>
      </c>
      <c r="M602" s="10">
        <v>19009</v>
      </c>
      <c r="T602" s="35">
        <f t="shared" si="21"/>
        <v>0</v>
      </c>
    </row>
    <row r="603" spans="1:20" ht="12.75" customHeight="1" x14ac:dyDescent="0.25">
      <c r="A603" s="105">
        <v>112.215</v>
      </c>
      <c r="B603"/>
      <c r="C603" s="10">
        <v>234</v>
      </c>
      <c r="D603" s="26"/>
      <c r="H603" s="11" t="str">
        <f t="shared" si="20"/>
        <v>3rd Pay Period ending 30/8/2022</v>
      </c>
      <c r="M603" s="10">
        <v>18679</v>
      </c>
      <c r="T603" s="35">
        <f t="shared" si="21"/>
        <v>0</v>
      </c>
    </row>
    <row r="604" spans="1:20" ht="12.75" customHeight="1" x14ac:dyDescent="0.25">
      <c r="A604" s="105">
        <v>112.215</v>
      </c>
      <c r="B604"/>
      <c r="C604" s="10">
        <v>662</v>
      </c>
      <c r="D604" s="26"/>
      <c r="H604" s="11" t="str">
        <f t="shared" si="20"/>
        <v>3rd Pay Period ending 30/8/2022</v>
      </c>
      <c r="M604" s="10">
        <v>18829</v>
      </c>
      <c r="T604" s="35">
        <f t="shared" si="21"/>
        <v>0</v>
      </c>
    </row>
    <row r="605" spans="1:20" ht="12.75" customHeight="1" x14ac:dyDescent="0.25">
      <c r="A605" s="105">
        <v>112.215</v>
      </c>
      <c r="B605"/>
      <c r="C605" s="10">
        <v>190</v>
      </c>
      <c r="D605" s="26"/>
      <c r="H605" s="11" t="str">
        <f t="shared" si="20"/>
        <v>3rd Pay Period ending 30/8/2022</v>
      </c>
      <c r="M605" s="10">
        <v>19017</v>
      </c>
      <c r="T605" s="35">
        <f t="shared" si="21"/>
        <v>0</v>
      </c>
    </row>
    <row r="606" spans="1:20" ht="12.75" customHeight="1" x14ac:dyDescent="0.25">
      <c r="A606" s="105">
        <v>112.215</v>
      </c>
      <c r="B606"/>
      <c r="C606" s="10">
        <v>614</v>
      </c>
      <c r="D606" s="26"/>
      <c r="H606" s="11" t="str">
        <f t="shared" si="20"/>
        <v>3rd Pay Period ending 30/8/2022</v>
      </c>
      <c r="M606" s="10">
        <v>18932</v>
      </c>
      <c r="T606" s="35">
        <f t="shared" si="21"/>
        <v>0</v>
      </c>
    </row>
    <row r="607" spans="1:20" ht="12.75" customHeight="1" x14ac:dyDescent="0.25">
      <c r="A607" s="105">
        <v>112.215</v>
      </c>
      <c r="B607"/>
      <c r="C607" s="10">
        <v>544</v>
      </c>
      <c r="D607" s="26"/>
      <c r="H607" s="11" t="str">
        <f t="shared" si="20"/>
        <v>3rd Pay Period ending 30/8/2022</v>
      </c>
      <c r="M607" s="10">
        <v>19015</v>
      </c>
      <c r="T607" s="35">
        <f t="shared" si="21"/>
        <v>0</v>
      </c>
    </row>
    <row r="608" spans="1:20" ht="12.75" customHeight="1" x14ac:dyDescent="0.25">
      <c r="A608" s="105">
        <v>112.215</v>
      </c>
      <c r="B608"/>
      <c r="C608" s="10">
        <v>212</v>
      </c>
      <c r="D608" s="26"/>
      <c r="H608" s="11" t="str">
        <f t="shared" si="20"/>
        <v>3rd Pay Period ending 30/8/2022</v>
      </c>
      <c r="M608" s="10">
        <v>18923</v>
      </c>
      <c r="T608" s="35">
        <f t="shared" si="21"/>
        <v>0</v>
      </c>
    </row>
    <row r="609" spans="1:20" ht="12.75" customHeight="1" x14ac:dyDescent="0.25">
      <c r="A609" s="105">
        <v>112.215</v>
      </c>
      <c r="B609"/>
      <c r="C609" s="10">
        <v>510</v>
      </c>
      <c r="D609" s="26"/>
      <c r="H609" s="11" t="str">
        <f t="shared" si="20"/>
        <v>3rd Pay Period ending 30/8/2022</v>
      </c>
      <c r="M609" s="10">
        <v>19019</v>
      </c>
      <c r="T609" s="35">
        <f t="shared" si="21"/>
        <v>0</v>
      </c>
    </row>
    <row r="610" spans="1:20" ht="12.75" customHeight="1" x14ac:dyDescent="0.25">
      <c r="A610" s="105">
        <v>112.215</v>
      </c>
      <c r="B610"/>
      <c r="C610" s="10">
        <v>152</v>
      </c>
      <c r="D610" s="26"/>
      <c r="H610" s="11" t="str">
        <f t="shared" si="20"/>
        <v>3rd Pay Period ending 30/8/2022</v>
      </c>
      <c r="M610" s="10">
        <v>19008</v>
      </c>
      <c r="T610" s="35">
        <f t="shared" si="21"/>
        <v>0</v>
      </c>
    </row>
    <row r="611" spans="1:20" ht="12.75" customHeight="1" x14ac:dyDescent="0.25">
      <c r="A611" s="105">
        <v>112.215</v>
      </c>
      <c r="B611"/>
      <c r="C611" s="10">
        <v>254</v>
      </c>
      <c r="D611" s="26"/>
      <c r="H611" s="11" t="str">
        <f t="shared" si="20"/>
        <v>3rd Pay Period ending 30/8/2022</v>
      </c>
      <c r="M611" s="10">
        <v>18983</v>
      </c>
      <c r="T611" s="35">
        <f t="shared" si="21"/>
        <v>0</v>
      </c>
    </row>
    <row r="612" spans="1:20" ht="12.75" customHeight="1" x14ac:dyDescent="0.25">
      <c r="A612" s="105">
        <v>112.215</v>
      </c>
      <c r="B612"/>
      <c r="C612" s="10">
        <v>328</v>
      </c>
      <c r="D612" s="26"/>
      <c r="H612" s="11" t="str">
        <f t="shared" si="20"/>
        <v>3rd Pay Period ending 30/8/2022</v>
      </c>
      <c r="M612" s="10">
        <v>19012</v>
      </c>
      <c r="T612" s="35">
        <f t="shared" si="21"/>
        <v>0</v>
      </c>
    </row>
    <row r="613" spans="1:20" ht="12.75" customHeight="1" x14ac:dyDescent="0.25">
      <c r="A613" s="105">
        <v>112.215</v>
      </c>
      <c r="B613"/>
      <c r="C613" s="10">
        <v>216</v>
      </c>
      <c r="D613" s="26"/>
      <c r="H613" s="11" t="str">
        <f t="shared" si="20"/>
        <v>3rd Pay Period ending 30/8/2022</v>
      </c>
      <c r="M613" s="10">
        <v>19030</v>
      </c>
      <c r="T613" s="35">
        <f t="shared" si="21"/>
        <v>0</v>
      </c>
    </row>
    <row r="614" spans="1:20" ht="12.75" customHeight="1" x14ac:dyDescent="0.25">
      <c r="A614" s="105">
        <v>112.215</v>
      </c>
      <c r="B614"/>
      <c r="C614" s="10">
        <v>524</v>
      </c>
      <c r="D614" s="26"/>
      <c r="H614" s="11" t="str">
        <f t="shared" si="20"/>
        <v>3rd Pay Period ending 30/8/2022</v>
      </c>
      <c r="M614" s="10">
        <v>19029</v>
      </c>
      <c r="T614" s="35">
        <f t="shared" si="21"/>
        <v>0</v>
      </c>
    </row>
    <row r="615" spans="1:20" ht="12.75" customHeight="1" x14ac:dyDescent="0.25">
      <c r="A615" s="105">
        <v>112.215</v>
      </c>
      <c r="B615"/>
      <c r="C615" s="10">
        <v>1082</v>
      </c>
      <c r="D615" s="26"/>
      <c r="H615" s="11" t="str">
        <f t="shared" si="20"/>
        <v>3rd Pay Period ending 30/8/2022</v>
      </c>
      <c r="M615" s="10">
        <v>18998</v>
      </c>
      <c r="T615" s="35">
        <f t="shared" si="21"/>
        <v>0</v>
      </c>
    </row>
    <row r="616" spans="1:20" ht="12.75" customHeight="1" x14ac:dyDescent="0.25">
      <c r="A616" s="105">
        <v>112.215</v>
      </c>
      <c r="B616"/>
      <c r="C616" s="10">
        <v>676</v>
      </c>
      <c r="D616" s="26"/>
      <c r="H616" s="11" t="str">
        <f t="shared" si="20"/>
        <v>3rd Pay Period ending 30/8/2022</v>
      </c>
      <c r="M616" s="10">
        <v>115</v>
      </c>
      <c r="T616" s="35">
        <f t="shared" si="21"/>
        <v>0</v>
      </c>
    </row>
    <row r="617" spans="1:20" ht="12.75" customHeight="1" x14ac:dyDescent="0.25">
      <c r="A617" s="105">
        <v>112.215</v>
      </c>
      <c r="B617"/>
      <c r="C617" s="10">
        <v>796</v>
      </c>
      <c r="D617" s="26"/>
      <c r="H617" s="11" t="str">
        <f t="shared" si="20"/>
        <v>3rd Pay Period ending 30/8/2022</v>
      </c>
      <c r="M617" s="10">
        <v>18649</v>
      </c>
      <c r="T617" s="35">
        <f t="shared" si="21"/>
        <v>0</v>
      </c>
    </row>
    <row r="618" spans="1:20" ht="12.75" customHeight="1" x14ac:dyDescent="0.25">
      <c r="A618" s="105">
        <v>112.215</v>
      </c>
      <c r="B618"/>
      <c r="C618" s="10">
        <v>334</v>
      </c>
      <c r="D618" s="26"/>
      <c r="H618" s="11" t="str">
        <f t="shared" si="20"/>
        <v>3rd Pay Period ending 30/8/2022</v>
      </c>
      <c r="M618" s="10">
        <v>19020</v>
      </c>
      <c r="T618" s="35">
        <f t="shared" si="21"/>
        <v>0</v>
      </c>
    </row>
    <row r="619" spans="1:20" ht="12.75" customHeight="1" x14ac:dyDescent="0.25">
      <c r="A619" s="105">
        <v>112.215</v>
      </c>
      <c r="B619"/>
      <c r="C619" s="10">
        <v>320</v>
      </c>
      <c r="D619" s="26"/>
      <c r="H619" s="11" t="str">
        <f t="shared" si="20"/>
        <v>3rd Pay Period ending 30/8/2022</v>
      </c>
      <c r="M619" s="10">
        <v>18904</v>
      </c>
      <c r="T619" s="35">
        <f t="shared" si="21"/>
        <v>0</v>
      </c>
    </row>
    <row r="620" spans="1:20" ht="12.75" customHeight="1" x14ac:dyDescent="0.25">
      <c r="A620" s="105">
        <v>112.215</v>
      </c>
      <c r="B620"/>
      <c r="C620" s="10">
        <v>116</v>
      </c>
      <c r="D620" s="26"/>
      <c r="H620" s="11" t="str">
        <f t="shared" si="20"/>
        <v>3rd Pay Period ending 30/8/2022</v>
      </c>
      <c r="M620" s="10">
        <v>18839</v>
      </c>
      <c r="T620" s="35">
        <f t="shared" si="21"/>
        <v>0</v>
      </c>
    </row>
    <row r="621" spans="1:20" ht="12.75" customHeight="1" x14ac:dyDescent="0.25">
      <c r="A621" s="105">
        <v>112.215</v>
      </c>
      <c r="B621"/>
      <c r="C621" s="10">
        <v>268</v>
      </c>
      <c r="D621" s="26"/>
      <c r="H621" s="11" t="str">
        <f t="shared" si="20"/>
        <v>3rd Pay Period ending 30/8/2022</v>
      </c>
      <c r="M621" s="10">
        <v>18650</v>
      </c>
      <c r="T621" s="35">
        <f t="shared" si="21"/>
        <v>0</v>
      </c>
    </row>
    <row r="622" spans="1:20" ht="12.75" customHeight="1" x14ac:dyDescent="0.25">
      <c r="A622" s="105">
        <v>112.215</v>
      </c>
      <c r="B622"/>
      <c r="C622" s="10">
        <v>574</v>
      </c>
      <c r="D622" s="26"/>
      <c r="H622" s="11" t="str">
        <f t="shared" si="20"/>
        <v>3rd Pay Period ending 30/8/2022</v>
      </c>
      <c r="M622" s="10">
        <v>18944</v>
      </c>
      <c r="T622" s="35">
        <f t="shared" si="21"/>
        <v>0</v>
      </c>
    </row>
    <row r="623" spans="1:20" ht="12.75" customHeight="1" x14ac:dyDescent="0.25">
      <c r="A623" s="105">
        <v>112.215</v>
      </c>
      <c r="B623"/>
      <c r="C623" s="10">
        <v>60</v>
      </c>
      <c r="D623" s="26"/>
      <c r="H623" s="11" t="str">
        <f t="shared" si="20"/>
        <v>3rd Pay Period ending 30/8/2022</v>
      </c>
      <c r="M623" s="10">
        <v>19023</v>
      </c>
      <c r="T623" s="35">
        <f t="shared" si="21"/>
        <v>0</v>
      </c>
    </row>
    <row r="624" spans="1:20" ht="12.75" customHeight="1" x14ac:dyDescent="0.25">
      <c r="A624" s="105">
        <v>112.215</v>
      </c>
      <c r="B624"/>
      <c r="C624" s="10">
        <v>442</v>
      </c>
      <c r="D624" s="26"/>
      <c r="H624" s="11" t="str">
        <f t="shared" si="20"/>
        <v>3rd Pay Period ending 30/8/2022</v>
      </c>
      <c r="M624" s="10">
        <v>18850</v>
      </c>
      <c r="T624" s="35">
        <f t="shared" si="21"/>
        <v>0</v>
      </c>
    </row>
    <row r="625" spans="1:20" ht="12.75" customHeight="1" x14ac:dyDescent="0.25">
      <c r="A625" s="105">
        <v>112.215</v>
      </c>
      <c r="B625"/>
      <c r="C625" s="10">
        <v>476</v>
      </c>
      <c r="D625" s="26"/>
      <c r="H625" s="11" t="str">
        <f t="shared" si="20"/>
        <v>3rd Pay Period ending 30/8/2022</v>
      </c>
      <c r="M625" s="10">
        <v>18942</v>
      </c>
      <c r="T625" s="35">
        <f t="shared" si="21"/>
        <v>0</v>
      </c>
    </row>
    <row r="626" spans="1:20" ht="12.75" customHeight="1" x14ac:dyDescent="0.25">
      <c r="A626" s="105">
        <v>112.215</v>
      </c>
      <c r="B626"/>
      <c r="C626" s="10">
        <v>346</v>
      </c>
      <c r="D626" s="26"/>
      <c r="H626" s="11" t="str">
        <f t="shared" si="20"/>
        <v>3rd Pay Period ending 30/8/2022</v>
      </c>
      <c r="M626" s="10">
        <v>18986</v>
      </c>
      <c r="T626" s="35">
        <f t="shared" si="21"/>
        <v>0</v>
      </c>
    </row>
    <row r="627" spans="1:20" ht="12.75" customHeight="1" x14ac:dyDescent="0.25">
      <c r="A627" s="105">
        <v>112.215</v>
      </c>
      <c r="B627"/>
      <c r="C627" s="10">
        <v>98</v>
      </c>
      <c r="D627" s="26"/>
      <c r="H627" s="11" t="str">
        <f t="shared" si="20"/>
        <v>3rd Pay Period ending 30/8/2022</v>
      </c>
      <c r="M627" s="10">
        <v>18924</v>
      </c>
      <c r="T627" s="35">
        <f t="shared" si="21"/>
        <v>0</v>
      </c>
    </row>
    <row r="628" spans="1:20" ht="12.75" customHeight="1" x14ac:dyDescent="0.25">
      <c r="A628" s="105">
        <v>112.215</v>
      </c>
      <c r="B628"/>
      <c r="C628" s="10">
        <v>802</v>
      </c>
      <c r="D628" s="26"/>
      <c r="H628" s="11" t="str">
        <f t="shared" si="20"/>
        <v>3rd Pay Period ending 30/8/2022</v>
      </c>
      <c r="M628" s="10">
        <v>18713</v>
      </c>
      <c r="T628" s="35">
        <f t="shared" si="21"/>
        <v>0</v>
      </c>
    </row>
    <row r="629" spans="1:20" ht="12.75" customHeight="1" x14ac:dyDescent="0.25">
      <c r="A629" s="105">
        <v>112.215</v>
      </c>
      <c r="B629"/>
      <c r="C629" s="10">
        <v>176</v>
      </c>
      <c r="D629" s="26"/>
      <c r="H629" s="11" t="str">
        <f t="shared" si="20"/>
        <v>3rd Pay Period ending 30/8/2022</v>
      </c>
      <c r="M629" s="10">
        <v>18646</v>
      </c>
      <c r="T629" s="35">
        <f t="shared" si="21"/>
        <v>0</v>
      </c>
    </row>
    <row r="630" spans="1:20" ht="12.75" customHeight="1" x14ac:dyDescent="0.25">
      <c r="A630" s="105">
        <v>112.215</v>
      </c>
      <c r="B630"/>
      <c r="C630" s="10">
        <v>514</v>
      </c>
      <c r="D630" s="26"/>
      <c r="H630" s="11" t="str">
        <f t="shared" si="20"/>
        <v>3rd Pay Period ending 30/8/2022</v>
      </c>
      <c r="M630" s="10">
        <v>18703</v>
      </c>
      <c r="T630" s="35">
        <f t="shared" si="21"/>
        <v>0</v>
      </c>
    </row>
    <row r="631" spans="1:20" ht="12.75" customHeight="1" x14ac:dyDescent="0.25">
      <c r="A631" s="105">
        <v>112.215</v>
      </c>
      <c r="B631"/>
      <c r="C631" s="10">
        <v>400</v>
      </c>
      <c r="D631" s="26"/>
      <c r="H631" s="11" t="str">
        <f t="shared" si="20"/>
        <v>3rd Pay Period ending 30/8/2022</v>
      </c>
      <c r="M631" s="10">
        <v>18858</v>
      </c>
      <c r="T631" s="35">
        <f t="shared" si="21"/>
        <v>0</v>
      </c>
    </row>
    <row r="632" spans="1:20" ht="12.75" customHeight="1" x14ac:dyDescent="0.25">
      <c r="A632" s="105">
        <v>112.215</v>
      </c>
      <c r="B632"/>
      <c r="C632" s="10">
        <v>268</v>
      </c>
      <c r="D632" s="26"/>
      <c r="H632" s="11" t="str">
        <f t="shared" si="20"/>
        <v>3rd Pay Period ending 30/8/2022</v>
      </c>
      <c r="M632" s="10">
        <v>18990</v>
      </c>
      <c r="T632" s="35">
        <f t="shared" si="21"/>
        <v>0</v>
      </c>
    </row>
    <row r="633" spans="1:20" ht="12.75" customHeight="1" x14ac:dyDescent="0.25">
      <c r="A633" s="105">
        <v>112.215</v>
      </c>
      <c r="B633"/>
      <c r="C633" s="10">
        <v>164</v>
      </c>
      <c r="D633" s="26"/>
      <c r="H633" s="11" t="str">
        <f t="shared" si="20"/>
        <v>3rd Pay Period ending 30/8/2022</v>
      </c>
      <c r="I633" s="11"/>
      <c r="M633" s="10">
        <v>18970</v>
      </c>
      <c r="T633" s="35">
        <f t="shared" si="21"/>
        <v>0</v>
      </c>
    </row>
    <row r="634" spans="1:20" ht="12.75" customHeight="1" x14ac:dyDescent="0.25">
      <c r="A634" s="105">
        <v>112.215</v>
      </c>
      <c r="B634"/>
      <c r="C634" s="10">
        <v>390</v>
      </c>
      <c r="D634" s="26"/>
      <c r="H634" s="11" t="str">
        <f t="shared" si="20"/>
        <v>3rd Pay Period ending 30/8/2022</v>
      </c>
      <c r="I634" s="11"/>
      <c r="M634" s="10">
        <v>18976</v>
      </c>
      <c r="T634" s="35">
        <f t="shared" si="21"/>
        <v>0</v>
      </c>
    </row>
    <row r="635" spans="1:20" ht="12.75" customHeight="1" x14ac:dyDescent="0.25">
      <c r="A635" s="105">
        <v>112.215</v>
      </c>
      <c r="B635"/>
      <c r="C635" s="10">
        <v>1068</v>
      </c>
      <c r="D635" s="26"/>
      <c r="H635" s="11" t="str">
        <f t="shared" si="20"/>
        <v>3rd Pay Period ending 30/8/2022</v>
      </c>
      <c r="I635" s="11"/>
      <c r="M635" s="10">
        <v>19001</v>
      </c>
      <c r="T635" s="35">
        <f t="shared" si="21"/>
        <v>0</v>
      </c>
    </row>
    <row r="636" spans="1:20" ht="12.75" customHeight="1" x14ac:dyDescent="0.25">
      <c r="A636" s="105">
        <v>112.215</v>
      </c>
      <c r="B636"/>
      <c r="C636" s="10">
        <v>592</v>
      </c>
      <c r="D636" s="26"/>
      <c r="H636" s="11" t="str">
        <f t="shared" si="20"/>
        <v>3rd Pay Period ending 30/8/2022</v>
      </c>
      <c r="I636" s="11"/>
      <c r="M636" s="10">
        <v>19031</v>
      </c>
      <c r="T636" s="35">
        <f t="shared" si="21"/>
        <v>0</v>
      </c>
    </row>
    <row r="637" spans="1:20" ht="12.75" customHeight="1" x14ac:dyDescent="0.25">
      <c r="A637" s="105">
        <v>112.215</v>
      </c>
      <c r="B637"/>
      <c r="C637" s="10">
        <v>390</v>
      </c>
      <c r="D637" s="26"/>
      <c r="H637" s="11" t="str">
        <f t="shared" si="20"/>
        <v>3rd Pay Period ending 30/8/2022</v>
      </c>
      <c r="I637" s="11"/>
      <c r="M637" s="10">
        <v>18442</v>
      </c>
      <c r="T637" s="35">
        <f t="shared" si="21"/>
        <v>0</v>
      </c>
    </row>
    <row r="638" spans="1:20" ht="12.75" customHeight="1" x14ac:dyDescent="0.25">
      <c r="A638" s="105">
        <v>112.215</v>
      </c>
      <c r="B638"/>
      <c r="C638" s="10">
        <v>122</v>
      </c>
      <c r="D638" s="26"/>
      <c r="H638" s="11" t="str">
        <f t="shared" si="20"/>
        <v>3rd Pay Period ending 30/8/2022</v>
      </c>
      <c r="I638" s="11"/>
      <c r="M638" s="10">
        <v>18634</v>
      </c>
      <c r="T638" s="35">
        <f t="shared" si="21"/>
        <v>0</v>
      </c>
    </row>
    <row r="639" spans="1:20" ht="12.75" customHeight="1" x14ac:dyDescent="0.25">
      <c r="A639" s="105">
        <v>112.215</v>
      </c>
      <c r="B639"/>
      <c r="C639" s="10">
        <v>190</v>
      </c>
      <c r="D639" s="26"/>
      <c r="H639" s="11" t="str">
        <f t="shared" si="20"/>
        <v>3rd Pay Period ending 30/8/2022</v>
      </c>
      <c r="I639" s="11"/>
      <c r="M639" s="10">
        <v>18790</v>
      </c>
      <c r="T639" s="35">
        <f t="shared" si="21"/>
        <v>0</v>
      </c>
    </row>
    <row r="640" spans="1:20" ht="12.75" customHeight="1" x14ac:dyDescent="0.25">
      <c r="A640" s="105">
        <v>112.215</v>
      </c>
      <c r="B640"/>
      <c r="C640" s="10">
        <v>310</v>
      </c>
      <c r="D640" s="26"/>
      <c r="H640" s="11" t="str">
        <f t="shared" si="20"/>
        <v>3rd Pay Period ending 30/8/2022</v>
      </c>
      <c r="I640" s="11"/>
      <c r="M640" s="10">
        <v>18898</v>
      </c>
      <c r="T640" s="35">
        <f t="shared" si="21"/>
        <v>0</v>
      </c>
    </row>
    <row r="641" spans="1:20" ht="12.75" customHeight="1" x14ac:dyDescent="0.25">
      <c r="A641" s="105">
        <v>112.215</v>
      </c>
      <c r="B641"/>
      <c r="C641" s="10">
        <v>294</v>
      </c>
      <c r="D641" s="26"/>
      <c r="H641" s="11" t="str">
        <f t="shared" si="20"/>
        <v>3rd Pay Period ending 30/8/2022</v>
      </c>
      <c r="I641" s="11"/>
      <c r="M641" s="10">
        <v>18996</v>
      </c>
      <c r="T641" s="35">
        <f t="shared" si="21"/>
        <v>0</v>
      </c>
    </row>
    <row r="642" spans="1:20" ht="12.75" customHeight="1" x14ac:dyDescent="0.25">
      <c r="A642" s="105">
        <v>112.215</v>
      </c>
      <c r="B642"/>
      <c r="C642" s="10">
        <v>298</v>
      </c>
      <c r="D642" s="26"/>
      <c r="H642" s="11" t="str">
        <f t="shared" si="20"/>
        <v>3rd Pay Period ending 30/8/2022</v>
      </c>
      <c r="I642" s="11"/>
      <c r="M642" s="10">
        <v>18823</v>
      </c>
      <c r="T642" s="35">
        <f t="shared" si="21"/>
        <v>0</v>
      </c>
    </row>
    <row r="643" spans="1:20" ht="12.75" customHeight="1" x14ac:dyDescent="0.25">
      <c r="A643" s="105">
        <v>112.215</v>
      </c>
      <c r="B643"/>
      <c r="C643" s="10">
        <v>228</v>
      </c>
      <c r="D643" s="26"/>
      <c r="H643" s="11" t="str">
        <f t="shared" ref="H643:H706" si="22">$K$1</f>
        <v>3rd Pay Period ending 30/8/2022</v>
      </c>
      <c r="I643" s="11"/>
      <c r="M643" s="10">
        <v>18895</v>
      </c>
      <c r="T643" s="35">
        <f t="shared" si="21"/>
        <v>0</v>
      </c>
    </row>
    <row r="644" spans="1:20" ht="12.75" customHeight="1" x14ac:dyDescent="0.25">
      <c r="A644" s="105">
        <v>112.215</v>
      </c>
      <c r="B644"/>
      <c r="C644" s="10">
        <v>128</v>
      </c>
      <c r="D644" s="26"/>
      <c r="H644" s="11" t="str">
        <f t="shared" si="22"/>
        <v>3rd Pay Period ending 30/8/2022</v>
      </c>
      <c r="I644" s="11"/>
      <c r="M644" s="10">
        <v>18927</v>
      </c>
      <c r="T644" s="35">
        <f t="shared" si="21"/>
        <v>0</v>
      </c>
    </row>
    <row r="645" spans="1:20" ht="12.75" customHeight="1" x14ac:dyDescent="0.25">
      <c r="A645" s="105">
        <v>112.215</v>
      </c>
      <c r="B645"/>
      <c r="C645" s="10">
        <v>644</v>
      </c>
      <c r="D645" s="26"/>
      <c r="H645" s="11" t="str">
        <f t="shared" si="22"/>
        <v>3rd Pay Period ending 30/8/2022</v>
      </c>
      <c r="I645" s="11"/>
      <c r="M645" s="10">
        <v>261</v>
      </c>
      <c r="T645" s="35">
        <f t="shared" ref="T645:T708" si="23">B645/10*$V$1</f>
        <v>0</v>
      </c>
    </row>
    <row r="646" spans="1:20" ht="12.75" customHeight="1" x14ac:dyDescent="0.25">
      <c r="A646" s="105">
        <v>112.215</v>
      </c>
      <c r="B646"/>
      <c r="C646" s="10">
        <v>638</v>
      </c>
      <c r="D646" s="26"/>
      <c r="H646" s="11" t="str">
        <f t="shared" si="22"/>
        <v>3rd Pay Period ending 30/8/2022</v>
      </c>
      <c r="I646" s="11"/>
      <c r="M646" s="10">
        <v>18791</v>
      </c>
      <c r="T646" s="35">
        <f t="shared" si="23"/>
        <v>0</v>
      </c>
    </row>
    <row r="647" spans="1:20" ht="12.75" customHeight="1" x14ac:dyDescent="0.25">
      <c r="A647" s="105">
        <v>112.215</v>
      </c>
      <c r="B647"/>
      <c r="C647" s="10">
        <v>584</v>
      </c>
      <c r="D647" s="26"/>
      <c r="H647" s="11" t="str">
        <f t="shared" si="22"/>
        <v>3rd Pay Period ending 30/8/2022</v>
      </c>
      <c r="I647" s="11"/>
      <c r="M647" s="10">
        <v>18561</v>
      </c>
      <c r="T647" s="35">
        <f t="shared" si="23"/>
        <v>0</v>
      </c>
    </row>
    <row r="648" spans="1:20" ht="12.75" customHeight="1" x14ac:dyDescent="0.25">
      <c r="A648" s="105">
        <v>112.215</v>
      </c>
      <c r="B648"/>
      <c r="C648" s="10">
        <v>284</v>
      </c>
      <c r="D648" s="26"/>
      <c r="H648" s="11" t="str">
        <f t="shared" si="22"/>
        <v>3rd Pay Period ending 30/8/2022</v>
      </c>
      <c r="I648" s="11"/>
      <c r="M648" s="10">
        <v>18953</v>
      </c>
      <c r="T648" s="35">
        <f t="shared" si="23"/>
        <v>0</v>
      </c>
    </row>
    <row r="649" spans="1:20" ht="12.75" customHeight="1" x14ac:dyDescent="0.25">
      <c r="A649" s="105">
        <v>112.215</v>
      </c>
      <c r="B649"/>
      <c r="C649" s="10">
        <v>314</v>
      </c>
      <c r="D649" s="26"/>
      <c r="H649" s="11" t="str">
        <f t="shared" si="22"/>
        <v>3rd Pay Period ending 30/8/2022</v>
      </c>
      <c r="I649" s="11"/>
      <c r="M649" s="10">
        <v>18792</v>
      </c>
      <c r="T649" s="35">
        <f t="shared" si="23"/>
        <v>0</v>
      </c>
    </row>
    <row r="650" spans="1:20" ht="12.75" customHeight="1" x14ac:dyDescent="0.25">
      <c r="A650" s="105">
        <v>112.215</v>
      </c>
      <c r="B650"/>
      <c r="C650" s="10">
        <v>1082</v>
      </c>
      <c r="D650" s="26"/>
      <c r="H650" s="11" t="str">
        <f t="shared" si="22"/>
        <v>3rd Pay Period ending 30/8/2022</v>
      </c>
      <c r="I650" s="11"/>
      <c r="M650" s="10">
        <v>18876</v>
      </c>
      <c r="T650" s="35">
        <f t="shared" si="23"/>
        <v>0</v>
      </c>
    </row>
    <row r="651" spans="1:20" ht="12.75" customHeight="1" x14ac:dyDescent="0.25">
      <c r="A651" s="105" t="s">
        <v>206</v>
      </c>
      <c r="B651"/>
      <c r="C651" s="10">
        <v>3435.39</v>
      </c>
      <c r="D651" s="26"/>
      <c r="H651" s="11" t="str">
        <f t="shared" si="22"/>
        <v>3rd Pay Period ending 30/8/2022</v>
      </c>
      <c r="I651" s="11"/>
      <c r="M651" s="10">
        <v>18517</v>
      </c>
      <c r="T651" s="35">
        <f t="shared" si="23"/>
        <v>0</v>
      </c>
    </row>
    <row r="652" spans="1:20" ht="12.75" customHeight="1" x14ac:dyDescent="0.25">
      <c r="A652" s="105" t="s">
        <v>206</v>
      </c>
      <c r="B652"/>
      <c r="C652" s="10">
        <v>3136.78</v>
      </c>
      <c r="D652" s="26"/>
      <c r="H652" s="11" t="str">
        <f t="shared" si="22"/>
        <v>3rd Pay Period ending 30/8/2022</v>
      </c>
      <c r="I652" s="11"/>
      <c r="M652" s="10">
        <v>18871</v>
      </c>
      <c r="T652" s="35">
        <f t="shared" si="23"/>
        <v>0</v>
      </c>
    </row>
    <row r="653" spans="1:20" ht="12.75" customHeight="1" x14ac:dyDescent="0.25">
      <c r="A653" s="105" t="s">
        <v>206</v>
      </c>
      <c r="B653"/>
      <c r="C653" s="10">
        <v>2678.41</v>
      </c>
      <c r="D653" s="26"/>
      <c r="H653" s="11" t="str">
        <f t="shared" si="22"/>
        <v>3rd Pay Period ending 30/8/2022</v>
      </c>
      <c r="I653" s="11"/>
      <c r="M653" s="10">
        <v>18647</v>
      </c>
      <c r="T653" s="35">
        <f t="shared" si="23"/>
        <v>0</v>
      </c>
    </row>
    <row r="654" spans="1:20" ht="12.75" customHeight="1" x14ac:dyDescent="0.25">
      <c r="A654" s="105" t="s">
        <v>206</v>
      </c>
      <c r="B654"/>
      <c r="C654" s="10">
        <v>2398.23</v>
      </c>
      <c r="D654" s="26"/>
      <c r="H654" s="11" t="str">
        <f t="shared" si="22"/>
        <v>3rd Pay Period ending 30/8/2022</v>
      </c>
      <c r="I654" s="11"/>
      <c r="M654" s="10">
        <v>18726</v>
      </c>
      <c r="T654" s="35">
        <f t="shared" si="23"/>
        <v>0</v>
      </c>
    </row>
    <row r="655" spans="1:20" ht="12.75" customHeight="1" x14ac:dyDescent="0.25">
      <c r="A655" s="105" t="s">
        <v>206</v>
      </c>
      <c r="B655"/>
      <c r="C655" s="10">
        <v>10605.48</v>
      </c>
      <c r="D655" s="26"/>
      <c r="H655" s="11" t="str">
        <f t="shared" si="22"/>
        <v>3rd Pay Period ending 30/8/2022</v>
      </c>
      <c r="I655" s="11"/>
      <c r="M655" s="10">
        <v>18845</v>
      </c>
      <c r="T655" s="35">
        <f t="shared" si="23"/>
        <v>0</v>
      </c>
    </row>
    <row r="656" spans="1:20" ht="12.75" customHeight="1" x14ac:dyDescent="0.25">
      <c r="A656" s="105" t="s">
        <v>206</v>
      </c>
      <c r="B656"/>
      <c r="C656" s="10">
        <v>2884.16</v>
      </c>
      <c r="D656" s="26"/>
      <c r="H656" s="11" t="str">
        <f t="shared" si="22"/>
        <v>3rd Pay Period ending 30/8/2022</v>
      </c>
      <c r="I656" s="11"/>
      <c r="M656" s="10">
        <v>152</v>
      </c>
      <c r="T656" s="35">
        <f t="shared" si="23"/>
        <v>0</v>
      </c>
    </row>
    <row r="657" spans="1:20" ht="12.75" customHeight="1" x14ac:dyDescent="0.25">
      <c r="A657" s="105" t="s">
        <v>206</v>
      </c>
      <c r="B657"/>
      <c r="C657" s="10">
        <v>1926</v>
      </c>
      <c r="D657" s="26"/>
      <c r="H657" s="11" t="str">
        <f t="shared" si="22"/>
        <v>3rd Pay Period ending 30/8/2022</v>
      </c>
      <c r="I657" s="11"/>
      <c r="M657" s="10">
        <v>19014</v>
      </c>
      <c r="T657" s="35">
        <f t="shared" si="23"/>
        <v>0</v>
      </c>
    </row>
    <row r="658" spans="1:20" ht="12.75" customHeight="1" x14ac:dyDescent="0.25">
      <c r="A658" s="105" t="s">
        <v>206</v>
      </c>
      <c r="B658"/>
      <c r="C658" s="10">
        <v>498.59</v>
      </c>
      <c r="D658" s="26"/>
      <c r="H658" s="11" t="str">
        <f t="shared" si="22"/>
        <v>3rd Pay Period ending 30/8/2022</v>
      </c>
      <c r="I658" s="11"/>
      <c r="M658" s="10">
        <v>18736</v>
      </c>
      <c r="T658" s="35">
        <f t="shared" si="23"/>
        <v>0</v>
      </c>
    </row>
    <row r="659" spans="1:20" ht="12.75" customHeight="1" x14ac:dyDescent="0.25">
      <c r="A659" s="105" t="s">
        <v>206</v>
      </c>
      <c r="B659"/>
      <c r="C659" s="10">
        <v>1750.42</v>
      </c>
      <c r="D659" s="26"/>
      <c r="H659" s="11" t="str">
        <f t="shared" si="22"/>
        <v>3rd Pay Period ending 30/8/2022</v>
      </c>
      <c r="I659" s="11"/>
      <c r="M659" s="10">
        <v>18946</v>
      </c>
      <c r="T659" s="35">
        <f t="shared" si="23"/>
        <v>0</v>
      </c>
    </row>
    <row r="660" spans="1:20" ht="12.75" customHeight="1" x14ac:dyDescent="0.25">
      <c r="A660" s="105" t="s">
        <v>206</v>
      </c>
      <c r="B660"/>
      <c r="C660" s="10">
        <v>2128.31</v>
      </c>
      <c r="D660" s="26"/>
      <c r="H660" s="11" t="str">
        <f t="shared" si="22"/>
        <v>3rd Pay Period ending 30/8/2022</v>
      </c>
      <c r="I660" s="11"/>
      <c r="M660" s="10">
        <v>18988</v>
      </c>
      <c r="T660" s="35">
        <f t="shared" si="23"/>
        <v>0</v>
      </c>
    </row>
    <row r="661" spans="1:20" ht="12.75" customHeight="1" x14ac:dyDescent="0.25">
      <c r="A661" s="105" t="s">
        <v>206</v>
      </c>
      <c r="B661"/>
      <c r="C661" s="10">
        <v>2203.6999999999998</v>
      </c>
      <c r="D661" s="26"/>
      <c r="H661" s="11" t="str">
        <f t="shared" si="22"/>
        <v>3rd Pay Period ending 30/8/2022</v>
      </c>
      <c r="I661" s="11"/>
      <c r="M661" s="10">
        <v>18721</v>
      </c>
      <c r="T661" s="35">
        <f t="shared" si="23"/>
        <v>0</v>
      </c>
    </row>
    <row r="662" spans="1:20" ht="12.75" customHeight="1" x14ac:dyDescent="0.25">
      <c r="A662" s="105" t="s">
        <v>206</v>
      </c>
      <c r="B662"/>
      <c r="C662" s="10">
        <v>2380.9299999999998</v>
      </c>
      <c r="D662" s="26"/>
      <c r="H662" s="11" t="str">
        <f t="shared" si="22"/>
        <v>3rd Pay Period ending 30/8/2022</v>
      </c>
      <c r="I662" s="11"/>
      <c r="M662" s="10">
        <v>18987</v>
      </c>
      <c r="T662" s="35">
        <f t="shared" si="23"/>
        <v>0</v>
      </c>
    </row>
    <row r="663" spans="1:20" ht="12.75" customHeight="1" x14ac:dyDescent="0.25">
      <c r="A663" s="105" t="s">
        <v>206</v>
      </c>
      <c r="B663"/>
      <c r="C663" s="10">
        <v>3538.57</v>
      </c>
      <c r="D663" s="26"/>
      <c r="H663" s="11" t="str">
        <f t="shared" si="22"/>
        <v>3rd Pay Period ending 30/8/2022</v>
      </c>
      <c r="I663" s="11"/>
      <c r="M663" s="10">
        <v>18920</v>
      </c>
      <c r="T663" s="35">
        <f t="shared" si="23"/>
        <v>0</v>
      </c>
    </row>
    <row r="664" spans="1:20" ht="12.75" customHeight="1" x14ac:dyDescent="0.25">
      <c r="A664" s="105" t="s">
        <v>206</v>
      </c>
      <c r="B664"/>
      <c r="C664" s="10">
        <v>2413.1999999999998</v>
      </c>
      <c r="D664" s="26"/>
      <c r="H664" s="11" t="str">
        <f t="shared" si="22"/>
        <v>3rd Pay Period ending 30/8/2022</v>
      </c>
      <c r="I664" s="11"/>
      <c r="M664" s="10">
        <v>18997</v>
      </c>
      <c r="T664" s="35">
        <f t="shared" si="23"/>
        <v>0</v>
      </c>
    </row>
    <row r="665" spans="1:20" ht="12.75" customHeight="1" x14ac:dyDescent="0.25">
      <c r="A665" s="105" t="s">
        <v>206</v>
      </c>
      <c r="B665"/>
      <c r="C665" s="10">
        <v>1877.69</v>
      </c>
      <c r="D665" s="26"/>
      <c r="H665" s="11" t="str">
        <f t="shared" si="22"/>
        <v>3rd Pay Period ending 30/8/2022</v>
      </c>
      <c r="I665" s="11"/>
      <c r="M665" s="10">
        <v>18995</v>
      </c>
      <c r="T665" s="35">
        <f t="shared" si="23"/>
        <v>0</v>
      </c>
    </row>
    <row r="666" spans="1:20" ht="12.75" customHeight="1" x14ac:dyDescent="0.25">
      <c r="A666" s="105" t="s">
        <v>206</v>
      </c>
      <c r="B666"/>
      <c r="C666" s="10">
        <v>3501.85</v>
      </c>
      <c r="D666" s="26"/>
      <c r="H666" s="11" t="str">
        <f t="shared" si="22"/>
        <v>3rd Pay Period ending 30/8/2022</v>
      </c>
      <c r="I666" s="11"/>
      <c r="M666" s="10">
        <v>18772</v>
      </c>
      <c r="T666" s="35">
        <f t="shared" si="23"/>
        <v>0</v>
      </c>
    </row>
    <row r="667" spans="1:20" ht="12.75" customHeight="1" x14ac:dyDescent="0.25">
      <c r="A667" s="105" t="s">
        <v>206</v>
      </c>
      <c r="B667"/>
      <c r="C667" s="10">
        <v>2373.1</v>
      </c>
      <c r="D667" s="26"/>
      <c r="H667" s="11" t="str">
        <f t="shared" si="22"/>
        <v>3rd Pay Period ending 30/8/2022</v>
      </c>
      <c r="I667" s="11"/>
      <c r="M667" s="10">
        <v>220</v>
      </c>
      <c r="T667" s="35">
        <f t="shared" si="23"/>
        <v>0</v>
      </c>
    </row>
    <row r="668" spans="1:20" ht="12.75" customHeight="1" x14ac:dyDescent="0.25">
      <c r="A668" s="105" t="s">
        <v>206</v>
      </c>
      <c r="B668"/>
      <c r="C668" s="10">
        <v>2002.01</v>
      </c>
      <c r="D668" s="26"/>
      <c r="H668" s="11" t="str">
        <f t="shared" si="22"/>
        <v>3rd Pay Period ending 30/8/2022</v>
      </c>
      <c r="I668" s="11"/>
      <c r="M668" s="10">
        <v>18948</v>
      </c>
      <c r="T668" s="35">
        <f t="shared" si="23"/>
        <v>0</v>
      </c>
    </row>
    <row r="669" spans="1:20" ht="12.75" customHeight="1" x14ac:dyDescent="0.25">
      <c r="A669" s="105" t="s">
        <v>206</v>
      </c>
      <c r="B669"/>
      <c r="C669" s="10">
        <v>4278.93</v>
      </c>
      <c r="D669" s="26"/>
      <c r="H669" s="11" t="str">
        <f t="shared" si="22"/>
        <v>3rd Pay Period ending 30/8/2022</v>
      </c>
      <c r="I669" s="11"/>
      <c r="M669" s="10">
        <v>18716</v>
      </c>
      <c r="T669" s="35">
        <f t="shared" si="23"/>
        <v>0</v>
      </c>
    </row>
    <row r="670" spans="1:20" ht="12.75" customHeight="1" x14ac:dyDescent="0.25">
      <c r="A670" s="105" t="s">
        <v>206</v>
      </c>
      <c r="B670"/>
      <c r="C670" s="10">
        <v>2525.5</v>
      </c>
      <c r="D670" s="26"/>
      <c r="H670" s="11" t="str">
        <f t="shared" si="22"/>
        <v>3rd Pay Period ending 30/8/2022</v>
      </c>
      <c r="I670" s="11"/>
      <c r="M670" s="10">
        <v>18939</v>
      </c>
      <c r="T670" s="35">
        <f t="shared" si="23"/>
        <v>0</v>
      </c>
    </row>
    <row r="671" spans="1:20" ht="12.75" customHeight="1" x14ac:dyDescent="0.25">
      <c r="A671" s="105" t="s">
        <v>206</v>
      </c>
      <c r="B671"/>
      <c r="C671" s="10">
        <v>2021.85</v>
      </c>
      <c r="D671" s="26"/>
      <c r="H671" s="11" t="str">
        <f t="shared" si="22"/>
        <v>3rd Pay Period ending 30/8/2022</v>
      </c>
      <c r="I671" s="11"/>
      <c r="M671" s="10">
        <v>18862</v>
      </c>
      <c r="T671" s="35">
        <f t="shared" si="23"/>
        <v>0</v>
      </c>
    </row>
    <row r="672" spans="1:20" ht="12.75" customHeight="1" x14ac:dyDescent="0.25">
      <c r="A672" s="105" t="s">
        <v>206</v>
      </c>
      <c r="B672"/>
      <c r="C672" s="10">
        <v>4033.85</v>
      </c>
      <c r="D672" s="26"/>
      <c r="H672" s="11" t="str">
        <f t="shared" si="22"/>
        <v>3rd Pay Period ending 30/8/2022</v>
      </c>
      <c r="I672" s="11"/>
      <c r="M672" s="10">
        <v>18969</v>
      </c>
      <c r="T672" s="35">
        <f t="shared" si="23"/>
        <v>0</v>
      </c>
    </row>
    <row r="673" spans="1:20" ht="12.75" customHeight="1" x14ac:dyDescent="0.25">
      <c r="A673" s="105" t="s">
        <v>206</v>
      </c>
      <c r="B673"/>
      <c r="C673" s="10">
        <v>6148.2</v>
      </c>
      <c r="D673" s="26"/>
      <c r="H673" s="11" t="str">
        <f t="shared" si="22"/>
        <v>3rd Pay Period ending 30/8/2022</v>
      </c>
      <c r="I673" s="11"/>
      <c r="M673" s="10">
        <v>18886</v>
      </c>
      <c r="T673" s="35">
        <f t="shared" si="23"/>
        <v>0</v>
      </c>
    </row>
    <row r="674" spans="1:20" ht="12.75" customHeight="1" x14ac:dyDescent="0.25">
      <c r="A674" s="105" t="s">
        <v>206</v>
      </c>
      <c r="B674"/>
      <c r="C674" s="10">
        <v>1766.31</v>
      </c>
      <c r="D674" s="26"/>
      <c r="H674" s="11" t="str">
        <f t="shared" si="22"/>
        <v>3rd Pay Period ending 30/8/2022</v>
      </c>
      <c r="I674" s="11"/>
      <c r="M674" s="10">
        <v>18968</v>
      </c>
      <c r="T674" s="35">
        <f t="shared" si="23"/>
        <v>0</v>
      </c>
    </row>
    <row r="675" spans="1:20" ht="12.75" customHeight="1" x14ac:dyDescent="0.25">
      <c r="A675" s="105" t="s">
        <v>206</v>
      </c>
      <c r="B675"/>
      <c r="C675" s="10">
        <v>2877.64</v>
      </c>
      <c r="D675" s="26"/>
      <c r="H675" s="11" t="str">
        <f t="shared" si="22"/>
        <v>3rd Pay Period ending 30/8/2022</v>
      </c>
      <c r="I675" s="11"/>
      <c r="M675" s="10">
        <v>18853</v>
      </c>
      <c r="T675" s="35">
        <f t="shared" si="23"/>
        <v>0</v>
      </c>
    </row>
    <row r="676" spans="1:20" ht="12.75" customHeight="1" x14ac:dyDescent="0.25">
      <c r="A676" s="105" t="s">
        <v>206</v>
      </c>
      <c r="B676"/>
      <c r="C676" s="10">
        <v>2066.15</v>
      </c>
      <c r="D676" s="26"/>
      <c r="H676" s="11" t="str">
        <f t="shared" si="22"/>
        <v>3rd Pay Period ending 30/8/2022</v>
      </c>
      <c r="I676" s="11"/>
      <c r="M676" s="10">
        <v>18993</v>
      </c>
      <c r="T676" s="35">
        <f t="shared" si="23"/>
        <v>0</v>
      </c>
    </row>
    <row r="677" spans="1:20" ht="12.75" customHeight="1" x14ac:dyDescent="0.25">
      <c r="A677" s="105" t="s">
        <v>206</v>
      </c>
      <c r="B677"/>
      <c r="C677" s="10">
        <v>1298.26</v>
      </c>
      <c r="D677" s="26"/>
      <c r="H677" s="11" t="str">
        <f t="shared" si="22"/>
        <v>3rd Pay Period ending 30/8/2022</v>
      </c>
      <c r="I677" s="11"/>
      <c r="M677" s="10">
        <v>18550</v>
      </c>
      <c r="T677" s="35">
        <f t="shared" si="23"/>
        <v>0</v>
      </c>
    </row>
    <row r="678" spans="1:20" ht="12.75" customHeight="1" x14ac:dyDescent="0.25">
      <c r="A678" s="105" t="s">
        <v>206</v>
      </c>
      <c r="B678"/>
      <c r="C678" s="10">
        <v>2002</v>
      </c>
      <c r="D678" s="26"/>
      <c r="H678" s="11" t="str">
        <f t="shared" si="22"/>
        <v>3rd Pay Period ending 30/8/2022</v>
      </c>
      <c r="I678" s="11"/>
      <c r="M678" s="10">
        <v>19025</v>
      </c>
      <c r="T678" s="35">
        <f t="shared" si="23"/>
        <v>0</v>
      </c>
    </row>
    <row r="679" spans="1:20" ht="12.75" customHeight="1" x14ac:dyDescent="0.25">
      <c r="A679" s="105" t="s">
        <v>206</v>
      </c>
      <c r="B679"/>
      <c r="C679" s="10">
        <v>536.15</v>
      </c>
      <c r="D679" s="26"/>
      <c r="H679" s="11" t="str">
        <f t="shared" si="22"/>
        <v>3rd Pay Period ending 30/8/2022</v>
      </c>
      <c r="I679" s="11"/>
      <c r="M679" s="10">
        <v>18741</v>
      </c>
      <c r="T679" s="35">
        <f t="shared" si="23"/>
        <v>0</v>
      </c>
    </row>
    <row r="680" spans="1:20" ht="12.75" customHeight="1" x14ac:dyDescent="0.25">
      <c r="A680" s="105" t="s">
        <v>206</v>
      </c>
      <c r="B680"/>
      <c r="C680" s="10">
        <v>2405.38</v>
      </c>
      <c r="D680" s="26"/>
      <c r="H680" s="11" t="str">
        <f t="shared" si="22"/>
        <v>3rd Pay Period ending 30/8/2022</v>
      </c>
      <c r="I680" s="11"/>
      <c r="M680" s="10">
        <v>19003</v>
      </c>
      <c r="T680" s="35">
        <f t="shared" si="23"/>
        <v>0</v>
      </c>
    </row>
    <row r="681" spans="1:20" ht="12.75" customHeight="1" x14ac:dyDescent="0.25">
      <c r="A681" s="105" t="s">
        <v>206</v>
      </c>
      <c r="B681"/>
      <c r="C681" s="10">
        <v>1900.31</v>
      </c>
      <c r="D681" s="26"/>
      <c r="H681" s="11" t="str">
        <f t="shared" si="22"/>
        <v>3rd Pay Period ending 30/8/2022</v>
      </c>
      <c r="I681" s="11"/>
      <c r="M681" s="10">
        <v>18619</v>
      </c>
      <c r="T681" s="35">
        <f t="shared" si="23"/>
        <v>0</v>
      </c>
    </row>
    <row r="682" spans="1:20" ht="12.75" customHeight="1" x14ac:dyDescent="0.25">
      <c r="A682" s="105" t="s">
        <v>206</v>
      </c>
      <c r="B682"/>
      <c r="C682" s="10">
        <v>1953.7</v>
      </c>
      <c r="D682" s="26"/>
      <c r="H682" s="11" t="str">
        <f t="shared" si="22"/>
        <v>3rd Pay Period ending 30/8/2022</v>
      </c>
      <c r="I682" s="11"/>
      <c r="M682" s="10">
        <v>18836</v>
      </c>
      <c r="T682" s="35">
        <f t="shared" si="23"/>
        <v>0</v>
      </c>
    </row>
    <row r="683" spans="1:20" ht="12.75" customHeight="1" x14ac:dyDescent="0.25">
      <c r="A683" s="105" t="s">
        <v>206</v>
      </c>
      <c r="B683"/>
      <c r="C683" s="10">
        <v>1401.5</v>
      </c>
      <c r="D683" s="26"/>
      <c r="H683" s="11" t="str">
        <f t="shared" si="22"/>
        <v>3rd Pay Period ending 30/8/2022</v>
      </c>
      <c r="I683" s="11"/>
      <c r="M683" s="10">
        <v>18831</v>
      </c>
      <c r="T683" s="35">
        <f t="shared" si="23"/>
        <v>0</v>
      </c>
    </row>
    <row r="684" spans="1:20" ht="12.75" customHeight="1" x14ac:dyDescent="0.25">
      <c r="A684" s="105" t="s">
        <v>206</v>
      </c>
      <c r="B684"/>
      <c r="C684" s="10">
        <v>2235.61</v>
      </c>
      <c r="D684" s="26"/>
      <c r="H684" s="11" t="str">
        <f t="shared" si="22"/>
        <v>3rd Pay Period ending 30/8/2022</v>
      </c>
      <c r="I684" s="11"/>
      <c r="M684" s="10">
        <v>18866</v>
      </c>
      <c r="T684" s="35">
        <f t="shared" si="23"/>
        <v>0</v>
      </c>
    </row>
    <row r="685" spans="1:20" ht="12.75" customHeight="1" x14ac:dyDescent="0.25">
      <c r="A685" s="105" t="s">
        <v>206</v>
      </c>
      <c r="B685"/>
      <c r="C685" s="10">
        <v>1534.06</v>
      </c>
      <c r="D685" s="26"/>
      <c r="H685" s="11" t="str">
        <f t="shared" si="22"/>
        <v>3rd Pay Period ending 30/8/2022</v>
      </c>
      <c r="I685" s="11"/>
      <c r="M685" s="10">
        <v>18957</v>
      </c>
      <c r="T685" s="35">
        <f t="shared" si="23"/>
        <v>0</v>
      </c>
    </row>
    <row r="686" spans="1:20" ht="12.75" customHeight="1" x14ac:dyDescent="0.25">
      <c r="A686" s="105" t="s">
        <v>206</v>
      </c>
      <c r="B686"/>
      <c r="C686" s="10">
        <v>2112.48</v>
      </c>
      <c r="D686" s="26"/>
      <c r="H686" s="11" t="str">
        <f t="shared" si="22"/>
        <v>3rd Pay Period ending 30/8/2022</v>
      </c>
      <c r="I686" s="11"/>
      <c r="M686" s="10">
        <v>18589</v>
      </c>
      <c r="T686" s="35">
        <f t="shared" si="23"/>
        <v>0</v>
      </c>
    </row>
    <row r="687" spans="1:20" ht="12.75" customHeight="1" x14ac:dyDescent="0.25">
      <c r="A687" s="105" t="s">
        <v>206</v>
      </c>
      <c r="B687"/>
      <c r="C687" s="10">
        <v>1913.43</v>
      </c>
      <c r="D687" s="26"/>
      <c r="H687" s="11" t="str">
        <f t="shared" si="22"/>
        <v>3rd Pay Period ending 30/8/2022</v>
      </c>
      <c r="I687" s="11"/>
      <c r="M687" s="10">
        <v>18903</v>
      </c>
      <c r="T687" s="35">
        <f t="shared" si="23"/>
        <v>0</v>
      </c>
    </row>
    <row r="688" spans="1:20" ht="12.75" customHeight="1" x14ac:dyDescent="0.25">
      <c r="A688" s="105" t="s">
        <v>206</v>
      </c>
      <c r="B688"/>
      <c r="C688" s="10">
        <v>668.58</v>
      </c>
      <c r="D688" s="26"/>
      <c r="H688" s="11" t="str">
        <f t="shared" si="22"/>
        <v>3rd Pay Period ending 30/8/2022</v>
      </c>
      <c r="I688" s="11"/>
      <c r="M688" s="10">
        <v>18614</v>
      </c>
      <c r="T688" s="35">
        <f t="shared" si="23"/>
        <v>0</v>
      </c>
    </row>
    <row r="689" spans="1:20" ht="12.75" customHeight="1" x14ac:dyDescent="0.25">
      <c r="A689" s="105" t="s">
        <v>206</v>
      </c>
      <c r="B689"/>
      <c r="C689" s="10">
        <v>1593.33</v>
      </c>
      <c r="D689" s="26"/>
      <c r="H689" s="11" t="str">
        <f t="shared" si="22"/>
        <v>3rd Pay Period ending 30/8/2022</v>
      </c>
      <c r="I689" s="11"/>
      <c r="M689" s="10">
        <v>18891</v>
      </c>
      <c r="T689" s="35">
        <f t="shared" si="23"/>
        <v>0</v>
      </c>
    </row>
    <row r="690" spans="1:20" ht="12.75" customHeight="1" x14ac:dyDescent="0.25">
      <c r="A690" s="105" t="s">
        <v>206</v>
      </c>
      <c r="B690"/>
      <c r="C690" s="10">
        <v>1594.06</v>
      </c>
      <c r="D690" s="26"/>
      <c r="H690" s="11" t="str">
        <f t="shared" si="22"/>
        <v>3rd Pay Period ending 30/8/2022</v>
      </c>
      <c r="I690" s="11"/>
      <c r="M690" s="10">
        <v>18631</v>
      </c>
      <c r="T690" s="35">
        <f t="shared" si="23"/>
        <v>0</v>
      </c>
    </row>
    <row r="691" spans="1:20" ht="12.75" customHeight="1" x14ac:dyDescent="0.25">
      <c r="A691" s="105" t="s">
        <v>206</v>
      </c>
      <c r="B691"/>
      <c r="C691" s="10">
        <v>1389.23</v>
      </c>
      <c r="D691" s="26"/>
      <c r="H691" s="11" t="str">
        <f t="shared" si="22"/>
        <v>3rd Pay Period ending 30/8/2022</v>
      </c>
      <c r="I691" s="11"/>
      <c r="M691" s="10">
        <v>18954</v>
      </c>
      <c r="T691" s="35">
        <f t="shared" si="23"/>
        <v>0</v>
      </c>
    </row>
    <row r="692" spans="1:20" ht="12.75" customHeight="1" x14ac:dyDescent="0.25">
      <c r="A692" s="105" t="s">
        <v>206</v>
      </c>
      <c r="B692"/>
      <c r="C692" s="10">
        <v>2230.62</v>
      </c>
      <c r="D692" s="26"/>
      <c r="H692" s="11" t="str">
        <f t="shared" si="22"/>
        <v>3rd Pay Period ending 30/8/2022</v>
      </c>
      <c r="I692" s="11"/>
      <c r="M692" s="10">
        <v>18879</v>
      </c>
      <c r="T692" s="35">
        <f t="shared" si="23"/>
        <v>0</v>
      </c>
    </row>
    <row r="693" spans="1:20" ht="12.75" customHeight="1" x14ac:dyDescent="0.25">
      <c r="A693" s="105" t="s">
        <v>206</v>
      </c>
      <c r="B693"/>
      <c r="C693" s="10">
        <v>1044.0899999999999</v>
      </c>
      <c r="D693" s="26"/>
      <c r="H693" s="11" t="str">
        <f t="shared" si="22"/>
        <v>3rd Pay Period ending 30/8/2022</v>
      </c>
      <c r="I693" s="11"/>
      <c r="M693" s="10">
        <v>18</v>
      </c>
      <c r="T693" s="35">
        <f t="shared" si="23"/>
        <v>0</v>
      </c>
    </row>
    <row r="694" spans="1:20" ht="12.75" customHeight="1" x14ac:dyDescent="0.25">
      <c r="A694" s="105" t="s">
        <v>206</v>
      </c>
      <c r="B694"/>
      <c r="C694" s="10">
        <v>1918.6</v>
      </c>
      <c r="D694" s="26"/>
      <c r="H694" s="11" t="str">
        <f t="shared" si="22"/>
        <v>3rd Pay Period ending 30/8/2022</v>
      </c>
      <c r="I694" s="11"/>
      <c r="M694" s="10">
        <v>19000</v>
      </c>
      <c r="T694" s="35">
        <f t="shared" si="23"/>
        <v>0</v>
      </c>
    </row>
    <row r="695" spans="1:20" ht="12.75" customHeight="1" x14ac:dyDescent="0.25">
      <c r="A695" s="105" t="s">
        <v>206</v>
      </c>
      <c r="B695"/>
      <c r="C695" s="10">
        <v>2170.39</v>
      </c>
      <c r="D695" s="26"/>
      <c r="H695" s="11" t="str">
        <f t="shared" si="22"/>
        <v>3rd Pay Period ending 30/8/2022</v>
      </c>
      <c r="I695" s="11"/>
      <c r="M695" s="10">
        <v>19013</v>
      </c>
      <c r="T695" s="35">
        <f t="shared" si="23"/>
        <v>0</v>
      </c>
    </row>
    <row r="696" spans="1:20" ht="12.75" customHeight="1" x14ac:dyDescent="0.25">
      <c r="A696" s="105" t="s">
        <v>206</v>
      </c>
      <c r="B696"/>
      <c r="C696" s="10">
        <v>1418.9</v>
      </c>
      <c r="D696" s="26"/>
      <c r="H696" s="11" t="str">
        <f t="shared" si="22"/>
        <v>3rd Pay Period ending 30/8/2022</v>
      </c>
      <c r="I696" s="11"/>
      <c r="M696" s="10">
        <v>18630</v>
      </c>
      <c r="T696" s="35">
        <f t="shared" si="23"/>
        <v>0</v>
      </c>
    </row>
    <row r="697" spans="1:20" ht="12.75" customHeight="1" x14ac:dyDescent="0.25">
      <c r="A697" s="105" t="s">
        <v>206</v>
      </c>
      <c r="B697"/>
      <c r="C697" s="10">
        <v>799.48</v>
      </c>
      <c r="D697" s="26"/>
      <c r="H697" s="11" t="str">
        <f t="shared" si="22"/>
        <v>3rd Pay Period ending 30/8/2022</v>
      </c>
      <c r="I697" s="11"/>
      <c r="M697" s="10">
        <v>18960</v>
      </c>
      <c r="T697" s="35">
        <f t="shared" si="23"/>
        <v>0</v>
      </c>
    </row>
    <row r="698" spans="1:20" ht="12.75" customHeight="1" x14ac:dyDescent="0.25">
      <c r="A698" s="105" t="s">
        <v>206</v>
      </c>
      <c r="B698"/>
      <c r="C698" s="10">
        <v>12463.37</v>
      </c>
      <c r="D698" s="26"/>
      <c r="H698" s="11" t="str">
        <f t="shared" si="22"/>
        <v>3rd Pay Period ending 30/8/2022</v>
      </c>
      <c r="I698" s="11"/>
      <c r="M698" s="10">
        <v>346</v>
      </c>
      <c r="T698" s="35">
        <f t="shared" si="23"/>
        <v>0</v>
      </c>
    </row>
    <row r="699" spans="1:20" ht="12.75" customHeight="1" x14ac:dyDescent="0.25">
      <c r="A699" s="105" t="s">
        <v>206</v>
      </c>
      <c r="B699"/>
      <c r="C699" s="10">
        <v>1648.43</v>
      </c>
      <c r="D699" s="26"/>
      <c r="H699" s="11" t="str">
        <f t="shared" si="22"/>
        <v>3rd Pay Period ending 30/8/2022</v>
      </c>
      <c r="I699" s="11"/>
      <c r="M699" s="10">
        <v>18894</v>
      </c>
      <c r="T699" s="35">
        <f t="shared" si="23"/>
        <v>0</v>
      </c>
    </row>
    <row r="700" spans="1:20" ht="12.75" customHeight="1" x14ac:dyDescent="0.25">
      <c r="A700" s="105" t="s">
        <v>206</v>
      </c>
      <c r="B700"/>
      <c r="C700" s="10">
        <v>2380.1799999999998</v>
      </c>
      <c r="D700" s="26"/>
      <c r="H700" s="11" t="str">
        <f t="shared" si="22"/>
        <v>3rd Pay Period ending 30/8/2022</v>
      </c>
      <c r="I700" s="11"/>
      <c r="M700" s="10">
        <v>18967</v>
      </c>
      <c r="T700" s="35">
        <f t="shared" si="23"/>
        <v>0</v>
      </c>
    </row>
    <row r="701" spans="1:20" ht="12.75" customHeight="1" x14ac:dyDescent="0.25">
      <c r="A701" s="105" t="s">
        <v>206</v>
      </c>
      <c r="B701"/>
      <c r="C701" s="10">
        <v>1863.62</v>
      </c>
      <c r="D701" s="26"/>
      <c r="H701" s="11" t="str">
        <f t="shared" si="22"/>
        <v>3rd Pay Period ending 30/8/2022</v>
      </c>
      <c r="I701" s="11"/>
      <c r="M701" s="10">
        <v>18733</v>
      </c>
      <c r="T701" s="35">
        <f t="shared" si="23"/>
        <v>0</v>
      </c>
    </row>
    <row r="702" spans="1:20" ht="12.75" customHeight="1" x14ac:dyDescent="0.25">
      <c r="A702" s="105" t="s">
        <v>206</v>
      </c>
      <c r="B702">
        <v>465.54</v>
      </c>
      <c r="C702" s="10"/>
      <c r="D702" s="26"/>
      <c r="H702" s="11" t="str">
        <f t="shared" si="22"/>
        <v>3rd Pay Period ending 30/8/2022</v>
      </c>
      <c r="I702" s="11"/>
      <c r="M702" s="10">
        <v>18911</v>
      </c>
      <c r="T702" s="35">
        <f t="shared" si="23"/>
        <v>46.554000000000002</v>
      </c>
    </row>
    <row r="703" spans="1:20" ht="12.75" customHeight="1" x14ac:dyDescent="0.25">
      <c r="A703" s="105" t="s">
        <v>206</v>
      </c>
      <c r="B703"/>
      <c r="C703" s="10">
        <v>2176.9899999999998</v>
      </c>
      <c r="D703" s="26"/>
      <c r="H703" s="11" t="str">
        <f t="shared" si="22"/>
        <v>3rd Pay Period ending 30/8/2022</v>
      </c>
      <c r="I703" s="11"/>
      <c r="M703" s="10">
        <v>18781</v>
      </c>
      <c r="T703" s="35">
        <f t="shared" si="23"/>
        <v>0</v>
      </c>
    </row>
    <row r="704" spans="1:20" ht="12.75" customHeight="1" x14ac:dyDescent="0.25">
      <c r="A704" s="105" t="s">
        <v>206</v>
      </c>
      <c r="B704"/>
      <c r="C704" s="10">
        <v>1650.24</v>
      </c>
      <c r="D704" s="26"/>
      <c r="H704" s="11" t="str">
        <f t="shared" si="22"/>
        <v>3rd Pay Period ending 30/8/2022</v>
      </c>
      <c r="I704" s="11"/>
      <c r="M704" s="10">
        <v>18659</v>
      </c>
      <c r="T704" s="35">
        <f t="shared" si="23"/>
        <v>0</v>
      </c>
    </row>
    <row r="705" spans="1:20" ht="12.75" customHeight="1" x14ac:dyDescent="0.25">
      <c r="A705" s="105" t="s">
        <v>206</v>
      </c>
      <c r="B705"/>
      <c r="C705" s="10">
        <v>368.21</v>
      </c>
      <c r="D705" s="26"/>
      <c r="H705" s="11" t="str">
        <f t="shared" si="22"/>
        <v>3rd Pay Period ending 30/8/2022</v>
      </c>
      <c r="I705" s="11"/>
      <c r="M705" s="10">
        <v>19033</v>
      </c>
      <c r="T705" s="35">
        <f t="shared" si="23"/>
        <v>0</v>
      </c>
    </row>
    <row r="706" spans="1:20" ht="12.75" customHeight="1" x14ac:dyDescent="0.25">
      <c r="A706" s="105" t="s">
        <v>206</v>
      </c>
      <c r="B706"/>
      <c r="C706" s="10">
        <v>3514.04</v>
      </c>
      <c r="D706" s="26"/>
      <c r="H706" s="11" t="str">
        <f t="shared" si="22"/>
        <v>3rd Pay Period ending 30/8/2022</v>
      </c>
      <c r="I706" s="11"/>
      <c r="M706" s="10">
        <v>18559</v>
      </c>
      <c r="T706" s="35">
        <f t="shared" si="23"/>
        <v>0</v>
      </c>
    </row>
    <row r="707" spans="1:20" ht="12.75" customHeight="1" x14ac:dyDescent="0.25">
      <c r="A707" s="105" t="s">
        <v>206</v>
      </c>
      <c r="B707"/>
      <c r="C707" s="10">
        <v>2128.8200000000002</v>
      </c>
      <c r="D707" s="26"/>
      <c r="H707" s="11" t="str">
        <f t="shared" ref="H707:H770" si="24">$K$1</f>
        <v>3rd Pay Period ending 30/8/2022</v>
      </c>
      <c r="I707" s="11"/>
      <c r="M707" s="10">
        <v>18687</v>
      </c>
      <c r="T707" s="35">
        <f t="shared" si="23"/>
        <v>0</v>
      </c>
    </row>
    <row r="708" spans="1:20" ht="12.75" customHeight="1" x14ac:dyDescent="0.25">
      <c r="A708" s="105" t="s">
        <v>206</v>
      </c>
      <c r="B708"/>
      <c r="C708" s="10">
        <v>1613.83</v>
      </c>
      <c r="D708" s="26"/>
      <c r="H708" s="11" t="str">
        <f t="shared" si="24"/>
        <v>3rd Pay Period ending 30/8/2022</v>
      </c>
      <c r="I708" s="11"/>
      <c r="M708" s="10">
        <v>18892</v>
      </c>
      <c r="T708" s="35">
        <f t="shared" si="23"/>
        <v>0</v>
      </c>
    </row>
    <row r="709" spans="1:20" ht="12.75" customHeight="1" x14ac:dyDescent="0.25">
      <c r="A709" s="105" t="s">
        <v>206</v>
      </c>
      <c r="B709"/>
      <c r="C709" s="10">
        <v>1024.69</v>
      </c>
      <c r="D709" s="26"/>
      <c r="H709" s="11" t="str">
        <f t="shared" si="24"/>
        <v>3rd Pay Period ending 30/8/2022</v>
      </c>
      <c r="I709" s="11"/>
      <c r="M709" s="10">
        <v>141</v>
      </c>
      <c r="T709" s="35">
        <f t="shared" ref="T709:T772" si="25">B709/10*$V$1</f>
        <v>0</v>
      </c>
    </row>
    <row r="710" spans="1:20" ht="12.75" customHeight="1" x14ac:dyDescent="0.25">
      <c r="A710" s="22" t="s">
        <v>206</v>
      </c>
      <c r="B710"/>
      <c r="C710" s="10">
        <v>1752.68</v>
      </c>
      <c r="D710" s="26"/>
      <c r="H710" s="11" t="str">
        <f t="shared" si="24"/>
        <v>3rd Pay Period ending 30/8/2022</v>
      </c>
      <c r="I710" s="11"/>
      <c r="M710" s="10">
        <v>18961</v>
      </c>
      <c r="T710" s="35">
        <f t="shared" si="25"/>
        <v>0</v>
      </c>
    </row>
    <row r="711" spans="1:20" ht="12.75" customHeight="1" x14ac:dyDescent="0.25">
      <c r="A711" s="22" t="s">
        <v>206</v>
      </c>
      <c r="B711"/>
      <c r="C711" s="10">
        <v>1867.17</v>
      </c>
      <c r="D711" s="26"/>
      <c r="H711" s="11" t="str">
        <f t="shared" si="24"/>
        <v>3rd Pay Period ending 30/8/2022</v>
      </c>
      <c r="I711" s="11"/>
      <c r="M711" s="10">
        <v>145</v>
      </c>
      <c r="T711" s="35">
        <f t="shared" si="25"/>
        <v>0</v>
      </c>
    </row>
    <row r="712" spans="1:20" ht="12.75" customHeight="1" x14ac:dyDescent="0.25">
      <c r="A712" s="22" t="s">
        <v>206</v>
      </c>
      <c r="B712"/>
      <c r="C712" s="10">
        <v>1806.92</v>
      </c>
      <c r="D712" s="26"/>
      <c r="H712" s="11" t="str">
        <f t="shared" si="24"/>
        <v>3rd Pay Period ending 30/8/2022</v>
      </c>
      <c r="I712" s="11"/>
      <c r="M712" s="10">
        <v>11229</v>
      </c>
      <c r="T712" s="35">
        <f t="shared" si="25"/>
        <v>0</v>
      </c>
    </row>
    <row r="713" spans="1:20" ht="12.75" customHeight="1" x14ac:dyDescent="0.25">
      <c r="A713" s="22" t="s">
        <v>206</v>
      </c>
      <c r="B713"/>
      <c r="C713" s="10">
        <v>1887.16</v>
      </c>
      <c r="D713" s="26"/>
      <c r="H713" s="11" t="str">
        <f t="shared" si="24"/>
        <v>3rd Pay Period ending 30/8/2022</v>
      </c>
      <c r="I713" s="11"/>
      <c r="M713" s="10">
        <v>18999</v>
      </c>
      <c r="T713" s="35">
        <f t="shared" si="25"/>
        <v>0</v>
      </c>
    </row>
    <row r="714" spans="1:20" ht="12.75" customHeight="1" x14ac:dyDescent="0.25">
      <c r="A714" s="22" t="s">
        <v>206</v>
      </c>
      <c r="B714"/>
      <c r="C714" s="10">
        <v>1536.5</v>
      </c>
      <c r="D714" s="26"/>
      <c r="H714" s="11" t="str">
        <f t="shared" si="24"/>
        <v>3rd Pay Period ending 30/8/2022</v>
      </c>
      <c r="I714" s="11"/>
      <c r="M714" s="10">
        <v>19007</v>
      </c>
      <c r="T714" s="35">
        <f t="shared" si="25"/>
        <v>0</v>
      </c>
    </row>
    <row r="715" spans="1:20" ht="12.75" customHeight="1" x14ac:dyDescent="0.25">
      <c r="A715" s="22" t="s">
        <v>206</v>
      </c>
      <c r="B715"/>
      <c r="C715" s="10">
        <v>1816.54</v>
      </c>
      <c r="D715" s="26"/>
      <c r="H715" s="11" t="str">
        <f t="shared" si="24"/>
        <v>3rd Pay Period ending 30/8/2022</v>
      </c>
      <c r="I715" s="11"/>
      <c r="M715" s="10">
        <v>19016</v>
      </c>
      <c r="T715" s="35">
        <f t="shared" si="25"/>
        <v>0</v>
      </c>
    </row>
    <row r="716" spans="1:20" ht="12.75" customHeight="1" x14ac:dyDescent="0.25">
      <c r="A716" s="22" t="s">
        <v>206</v>
      </c>
      <c r="B716"/>
      <c r="C716" s="10">
        <v>893.54</v>
      </c>
      <c r="D716" s="26"/>
      <c r="H716" s="11" t="str">
        <f t="shared" si="24"/>
        <v>3rd Pay Period ending 30/8/2022</v>
      </c>
      <c r="I716" s="11"/>
      <c r="M716" s="10">
        <v>19032</v>
      </c>
      <c r="T716" s="35">
        <f t="shared" si="25"/>
        <v>0</v>
      </c>
    </row>
    <row r="717" spans="1:20" ht="12.75" customHeight="1" x14ac:dyDescent="0.25">
      <c r="A717" s="22" t="s">
        <v>206</v>
      </c>
      <c r="B717"/>
      <c r="C717" s="10">
        <v>2019.01</v>
      </c>
      <c r="D717" s="26"/>
      <c r="H717" s="11" t="str">
        <f t="shared" si="24"/>
        <v>3rd Pay Period ending 30/8/2022</v>
      </c>
      <c r="I717" s="11"/>
      <c r="M717" s="10">
        <v>18974</v>
      </c>
      <c r="T717" s="35">
        <f t="shared" si="25"/>
        <v>0</v>
      </c>
    </row>
    <row r="718" spans="1:20" ht="12.75" customHeight="1" x14ac:dyDescent="0.25">
      <c r="A718" s="22" t="s">
        <v>206</v>
      </c>
      <c r="B718"/>
      <c r="C718" s="10">
        <v>896.27</v>
      </c>
      <c r="D718" s="26"/>
      <c r="H718" s="11" t="str">
        <f t="shared" si="24"/>
        <v>3rd Pay Period ending 30/8/2022</v>
      </c>
      <c r="I718" s="11"/>
      <c r="M718" s="10">
        <v>19026</v>
      </c>
      <c r="T718" s="35">
        <f t="shared" si="25"/>
        <v>0</v>
      </c>
    </row>
    <row r="719" spans="1:20" ht="12.75" customHeight="1" x14ac:dyDescent="0.25">
      <c r="A719" s="22" t="s">
        <v>206</v>
      </c>
      <c r="B719"/>
      <c r="C719" s="10">
        <v>691.49</v>
      </c>
      <c r="D719" s="26"/>
      <c r="H719" s="11" t="str">
        <f t="shared" si="24"/>
        <v>3rd Pay Period ending 30/8/2022</v>
      </c>
      <c r="I719" s="11"/>
      <c r="M719" s="10">
        <v>19002</v>
      </c>
      <c r="T719" s="35">
        <f t="shared" si="25"/>
        <v>0</v>
      </c>
    </row>
    <row r="720" spans="1:20" ht="12.75" customHeight="1" x14ac:dyDescent="0.25">
      <c r="A720" s="22" t="s">
        <v>206</v>
      </c>
      <c r="B720"/>
      <c r="C720" s="10">
        <v>3762.77</v>
      </c>
      <c r="D720" s="26"/>
      <c r="H720" s="11" t="str">
        <f t="shared" si="24"/>
        <v>3rd Pay Period ending 30/8/2022</v>
      </c>
      <c r="I720" s="11"/>
      <c r="M720" s="10">
        <v>18962</v>
      </c>
      <c r="T720" s="35">
        <f t="shared" si="25"/>
        <v>0</v>
      </c>
    </row>
    <row r="721" spans="1:20" ht="12.75" customHeight="1" x14ac:dyDescent="0.25">
      <c r="A721" s="22" t="s">
        <v>206</v>
      </c>
      <c r="B721"/>
      <c r="C721" s="10">
        <v>1907.33</v>
      </c>
      <c r="D721" s="26"/>
      <c r="H721" s="11" t="str">
        <f t="shared" si="24"/>
        <v>3rd Pay Period ending 30/8/2022</v>
      </c>
      <c r="I721" s="11"/>
      <c r="M721" s="10">
        <v>19006</v>
      </c>
      <c r="T721" s="35">
        <f t="shared" si="25"/>
        <v>0</v>
      </c>
    </row>
    <row r="722" spans="1:20" ht="12.75" customHeight="1" x14ac:dyDescent="0.25">
      <c r="A722" s="22" t="s">
        <v>206</v>
      </c>
      <c r="B722"/>
      <c r="C722" s="10">
        <v>1435.89</v>
      </c>
      <c r="D722" s="26"/>
      <c r="H722" s="11" t="str">
        <f t="shared" si="24"/>
        <v>3rd Pay Period ending 30/8/2022</v>
      </c>
      <c r="I722" s="11"/>
      <c r="M722" s="10">
        <v>18973</v>
      </c>
      <c r="T722" s="35">
        <f t="shared" si="25"/>
        <v>0</v>
      </c>
    </row>
    <row r="723" spans="1:20" ht="12.75" customHeight="1" x14ac:dyDescent="0.25">
      <c r="A723" s="22" t="s">
        <v>206</v>
      </c>
      <c r="B723"/>
      <c r="C723" s="10">
        <v>1708.43</v>
      </c>
      <c r="D723" s="26"/>
      <c r="H723" s="11" t="str">
        <f t="shared" si="24"/>
        <v>3rd Pay Period ending 30/8/2022</v>
      </c>
      <c r="I723" s="11"/>
      <c r="M723" s="10">
        <v>19021</v>
      </c>
      <c r="T723" s="35">
        <f t="shared" si="25"/>
        <v>0</v>
      </c>
    </row>
    <row r="724" spans="1:20" ht="12.75" customHeight="1" x14ac:dyDescent="0.25">
      <c r="A724" s="22" t="s">
        <v>206</v>
      </c>
      <c r="B724"/>
      <c r="C724" s="10">
        <v>2010.9</v>
      </c>
      <c r="D724" s="26"/>
      <c r="H724" s="11" t="str">
        <f t="shared" si="24"/>
        <v>3rd Pay Period ending 30/8/2022</v>
      </c>
      <c r="I724" s="11"/>
      <c r="M724" s="10">
        <v>19027</v>
      </c>
      <c r="T724" s="35">
        <f t="shared" si="25"/>
        <v>0</v>
      </c>
    </row>
    <row r="725" spans="1:20" ht="12.75" customHeight="1" x14ac:dyDescent="0.25">
      <c r="A725" s="22" t="s">
        <v>206</v>
      </c>
      <c r="B725"/>
      <c r="C725" s="10">
        <v>1707.3</v>
      </c>
      <c r="D725" s="26"/>
      <c r="H725" s="11" t="str">
        <f t="shared" si="24"/>
        <v>3rd Pay Period ending 30/8/2022</v>
      </c>
      <c r="I725" s="11"/>
      <c r="M725" s="10">
        <v>18980</v>
      </c>
      <c r="T725" s="35">
        <f t="shared" si="25"/>
        <v>0</v>
      </c>
    </row>
    <row r="726" spans="1:20" ht="12.75" customHeight="1" x14ac:dyDescent="0.25">
      <c r="A726" s="22" t="s">
        <v>206</v>
      </c>
      <c r="B726"/>
      <c r="C726" s="10">
        <v>2436.6</v>
      </c>
      <c r="D726" s="26"/>
      <c r="H726" s="11" t="str">
        <f t="shared" si="24"/>
        <v>3rd Pay Period ending 30/8/2022</v>
      </c>
      <c r="I726" s="11"/>
      <c r="M726" s="10">
        <v>18581</v>
      </c>
      <c r="T726" s="35">
        <f t="shared" si="25"/>
        <v>0</v>
      </c>
    </row>
    <row r="727" spans="1:20" ht="12.75" customHeight="1" x14ac:dyDescent="0.25">
      <c r="A727" s="22" t="s">
        <v>206</v>
      </c>
      <c r="B727"/>
      <c r="C727" s="10">
        <v>3834.3</v>
      </c>
      <c r="D727" s="26"/>
      <c r="H727" s="11" t="str">
        <f t="shared" si="24"/>
        <v>3rd Pay Period ending 30/8/2022</v>
      </c>
      <c r="I727" s="11"/>
      <c r="M727" s="10">
        <v>44705</v>
      </c>
      <c r="T727" s="35">
        <f t="shared" si="25"/>
        <v>0</v>
      </c>
    </row>
    <row r="728" spans="1:20" ht="12.75" customHeight="1" x14ac:dyDescent="0.25">
      <c r="A728" s="22" t="s">
        <v>206</v>
      </c>
      <c r="B728"/>
      <c r="C728" s="10">
        <v>4016.37</v>
      </c>
      <c r="D728" s="26"/>
      <c r="H728" s="11" t="str">
        <f t="shared" si="24"/>
        <v>3rd Pay Period ending 30/8/2022</v>
      </c>
      <c r="I728" s="11"/>
      <c r="M728" s="10">
        <v>18945</v>
      </c>
      <c r="T728" s="35">
        <f t="shared" si="25"/>
        <v>0</v>
      </c>
    </row>
    <row r="729" spans="1:20" ht="12.75" customHeight="1" x14ac:dyDescent="0.25">
      <c r="A729" s="22" t="s">
        <v>206</v>
      </c>
      <c r="B729"/>
      <c r="C729" s="10">
        <v>1745.08</v>
      </c>
      <c r="D729" s="26"/>
      <c r="H729" s="11" t="str">
        <f t="shared" si="24"/>
        <v>3rd Pay Period ending 30/8/2022</v>
      </c>
      <c r="I729" s="11"/>
      <c r="M729" s="10">
        <v>18982</v>
      </c>
      <c r="T729" s="35">
        <f t="shared" si="25"/>
        <v>0</v>
      </c>
    </row>
    <row r="730" spans="1:20" ht="12.75" customHeight="1" x14ac:dyDescent="0.25">
      <c r="A730" s="22" t="s">
        <v>206</v>
      </c>
      <c r="B730"/>
      <c r="C730" s="10">
        <v>1646.92</v>
      </c>
      <c r="D730" s="26"/>
      <c r="H730" s="11" t="str">
        <f t="shared" si="24"/>
        <v>3rd Pay Period ending 30/8/2022</v>
      </c>
      <c r="I730" s="11"/>
      <c r="M730" s="10">
        <v>18805</v>
      </c>
      <c r="T730" s="35">
        <f t="shared" si="25"/>
        <v>0</v>
      </c>
    </row>
    <row r="731" spans="1:20" ht="12.75" customHeight="1" x14ac:dyDescent="0.25">
      <c r="A731" s="22" t="s">
        <v>206</v>
      </c>
      <c r="B731"/>
      <c r="C731" s="10">
        <v>1862.54</v>
      </c>
      <c r="D731" s="26"/>
      <c r="H731" s="11" t="str">
        <f t="shared" si="24"/>
        <v>3rd Pay Period ending 30/8/2022</v>
      </c>
      <c r="I731" s="11"/>
      <c r="M731" s="10">
        <v>302</v>
      </c>
      <c r="T731" s="35">
        <f t="shared" si="25"/>
        <v>0</v>
      </c>
    </row>
    <row r="732" spans="1:20" ht="12.75" customHeight="1" x14ac:dyDescent="0.25">
      <c r="A732" s="22" t="s">
        <v>206</v>
      </c>
      <c r="B732"/>
      <c r="C732" s="10">
        <v>1518.46</v>
      </c>
      <c r="D732" s="26"/>
      <c r="H732" s="11" t="str">
        <f t="shared" si="24"/>
        <v>3rd Pay Period ending 30/8/2022</v>
      </c>
      <c r="I732" s="11"/>
      <c r="M732" s="10">
        <v>18841</v>
      </c>
      <c r="T732" s="35">
        <f t="shared" si="25"/>
        <v>0</v>
      </c>
    </row>
    <row r="733" spans="1:20" ht="12.75" customHeight="1" x14ac:dyDescent="0.25">
      <c r="A733" s="22" t="s">
        <v>206</v>
      </c>
      <c r="B733"/>
      <c r="C733" s="10">
        <v>1987.8</v>
      </c>
      <c r="D733" s="26"/>
      <c r="H733" s="11" t="str">
        <f t="shared" si="24"/>
        <v>3rd Pay Period ending 30/8/2022</v>
      </c>
      <c r="I733" s="11"/>
      <c r="M733" s="10">
        <v>266</v>
      </c>
      <c r="T733" s="35">
        <f t="shared" si="25"/>
        <v>0</v>
      </c>
    </row>
    <row r="734" spans="1:20" ht="12.75" customHeight="1" x14ac:dyDescent="0.25">
      <c r="A734" s="22" t="s">
        <v>206</v>
      </c>
      <c r="B734"/>
      <c r="C734" s="10">
        <v>1852.01</v>
      </c>
      <c r="D734" s="26"/>
      <c r="H734" s="11" t="str">
        <f t="shared" si="24"/>
        <v>3rd Pay Period ending 30/8/2022</v>
      </c>
      <c r="I734" s="11"/>
      <c r="M734" s="10">
        <v>18822</v>
      </c>
      <c r="T734" s="35">
        <f t="shared" si="25"/>
        <v>0</v>
      </c>
    </row>
    <row r="735" spans="1:20" ht="12.75" customHeight="1" x14ac:dyDescent="0.25">
      <c r="A735" s="22" t="s">
        <v>206</v>
      </c>
      <c r="B735"/>
      <c r="C735" s="10">
        <v>2582.71</v>
      </c>
      <c r="D735" s="26"/>
      <c r="H735" s="11" t="str">
        <f t="shared" si="24"/>
        <v>3rd Pay Period ending 30/8/2022</v>
      </c>
      <c r="I735" s="11"/>
      <c r="M735" s="10">
        <v>18901</v>
      </c>
      <c r="T735" s="35">
        <f t="shared" si="25"/>
        <v>0</v>
      </c>
    </row>
    <row r="736" spans="1:20" ht="12.75" customHeight="1" x14ac:dyDescent="0.25">
      <c r="A736" s="22" t="s">
        <v>206</v>
      </c>
      <c r="B736"/>
      <c r="C736" s="10">
        <v>2154.09</v>
      </c>
      <c r="D736" s="26"/>
      <c r="H736" s="11" t="str">
        <f t="shared" si="24"/>
        <v>3rd Pay Period ending 30/8/2022</v>
      </c>
      <c r="I736" s="11"/>
      <c r="M736" s="10">
        <v>18918</v>
      </c>
      <c r="T736" s="35">
        <f t="shared" si="25"/>
        <v>0</v>
      </c>
    </row>
    <row r="737" spans="1:20" ht="12.75" customHeight="1" x14ac:dyDescent="0.25">
      <c r="A737" s="22" t="s">
        <v>206</v>
      </c>
      <c r="B737"/>
      <c r="C737" s="10">
        <v>1283.6400000000001</v>
      </c>
      <c r="D737" s="26"/>
      <c r="H737" s="11" t="str">
        <f t="shared" si="24"/>
        <v>3rd Pay Period ending 30/8/2022</v>
      </c>
      <c r="I737" s="11"/>
      <c r="M737" s="10">
        <v>134</v>
      </c>
      <c r="T737" s="35">
        <f t="shared" si="25"/>
        <v>0</v>
      </c>
    </row>
    <row r="738" spans="1:20" ht="12.75" customHeight="1" x14ac:dyDescent="0.25">
      <c r="A738" s="22" t="s">
        <v>206</v>
      </c>
      <c r="B738"/>
      <c r="C738" s="10">
        <v>2085.13</v>
      </c>
      <c r="D738" s="26"/>
      <c r="H738" s="11" t="str">
        <f t="shared" si="24"/>
        <v>3rd Pay Period ending 30/8/2022</v>
      </c>
      <c r="I738" s="11"/>
      <c r="M738" s="10">
        <v>18949</v>
      </c>
      <c r="T738" s="35">
        <f t="shared" si="25"/>
        <v>0</v>
      </c>
    </row>
    <row r="739" spans="1:20" ht="12.75" customHeight="1" x14ac:dyDescent="0.25">
      <c r="A739" s="22" t="s">
        <v>206</v>
      </c>
      <c r="B739"/>
      <c r="C739" s="10">
        <v>210.46</v>
      </c>
      <c r="D739" s="26"/>
      <c r="H739" s="11" t="str">
        <f t="shared" si="24"/>
        <v>3rd Pay Period ending 30/8/2022</v>
      </c>
      <c r="I739" s="11"/>
      <c r="M739" s="10">
        <v>18626</v>
      </c>
      <c r="T739" s="35">
        <f t="shared" si="25"/>
        <v>0</v>
      </c>
    </row>
    <row r="740" spans="1:20" ht="12.75" customHeight="1" x14ac:dyDescent="0.25">
      <c r="A740" s="22" t="s">
        <v>206</v>
      </c>
      <c r="B740"/>
      <c r="C740" s="10">
        <v>2054.2600000000002</v>
      </c>
      <c r="D740" s="26"/>
      <c r="H740" s="11" t="str">
        <f t="shared" si="24"/>
        <v>3rd Pay Period ending 30/8/2022</v>
      </c>
      <c r="I740" s="11"/>
      <c r="M740" s="10">
        <v>18827</v>
      </c>
      <c r="T740" s="35">
        <f t="shared" si="25"/>
        <v>0</v>
      </c>
    </row>
    <row r="741" spans="1:20" ht="12.75" customHeight="1" x14ac:dyDescent="0.25">
      <c r="A741" s="22" t="s">
        <v>206</v>
      </c>
      <c r="B741"/>
      <c r="C741" s="10">
        <v>1574.21</v>
      </c>
      <c r="D741" s="26"/>
      <c r="H741" s="11" t="str">
        <f t="shared" si="24"/>
        <v>3rd Pay Period ending 30/8/2022</v>
      </c>
      <c r="I741" s="11"/>
      <c r="M741" s="10">
        <v>18979</v>
      </c>
      <c r="T741" s="35">
        <f t="shared" si="25"/>
        <v>0</v>
      </c>
    </row>
    <row r="742" spans="1:20" ht="12.75" customHeight="1" x14ac:dyDescent="0.25">
      <c r="A742" s="22" t="s">
        <v>206</v>
      </c>
      <c r="B742"/>
      <c r="C742" s="10">
        <v>1716.77</v>
      </c>
      <c r="D742" s="26"/>
      <c r="H742" s="11" t="str">
        <f t="shared" si="24"/>
        <v>3rd Pay Period ending 30/8/2022</v>
      </c>
      <c r="I742" s="11"/>
      <c r="M742" s="10">
        <v>18887</v>
      </c>
      <c r="T742" s="35">
        <f t="shared" si="25"/>
        <v>0</v>
      </c>
    </row>
    <row r="743" spans="1:20" ht="12.75" customHeight="1" x14ac:dyDescent="0.25">
      <c r="A743" s="22" t="s">
        <v>206</v>
      </c>
      <c r="B743"/>
      <c r="C743" s="10">
        <v>637.16</v>
      </c>
      <c r="D743" s="26"/>
      <c r="H743" s="11" t="str">
        <f t="shared" si="24"/>
        <v>3rd Pay Period ending 30/8/2022</v>
      </c>
      <c r="I743" s="11"/>
      <c r="M743" s="10">
        <v>18929</v>
      </c>
      <c r="T743" s="35">
        <f t="shared" si="25"/>
        <v>0</v>
      </c>
    </row>
    <row r="744" spans="1:20" ht="12.75" customHeight="1" x14ac:dyDescent="0.25">
      <c r="A744" s="22" t="s">
        <v>206</v>
      </c>
      <c r="B744"/>
      <c r="C744" s="10">
        <v>1866.57</v>
      </c>
      <c r="D744" s="26"/>
      <c r="H744" s="11" t="str">
        <f t="shared" si="24"/>
        <v>3rd Pay Period ending 30/8/2022</v>
      </c>
      <c r="I744" s="11"/>
      <c r="M744" s="10">
        <v>18797</v>
      </c>
      <c r="T744" s="35">
        <f t="shared" si="25"/>
        <v>0</v>
      </c>
    </row>
    <row r="745" spans="1:20" ht="12.75" customHeight="1" x14ac:dyDescent="0.25">
      <c r="A745" s="22" t="s">
        <v>206</v>
      </c>
      <c r="B745"/>
      <c r="C745" s="10">
        <v>581.16</v>
      </c>
      <c r="D745" s="26"/>
      <c r="H745" s="11" t="str">
        <f t="shared" si="24"/>
        <v>3rd Pay Period ending 30/8/2022</v>
      </c>
      <c r="I745" s="11"/>
      <c r="M745" s="10">
        <v>18994</v>
      </c>
      <c r="T745" s="35">
        <f t="shared" si="25"/>
        <v>0</v>
      </c>
    </row>
    <row r="746" spans="1:20" ht="12.75" customHeight="1" x14ac:dyDescent="0.25">
      <c r="A746" s="22" t="s">
        <v>206</v>
      </c>
      <c r="B746"/>
      <c r="C746" s="10">
        <v>2076.38</v>
      </c>
      <c r="D746" s="26"/>
      <c r="H746" s="11" t="str">
        <f t="shared" si="24"/>
        <v>3rd Pay Period ending 30/8/2022</v>
      </c>
      <c r="I746" s="11"/>
      <c r="M746" s="10">
        <v>18692</v>
      </c>
      <c r="T746" s="35">
        <f t="shared" si="25"/>
        <v>0</v>
      </c>
    </row>
    <row r="747" spans="1:20" ht="12.75" customHeight="1" x14ac:dyDescent="0.25">
      <c r="A747" s="22" t="s">
        <v>206</v>
      </c>
      <c r="B747"/>
      <c r="C747" s="10">
        <v>1814.8</v>
      </c>
      <c r="D747" s="26"/>
      <c r="H747" s="11" t="str">
        <f t="shared" si="24"/>
        <v>3rd Pay Period ending 30/8/2022</v>
      </c>
      <c r="I747" s="11"/>
      <c r="M747" s="10">
        <v>18989</v>
      </c>
      <c r="T747" s="35">
        <f t="shared" si="25"/>
        <v>0</v>
      </c>
    </row>
    <row r="748" spans="1:20" ht="12.75" customHeight="1" x14ac:dyDescent="0.25">
      <c r="A748" s="22" t="s">
        <v>206</v>
      </c>
      <c r="B748">
        <v>194</v>
      </c>
      <c r="C748" s="10"/>
      <c r="D748" s="26"/>
      <c r="H748" s="11" t="str">
        <f t="shared" si="24"/>
        <v>3rd Pay Period ending 30/8/2022</v>
      </c>
      <c r="I748" s="11"/>
      <c r="M748" s="10">
        <v>18916</v>
      </c>
      <c r="T748" s="35">
        <f t="shared" si="25"/>
        <v>19.399999999999999</v>
      </c>
    </row>
    <row r="749" spans="1:20" ht="12.75" customHeight="1" x14ac:dyDescent="0.25">
      <c r="A749" s="22" t="s">
        <v>206</v>
      </c>
      <c r="B749"/>
      <c r="C749" s="10">
        <v>1495.75</v>
      </c>
      <c r="D749" s="26"/>
      <c r="H749" s="11" t="str">
        <f t="shared" si="24"/>
        <v>3rd Pay Period ending 30/8/2022</v>
      </c>
      <c r="I749" s="11"/>
      <c r="M749" s="10">
        <v>18736</v>
      </c>
      <c r="T749" s="35">
        <f t="shared" si="25"/>
        <v>0</v>
      </c>
    </row>
    <row r="750" spans="1:20" ht="12.75" customHeight="1" x14ac:dyDescent="0.25">
      <c r="A750" s="22" t="s">
        <v>206</v>
      </c>
      <c r="B750"/>
      <c r="C750" s="10">
        <v>1451.81</v>
      </c>
      <c r="D750" s="26"/>
      <c r="H750" s="11" t="str">
        <f t="shared" si="24"/>
        <v>3rd Pay Period ending 30/8/2022</v>
      </c>
      <c r="I750" s="11"/>
      <c r="M750" s="10">
        <v>19030</v>
      </c>
      <c r="T750" s="35">
        <f t="shared" si="25"/>
        <v>0</v>
      </c>
    </row>
    <row r="751" spans="1:20" ht="12.75" customHeight="1" x14ac:dyDescent="0.25">
      <c r="A751" s="22" t="s">
        <v>206</v>
      </c>
      <c r="B751"/>
      <c r="C751" s="10">
        <v>2054.63</v>
      </c>
      <c r="D751" s="26"/>
      <c r="H751" s="11" t="str">
        <f t="shared" si="24"/>
        <v>3rd Pay Period ending 30/8/2022</v>
      </c>
      <c r="I751" s="11"/>
      <c r="M751" s="10">
        <v>19029</v>
      </c>
      <c r="T751" s="35">
        <f t="shared" si="25"/>
        <v>0</v>
      </c>
    </row>
    <row r="752" spans="1:20" ht="12.75" customHeight="1" x14ac:dyDescent="0.25">
      <c r="A752" s="22" t="s">
        <v>206</v>
      </c>
      <c r="B752"/>
      <c r="C752" s="10">
        <v>1158.6099999999999</v>
      </c>
      <c r="D752" s="26"/>
      <c r="H752" s="11" t="str">
        <f t="shared" si="24"/>
        <v>3rd Pay Period ending 30/8/2022</v>
      </c>
      <c r="I752" s="11"/>
      <c r="M752" s="10">
        <v>19012</v>
      </c>
      <c r="T752" s="35">
        <f t="shared" si="25"/>
        <v>0</v>
      </c>
    </row>
    <row r="753" spans="1:20" ht="12.75" customHeight="1" x14ac:dyDescent="0.25">
      <c r="A753" s="22" t="s">
        <v>206</v>
      </c>
      <c r="B753"/>
      <c r="C753" s="10">
        <v>1867.16</v>
      </c>
      <c r="D753" s="26"/>
      <c r="H753" s="11" t="str">
        <f t="shared" si="24"/>
        <v>3rd Pay Period ending 30/8/2022</v>
      </c>
      <c r="I753" s="11"/>
      <c r="M753" s="10">
        <v>19009</v>
      </c>
      <c r="T753" s="35">
        <f t="shared" si="25"/>
        <v>0</v>
      </c>
    </row>
    <row r="754" spans="1:20" ht="12.75" customHeight="1" x14ac:dyDescent="0.25">
      <c r="A754" s="22" t="s">
        <v>206</v>
      </c>
      <c r="B754"/>
      <c r="C754" s="10">
        <v>2089.27</v>
      </c>
      <c r="D754" s="26"/>
      <c r="H754" s="11" t="str">
        <f t="shared" si="24"/>
        <v>3rd Pay Period ending 30/8/2022</v>
      </c>
      <c r="I754" s="11"/>
      <c r="M754" s="10">
        <v>19015</v>
      </c>
      <c r="T754" s="35">
        <f t="shared" si="25"/>
        <v>0</v>
      </c>
    </row>
    <row r="755" spans="1:20" ht="12.75" customHeight="1" x14ac:dyDescent="0.25">
      <c r="A755" s="22" t="s">
        <v>206</v>
      </c>
      <c r="B755"/>
      <c r="C755" s="10">
        <v>110.97</v>
      </c>
      <c r="D755" s="26"/>
      <c r="H755" s="11" t="str">
        <f t="shared" si="24"/>
        <v>3rd Pay Period ending 30/8/2022</v>
      </c>
      <c r="I755" s="11"/>
      <c r="M755" s="10">
        <v>18679</v>
      </c>
      <c r="T755" s="35">
        <f t="shared" si="25"/>
        <v>0</v>
      </c>
    </row>
    <row r="756" spans="1:20" ht="12.75" customHeight="1" x14ac:dyDescent="0.25">
      <c r="A756" s="22" t="s">
        <v>206</v>
      </c>
      <c r="B756"/>
      <c r="C756" s="10">
        <v>2026.66</v>
      </c>
      <c r="D756" s="26"/>
      <c r="H756" s="11" t="str">
        <f t="shared" si="24"/>
        <v>3rd Pay Period ending 30/8/2022</v>
      </c>
      <c r="I756" s="11"/>
      <c r="M756" s="10">
        <v>19019</v>
      </c>
      <c r="T756" s="35">
        <f t="shared" si="25"/>
        <v>0</v>
      </c>
    </row>
    <row r="757" spans="1:20" ht="12.75" customHeight="1" x14ac:dyDescent="0.25">
      <c r="A757" s="22" t="s">
        <v>206</v>
      </c>
      <c r="B757"/>
      <c r="C757" s="10">
        <v>1441.53</v>
      </c>
      <c r="D757" s="26"/>
      <c r="H757" s="11" t="str">
        <f t="shared" si="24"/>
        <v>3rd Pay Period ending 30/8/2022</v>
      </c>
      <c r="I757" s="11"/>
      <c r="M757" s="10">
        <v>18923</v>
      </c>
      <c r="T757" s="35">
        <f t="shared" si="25"/>
        <v>0</v>
      </c>
    </row>
    <row r="758" spans="1:20" ht="12.75" customHeight="1" x14ac:dyDescent="0.25">
      <c r="A758" s="22" t="s">
        <v>206</v>
      </c>
      <c r="B758"/>
      <c r="C758" s="10">
        <v>1216.1600000000001</v>
      </c>
      <c r="D758" s="26"/>
      <c r="H758" s="11" t="str">
        <f t="shared" si="24"/>
        <v>3rd Pay Period ending 30/8/2022</v>
      </c>
      <c r="I758" s="11"/>
      <c r="M758" s="10">
        <v>19008</v>
      </c>
      <c r="T758" s="35">
        <f t="shared" si="25"/>
        <v>0</v>
      </c>
    </row>
    <row r="759" spans="1:20" ht="12.75" customHeight="1" x14ac:dyDescent="0.25">
      <c r="A759" s="22" t="s">
        <v>206</v>
      </c>
      <c r="B759">
        <v>75.84</v>
      </c>
      <c r="C759" s="10"/>
      <c r="D759" s="26"/>
      <c r="H759" s="11" t="str">
        <f t="shared" si="24"/>
        <v>3rd Pay Period ending 30/8/2022</v>
      </c>
      <c r="I759" s="11"/>
      <c r="M759" s="10">
        <v>18983</v>
      </c>
      <c r="T759" s="35">
        <f t="shared" si="25"/>
        <v>7.5840000000000005</v>
      </c>
    </row>
    <row r="760" spans="1:20" ht="12.75" customHeight="1" x14ac:dyDescent="0.25">
      <c r="A760" s="22" t="s">
        <v>206</v>
      </c>
      <c r="B760"/>
      <c r="C760" s="10">
        <v>1938.89</v>
      </c>
      <c r="D760" s="26"/>
      <c r="H760" s="11" t="str">
        <f t="shared" si="24"/>
        <v>3rd Pay Period ending 30/8/2022</v>
      </c>
      <c r="I760" s="11"/>
      <c r="M760" s="10">
        <v>19028</v>
      </c>
      <c r="T760" s="35">
        <f t="shared" si="25"/>
        <v>0</v>
      </c>
    </row>
    <row r="761" spans="1:20" ht="12.75" customHeight="1" x14ac:dyDescent="0.25">
      <c r="A761" s="22" t="s">
        <v>206</v>
      </c>
      <c r="B761"/>
      <c r="C761" s="10">
        <v>1765.01</v>
      </c>
      <c r="D761" s="26"/>
      <c r="H761" s="11" t="str">
        <f t="shared" si="24"/>
        <v>3rd Pay Period ending 30/8/2022</v>
      </c>
      <c r="I761" s="11"/>
      <c r="M761" s="10">
        <v>19011</v>
      </c>
      <c r="T761" s="35">
        <f t="shared" si="25"/>
        <v>0</v>
      </c>
    </row>
    <row r="762" spans="1:20" ht="12.75" customHeight="1" x14ac:dyDescent="0.25">
      <c r="A762" s="22" t="s">
        <v>206</v>
      </c>
      <c r="B762"/>
      <c r="C762" s="10">
        <v>2227.85</v>
      </c>
      <c r="D762" s="26"/>
      <c r="H762" s="11" t="str">
        <f t="shared" si="24"/>
        <v>3rd Pay Period ending 30/8/2022</v>
      </c>
      <c r="I762" s="11"/>
      <c r="M762" s="10">
        <v>18932</v>
      </c>
      <c r="T762" s="35">
        <f t="shared" si="25"/>
        <v>0</v>
      </c>
    </row>
    <row r="763" spans="1:20" ht="12.75" customHeight="1" x14ac:dyDescent="0.25">
      <c r="A763" s="22" t="s">
        <v>206</v>
      </c>
      <c r="B763"/>
      <c r="C763" s="10">
        <v>1363.63</v>
      </c>
      <c r="D763" s="26"/>
      <c r="H763" s="11" t="str">
        <f t="shared" si="24"/>
        <v>3rd Pay Period ending 30/8/2022</v>
      </c>
      <c r="I763" s="11"/>
      <c r="M763" s="10">
        <v>19017</v>
      </c>
      <c r="T763" s="35">
        <f t="shared" si="25"/>
        <v>0</v>
      </c>
    </row>
    <row r="764" spans="1:20" ht="12.75" customHeight="1" x14ac:dyDescent="0.25">
      <c r="A764" s="22" t="s">
        <v>206</v>
      </c>
      <c r="B764"/>
      <c r="C764" s="10">
        <v>1919.49</v>
      </c>
      <c r="D764" s="26"/>
      <c r="H764" s="11" t="str">
        <f t="shared" si="24"/>
        <v>3rd Pay Period ending 30/8/2022</v>
      </c>
      <c r="I764" s="11"/>
      <c r="M764" s="10">
        <v>18607</v>
      </c>
      <c r="T764" s="35">
        <f t="shared" si="25"/>
        <v>0</v>
      </c>
    </row>
    <row r="765" spans="1:20" ht="12.75" customHeight="1" x14ac:dyDescent="0.25">
      <c r="A765" s="22" t="s">
        <v>206</v>
      </c>
      <c r="B765"/>
      <c r="C765" s="10">
        <v>2044.25</v>
      </c>
      <c r="D765" s="26"/>
      <c r="H765" s="11" t="str">
        <f t="shared" si="24"/>
        <v>3rd Pay Period ending 30/8/2022</v>
      </c>
      <c r="I765" s="11"/>
      <c r="M765" s="10">
        <v>18829</v>
      </c>
      <c r="T765" s="35">
        <f t="shared" si="25"/>
        <v>0</v>
      </c>
    </row>
    <row r="766" spans="1:20" ht="12.75" customHeight="1" x14ac:dyDescent="0.25">
      <c r="A766" s="22" t="s">
        <v>206</v>
      </c>
      <c r="B766"/>
      <c r="C766" s="10">
        <v>1508.46</v>
      </c>
      <c r="D766" s="26"/>
      <c r="H766" s="11" t="str">
        <f t="shared" si="24"/>
        <v>3rd Pay Period ending 30/8/2022</v>
      </c>
      <c r="I766" s="11"/>
      <c r="M766" s="10">
        <v>19022</v>
      </c>
      <c r="T766" s="35">
        <f t="shared" si="25"/>
        <v>0</v>
      </c>
    </row>
    <row r="767" spans="1:20" ht="12.75" customHeight="1" x14ac:dyDescent="0.25">
      <c r="A767" s="22" t="s">
        <v>206</v>
      </c>
      <c r="B767"/>
      <c r="C767" s="10">
        <v>2494.9299999999998</v>
      </c>
      <c r="D767" s="26"/>
      <c r="H767" s="11" t="str">
        <f t="shared" si="24"/>
        <v>3rd Pay Period ending 30/8/2022</v>
      </c>
      <c r="I767" s="11"/>
      <c r="M767" s="10">
        <v>18998</v>
      </c>
      <c r="T767" s="35">
        <f t="shared" si="25"/>
        <v>0</v>
      </c>
    </row>
    <row r="768" spans="1:20" ht="12.75" customHeight="1" x14ac:dyDescent="0.25">
      <c r="A768" s="22" t="s">
        <v>206</v>
      </c>
      <c r="B768">
        <v>676</v>
      </c>
      <c r="C768" s="10"/>
      <c r="D768" s="26"/>
      <c r="H768" s="11" t="str">
        <f t="shared" si="24"/>
        <v>3rd Pay Period ending 30/8/2022</v>
      </c>
      <c r="I768" s="11"/>
      <c r="M768" s="10">
        <v>115</v>
      </c>
      <c r="T768" s="35">
        <f t="shared" si="25"/>
        <v>67.599999999999994</v>
      </c>
    </row>
    <row r="769" spans="1:20" ht="12.75" customHeight="1" x14ac:dyDescent="0.25">
      <c r="A769" s="22" t="s">
        <v>206</v>
      </c>
      <c r="B769"/>
      <c r="C769" s="10">
        <v>2317.38</v>
      </c>
      <c r="D769" s="26"/>
      <c r="H769" s="11" t="str">
        <f t="shared" si="24"/>
        <v>3rd Pay Period ending 30/8/2022</v>
      </c>
      <c r="I769" s="11"/>
      <c r="M769" s="10">
        <v>18649</v>
      </c>
      <c r="T769" s="35">
        <f t="shared" si="25"/>
        <v>0</v>
      </c>
    </row>
    <row r="770" spans="1:20" ht="12.75" customHeight="1" x14ac:dyDescent="0.25">
      <c r="A770" s="22" t="s">
        <v>206</v>
      </c>
      <c r="B770"/>
      <c r="C770" s="10">
        <v>1696.36</v>
      </c>
      <c r="D770" s="26"/>
      <c r="H770" s="11" t="str">
        <f t="shared" si="24"/>
        <v>3rd Pay Period ending 30/8/2022</v>
      </c>
      <c r="I770" s="11"/>
      <c r="M770" s="10">
        <v>19020</v>
      </c>
      <c r="T770" s="35">
        <f t="shared" si="25"/>
        <v>0</v>
      </c>
    </row>
    <row r="771" spans="1:20" ht="12.75" customHeight="1" x14ac:dyDescent="0.25">
      <c r="A771" s="22" t="s">
        <v>206</v>
      </c>
      <c r="B771"/>
      <c r="C771" s="10">
        <v>1082.45</v>
      </c>
      <c r="D771" s="26"/>
      <c r="H771" s="11" t="str">
        <f t="shared" ref="H771:H834" si="26">$K$1</f>
        <v>3rd Pay Period ending 30/8/2022</v>
      </c>
      <c r="I771" s="11"/>
      <c r="M771" s="10">
        <v>18839</v>
      </c>
      <c r="T771" s="35">
        <f t="shared" si="25"/>
        <v>0</v>
      </c>
    </row>
    <row r="772" spans="1:20" ht="12.75" customHeight="1" x14ac:dyDescent="0.25">
      <c r="A772" s="22" t="s">
        <v>206</v>
      </c>
      <c r="B772"/>
      <c r="C772" s="10">
        <v>1672.26</v>
      </c>
      <c r="D772" s="26"/>
      <c r="H772" s="11" t="str">
        <f t="shared" si="26"/>
        <v>3rd Pay Period ending 30/8/2022</v>
      </c>
      <c r="I772" s="11"/>
      <c r="M772" s="10">
        <v>18904</v>
      </c>
      <c r="T772" s="35">
        <f t="shared" si="25"/>
        <v>0</v>
      </c>
    </row>
    <row r="773" spans="1:20" ht="12.75" customHeight="1" x14ac:dyDescent="0.25">
      <c r="A773" s="22" t="s">
        <v>206</v>
      </c>
      <c r="B773"/>
      <c r="C773" s="10">
        <v>1574.76</v>
      </c>
      <c r="D773" s="26"/>
      <c r="H773" s="11" t="str">
        <f t="shared" si="26"/>
        <v>3rd Pay Period ending 30/8/2022</v>
      </c>
      <c r="I773" s="11"/>
      <c r="M773" s="10">
        <v>18650</v>
      </c>
      <c r="T773" s="35">
        <f t="shared" ref="T773:T820" si="27">B773/10*$V$1</f>
        <v>0</v>
      </c>
    </row>
    <row r="774" spans="1:20" ht="12.75" customHeight="1" x14ac:dyDescent="0.25">
      <c r="A774" s="22" t="s">
        <v>206</v>
      </c>
      <c r="B774"/>
      <c r="C774" s="10">
        <v>1862.24</v>
      </c>
      <c r="D774" s="26"/>
      <c r="H774" s="11" t="str">
        <f t="shared" si="26"/>
        <v>3rd Pay Period ending 30/8/2022</v>
      </c>
      <c r="I774" s="11"/>
      <c r="M774" s="10">
        <v>18703</v>
      </c>
      <c r="T774" s="35">
        <f t="shared" si="27"/>
        <v>0</v>
      </c>
    </row>
    <row r="775" spans="1:20" ht="12.75" customHeight="1" x14ac:dyDescent="0.25">
      <c r="A775" s="22" t="s">
        <v>206</v>
      </c>
      <c r="B775"/>
      <c r="C775" s="10">
        <v>481.04</v>
      </c>
      <c r="D775" s="26"/>
      <c r="H775" s="11" t="str">
        <f t="shared" si="26"/>
        <v>3rd Pay Period ending 30/8/2022</v>
      </c>
      <c r="I775" s="11"/>
      <c r="M775" s="10">
        <v>18917</v>
      </c>
      <c r="T775" s="35">
        <f t="shared" si="27"/>
        <v>0</v>
      </c>
    </row>
    <row r="776" spans="1:20" ht="12.75" customHeight="1" x14ac:dyDescent="0.25">
      <c r="A776" s="22" t="s">
        <v>206</v>
      </c>
      <c r="B776"/>
      <c r="C776" s="10">
        <v>2619.5500000000002</v>
      </c>
      <c r="D776" s="26"/>
      <c r="H776" s="11" t="str">
        <f t="shared" si="26"/>
        <v>3rd Pay Period ending 30/8/2022</v>
      </c>
      <c r="I776" s="11"/>
      <c r="M776" s="10">
        <v>18713</v>
      </c>
      <c r="T776" s="35">
        <f t="shared" si="27"/>
        <v>0</v>
      </c>
    </row>
    <row r="777" spans="1:20" ht="12.75" customHeight="1" x14ac:dyDescent="0.25">
      <c r="A777" s="22" t="s">
        <v>206</v>
      </c>
      <c r="B777"/>
      <c r="C777" s="10">
        <v>1574.81</v>
      </c>
      <c r="D777" s="26"/>
      <c r="H777" s="11" t="str">
        <f t="shared" si="26"/>
        <v>3rd Pay Period ending 30/8/2022</v>
      </c>
      <c r="I777" s="11"/>
      <c r="M777" s="10">
        <v>18990</v>
      </c>
      <c r="T777" s="35">
        <f t="shared" si="27"/>
        <v>0</v>
      </c>
    </row>
    <row r="778" spans="1:20" ht="12.75" customHeight="1" x14ac:dyDescent="0.25">
      <c r="A778" s="22" t="s">
        <v>206</v>
      </c>
      <c r="B778"/>
      <c r="C778" s="10">
        <v>1307.0999999999999</v>
      </c>
      <c r="D778" s="26"/>
      <c r="H778" s="11" t="str">
        <f t="shared" si="26"/>
        <v>3rd Pay Period ending 30/8/2022</v>
      </c>
      <c r="I778" s="11"/>
      <c r="M778" s="10">
        <v>18646</v>
      </c>
      <c r="T778" s="35">
        <f t="shared" si="27"/>
        <v>0</v>
      </c>
    </row>
    <row r="779" spans="1:20" ht="12.75" customHeight="1" x14ac:dyDescent="0.25">
      <c r="A779" s="22" t="s">
        <v>206</v>
      </c>
      <c r="B779"/>
      <c r="C779" s="10">
        <v>1854.88</v>
      </c>
      <c r="D779" s="26"/>
      <c r="H779" s="11" t="str">
        <f t="shared" si="26"/>
        <v>3rd Pay Period ending 30/8/2022</v>
      </c>
      <c r="I779" s="11"/>
      <c r="M779" s="10">
        <v>18858</v>
      </c>
      <c r="T779" s="35">
        <f t="shared" si="27"/>
        <v>0</v>
      </c>
    </row>
    <row r="780" spans="1:20" ht="12.75" customHeight="1" x14ac:dyDescent="0.25">
      <c r="A780" s="22" t="s">
        <v>206</v>
      </c>
      <c r="B780"/>
      <c r="C780" s="10">
        <v>1700.16</v>
      </c>
      <c r="D780" s="26"/>
      <c r="H780" s="11" t="str">
        <f t="shared" si="26"/>
        <v>3rd Pay Period ending 30/8/2022</v>
      </c>
      <c r="I780" s="11"/>
      <c r="M780" s="10">
        <v>18850</v>
      </c>
      <c r="T780" s="35">
        <f t="shared" si="27"/>
        <v>0</v>
      </c>
    </row>
    <row r="781" spans="1:20" ht="12.75" customHeight="1" x14ac:dyDescent="0.25">
      <c r="A781" s="22" t="s">
        <v>206</v>
      </c>
      <c r="B781"/>
      <c r="C781" s="10">
        <v>1961.07</v>
      </c>
      <c r="D781" s="26"/>
      <c r="H781" s="11" t="str">
        <f t="shared" si="26"/>
        <v>3rd Pay Period ending 30/8/2022</v>
      </c>
      <c r="I781" s="11"/>
      <c r="M781" s="10">
        <v>18942</v>
      </c>
      <c r="T781" s="35">
        <f t="shared" si="27"/>
        <v>0</v>
      </c>
    </row>
    <row r="782" spans="1:20" ht="12.75" customHeight="1" x14ac:dyDescent="0.25">
      <c r="A782" s="22" t="s">
        <v>206</v>
      </c>
      <c r="B782"/>
      <c r="C782" s="10">
        <v>1720.31</v>
      </c>
      <c r="D782" s="26"/>
      <c r="H782" s="11" t="str">
        <f t="shared" si="26"/>
        <v>3rd Pay Period ending 30/8/2022</v>
      </c>
      <c r="I782" s="11"/>
      <c r="M782" s="10">
        <v>18986</v>
      </c>
      <c r="T782" s="35">
        <f t="shared" si="27"/>
        <v>0</v>
      </c>
    </row>
    <row r="783" spans="1:20" ht="12.75" customHeight="1" x14ac:dyDescent="0.25">
      <c r="A783" s="22" t="s">
        <v>206</v>
      </c>
      <c r="B783"/>
      <c r="C783" s="10">
        <v>923.77</v>
      </c>
      <c r="D783" s="26"/>
      <c r="H783" s="11" t="str">
        <f t="shared" si="26"/>
        <v>3rd Pay Period ending 30/8/2022</v>
      </c>
      <c r="I783" s="11"/>
      <c r="M783" s="10">
        <v>19023</v>
      </c>
      <c r="T783" s="35">
        <f t="shared" si="27"/>
        <v>0</v>
      </c>
    </row>
    <row r="784" spans="1:20" ht="12.75" customHeight="1" x14ac:dyDescent="0.25">
      <c r="A784" s="22" t="s">
        <v>206</v>
      </c>
      <c r="B784"/>
      <c r="C784" s="10">
        <v>1758.33</v>
      </c>
      <c r="D784" s="26"/>
      <c r="H784" s="11" t="str">
        <f t="shared" si="26"/>
        <v>3rd Pay Period ending 30/8/2022</v>
      </c>
      <c r="I784" s="11"/>
      <c r="M784" s="10">
        <v>18944</v>
      </c>
      <c r="T784" s="35">
        <f t="shared" si="27"/>
        <v>0</v>
      </c>
    </row>
    <row r="785" spans="1:20" ht="12.75" customHeight="1" x14ac:dyDescent="0.25">
      <c r="A785" s="22" t="s">
        <v>206</v>
      </c>
      <c r="B785"/>
      <c r="C785" s="10">
        <v>1023.04</v>
      </c>
      <c r="D785" s="26"/>
      <c r="H785" s="11" t="str">
        <f t="shared" si="26"/>
        <v>3rd Pay Period ending 30/8/2022</v>
      </c>
      <c r="I785" s="11"/>
      <c r="M785" s="10">
        <v>18924</v>
      </c>
      <c r="T785" s="35">
        <f t="shared" si="27"/>
        <v>0</v>
      </c>
    </row>
    <row r="786" spans="1:20" ht="12.75" customHeight="1" x14ac:dyDescent="0.25">
      <c r="A786" s="22" t="s">
        <v>206</v>
      </c>
      <c r="B786"/>
      <c r="C786" s="10">
        <v>1271.21</v>
      </c>
      <c r="D786" s="26"/>
      <c r="H786" s="11" t="str">
        <f t="shared" si="26"/>
        <v>3rd Pay Period ending 30/8/2022</v>
      </c>
      <c r="I786" s="11"/>
      <c r="M786" s="10">
        <v>18970</v>
      </c>
      <c r="T786" s="35">
        <f t="shared" si="27"/>
        <v>0</v>
      </c>
    </row>
    <row r="787" spans="1:20" ht="12.75" customHeight="1" x14ac:dyDescent="0.25">
      <c r="A787" s="22" t="s">
        <v>206</v>
      </c>
      <c r="B787"/>
      <c r="C787" s="10">
        <v>2393.54</v>
      </c>
      <c r="D787" s="26"/>
      <c r="H787" s="11" t="str">
        <f t="shared" si="26"/>
        <v>3rd Pay Period ending 30/8/2022</v>
      </c>
      <c r="I787" s="11"/>
      <c r="M787" s="10">
        <v>19001</v>
      </c>
      <c r="T787" s="35">
        <f t="shared" si="27"/>
        <v>0</v>
      </c>
    </row>
    <row r="788" spans="1:20" ht="12.75" customHeight="1" x14ac:dyDescent="0.25">
      <c r="A788" s="22" t="s">
        <v>206</v>
      </c>
      <c r="B788"/>
      <c r="C788" s="10">
        <v>1802.31</v>
      </c>
      <c r="D788" s="26"/>
      <c r="H788" s="11" t="str">
        <f t="shared" si="26"/>
        <v>3rd Pay Period ending 30/8/2022</v>
      </c>
      <c r="I788" s="11"/>
      <c r="M788" s="10">
        <v>18976</v>
      </c>
      <c r="T788" s="35">
        <f t="shared" si="27"/>
        <v>0</v>
      </c>
    </row>
    <row r="789" spans="1:20" ht="12.75" customHeight="1" x14ac:dyDescent="0.25">
      <c r="A789" s="22" t="s">
        <v>206</v>
      </c>
      <c r="B789"/>
      <c r="C789" s="10">
        <v>2181.08</v>
      </c>
      <c r="D789" s="26"/>
      <c r="H789" s="11" t="str">
        <f t="shared" si="26"/>
        <v>3rd Pay Period ending 30/8/2022</v>
      </c>
      <c r="I789" s="11"/>
      <c r="M789" s="10">
        <v>19031</v>
      </c>
      <c r="T789" s="35">
        <f t="shared" si="27"/>
        <v>0</v>
      </c>
    </row>
    <row r="790" spans="1:20" ht="12.75" customHeight="1" x14ac:dyDescent="0.25">
      <c r="A790" s="22" t="s">
        <v>206</v>
      </c>
      <c r="B790"/>
      <c r="C790" s="10">
        <v>1838.8</v>
      </c>
      <c r="D790" s="26"/>
      <c r="H790" s="11" t="str">
        <f t="shared" si="26"/>
        <v>3rd Pay Period ending 30/8/2022</v>
      </c>
      <c r="I790" s="11"/>
      <c r="M790" s="10">
        <v>18442</v>
      </c>
      <c r="T790" s="35">
        <f t="shared" si="27"/>
        <v>0</v>
      </c>
    </row>
    <row r="791" spans="1:20" ht="12.75" customHeight="1" x14ac:dyDescent="0.25">
      <c r="A791" s="22" t="s">
        <v>206</v>
      </c>
      <c r="B791"/>
      <c r="C791" s="10">
        <v>1134.69</v>
      </c>
      <c r="D791" s="26"/>
      <c r="H791" s="11" t="str">
        <f t="shared" si="26"/>
        <v>3rd Pay Period ending 30/8/2022</v>
      </c>
      <c r="I791" s="11"/>
      <c r="M791" s="10">
        <v>18927</v>
      </c>
      <c r="T791" s="35">
        <f t="shared" si="27"/>
        <v>0</v>
      </c>
    </row>
    <row r="792" spans="1:20" ht="12.75" customHeight="1" x14ac:dyDescent="0.25">
      <c r="A792" s="22" t="s">
        <v>206</v>
      </c>
      <c r="B792"/>
      <c r="C792" s="10">
        <v>922.26</v>
      </c>
      <c r="D792" s="26"/>
      <c r="H792" s="11" t="str">
        <f t="shared" si="26"/>
        <v>3rd Pay Period ending 30/8/2022</v>
      </c>
      <c r="I792" s="11"/>
      <c r="M792" s="10">
        <v>18996</v>
      </c>
      <c r="T792" s="35">
        <f t="shared" si="27"/>
        <v>0</v>
      </c>
    </row>
    <row r="793" spans="1:20" ht="12.75" customHeight="1" x14ac:dyDescent="0.25">
      <c r="A793" s="22" t="s">
        <v>206</v>
      </c>
      <c r="B793"/>
      <c r="C793" s="10">
        <v>1497.86</v>
      </c>
      <c r="D793" s="26"/>
      <c r="H793" s="11" t="str">
        <f t="shared" si="26"/>
        <v>3rd Pay Period ending 30/8/2022</v>
      </c>
      <c r="I793" s="11"/>
      <c r="M793" s="10">
        <v>18895</v>
      </c>
      <c r="T793" s="35">
        <f t="shared" si="27"/>
        <v>0</v>
      </c>
    </row>
    <row r="794" spans="1:20" ht="12.75" customHeight="1" x14ac:dyDescent="0.25">
      <c r="A794" s="22" t="s">
        <v>206</v>
      </c>
      <c r="B794"/>
      <c r="C794" s="10">
        <v>2319.38</v>
      </c>
      <c r="D794" s="26"/>
      <c r="H794" s="11" t="str">
        <f t="shared" si="26"/>
        <v>3rd Pay Period ending 30/8/2022</v>
      </c>
      <c r="I794" s="11"/>
      <c r="M794" s="10">
        <v>261</v>
      </c>
      <c r="T794" s="35">
        <f t="shared" si="27"/>
        <v>0</v>
      </c>
    </row>
    <row r="795" spans="1:20" ht="12.75" customHeight="1" x14ac:dyDescent="0.25">
      <c r="A795" s="22" t="s">
        <v>206</v>
      </c>
      <c r="B795"/>
      <c r="C795" s="10">
        <v>1357.73</v>
      </c>
      <c r="D795" s="26"/>
      <c r="H795" s="11" t="str">
        <f t="shared" si="26"/>
        <v>3rd Pay Period ending 30/8/2022</v>
      </c>
      <c r="I795" s="11"/>
      <c r="M795" s="10">
        <v>18790</v>
      </c>
      <c r="T795" s="35">
        <f t="shared" si="27"/>
        <v>0</v>
      </c>
    </row>
    <row r="796" spans="1:20" ht="12.75" customHeight="1" x14ac:dyDescent="0.25">
      <c r="A796" s="22" t="s">
        <v>206</v>
      </c>
      <c r="B796"/>
      <c r="C796" s="10">
        <v>1648.09</v>
      </c>
      <c r="D796" s="26"/>
      <c r="H796" s="11" t="str">
        <f t="shared" si="26"/>
        <v>3rd Pay Period ending 30/8/2022</v>
      </c>
      <c r="I796" s="11"/>
      <c r="M796" s="10">
        <v>18898</v>
      </c>
      <c r="T796" s="35">
        <f t="shared" si="27"/>
        <v>0</v>
      </c>
    </row>
    <row r="797" spans="1:20" ht="12.75" customHeight="1" x14ac:dyDescent="0.25">
      <c r="A797" s="22" t="s">
        <v>206</v>
      </c>
      <c r="B797"/>
      <c r="C797" s="10">
        <v>1109.07</v>
      </c>
      <c r="D797" s="26"/>
      <c r="H797" s="11" t="str">
        <f t="shared" si="26"/>
        <v>3rd Pay Period ending 30/8/2022</v>
      </c>
      <c r="I797" s="11"/>
      <c r="M797" s="10">
        <v>18634</v>
      </c>
      <c r="T797" s="35">
        <f t="shared" si="27"/>
        <v>0</v>
      </c>
    </row>
    <row r="798" spans="1:20" ht="12.75" customHeight="1" x14ac:dyDescent="0.25">
      <c r="A798" s="22" t="s">
        <v>206</v>
      </c>
      <c r="B798"/>
      <c r="C798" s="10">
        <v>1423.41</v>
      </c>
      <c r="D798" s="26"/>
      <c r="H798" s="11" t="str">
        <f t="shared" si="26"/>
        <v>3rd Pay Period ending 30/8/2022</v>
      </c>
      <c r="I798" s="11"/>
      <c r="M798" s="10">
        <v>18823</v>
      </c>
      <c r="T798" s="35">
        <f t="shared" si="27"/>
        <v>0</v>
      </c>
    </row>
    <row r="799" spans="1:20" ht="12.75" customHeight="1" x14ac:dyDescent="0.25">
      <c r="A799" s="22" t="s">
        <v>206</v>
      </c>
      <c r="B799"/>
      <c r="C799" s="10">
        <v>2234.56</v>
      </c>
      <c r="D799" s="26"/>
      <c r="H799" s="11" t="str">
        <f t="shared" si="26"/>
        <v>3rd Pay Period ending 30/8/2022</v>
      </c>
      <c r="I799" s="11"/>
      <c r="M799" s="10">
        <v>18791</v>
      </c>
      <c r="T799" s="35">
        <f t="shared" si="27"/>
        <v>0</v>
      </c>
    </row>
    <row r="800" spans="1:20" ht="12.75" customHeight="1" x14ac:dyDescent="0.25">
      <c r="A800" s="22" t="s">
        <v>206</v>
      </c>
      <c r="B800"/>
      <c r="C800" s="10">
        <v>1604.15</v>
      </c>
      <c r="D800" s="26"/>
      <c r="H800" s="11" t="str">
        <f t="shared" si="26"/>
        <v>3rd Pay Period ending 30/8/2022</v>
      </c>
      <c r="I800" s="11"/>
      <c r="M800" s="10">
        <v>18953</v>
      </c>
      <c r="T800" s="35">
        <f t="shared" si="27"/>
        <v>0</v>
      </c>
    </row>
    <row r="801" spans="1:20" ht="12.75" customHeight="1" x14ac:dyDescent="0.25">
      <c r="A801" s="22" t="s">
        <v>206</v>
      </c>
      <c r="B801"/>
      <c r="C801" s="10">
        <v>2166.56</v>
      </c>
      <c r="D801" s="26"/>
      <c r="H801" s="11" t="str">
        <f t="shared" si="26"/>
        <v>3rd Pay Period ending 30/8/2022</v>
      </c>
      <c r="I801" s="11"/>
      <c r="M801" s="10">
        <v>18561</v>
      </c>
      <c r="T801" s="35">
        <f t="shared" si="27"/>
        <v>0</v>
      </c>
    </row>
    <row r="802" spans="1:20" ht="12.75" customHeight="1" x14ac:dyDescent="0.25">
      <c r="A802" s="22" t="s">
        <v>206</v>
      </c>
      <c r="B802"/>
      <c r="C802" s="10">
        <v>557.11</v>
      </c>
      <c r="D802" s="26"/>
      <c r="H802" s="11" t="str">
        <f t="shared" si="26"/>
        <v>3rd Pay Period ending 30/8/2022</v>
      </c>
      <c r="I802" s="11"/>
      <c r="M802" s="10">
        <v>156</v>
      </c>
      <c r="T802" s="35">
        <f t="shared" si="27"/>
        <v>0</v>
      </c>
    </row>
    <row r="803" spans="1:20" ht="12.75" customHeight="1" x14ac:dyDescent="0.25">
      <c r="A803" s="22" t="s">
        <v>206</v>
      </c>
      <c r="B803"/>
      <c r="C803" s="10">
        <v>1659.35</v>
      </c>
      <c r="D803" s="26"/>
      <c r="H803" s="11" t="str">
        <f t="shared" si="26"/>
        <v>3rd Pay Period ending 30/8/2022</v>
      </c>
      <c r="I803" s="11"/>
      <c r="M803" s="10">
        <v>18792</v>
      </c>
      <c r="T803" s="35">
        <f t="shared" si="27"/>
        <v>0</v>
      </c>
    </row>
    <row r="804" spans="1:20" ht="12.75" customHeight="1" x14ac:dyDescent="0.25">
      <c r="A804" s="22" t="s">
        <v>206</v>
      </c>
      <c r="B804"/>
      <c r="C804" s="10">
        <v>2494.9299999999998</v>
      </c>
      <c r="D804" s="26"/>
      <c r="H804" s="11" t="str">
        <f t="shared" si="26"/>
        <v>3rd Pay Period ending 30/8/2022</v>
      </c>
      <c r="I804" s="11"/>
      <c r="M804" s="10">
        <v>18876</v>
      </c>
      <c r="T804" s="35">
        <f t="shared" si="27"/>
        <v>0</v>
      </c>
    </row>
    <row r="805" spans="1:20" ht="12.75" customHeight="1" x14ac:dyDescent="0.25">
      <c r="A805" s="22" t="s">
        <v>210</v>
      </c>
      <c r="B805"/>
      <c r="C805" s="10">
        <v>165</v>
      </c>
      <c r="D805" s="26"/>
      <c r="H805" s="11" t="str">
        <f t="shared" si="26"/>
        <v>3rd Pay Period ending 30/8/2022</v>
      </c>
      <c r="I805" s="11"/>
      <c r="M805" s="10">
        <v>18726</v>
      </c>
      <c r="T805" s="35">
        <f t="shared" si="27"/>
        <v>0</v>
      </c>
    </row>
    <row r="806" spans="1:20" ht="12.75" customHeight="1" x14ac:dyDescent="0.25">
      <c r="A806" s="22" t="s">
        <v>210</v>
      </c>
      <c r="B806"/>
      <c r="C806" s="10">
        <v>300</v>
      </c>
      <c r="D806" s="26"/>
      <c r="H806" s="11" t="str">
        <f t="shared" si="26"/>
        <v>3rd Pay Period ending 30/8/2022</v>
      </c>
      <c r="I806" s="11"/>
      <c r="M806" s="10">
        <v>18946</v>
      </c>
      <c r="T806" s="35">
        <f t="shared" si="27"/>
        <v>0</v>
      </c>
    </row>
    <row r="807" spans="1:20" ht="12.75" customHeight="1" x14ac:dyDescent="0.25">
      <c r="A807" s="22" t="s">
        <v>210</v>
      </c>
      <c r="B807"/>
      <c r="C807" s="10">
        <v>75</v>
      </c>
      <c r="D807" s="26"/>
      <c r="H807" s="11" t="str">
        <f t="shared" si="26"/>
        <v>3rd Pay Period ending 30/8/2022</v>
      </c>
      <c r="I807" s="11"/>
      <c r="M807" s="10">
        <v>220</v>
      </c>
      <c r="T807" s="35">
        <f t="shared" si="27"/>
        <v>0</v>
      </c>
    </row>
    <row r="808" spans="1:20" ht="12.75" customHeight="1" x14ac:dyDescent="0.25">
      <c r="A808" s="22" t="s">
        <v>210</v>
      </c>
      <c r="B808"/>
      <c r="C808" s="10">
        <v>400</v>
      </c>
      <c r="D808" s="26"/>
      <c r="H808" s="11" t="str">
        <f t="shared" si="26"/>
        <v>3rd Pay Period ending 30/8/2022</v>
      </c>
      <c r="I808" s="11"/>
      <c r="M808" s="10">
        <v>18968</v>
      </c>
      <c r="T808" s="35">
        <f t="shared" si="27"/>
        <v>0</v>
      </c>
    </row>
    <row r="809" spans="1:20" ht="12.75" customHeight="1" x14ac:dyDescent="0.25">
      <c r="A809" s="22" t="s">
        <v>210</v>
      </c>
      <c r="B809"/>
      <c r="C809" s="10">
        <v>780</v>
      </c>
      <c r="D809" s="26"/>
      <c r="H809" s="11" t="str">
        <f t="shared" si="26"/>
        <v>3rd Pay Period ending 30/8/2022</v>
      </c>
      <c r="I809" s="11"/>
      <c r="M809" s="10">
        <v>18550</v>
      </c>
      <c r="T809" s="35">
        <f t="shared" si="27"/>
        <v>0</v>
      </c>
    </row>
    <row r="810" spans="1:20" ht="12.75" customHeight="1" x14ac:dyDescent="0.25">
      <c r="A810" s="22" t="s">
        <v>210</v>
      </c>
      <c r="B810"/>
      <c r="C810" s="10">
        <v>860</v>
      </c>
      <c r="D810" s="26"/>
      <c r="H810" s="11" t="str">
        <f t="shared" si="26"/>
        <v>3rd Pay Period ending 30/8/2022</v>
      </c>
      <c r="I810" s="11"/>
      <c r="M810" s="10">
        <v>18957</v>
      </c>
      <c r="T810" s="35">
        <f t="shared" si="27"/>
        <v>0</v>
      </c>
    </row>
    <row r="811" spans="1:20" ht="12.75" customHeight="1" x14ac:dyDescent="0.25">
      <c r="A811" s="22" t="s">
        <v>210</v>
      </c>
      <c r="B811"/>
      <c r="C811" s="10">
        <v>150</v>
      </c>
      <c r="D811" s="26"/>
      <c r="H811" s="11" t="str">
        <f t="shared" si="26"/>
        <v>3rd Pay Period ending 30/8/2022</v>
      </c>
      <c r="I811" s="11"/>
      <c r="M811" s="10">
        <v>261</v>
      </c>
      <c r="T811" s="35">
        <f t="shared" si="27"/>
        <v>0</v>
      </c>
    </row>
    <row r="812" spans="1:20" ht="12.75" customHeight="1" x14ac:dyDescent="0.25">
      <c r="A812" s="22" t="s">
        <v>210</v>
      </c>
      <c r="B812"/>
      <c r="C812">
        <v>565.39</v>
      </c>
      <c r="D812" s="26"/>
      <c r="H812" s="11" t="str">
        <f t="shared" si="26"/>
        <v>3rd Pay Period ending 30/8/2022</v>
      </c>
      <c r="I812" s="11"/>
      <c r="M812">
        <v>18517</v>
      </c>
      <c r="T812" s="35">
        <f t="shared" si="27"/>
        <v>0</v>
      </c>
    </row>
    <row r="813" spans="1:20" ht="12.75" customHeight="1" x14ac:dyDescent="0.25">
      <c r="A813" s="22" t="s">
        <v>210</v>
      </c>
      <c r="B813"/>
      <c r="C813">
        <v>437.55</v>
      </c>
      <c r="D813" s="26"/>
      <c r="H813" s="11" t="str">
        <f t="shared" si="26"/>
        <v>3rd Pay Period ending 30/8/2022</v>
      </c>
      <c r="I813" s="11"/>
      <c r="M813">
        <v>18647</v>
      </c>
      <c r="T813" s="35">
        <f t="shared" si="27"/>
        <v>0</v>
      </c>
    </row>
    <row r="814" spans="1:20" ht="12.75" customHeight="1" x14ac:dyDescent="0.25">
      <c r="A814" s="22" t="s">
        <v>210</v>
      </c>
      <c r="B814"/>
      <c r="C814">
        <v>169.62</v>
      </c>
      <c r="D814" s="26"/>
      <c r="H814" s="11" t="str">
        <f t="shared" si="26"/>
        <v>3rd Pay Period ending 30/8/2022</v>
      </c>
      <c r="I814" s="11"/>
      <c r="M814">
        <v>18845</v>
      </c>
      <c r="T814" s="35">
        <f t="shared" si="27"/>
        <v>0</v>
      </c>
    </row>
    <row r="815" spans="1:20" ht="12.75" customHeight="1" x14ac:dyDescent="0.25">
      <c r="A815" s="22" t="s">
        <v>210</v>
      </c>
      <c r="B815"/>
      <c r="C815">
        <v>444.23</v>
      </c>
      <c r="D815" s="26"/>
      <c r="H815" s="11" t="str">
        <f t="shared" si="26"/>
        <v>3rd Pay Period ending 30/8/2022</v>
      </c>
      <c r="I815" s="11"/>
      <c r="M815">
        <v>18871</v>
      </c>
      <c r="T815" s="35">
        <f t="shared" si="27"/>
        <v>0</v>
      </c>
    </row>
    <row r="816" spans="1:20" ht="12.75" customHeight="1" x14ac:dyDescent="0.25">
      <c r="A816" s="22" t="s">
        <v>210</v>
      </c>
      <c r="B816"/>
      <c r="C816">
        <v>343.27</v>
      </c>
      <c r="D816" s="26"/>
      <c r="H816" s="11" t="str">
        <f t="shared" si="26"/>
        <v>3rd Pay Period ending 30/8/2022</v>
      </c>
      <c r="I816" s="11"/>
      <c r="M816">
        <v>18726</v>
      </c>
      <c r="T816" s="35">
        <f t="shared" si="27"/>
        <v>0</v>
      </c>
    </row>
    <row r="817" spans="1:20" ht="12.75" customHeight="1" x14ac:dyDescent="0.25">
      <c r="A817" s="22" t="s">
        <v>210</v>
      </c>
      <c r="B817"/>
      <c r="C817">
        <v>403.85</v>
      </c>
      <c r="D817" s="26"/>
      <c r="H817" s="11" t="str">
        <f t="shared" si="26"/>
        <v>3rd Pay Period ending 30/8/2022</v>
      </c>
      <c r="I817" s="11"/>
      <c r="M817">
        <v>152</v>
      </c>
      <c r="T817" s="35">
        <f t="shared" si="27"/>
        <v>0</v>
      </c>
    </row>
    <row r="818" spans="1:20" ht="12.75" customHeight="1" x14ac:dyDescent="0.25">
      <c r="A818" s="22" t="s">
        <v>210</v>
      </c>
      <c r="B818"/>
      <c r="C818">
        <v>262.5</v>
      </c>
      <c r="D818" s="26"/>
      <c r="H818" s="11" t="str">
        <f t="shared" si="26"/>
        <v>3rd Pay Period ending 30/8/2022</v>
      </c>
      <c r="I818" s="11"/>
      <c r="M818">
        <v>19014</v>
      </c>
      <c r="T818" s="35">
        <f t="shared" si="27"/>
        <v>0</v>
      </c>
    </row>
    <row r="819" spans="1:20" ht="12.75" customHeight="1" x14ac:dyDescent="0.25">
      <c r="A819" s="22" t="s">
        <v>210</v>
      </c>
      <c r="B819"/>
      <c r="C819">
        <v>58.74</v>
      </c>
      <c r="D819" s="26"/>
      <c r="H819" s="11" t="str">
        <f t="shared" si="26"/>
        <v>3rd Pay Period ending 30/8/2022</v>
      </c>
      <c r="I819" s="11"/>
      <c r="M819">
        <v>18736</v>
      </c>
      <c r="T819" s="35">
        <f t="shared" si="27"/>
        <v>0</v>
      </c>
    </row>
    <row r="820" spans="1:20" ht="12.75" customHeight="1" x14ac:dyDescent="0.25">
      <c r="A820" s="22" t="s">
        <v>210</v>
      </c>
      <c r="B820"/>
      <c r="C820">
        <v>242.31</v>
      </c>
      <c r="D820" s="26"/>
      <c r="H820" s="11" t="str">
        <f t="shared" si="26"/>
        <v>3rd Pay Period ending 30/8/2022</v>
      </c>
      <c r="I820" s="11"/>
      <c r="M820">
        <v>18995</v>
      </c>
      <c r="T820" s="35">
        <f t="shared" si="27"/>
        <v>0</v>
      </c>
    </row>
    <row r="821" spans="1:20" ht="12.75" customHeight="1" x14ac:dyDescent="0.25">
      <c r="A821" s="22" t="s">
        <v>210</v>
      </c>
      <c r="B821"/>
      <c r="C821">
        <v>294.81</v>
      </c>
      <c r="D821" s="26"/>
      <c r="H821" s="11" t="str">
        <f t="shared" si="26"/>
        <v>3rd Pay Period ending 30/8/2022</v>
      </c>
      <c r="I821" s="11"/>
      <c r="M821">
        <v>18721</v>
      </c>
      <c r="T821" s="35">
        <f t="shared" ref="T821:T852" si="28">B821/10*$V$1</f>
        <v>0</v>
      </c>
    </row>
    <row r="822" spans="1:20" ht="12.75" customHeight="1" x14ac:dyDescent="0.25">
      <c r="A822" s="22" t="s">
        <v>210</v>
      </c>
      <c r="B822"/>
      <c r="C822">
        <v>323.08</v>
      </c>
      <c r="D822" s="26"/>
      <c r="H822" s="11" t="str">
        <f t="shared" si="26"/>
        <v>3rd Pay Period ending 30/8/2022</v>
      </c>
      <c r="I822" s="11"/>
      <c r="M822">
        <v>18987</v>
      </c>
      <c r="T822" s="35">
        <f t="shared" si="28"/>
        <v>0</v>
      </c>
    </row>
    <row r="823" spans="1:20" ht="12.75" customHeight="1" x14ac:dyDescent="0.25">
      <c r="A823" s="22" t="s">
        <v>210</v>
      </c>
      <c r="B823"/>
      <c r="C823">
        <v>476.03</v>
      </c>
      <c r="D823" s="26"/>
      <c r="H823" s="11" t="str">
        <f t="shared" si="26"/>
        <v>3rd Pay Period ending 30/8/2022</v>
      </c>
      <c r="I823" s="11"/>
      <c r="M823">
        <v>18920</v>
      </c>
      <c r="T823" s="35">
        <f t="shared" si="28"/>
        <v>0</v>
      </c>
    </row>
    <row r="824" spans="1:20" ht="12.75" customHeight="1" x14ac:dyDescent="0.25">
      <c r="A824" s="22" t="s">
        <v>210</v>
      </c>
      <c r="B824"/>
      <c r="C824">
        <v>253.51</v>
      </c>
      <c r="D824" s="26"/>
      <c r="H824" s="11" t="str">
        <f t="shared" si="26"/>
        <v>3rd Pay Period ending 30/8/2022</v>
      </c>
      <c r="I824" s="11"/>
      <c r="M824">
        <v>18946</v>
      </c>
      <c r="T824" s="35">
        <f t="shared" si="28"/>
        <v>0</v>
      </c>
    </row>
    <row r="825" spans="1:20" ht="12.75" customHeight="1" x14ac:dyDescent="0.25">
      <c r="A825" s="22" t="s">
        <v>210</v>
      </c>
      <c r="B825"/>
      <c r="C825">
        <v>444.23</v>
      </c>
      <c r="D825" s="26"/>
      <c r="H825" s="11" t="str">
        <f t="shared" si="26"/>
        <v>3rd Pay Period ending 30/8/2022</v>
      </c>
      <c r="I825" s="11"/>
      <c r="M825">
        <v>18997</v>
      </c>
      <c r="T825" s="35">
        <f t="shared" si="28"/>
        <v>0</v>
      </c>
    </row>
    <row r="826" spans="1:20" ht="12.75" customHeight="1" x14ac:dyDescent="0.25">
      <c r="A826" s="22" t="s">
        <v>210</v>
      </c>
      <c r="B826"/>
      <c r="C826">
        <v>282.69</v>
      </c>
      <c r="D826" s="26"/>
      <c r="H826" s="11" t="str">
        <f t="shared" si="26"/>
        <v>3rd Pay Period ending 30/8/2022</v>
      </c>
      <c r="I826" s="11"/>
      <c r="M826">
        <v>18988</v>
      </c>
      <c r="T826" s="35">
        <f t="shared" si="28"/>
        <v>0</v>
      </c>
    </row>
    <row r="827" spans="1:20" ht="12.75" customHeight="1" x14ac:dyDescent="0.25">
      <c r="A827" s="22" t="s">
        <v>210</v>
      </c>
      <c r="B827"/>
      <c r="C827">
        <v>504.19</v>
      </c>
      <c r="D827" s="26"/>
      <c r="H827" s="11" t="str">
        <f t="shared" si="26"/>
        <v>3rd Pay Period ending 30/8/2022</v>
      </c>
      <c r="I827" s="11"/>
      <c r="M827">
        <v>18772</v>
      </c>
      <c r="T827" s="35">
        <f t="shared" si="28"/>
        <v>0</v>
      </c>
    </row>
    <row r="828" spans="1:20" ht="12.75" customHeight="1" x14ac:dyDescent="0.25">
      <c r="A828" s="22" t="s">
        <v>210</v>
      </c>
      <c r="B828"/>
      <c r="C828">
        <v>337.9</v>
      </c>
      <c r="D828" s="26"/>
      <c r="H828" s="11" t="str">
        <f t="shared" si="26"/>
        <v>3rd Pay Period ending 30/8/2022</v>
      </c>
      <c r="I828" s="11"/>
      <c r="M828">
        <v>220</v>
      </c>
      <c r="T828" s="35">
        <f t="shared" si="28"/>
        <v>0</v>
      </c>
    </row>
    <row r="829" spans="1:20" ht="12.75" customHeight="1" x14ac:dyDescent="0.25">
      <c r="A829" s="22" t="s">
        <v>210</v>
      </c>
      <c r="B829"/>
      <c r="C829">
        <v>565.39</v>
      </c>
      <c r="D829" s="26"/>
      <c r="H829" s="11" t="str">
        <f t="shared" si="26"/>
        <v>3rd Pay Period ending 30/8/2022</v>
      </c>
      <c r="I829" s="11"/>
      <c r="M829">
        <v>18716</v>
      </c>
      <c r="T829" s="35">
        <f t="shared" si="28"/>
        <v>0</v>
      </c>
    </row>
    <row r="830" spans="1:20" ht="12.75" customHeight="1" x14ac:dyDescent="0.25">
      <c r="A830" s="22" t="s">
        <v>210</v>
      </c>
      <c r="B830"/>
      <c r="C830">
        <v>248.37</v>
      </c>
      <c r="D830" s="26"/>
      <c r="H830" s="11" t="str">
        <f t="shared" si="26"/>
        <v>3rd Pay Period ending 30/8/2022</v>
      </c>
      <c r="I830" s="11"/>
      <c r="M830">
        <v>18948</v>
      </c>
      <c r="T830" s="35">
        <f t="shared" si="28"/>
        <v>0</v>
      </c>
    </row>
    <row r="831" spans="1:20" ht="12.75" customHeight="1" x14ac:dyDescent="0.25">
      <c r="A831" s="22" t="s">
        <v>210</v>
      </c>
      <c r="B831"/>
      <c r="C831">
        <v>374.85</v>
      </c>
      <c r="D831" s="26"/>
      <c r="H831" s="11" t="str">
        <f t="shared" si="26"/>
        <v>3rd Pay Period ending 30/8/2022</v>
      </c>
      <c r="I831" s="11"/>
      <c r="M831">
        <v>18939</v>
      </c>
      <c r="T831" s="35">
        <f t="shared" si="28"/>
        <v>0</v>
      </c>
    </row>
    <row r="832" spans="1:20" ht="12.75" customHeight="1" x14ac:dyDescent="0.25">
      <c r="A832" s="22" t="s">
        <v>210</v>
      </c>
      <c r="B832"/>
      <c r="C832">
        <v>565.39</v>
      </c>
      <c r="D832" s="26"/>
      <c r="H832" s="11" t="str">
        <f t="shared" si="26"/>
        <v>3rd Pay Period ending 30/8/2022</v>
      </c>
      <c r="I832" s="11"/>
      <c r="M832">
        <v>18969</v>
      </c>
      <c r="T832" s="35">
        <f t="shared" si="28"/>
        <v>0</v>
      </c>
    </row>
    <row r="833" spans="1:20" ht="12.75" customHeight="1" x14ac:dyDescent="0.25">
      <c r="A833" s="22" t="s">
        <v>210</v>
      </c>
      <c r="B833"/>
      <c r="C833">
        <v>274.62</v>
      </c>
      <c r="D833" s="26"/>
      <c r="H833" s="11" t="str">
        <f t="shared" si="26"/>
        <v>3rd Pay Period ending 30/8/2022</v>
      </c>
      <c r="I833" s="11"/>
      <c r="M833">
        <v>18862</v>
      </c>
      <c r="T833" s="35">
        <f t="shared" si="28"/>
        <v>0</v>
      </c>
    </row>
    <row r="834" spans="1:20" ht="12.75" customHeight="1" x14ac:dyDescent="0.25">
      <c r="A834" s="22" t="s">
        <v>210</v>
      </c>
      <c r="B834"/>
      <c r="C834">
        <v>857.42</v>
      </c>
      <c r="D834" s="26"/>
      <c r="H834" s="11" t="str">
        <f t="shared" si="26"/>
        <v>3rd Pay Period ending 30/8/2022</v>
      </c>
      <c r="I834" s="11"/>
      <c r="M834">
        <v>18886</v>
      </c>
      <c r="T834" s="35">
        <f t="shared" si="28"/>
        <v>0</v>
      </c>
    </row>
    <row r="835" spans="1:20" ht="12.75" customHeight="1" x14ac:dyDescent="0.25">
      <c r="A835" s="22" t="s">
        <v>210</v>
      </c>
      <c r="B835"/>
      <c r="C835">
        <v>262.5</v>
      </c>
      <c r="D835" s="26"/>
      <c r="H835" s="11" t="str">
        <f t="shared" ref="H835:H898" si="29">$K$1</f>
        <v>3rd Pay Period ending 30/8/2022</v>
      </c>
      <c r="I835" s="11"/>
      <c r="M835">
        <v>19025</v>
      </c>
      <c r="T835" s="35">
        <f t="shared" si="28"/>
        <v>0</v>
      </c>
    </row>
    <row r="836" spans="1:20" ht="12.75" customHeight="1" x14ac:dyDescent="0.25">
      <c r="A836" s="22" t="s">
        <v>210</v>
      </c>
      <c r="B836"/>
      <c r="C836">
        <v>327.11</v>
      </c>
      <c r="D836" s="26"/>
      <c r="H836" s="11" t="str">
        <f t="shared" si="29"/>
        <v>3rd Pay Period ending 30/8/2022</v>
      </c>
      <c r="I836" s="11"/>
      <c r="M836">
        <v>19003</v>
      </c>
      <c r="T836" s="35">
        <f t="shared" si="28"/>
        <v>0</v>
      </c>
    </row>
    <row r="837" spans="1:20" ht="12.75" customHeight="1" x14ac:dyDescent="0.25">
      <c r="A837" s="22" t="s">
        <v>210</v>
      </c>
      <c r="B837"/>
      <c r="C837">
        <v>272.60000000000002</v>
      </c>
      <c r="D837" s="26"/>
      <c r="H837" s="11" t="str">
        <f t="shared" si="29"/>
        <v>3rd Pay Period ending 30/8/2022</v>
      </c>
      <c r="I837" s="11"/>
      <c r="M837">
        <v>18993</v>
      </c>
      <c r="T837" s="35">
        <f t="shared" si="28"/>
        <v>0</v>
      </c>
    </row>
    <row r="838" spans="1:20" ht="12.75" customHeight="1" x14ac:dyDescent="0.25">
      <c r="A838" s="22" t="s">
        <v>210</v>
      </c>
      <c r="B838"/>
      <c r="C838">
        <v>282.69</v>
      </c>
      <c r="D838" s="26"/>
      <c r="H838" s="11" t="str">
        <f t="shared" si="29"/>
        <v>3rd Pay Period ending 30/8/2022</v>
      </c>
      <c r="I838" s="11"/>
      <c r="M838">
        <v>18968</v>
      </c>
      <c r="T838" s="35">
        <f t="shared" si="28"/>
        <v>0</v>
      </c>
    </row>
    <row r="839" spans="1:20" ht="12.75" customHeight="1" x14ac:dyDescent="0.25">
      <c r="A839" s="22" t="s">
        <v>210</v>
      </c>
      <c r="B839"/>
      <c r="C839">
        <v>637.4</v>
      </c>
      <c r="D839" s="26"/>
      <c r="H839" s="11" t="str">
        <f t="shared" si="29"/>
        <v>3rd Pay Period ending 30/8/2022</v>
      </c>
      <c r="I839" s="11"/>
      <c r="M839">
        <v>18853</v>
      </c>
      <c r="T839" s="35">
        <f t="shared" si="28"/>
        <v>0</v>
      </c>
    </row>
    <row r="840" spans="1:20" ht="12.75" customHeight="1" x14ac:dyDescent="0.25">
      <c r="A840" s="22" t="s">
        <v>210</v>
      </c>
      <c r="B840"/>
      <c r="C840">
        <v>272.56</v>
      </c>
      <c r="D840" s="26"/>
      <c r="H840" s="11" t="str">
        <f t="shared" si="29"/>
        <v>3rd Pay Period ending 30/8/2022</v>
      </c>
      <c r="I840" s="11"/>
      <c r="M840">
        <v>18550</v>
      </c>
      <c r="T840" s="35">
        <f t="shared" si="28"/>
        <v>0</v>
      </c>
    </row>
    <row r="841" spans="1:20" ht="12.75" customHeight="1" x14ac:dyDescent="0.25">
      <c r="A841" s="22" t="s">
        <v>210</v>
      </c>
      <c r="B841"/>
      <c r="C841">
        <v>327.11</v>
      </c>
      <c r="D841" s="26"/>
      <c r="H841" s="11" t="str">
        <f t="shared" si="29"/>
        <v>3rd Pay Period ending 30/8/2022</v>
      </c>
      <c r="I841" s="11"/>
      <c r="M841">
        <v>18741</v>
      </c>
      <c r="T841" s="35">
        <f t="shared" si="28"/>
        <v>0</v>
      </c>
    </row>
    <row r="842" spans="1:20" ht="12.75" customHeight="1" x14ac:dyDescent="0.25">
      <c r="A842" s="22" t="s">
        <v>210</v>
      </c>
      <c r="B842"/>
      <c r="C842">
        <v>269.19</v>
      </c>
      <c r="D842" s="26"/>
      <c r="H842" s="11" t="str">
        <f t="shared" si="29"/>
        <v>3rd Pay Period ending 30/8/2022</v>
      </c>
      <c r="I842" s="11"/>
      <c r="M842">
        <v>18836</v>
      </c>
      <c r="T842" s="35">
        <f t="shared" si="28"/>
        <v>0</v>
      </c>
    </row>
    <row r="843" spans="1:20" ht="12.75" customHeight="1" x14ac:dyDescent="0.25">
      <c r="A843" s="22" t="s">
        <v>210</v>
      </c>
      <c r="B843"/>
      <c r="C843">
        <v>245.94</v>
      </c>
      <c r="D843" s="26"/>
      <c r="H843" s="11" t="str">
        <f t="shared" si="29"/>
        <v>3rd Pay Period ending 30/8/2022</v>
      </c>
      <c r="I843" s="11"/>
      <c r="M843">
        <v>18619</v>
      </c>
      <c r="T843" s="35">
        <f t="shared" si="28"/>
        <v>0</v>
      </c>
    </row>
    <row r="844" spans="1:20" ht="12.75" customHeight="1" x14ac:dyDescent="0.25">
      <c r="A844" s="22" t="s">
        <v>210</v>
      </c>
      <c r="B844"/>
      <c r="C844">
        <v>178.72</v>
      </c>
      <c r="D844" s="26"/>
      <c r="H844" s="11" t="str">
        <f t="shared" si="29"/>
        <v>3rd Pay Period ending 30/8/2022</v>
      </c>
      <c r="I844" s="11"/>
      <c r="M844">
        <v>18831</v>
      </c>
      <c r="T844" s="35">
        <f t="shared" si="28"/>
        <v>0</v>
      </c>
    </row>
    <row r="845" spans="1:20" ht="12.75" customHeight="1" x14ac:dyDescent="0.25">
      <c r="A845" s="22" t="s">
        <v>210</v>
      </c>
      <c r="B845"/>
      <c r="C845">
        <v>272.01</v>
      </c>
      <c r="D845" s="26"/>
      <c r="H845" s="11" t="str">
        <f t="shared" si="29"/>
        <v>3rd Pay Period ending 30/8/2022</v>
      </c>
      <c r="I845" s="11"/>
      <c r="M845">
        <v>18957</v>
      </c>
      <c r="T845" s="35">
        <f t="shared" si="28"/>
        <v>0</v>
      </c>
    </row>
    <row r="846" spans="1:20" ht="12.75" customHeight="1" x14ac:dyDescent="0.25">
      <c r="A846" s="22" t="s">
        <v>210</v>
      </c>
      <c r="B846"/>
      <c r="C846">
        <v>30.76</v>
      </c>
      <c r="D846" s="26"/>
      <c r="H846" s="11" t="str">
        <f t="shared" si="29"/>
        <v>3rd Pay Period ending 30/8/2022</v>
      </c>
      <c r="I846" s="11"/>
      <c r="M846">
        <v>18614</v>
      </c>
      <c r="T846" s="35">
        <f t="shared" si="28"/>
        <v>0</v>
      </c>
    </row>
    <row r="847" spans="1:20" ht="12.75" customHeight="1" x14ac:dyDescent="0.25">
      <c r="A847" s="22" t="s">
        <v>210</v>
      </c>
      <c r="B847"/>
      <c r="C847">
        <v>290.2</v>
      </c>
      <c r="D847" s="26"/>
      <c r="H847" s="11" t="str">
        <f t="shared" si="29"/>
        <v>3rd Pay Period ending 30/8/2022</v>
      </c>
      <c r="I847" s="11"/>
      <c r="M847">
        <v>18866</v>
      </c>
      <c r="T847" s="35">
        <f t="shared" si="28"/>
        <v>0</v>
      </c>
    </row>
    <row r="848" spans="1:20" ht="12.75" customHeight="1" x14ac:dyDescent="0.25">
      <c r="A848" s="22" t="s">
        <v>210</v>
      </c>
      <c r="B848"/>
      <c r="C848">
        <v>261.17</v>
      </c>
      <c r="D848" s="26"/>
      <c r="H848" s="11" t="str">
        <f t="shared" si="29"/>
        <v>3rd Pay Period ending 30/8/2022</v>
      </c>
      <c r="I848" s="11"/>
      <c r="M848">
        <v>18903</v>
      </c>
      <c r="T848" s="35">
        <f t="shared" si="28"/>
        <v>0</v>
      </c>
    </row>
    <row r="849" spans="1:20" ht="12.75" customHeight="1" x14ac:dyDescent="0.25">
      <c r="A849" s="22" t="s">
        <v>210</v>
      </c>
      <c r="B849"/>
      <c r="C849">
        <v>193.59</v>
      </c>
      <c r="D849" s="26"/>
      <c r="H849" s="11" t="str">
        <f t="shared" si="29"/>
        <v>3rd Pay Period ending 30/8/2022</v>
      </c>
      <c r="I849" s="11"/>
      <c r="M849">
        <v>18891</v>
      </c>
      <c r="T849" s="35">
        <f t="shared" si="28"/>
        <v>0</v>
      </c>
    </row>
    <row r="850" spans="1:20" ht="12.75" customHeight="1" x14ac:dyDescent="0.25">
      <c r="A850" s="22" t="s">
        <v>210</v>
      </c>
      <c r="B850"/>
      <c r="C850">
        <v>282.86</v>
      </c>
      <c r="D850" s="26"/>
      <c r="H850" s="11" t="str">
        <f t="shared" si="29"/>
        <v>3rd Pay Period ending 30/8/2022</v>
      </c>
      <c r="I850" s="11"/>
      <c r="M850">
        <v>18589</v>
      </c>
      <c r="T850" s="35">
        <f t="shared" si="28"/>
        <v>0</v>
      </c>
    </row>
    <row r="851" spans="1:20" ht="12.75" customHeight="1" x14ac:dyDescent="0.25">
      <c r="A851" s="22" t="s">
        <v>210</v>
      </c>
      <c r="B851"/>
      <c r="C851">
        <v>302.88</v>
      </c>
      <c r="D851" s="26"/>
      <c r="H851" s="11" t="str">
        <f t="shared" si="29"/>
        <v>3rd Pay Period ending 30/8/2022</v>
      </c>
      <c r="I851" s="11"/>
      <c r="M851">
        <v>18954</v>
      </c>
      <c r="T851" s="35">
        <f t="shared" si="28"/>
        <v>0</v>
      </c>
    </row>
    <row r="852" spans="1:20" ht="12.75" customHeight="1" x14ac:dyDescent="0.25">
      <c r="A852" s="22" t="s">
        <v>210</v>
      </c>
      <c r="B852"/>
      <c r="C852">
        <v>274.64999999999998</v>
      </c>
      <c r="D852" s="26"/>
      <c r="H852" s="11" t="str">
        <f t="shared" si="29"/>
        <v>3rd Pay Period ending 30/8/2022</v>
      </c>
      <c r="I852" s="11"/>
      <c r="M852">
        <v>18879</v>
      </c>
      <c r="T852" s="35">
        <f t="shared" si="28"/>
        <v>0</v>
      </c>
    </row>
    <row r="853" spans="1:20" ht="12.75" customHeight="1" x14ac:dyDescent="0.25">
      <c r="A853" s="22" t="s">
        <v>210</v>
      </c>
      <c r="B853"/>
      <c r="C853">
        <v>113.93</v>
      </c>
      <c r="D853" s="26"/>
      <c r="H853" s="11" t="str">
        <f t="shared" si="29"/>
        <v>3rd Pay Period ending 30/8/2022</v>
      </c>
      <c r="I853" s="11"/>
      <c r="M853">
        <v>18</v>
      </c>
      <c r="T853" s="35">
        <f t="shared" ref="T853:T884" si="30">B853/10*$V$1</f>
        <v>0</v>
      </c>
    </row>
    <row r="854" spans="1:20" ht="12.75" customHeight="1" x14ac:dyDescent="0.25">
      <c r="A854" s="22" t="s">
        <v>210</v>
      </c>
      <c r="B854"/>
      <c r="C854">
        <v>149.85</v>
      </c>
      <c r="D854" s="26"/>
      <c r="H854" s="11" t="str">
        <f t="shared" si="29"/>
        <v>3rd Pay Period ending 30/8/2022</v>
      </c>
      <c r="I854" s="11"/>
      <c r="M854">
        <v>18631</v>
      </c>
      <c r="T854" s="35">
        <f t="shared" si="30"/>
        <v>0</v>
      </c>
    </row>
    <row r="855" spans="1:20" ht="12.75" customHeight="1" x14ac:dyDescent="0.25">
      <c r="A855" s="22" t="s">
        <v>210</v>
      </c>
      <c r="B855"/>
      <c r="C855">
        <v>266.64999999999998</v>
      </c>
      <c r="D855" s="26"/>
      <c r="H855" s="11" t="str">
        <f t="shared" si="29"/>
        <v>3rd Pay Period ending 30/8/2022</v>
      </c>
      <c r="I855" s="11"/>
      <c r="M855">
        <v>19013</v>
      </c>
      <c r="T855" s="35">
        <f t="shared" si="30"/>
        <v>0</v>
      </c>
    </row>
    <row r="856" spans="1:20" ht="12.75" customHeight="1" x14ac:dyDescent="0.25">
      <c r="A856" s="22" t="s">
        <v>210</v>
      </c>
      <c r="B856"/>
      <c r="C856">
        <v>238.97</v>
      </c>
      <c r="D856" s="26"/>
      <c r="H856" s="11" t="str">
        <f t="shared" si="29"/>
        <v>3rd Pay Period ending 30/8/2022</v>
      </c>
      <c r="I856" s="11"/>
      <c r="M856">
        <v>19000</v>
      </c>
      <c r="T856" s="35">
        <f t="shared" si="30"/>
        <v>0</v>
      </c>
    </row>
    <row r="857" spans="1:20" ht="12.75" customHeight="1" x14ac:dyDescent="0.25">
      <c r="A857" s="22" t="s">
        <v>210</v>
      </c>
      <c r="B857"/>
      <c r="C857">
        <v>82.08</v>
      </c>
      <c r="D857" s="26"/>
      <c r="H857" s="11" t="str">
        <f t="shared" si="29"/>
        <v>3rd Pay Period ending 30/8/2022</v>
      </c>
      <c r="I857" s="11"/>
      <c r="M857">
        <v>18960</v>
      </c>
      <c r="T857" s="35">
        <f t="shared" si="30"/>
        <v>0</v>
      </c>
    </row>
    <row r="858" spans="1:20" ht="12.75" customHeight="1" x14ac:dyDescent="0.25">
      <c r="A858" s="22" t="s">
        <v>210</v>
      </c>
      <c r="B858"/>
      <c r="C858">
        <v>240.44</v>
      </c>
      <c r="D858" s="26"/>
      <c r="H858" s="11" t="str">
        <f t="shared" si="29"/>
        <v>3rd Pay Period ending 30/8/2022</v>
      </c>
      <c r="I858" s="11"/>
      <c r="M858">
        <v>18687</v>
      </c>
      <c r="T858" s="35">
        <f t="shared" si="30"/>
        <v>0</v>
      </c>
    </row>
    <row r="859" spans="1:20" ht="12.75" customHeight="1" x14ac:dyDescent="0.25">
      <c r="A859" s="22" t="s">
        <v>210</v>
      </c>
      <c r="B859"/>
      <c r="C859">
        <v>233.96</v>
      </c>
      <c r="D859" s="26"/>
      <c r="H859" s="11" t="str">
        <f t="shared" si="29"/>
        <v>3rd Pay Period ending 30/8/2022</v>
      </c>
      <c r="I859" s="11"/>
      <c r="M859">
        <v>18733</v>
      </c>
      <c r="T859" s="35">
        <f t="shared" si="30"/>
        <v>0</v>
      </c>
    </row>
    <row r="860" spans="1:20" ht="12.75" customHeight="1" x14ac:dyDescent="0.25">
      <c r="A860" s="22" t="s">
        <v>210</v>
      </c>
      <c r="B860"/>
      <c r="C860">
        <v>54.4</v>
      </c>
      <c r="D860" s="26"/>
      <c r="H860" s="11" t="str">
        <f t="shared" si="29"/>
        <v>3rd Pay Period ending 30/8/2022</v>
      </c>
      <c r="I860" s="11"/>
      <c r="M860">
        <v>346</v>
      </c>
      <c r="T860" s="35">
        <f t="shared" si="30"/>
        <v>0</v>
      </c>
    </row>
    <row r="861" spans="1:20" ht="12.75" customHeight="1" x14ac:dyDescent="0.25">
      <c r="A861" s="22" t="s">
        <v>210</v>
      </c>
      <c r="B861"/>
      <c r="C861">
        <v>385.61</v>
      </c>
      <c r="D861" s="26"/>
      <c r="H861" s="11" t="str">
        <f t="shared" si="29"/>
        <v>3rd Pay Period ending 30/8/2022</v>
      </c>
      <c r="I861" s="11"/>
      <c r="M861">
        <v>18559</v>
      </c>
      <c r="T861" s="35">
        <f t="shared" si="30"/>
        <v>0</v>
      </c>
    </row>
    <row r="862" spans="1:20" ht="12.75" customHeight="1" x14ac:dyDescent="0.25">
      <c r="A862" s="22" t="s">
        <v>210</v>
      </c>
      <c r="B862"/>
      <c r="C862">
        <v>201.8</v>
      </c>
      <c r="D862" s="26"/>
      <c r="H862" s="11" t="str">
        <f t="shared" si="29"/>
        <v>3rd Pay Period ending 30/8/2022</v>
      </c>
      <c r="I862" s="11"/>
      <c r="M862">
        <v>18892</v>
      </c>
      <c r="T862" s="35">
        <f t="shared" si="30"/>
        <v>0</v>
      </c>
    </row>
    <row r="863" spans="1:20" ht="12.75" customHeight="1" x14ac:dyDescent="0.25">
      <c r="A863" s="22" t="s">
        <v>210</v>
      </c>
      <c r="B863"/>
      <c r="C863">
        <v>250.28</v>
      </c>
      <c r="D863" s="26"/>
      <c r="H863" s="11" t="str">
        <f t="shared" si="29"/>
        <v>3rd Pay Period ending 30/8/2022</v>
      </c>
      <c r="I863" s="11"/>
      <c r="M863">
        <v>18659</v>
      </c>
      <c r="T863" s="35">
        <f t="shared" si="30"/>
        <v>0</v>
      </c>
    </row>
    <row r="864" spans="1:20" ht="12.75" customHeight="1" x14ac:dyDescent="0.25">
      <c r="A864" s="22" t="s">
        <v>210</v>
      </c>
      <c r="B864"/>
      <c r="C864">
        <v>170.6</v>
      </c>
      <c r="D864" s="26"/>
      <c r="H864" s="11" t="str">
        <f t="shared" si="29"/>
        <v>3rd Pay Period ending 30/8/2022</v>
      </c>
      <c r="I864" s="11"/>
      <c r="M864">
        <v>18894</v>
      </c>
      <c r="T864" s="35">
        <f t="shared" si="30"/>
        <v>0</v>
      </c>
    </row>
    <row r="865" spans="1:20" ht="12.75" customHeight="1" x14ac:dyDescent="0.25">
      <c r="A865" s="22" t="s">
        <v>210</v>
      </c>
      <c r="B865"/>
      <c r="C865">
        <v>39.03</v>
      </c>
      <c r="D865" s="26"/>
      <c r="H865" s="11" t="str">
        <f t="shared" si="29"/>
        <v>3rd Pay Period ending 30/8/2022</v>
      </c>
      <c r="I865" s="11"/>
      <c r="M865">
        <v>19033</v>
      </c>
      <c r="T865" s="35">
        <f t="shared" si="30"/>
        <v>0</v>
      </c>
    </row>
    <row r="866" spans="1:20" ht="12.75" customHeight="1" x14ac:dyDescent="0.25">
      <c r="A866" s="22" t="s">
        <v>210</v>
      </c>
      <c r="B866"/>
      <c r="C866">
        <v>272.01</v>
      </c>
      <c r="D866" s="26"/>
      <c r="H866" s="11" t="str">
        <f t="shared" si="29"/>
        <v>3rd Pay Period ending 30/8/2022</v>
      </c>
      <c r="I866" s="11"/>
      <c r="M866">
        <v>18781</v>
      </c>
      <c r="T866" s="35">
        <f t="shared" si="30"/>
        <v>0</v>
      </c>
    </row>
    <row r="867" spans="1:20" ht="12.75" customHeight="1" x14ac:dyDescent="0.25">
      <c r="A867" s="22" t="s">
        <v>210</v>
      </c>
      <c r="B867"/>
      <c r="C867">
        <v>272.01</v>
      </c>
      <c r="D867" s="26"/>
      <c r="H867" s="11" t="str">
        <f t="shared" si="29"/>
        <v>3rd Pay Period ending 30/8/2022</v>
      </c>
      <c r="I867" s="11"/>
      <c r="M867">
        <v>18967</v>
      </c>
      <c r="T867" s="35">
        <f t="shared" si="30"/>
        <v>0</v>
      </c>
    </row>
    <row r="868" spans="1:20" ht="12.75" customHeight="1" x14ac:dyDescent="0.25">
      <c r="A868" s="22" t="s">
        <v>210</v>
      </c>
      <c r="B868"/>
      <c r="C868">
        <v>266.64999999999998</v>
      </c>
      <c r="D868" s="26"/>
      <c r="H868" s="11" t="str">
        <f t="shared" si="29"/>
        <v>3rd Pay Period ending 30/8/2022</v>
      </c>
      <c r="I868" s="11"/>
      <c r="M868">
        <v>18911</v>
      </c>
      <c r="T868" s="35">
        <f t="shared" si="30"/>
        <v>0</v>
      </c>
    </row>
    <row r="869" spans="1:20" ht="12.75" customHeight="1" x14ac:dyDescent="0.25">
      <c r="A869" s="22" t="s">
        <v>210</v>
      </c>
      <c r="B869"/>
      <c r="C869">
        <v>238.97</v>
      </c>
      <c r="D869" s="26"/>
      <c r="H869" s="11" t="str">
        <f t="shared" si="29"/>
        <v>3rd Pay Period ending 30/8/2022</v>
      </c>
      <c r="I869" s="11"/>
      <c r="M869">
        <v>18961</v>
      </c>
      <c r="T869" s="35">
        <f t="shared" si="30"/>
        <v>0</v>
      </c>
    </row>
    <row r="870" spans="1:20" ht="12.75" customHeight="1" x14ac:dyDescent="0.25">
      <c r="A870" s="22" t="s">
        <v>210</v>
      </c>
      <c r="B870"/>
      <c r="C870">
        <v>114.82</v>
      </c>
      <c r="D870" s="26"/>
      <c r="H870" s="11" t="str">
        <f t="shared" si="29"/>
        <v>3rd Pay Period ending 30/8/2022</v>
      </c>
      <c r="I870" s="11"/>
      <c r="M870">
        <v>141</v>
      </c>
      <c r="T870" s="35">
        <f t="shared" si="30"/>
        <v>0</v>
      </c>
    </row>
    <row r="871" spans="1:20" ht="12.75" customHeight="1" x14ac:dyDescent="0.25">
      <c r="A871" s="22" t="s">
        <v>210</v>
      </c>
      <c r="B871"/>
      <c r="C871">
        <v>252.83</v>
      </c>
      <c r="D871" s="26"/>
      <c r="H871" s="11" t="str">
        <f t="shared" si="29"/>
        <v>3rd Pay Period ending 30/8/2022</v>
      </c>
      <c r="I871" s="11"/>
      <c r="M871">
        <v>145</v>
      </c>
      <c r="T871" s="35">
        <f t="shared" si="30"/>
        <v>0</v>
      </c>
    </row>
    <row r="872" spans="1:20" ht="12.75" customHeight="1" x14ac:dyDescent="0.25">
      <c r="A872" s="22" t="s">
        <v>210</v>
      </c>
      <c r="B872"/>
      <c r="C872">
        <v>220.08</v>
      </c>
      <c r="D872" s="26"/>
      <c r="H872" s="11" t="str">
        <f t="shared" si="29"/>
        <v>3rd Pay Period ending 30/8/2022</v>
      </c>
      <c r="I872" s="11"/>
      <c r="M872">
        <v>11229</v>
      </c>
      <c r="T872" s="35">
        <f t="shared" si="30"/>
        <v>0</v>
      </c>
    </row>
    <row r="873" spans="1:20" ht="12.75" customHeight="1" x14ac:dyDescent="0.25">
      <c r="A873" s="22" t="s">
        <v>210</v>
      </c>
      <c r="B873"/>
      <c r="C873">
        <v>174.47</v>
      </c>
      <c r="D873" s="26"/>
      <c r="H873" s="11" t="str">
        <f t="shared" si="29"/>
        <v>3rd Pay Period ending 30/8/2022</v>
      </c>
      <c r="I873" s="11"/>
      <c r="M873">
        <v>18973</v>
      </c>
      <c r="T873" s="35">
        <f t="shared" si="30"/>
        <v>0</v>
      </c>
    </row>
    <row r="874" spans="1:20" ht="12.75" customHeight="1" x14ac:dyDescent="0.25">
      <c r="A874" s="22" t="s">
        <v>210</v>
      </c>
      <c r="B874"/>
      <c r="C874">
        <v>238.97</v>
      </c>
      <c r="D874" s="26"/>
      <c r="H874" s="11" t="str">
        <f t="shared" si="29"/>
        <v>3rd Pay Period ending 30/8/2022</v>
      </c>
      <c r="I874" s="11"/>
      <c r="M874">
        <v>19006</v>
      </c>
      <c r="T874" s="35">
        <f t="shared" si="30"/>
        <v>0</v>
      </c>
    </row>
    <row r="875" spans="1:20" ht="12.75" customHeight="1" x14ac:dyDescent="0.25">
      <c r="A875" s="22" t="s">
        <v>210</v>
      </c>
      <c r="B875"/>
      <c r="C875">
        <v>228.59</v>
      </c>
      <c r="D875" s="26"/>
      <c r="H875" s="11" t="str">
        <f t="shared" si="29"/>
        <v>3rd Pay Period ending 30/8/2022</v>
      </c>
      <c r="I875" s="11"/>
      <c r="M875">
        <v>19016</v>
      </c>
      <c r="T875" s="35">
        <f t="shared" si="30"/>
        <v>0</v>
      </c>
    </row>
    <row r="876" spans="1:20" ht="12.75" customHeight="1" x14ac:dyDescent="0.25">
      <c r="A876" s="22" t="s">
        <v>210</v>
      </c>
      <c r="B876"/>
      <c r="C876">
        <v>94.29</v>
      </c>
      <c r="D876" s="26"/>
      <c r="H876" s="11" t="str">
        <f t="shared" si="29"/>
        <v>3rd Pay Period ending 30/8/2022</v>
      </c>
      <c r="I876" s="11"/>
      <c r="M876">
        <v>19002</v>
      </c>
      <c r="T876" s="35">
        <f t="shared" si="30"/>
        <v>0</v>
      </c>
    </row>
    <row r="877" spans="1:20" ht="12.75" customHeight="1" x14ac:dyDescent="0.25">
      <c r="A877" s="22" t="s">
        <v>210</v>
      </c>
      <c r="B877"/>
      <c r="C877">
        <v>62.34</v>
      </c>
      <c r="D877" s="26"/>
      <c r="H877" s="11" t="str">
        <f t="shared" si="29"/>
        <v>3rd Pay Period ending 30/8/2022</v>
      </c>
      <c r="I877" s="11"/>
      <c r="M877">
        <v>19032</v>
      </c>
      <c r="T877" s="35">
        <f t="shared" si="30"/>
        <v>0</v>
      </c>
    </row>
    <row r="878" spans="1:20" ht="12.75" customHeight="1" x14ac:dyDescent="0.25">
      <c r="A878" s="22" t="s">
        <v>210</v>
      </c>
      <c r="B878"/>
      <c r="C878">
        <v>306.43</v>
      </c>
      <c r="D878" s="26"/>
      <c r="H878" s="11" t="str">
        <f t="shared" si="29"/>
        <v>3rd Pay Period ending 30/8/2022</v>
      </c>
      <c r="I878" s="11"/>
      <c r="M878">
        <v>18974</v>
      </c>
      <c r="T878" s="35">
        <f t="shared" si="30"/>
        <v>0</v>
      </c>
    </row>
    <row r="879" spans="1:20" ht="12.75" customHeight="1" x14ac:dyDescent="0.25">
      <c r="A879" s="22" t="s">
        <v>210</v>
      </c>
      <c r="B879"/>
      <c r="C879">
        <v>525</v>
      </c>
      <c r="D879" s="26"/>
      <c r="H879" s="11" t="str">
        <f t="shared" si="29"/>
        <v>3rd Pay Period ending 30/8/2022</v>
      </c>
      <c r="I879" s="11"/>
      <c r="M879">
        <v>18962</v>
      </c>
      <c r="T879" s="35">
        <f t="shared" si="30"/>
        <v>0</v>
      </c>
    </row>
    <row r="880" spans="1:20" ht="12.75" customHeight="1" x14ac:dyDescent="0.25">
      <c r="A880" s="22" t="s">
        <v>210</v>
      </c>
      <c r="B880"/>
      <c r="C880">
        <v>235.48</v>
      </c>
      <c r="D880" s="26"/>
      <c r="H880" s="11" t="str">
        <f t="shared" si="29"/>
        <v>3rd Pay Period ending 30/8/2022</v>
      </c>
      <c r="I880" s="11"/>
      <c r="M880">
        <v>18999</v>
      </c>
      <c r="T880" s="35">
        <f t="shared" si="30"/>
        <v>0</v>
      </c>
    </row>
    <row r="881" spans="1:20" ht="12.75" customHeight="1" x14ac:dyDescent="0.25">
      <c r="A881" s="22" t="s">
        <v>210</v>
      </c>
      <c r="B881"/>
      <c r="C881">
        <v>228.59</v>
      </c>
      <c r="D881" s="26"/>
      <c r="H881" s="11" t="str">
        <f t="shared" si="29"/>
        <v>3rd Pay Period ending 30/8/2022</v>
      </c>
      <c r="I881" s="11"/>
      <c r="M881">
        <v>19007</v>
      </c>
      <c r="T881" s="35">
        <f t="shared" si="30"/>
        <v>0</v>
      </c>
    </row>
    <row r="882" spans="1:20" ht="12.75" customHeight="1" x14ac:dyDescent="0.25">
      <c r="A882" s="22" t="s">
        <v>210</v>
      </c>
      <c r="B882"/>
      <c r="C882">
        <v>124.69</v>
      </c>
      <c r="D882" s="26"/>
      <c r="H882" s="11" t="str">
        <f t="shared" si="29"/>
        <v>3rd Pay Period ending 30/8/2022</v>
      </c>
      <c r="I882" s="11"/>
      <c r="M882">
        <v>19026</v>
      </c>
      <c r="T882" s="35">
        <f t="shared" si="30"/>
        <v>0</v>
      </c>
    </row>
    <row r="883" spans="1:20" ht="12.75" customHeight="1" x14ac:dyDescent="0.25">
      <c r="A883" s="22" t="s">
        <v>210</v>
      </c>
      <c r="B883"/>
      <c r="C883">
        <v>207.72</v>
      </c>
      <c r="D883" s="26"/>
      <c r="H883" s="11" t="str">
        <f t="shared" si="29"/>
        <v>3rd Pay Period ending 30/8/2022</v>
      </c>
      <c r="I883" s="11"/>
      <c r="M883">
        <v>18980</v>
      </c>
      <c r="T883" s="35">
        <f t="shared" si="30"/>
        <v>0</v>
      </c>
    </row>
    <row r="884" spans="1:20" ht="12.75" customHeight="1" x14ac:dyDescent="0.25">
      <c r="A884" s="22" t="s">
        <v>210</v>
      </c>
      <c r="B884"/>
      <c r="C884">
        <v>180.22</v>
      </c>
      <c r="D884" s="26"/>
      <c r="H884" s="11" t="str">
        <f t="shared" si="29"/>
        <v>3rd Pay Period ending 30/8/2022</v>
      </c>
      <c r="I884" s="11"/>
      <c r="M884">
        <v>19021</v>
      </c>
      <c r="T884" s="35">
        <f t="shared" si="30"/>
        <v>0</v>
      </c>
    </row>
    <row r="885" spans="1:20" ht="12.75" customHeight="1" x14ac:dyDescent="0.25">
      <c r="A885" s="22" t="s">
        <v>210</v>
      </c>
      <c r="B885"/>
      <c r="C885">
        <v>249.23</v>
      </c>
      <c r="D885" s="26"/>
      <c r="H885" s="11" t="str">
        <f t="shared" si="29"/>
        <v>3rd Pay Period ending 30/8/2022</v>
      </c>
      <c r="I885" s="11"/>
      <c r="M885">
        <v>19027</v>
      </c>
      <c r="T885" s="35">
        <f t="shared" ref="T885:T916" si="31">B885/10*$V$1</f>
        <v>0</v>
      </c>
    </row>
    <row r="886" spans="1:20" ht="12.75" customHeight="1" x14ac:dyDescent="0.25">
      <c r="A886" s="22" t="s">
        <v>210</v>
      </c>
      <c r="B886"/>
      <c r="C886">
        <v>332.07</v>
      </c>
      <c r="D886" s="26"/>
      <c r="H886" s="11" t="str">
        <f t="shared" si="29"/>
        <v>3rd Pay Period ending 30/8/2022</v>
      </c>
      <c r="I886" s="11"/>
      <c r="M886">
        <v>18581</v>
      </c>
      <c r="T886" s="35">
        <f t="shared" si="31"/>
        <v>0</v>
      </c>
    </row>
    <row r="887" spans="1:20" ht="12.75" customHeight="1" x14ac:dyDescent="0.25">
      <c r="A887" s="22" t="s">
        <v>210</v>
      </c>
      <c r="B887"/>
      <c r="C887">
        <v>226.15</v>
      </c>
      <c r="D887" s="26"/>
      <c r="H887" s="11" t="str">
        <f t="shared" si="29"/>
        <v>3rd Pay Period ending 30/8/2022</v>
      </c>
      <c r="I887" s="11"/>
      <c r="M887">
        <v>18945</v>
      </c>
      <c r="T887" s="35">
        <f t="shared" si="31"/>
        <v>0</v>
      </c>
    </row>
    <row r="888" spans="1:20" ht="12.75" customHeight="1" x14ac:dyDescent="0.25">
      <c r="A888" s="22" t="s">
        <v>210</v>
      </c>
      <c r="B888"/>
      <c r="C888">
        <v>565.38</v>
      </c>
      <c r="D888" s="26"/>
      <c r="H888" s="11" t="str">
        <f t="shared" si="29"/>
        <v>3rd Pay Period ending 30/8/2022</v>
      </c>
      <c r="I888" s="11"/>
      <c r="M888">
        <v>44705</v>
      </c>
      <c r="T888" s="35">
        <f t="shared" si="31"/>
        <v>0</v>
      </c>
    </row>
    <row r="889" spans="1:20" ht="12.75" customHeight="1" x14ac:dyDescent="0.25">
      <c r="A889" s="22" t="s">
        <v>210</v>
      </c>
      <c r="B889"/>
      <c r="C889">
        <v>242.31</v>
      </c>
      <c r="D889" s="26"/>
      <c r="H889" s="11" t="str">
        <f t="shared" si="29"/>
        <v>3rd Pay Period ending 30/8/2022</v>
      </c>
      <c r="I889" s="11"/>
      <c r="M889">
        <v>18805</v>
      </c>
      <c r="T889" s="35">
        <f t="shared" si="31"/>
        <v>0</v>
      </c>
    </row>
    <row r="890" spans="1:20" ht="12.75" customHeight="1" x14ac:dyDescent="0.25">
      <c r="A890" s="22" t="s">
        <v>210</v>
      </c>
      <c r="B890"/>
      <c r="C890">
        <v>228.17</v>
      </c>
      <c r="D890" s="26"/>
      <c r="H890" s="11" t="str">
        <f t="shared" si="29"/>
        <v>3rd Pay Period ending 30/8/2022</v>
      </c>
      <c r="I890" s="11"/>
      <c r="M890">
        <v>18982</v>
      </c>
      <c r="T890" s="35">
        <f t="shared" si="31"/>
        <v>0</v>
      </c>
    </row>
    <row r="891" spans="1:20" ht="12.75" customHeight="1" x14ac:dyDescent="0.25">
      <c r="A891" s="22" t="s">
        <v>210</v>
      </c>
      <c r="B891"/>
      <c r="C891">
        <v>259.95999999999998</v>
      </c>
      <c r="D891" s="26"/>
      <c r="H891" s="11" t="str">
        <f t="shared" si="29"/>
        <v>3rd Pay Period ending 30/8/2022</v>
      </c>
      <c r="I891" s="11"/>
      <c r="M891">
        <v>266</v>
      </c>
      <c r="T891" s="35">
        <f t="shared" si="31"/>
        <v>0</v>
      </c>
    </row>
    <row r="892" spans="1:20" ht="12.75" customHeight="1" x14ac:dyDescent="0.25">
      <c r="A892" s="22" t="s">
        <v>210</v>
      </c>
      <c r="B892"/>
      <c r="C892">
        <v>240.09</v>
      </c>
      <c r="D892" s="26"/>
      <c r="H892" s="11" t="str">
        <f t="shared" si="29"/>
        <v>3rd Pay Period ending 30/8/2022</v>
      </c>
      <c r="I892" s="11"/>
      <c r="M892">
        <v>302</v>
      </c>
      <c r="T892" s="35">
        <f t="shared" si="31"/>
        <v>0</v>
      </c>
    </row>
    <row r="893" spans="1:20" ht="12.75" customHeight="1" x14ac:dyDescent="0.25">
      <c r="A893" s="22" t="s">
        <v>210</v>
      </c>
      <c r="B893"/>
      <c r="C893">
        <v>226.15</v>
      </c>
      <c r="D893" s="26"/>
      <c r="H893" s="11" t="str">
        <f t="shared" si="29"/>
        <v>3rd Pay Period ending 30/8/2022</v>
      </c>
      <c r="I893" s="11"/>
      <c r="M893">
        <v>18841</v>
      </c>
      <c r="T893" s="35">
        <f t="shared" si="31"/>
        <v>0</v>
      </c>
    </row>
    <row r="894" spans="1:20" ht="12.75" customHeight="1" x14ac:dyDescent="0.25">
      <c r="A894" s="22" t="s">
        <v>210</v>
      </c>
      <c r="B894"/>
      <c r="C894">
        <v>228.31</v>
      </c>
      <c r="D894" s="26"/>
      <c r="H894" s="11" t="str">
        <f t="shared" si="29"/>
        <v>3rd Pay Period ending 30/8/2022</v>
      </c>
      <c r="I894" s="11"/>
      <c r="M894">
        <v>18822</v>
      </c>
      <c r="T894" s="35">
        <f t="shared" si="31"/>
        <v>0</v>
      </c>
    </row>
    <row r="895" spans="1:20" ht="12.75" customHeight="1" x14ac:dyDescent="0.25">
      <c r="A895" s="22" t="s">
        <v>210</v>
      </c>
      <c r="B895"/>
      <c r="C895">
        <v>249.37</v>
      </c>
      <c r="D895" s="26"/>
      <c r="H895" s="11" t="str">
        <f t="shared" si="29"/>
        <v>3rd Pay Period ending 30/8/2022</v>
      </c>
      <c r="I895" s="11"/>
      <c r="M895">
        <v>18827</v>
      </c>
      <c r="T895" s="35">
        <f t="shared" si="31"/>
        <v>0</v>
      </c>
    </row>
    <row r="896" spans="1:20" ht="12.75" customHeight="1" x14ac:dyDescent="0.25">
      <c r="A896" s="22" t="s">
        <v>210</v>
      </c>
      <c r="B896"/>
      <c r="C896">
        <v>100.72</v>
      </c>
      <c r="D896" s="26"/>
      <c r="H896" s="11" t="str">
        <f t="shared" si="29"/>
        <v>3rd Pay Period ending 30/8/2022</v>
      </c>
      <c r="I896" s="11"/>
      <c r="M896">
        <v>134</v>
      </c>
      <c r="T896" s="35">
        <f t="shared" si="31"/>
        <v>0</v>
      </c>
    </row>
    <row r="897" spans="1:20" ht="12.75" customHeight="1" x14ac:dyDescent="0.25">
      <c r="A897" s="22" t="s">
        <v>210</v>
      </c>
      <c r="B897"/>
      <c r="C897">
        <v>250.34</v>
      </c>
      <c r="D897" s="26"/>
      <c r="H897" s="11" t="str">
        <f t="shared" si="29"/>
        <v>3rd Pay Period ending 30/8/2022</v>
      </c>
      <c r="I897" s="11"/>
      <c r="M897">
        <v>18918</v>
      </c>
      <c r="T897" s="35">
        <f t="shared" si="31"/>
        <v>0</v>
      </c>
    </row>
    <row r="898" spans="1:20" ht="12.75" customHeight="1" x14ac:dyDescent="0.25">
      <c r="A898" s="22" t="s">
        <v>210</v>
      </c>
      <c r="B898"/>
      <c r="C898">
        <v>191.38</v>
      </c>
      <c r="D898" s="26"/>
      <c r="H898" s="11" t="str">
        <f t="shared" si="29"/>
        <v>3rd Pay Period ending 30/8/2022</v>
      </c>
      <c r="I898" s="11"/>
      <c r="M898">
        <v>18887</v>
      </c>
      <c r="T898" s="35">
        <f t="shared" si="31"/>
        <v>0</v>
      </c>
    </row>
    <row r="899" spans="1:20" ht="12.75" customHeight="1" x14ac:dyDescent="0.25">
      <c r="A899" s="22" t="s">
        <v>210</v>
      </c>
      <c r="B899"/>
      <c r="C899">
        <v>25.44</v>
      </c>
      <c r="D899" s="26"/>
      <c r="H899" s="11" t="str">
        <f t="shared" ref="H899:H964" si="32">$K$1</f>
        <v>3rd Pay Period ending 30/8/2022</v>
      </c>
      <c r="I899" s="11"/>
      <c r="M899">
        <v>18994</v>
      </c>
      <c r="T899" s="35">
        <f t="shared" si="31"/>
        <v>0</v>
      </c>
    </row>
    <row r="900" spans="1:20" ht="12.75" customHeight="1" x14ac:dyDescent="0.25">
      <c r="A900" s="22" t="s">
        <v>210</v>
      </c>
      <c r="B900"/>
      <c r="C900">
        <v>228.46</v>
      </c>
      <c r="D900" s="26"/>
      <c r="H900" s="11" t="str">
        <f t="shared" si="32"/>
        <v>3rd Pay Period ending 30/8/2022</v>
      </c>
      <c r="I900" s="11"/>
      <c r="M900">
        <v>18797</v>
      </c>
      <c r="T900" s="35">
        <f t="shared" si="31"/>
        <v>0</v>
      </c>
    </row>
    <row r="901" spans="1:20" ht="12.75" customHeight="1" x14ac:dyDescent="0.25">
      <c r="A901" s="22" t="s">
        <v>210</v>
      </c>
      <c r="B901"/>
      <c r="C901">
        <v>286.45</v>
      </c>
      <c r="D901" s="26"/>
      <c r="H901" s="11" t="str">
        <f t="shared" si="32"/>
        <v>3rd Pay Period ending 30/8/2022</v>
      </c>
      <c r="I901" s="11"/>
      <c r="M901">
        <v>18901</v>
      </c>
      <c r="T901" s="35">
        <f t="shared" si="31"/>
        <v>0</v>
      </c>
    </row>
    <row r="902" spans="1:20" ht="12.75" customHeight="1" x14ac:dyDescent="0.25">
      <c r="A902" s="22" t="s">
        <v>210</v>
      </c>
      <c r="B902"/>
      <c r="C902">
        <v>209</v>
      </c>
      <c r="D902" s="26"/>
      <c r="H902" s="11" t="str">
        <f t="shared" si="32"/>
        <v>3rd Pay Period ending 30/8/2022</v>
      </c>
      <c r="I902" s="11"/>
      <c r="M902">
        <v>18949</v>
      </c>
      <c r="T902" s="35">
        <f t="shared" si="31"/>
        <v>0</v>
      </c>
    </row>
    <row r="903" spans="1:20" ht="12.75" customHeight="1" x14ac:dyDescent="0.25">
      <c r="A903" s="22" t="s">
        <v>210</v>
      </c>
      <c r="B903"/>
      <c r="C903">
        <v>212.98</v>
      </c>
      <c r="D903" s="26"/>
      <c r="H903" s="11" t="str">
        <f t="shared" si="32"/>
        <v>3rd Pay Period ending 30/8/2022</v>
      </c>
      <c r="I903" s="11"/>
      <c r="M903">
        <v>18979</v>
      </c>
      <c r="T903" s="35">
        <f t="shared" si="31"/>
        <v>0</v>
      </c>
    </row>
    <row r="904" spans="1:20" ht="12.75" customHeight="1" x14ac:dyDescent="0.25">
      <c r="A904" s="22" t="s">
        <v>210</v>
      </c>
      <c r="B904"/>
      <c r="C904">
        <v>91.08</v>
      </c>
      <c r="D904" s="26"/>
      <c r="H904" s="11" t="str">
        <f t="shared" si="32"/>
        <v>3rd Pay Period ending 30/8/2022</v>
      </c>
      <c r="I904" s="11"/>
      <c r="M904">
        <v>18929</v>
      </c>
      <c r="T904" s="35">
        <f t="shared" si="31"/>
        <v>0</v>
      </c>
    </row>
    <row r="905" spans="1:20" ht="12.75" customHeight="1" x14ac:dyDescent="0.25">
      <c r="A905" s="22" t="s">
        <v>210</v>
      </c>
      <c r="B905"/>
      <c r="C905">
        <v>363.46</v>
      </c>
      <c r="D905" s="26"/>
      <c r="H905" s="11" t="str">
        <f t="shared" si="32"/>
        <v>3rd Pay Period ending 30/8/2022</v>
      </c>
      <c r="I905" s="11"/>
      <c r="M905">
        <v>18626</v>
      </c>
      <c r="T905" s="35">
        <f t="shared" si="31"/>
        <v>0</v>
      </c>
    </row>
    <row r="906" spans="1:20" ht="12.75" customHeight="1" x14ac:dyDescent="0.25">
      <c r="A906" s="22" t="s">
        <v>210</v>
      </c>
      <c r="B906"/>
      <c r="C906">
        <v>254.67</v>
      </c>
      <c r="D906" s="26"/>
      <c r="H906" s="11" t="str">
        <f t="shared" si="32"/>
        <v>3rd Pay Period ending 30/8/2022</v>
      </c>
      <c r="I906" s="11"/>
      <c r="M906">
        <v>18692</v>
      </c>
      <c r="T906" s="35">
        <f t="shared" si="31"/>
        <v>0</v>
      </c>
    </row>
    <row r="907" spans="1:20" ht="12.75" customHeight="1" x14ac:dyDescent="0.25">
      <c r="A907" s="22" t="s">
        <v>210</v>
      </c>
      <c r="B907"/>
      <c r="C907">
        <v>209.63</v>
      </c>
      <c r="D907" s="26"/>
      <c r="H907" s="11" t="str">
        <f t="shared" si="32"/>
        <v>3rd Pay Period ending 30/8/2022</v>
      </c>
      <c r="I907" s="11"/>
      <c r="M907">
        <v>18989</v>
      </c>
      <c r="T907" s="35">
        <f t="shared" si="31"/>
        <v>0</v>
      </c>
    </row>
    <row r="908" spans="1:20" ht="12.75" customHeight="1" x14ac:dyDescent="0.25">
      <c r="A908" s="22" t="s">
        <v>210</v>
      </c>
      <c r="B908"/>
      <c r="C908">
        <v>166.25</v>
      </c>
      <c r="D908" s="26"/>
      <c r="H908" s="11" t="str">
        <f t="shared" si="32"/>
        <v>3rd Pay Period ending 30/8/2022</v>
      </c>
      <c r="I908" s="11"/>
      <c r="M908">
        <v>18916</v>
      </c>
      <c r="T908" s="35">
        <f t="shared" si="31"/>
        <v>0</v>
      </c>
    </row>
    <row r="909" spans="1:20" ht="12.75" customHeight="1" x14ac:dyDescent="0.25">
      <c r="A909" s="22" t="s">
        <v>210</v>
      </c>
      <c r="B909"/>
      <c r="C909">
        <v>176.2</v>
      </c>
      <c r="D909" s="26"/>
      <c r="H909" s="11" t="str">
        <f t="shared" si="32"/>
        <v>3rd Pay Period ending 30/8/2022</v>
      </c>
      <c r="I909" s="11"/>
      <c r="M909">
        <v>18736</v>
      </c>
      <c r="T909" s="35">
        <f t="shared" si="31"/>
        <v>0</v>
      </c>
    </row>
    <row r="910" spans="1:20" ht="12.75" customHeight="1" x14ac:dyDescent="0.25">
      <c r="A910" s="22" t="s">
        <v>210</v>
      </c>
      <c r="B910"/>
      <c r="C910">
        <v>99.76</v>
      </c>
      <c r="D910" s="26"/>
      <c r="H910" s="11" t="str">
        <f t="shared" si="32"/>
        <v>3rd Pay Period ending 30/8/2022</v>
      </c>
      <c r="I910" s="11"/>
      <c r="M910">
        <v>19008</v>
      </c>
      <c r="T910" s="35">
        <f t="shared" si="31"/>
        <v>0</v>
      </c>
    </row>
    <row r="911" spans="1:20" ht="12.75" customHeight="1" x14ac:dyDescent="0.25">
      <c r="A911" s="22" t="s">
        <v>210</v>
      </c>
      <c r="B911"/>
      <c r="C911">
        <v>176.79</v>
      </c>
      <c r="D911" s="26"/>
      <c r="H911" s="11" t="str">
        <f t="shared" si="32"/>
        <v>3rd Pay Period ending 30/8/2022</v>
      </c>
      <c r="I911" s="11"/>
      <c r="M911">
        <v>19030</v>
      </c>
      <c r="T911" s="35">
        <f t="shared" si="31"/>
        <v>0</v>
      </c>
    </row>
    <row r="912" spans="1:20" ht="12.75" customHeight="1" x14ac:dyDescent="0.25">
      <c r="A912" s="22" t="s">
        <v>210</v>
      </c>
      <c r="B912"/>
      <c r="C912">
        <v>210.51</v>
      </c>
      <c r="D912" s="26"/>
      <c r="H912" s="11" t="str">
        <f t="shared" si="32"/>
        <v>3rd Pay Period ending 30/8/2022</v>
      </c>
      <c r="I912" s="11"/>
      <c r="M912">
        <v>19029</v>
      </c>
      <c r="T912" s="35">
        <f t="shared" si="31"/>
        <v>0</v>
      </c>
    </row>
    <row r="913" spans="1:20" ht="12.75" customHeight="1" x14ac:dyDescent="0.25">
      <c r="A913" s="22" t="s">
        <v>210</v>
      </c>
      <c r="B913"/>
      <c r="C913">
        <v>180.93</v>
      </c>
      <c r="D913" s="26"/>
      <c r="H913" s="11" t="str">
        <f t="shared" si="32"/>
        <v>3rd Pay Period ending 30/8/2022</v>
      </c>
      <c r="I913" s="11"/>
      <c r="M913">
        <v>19022</v>
      </c>
      <c r="T913" s="35">
        <f t="shared" si="31"/>
        <v>0</v>
      </c>
    </row>
    <row r="914" spans="1:20" ht="12.75" customHeight="1" x14ac:dyDescent="0.25">
      <c r="A914" s="22" t="s">
        <v>210</v>
      </c>
      <c r="B914"/>
      <c r="C914">
        <v>195.55</v>
      </c>
      <c r="D914" s="26"/>
      <c r="H914" s="11" t="str">
        <f t="shared" si="32"/>
        <v>3rd Pay Period ending 30/8/2022</v>
      </c>
      <c r="I914" s="11"/>
      <c r="M914">
        <v>19012</v>
      </c>
      <c r="T914" s="35">
        <f t="shared" si="31"/>
        <v>0</v>
      </c>
    </row>
    <row r="915" spans="1:20" ht="12.75" customHeight="1" x14ac:dyDescent="0.25">
      <c r="A915" s="22" t="s">
        <v>210</v>
      </c>
      <c r="B915"/>
      <c r="C915">
        <v>234.63</v>
      </c>
      <c r="D915" s="26"/>
      <c r="H915" s="11" t="str">
        <f t="shared" si="32"/>
        <v>3rd Pay Period ending 30/8/2022</v>
      </c>
      <c r="I915" s="11"/>
      <c r="M915">
        <v>18607</v>
      </c>
      <c r="T915" s="35">
        <f t="shared" si="31"/>
        <v>0</v>
      </c>
    </row>
    <row r="916" spans="1:20" ht="12.75" customHeight="1" x14ac:dyDescent="0.25">
      <c r="A916" s="22" t="s">
        <v>210</v>
      </c>
      <c r="B916"/>
      <c r="C916">
        <v>206.61</v>
      </c>
      <c r="D916" s="26"/>
      <c r="H916" s="11" t="str">
        <f t="shared" si="32"/>
        <v>3rd Pay Period ending 30/8/2022</v>
      </c>
      <c r="I916" s="11"/>
      <c r="M916">
        <v>19015</v>
      </c>
      <c r="T916" s="35">
        <f t="shared" si="31"/>
        <v>0</v>
      </c>
    </row>
    <row r="917" spans="1:20" ht="12.75" customHeight="1" x14ac:dyDescent="0.25">
      <c r="A917" s="11" t="s">
        <v>210</v>
      </c>
      <c r="B917"/>
      <c r="C917">
        <v>184.78</v>
      </c>
      <c r="D917" s="26"/>
      <c r="H917" s="11" t="str">
        <f t="shared" si="32"/>
        <v>3rd Pay Period ending 30/8/2022</v>
      </c>
      <c r="I917" s="11"/>
      <c r="M917">
        <v>18679</v>
      </c>
      <c r="N917" s="37"/>
      <c r="T917" s="35">
        <f t="shared" ref="T917:T948" si="33">B917/10*$V$1</f>
        <v>0</v>
      </c>
    </row>
    <row r="918" spans="1:20" ht="12.75" customHeight="1" x14ac:dyDescent="0.25">
      <c r="A918" s="11" t="s">
        <v>210</v>
      </c>
      <c r="B918"/>
      <c r="C918">
        <v>186.78</v>
      </c>
      <c r="D918" s="26"/>
      <c r="H918" s="11" t="str">
        <f t="shared" si="32"/>
        <v>3rd Pay Period ending 30/8/2022</v>
      </c>
      <c r="I918" s="11"/>
      <c r="M918">
        <v>19028</v>
      </c>
      <c r="N918" s="37"/>
      <c r="T918" s="35">
        <f t="shared" si="33"/>
        <v>0</v>
      </c>
    </row>
    <row r="919" spans="1:20" ht="15" x14ac:dyDescent="0.25">
      <c r="A919" s="11" t="s">
        <v>210</v>
      </c>
      <c r="B919"/>
      <c r="C919">
        <v>163.88</v>
      </c>
      <c r="D919" s="26"/>
      <c r="H919" s="11" t="str">
        <f t="shared" si="32"/>
        <v>3rd Pay Period ending 30/8/2022</v>
      </c>
      <c r="I919" s="11"/>
      <c r="M919">
        <v>19017</v>
      </c>
      <c r="N919" s="37"/>
      <c r="T919" s="35">
        <f t="shared" si="33"/>
        <v>0</v>
      </c>
    </row>
    <row r="920" spans="1:20" ht="12.75" customHeight="1" x14ac:dyDescent="0.25">
      <c r="A920" s="11" t="s">
        <v>210</v>
      </c>
      <c r="B920"/>
      <c r="C920">
        <v>191.12</v>
      </c>
      <c r="D920" s="26"/>
      <c r="H920" s="11" t="str">
        <f t="shared" si="32"/>
        <v>3rd Pay Period ending 30/8/2022</v>
      </c>
      <c r="I920" s="11"/>
      <c r="M920">
        <v>18983</v>
      </c>
      <c r="N920" s="37"/>
      <c r="T920" s="35">
        <f t="shared" si="33"/>
        <v>0</v>
      </c>
    </row>
    <row r="921" spans="1:20" ht="15" x14ac:dyDescent="0.25">
      <c r="A921" s="11" t="s">
        <v>210</v>
      </c>
      <c r="B921"/>
      <c r="C921">
        <v>191.38</v>
      </c>
      <c r="D921" s="26"/>
      <c r="H921" s="11" t="str">
        <f t="shared" si="32"/>
        <v>3rd Pay Period ending 30/8/2022</v>
      </c>
      <c r="I921" s="11"/>
      <c r="M921">
        <v>19011</v>
      </c>
      <c r="N921" s="37"/>
      <c r="T921" s="35">
        <f t="shared" si="33"/>
        <v>0</v>
      </c>
    </row>
    <row r="922" spans="1:20" ht="15" x14ac:dyDescent="0.25">
      <c r="A922" s="11" t="s">
        <v>210</v>
      </c>
      <c r="B922"/>
      <c r="C922">
        <v>170.52</v>
      </c>
      <c r="D922" s="26"/>
      <c r="H922" s="11" t="str">
        <f t="shared" si="32"/>
        <v>3rd Pay Period ending 30/8/2022</v>
      </c>
      <c r="I922" s="11"/>
      <c r="M922">
        <v>18923</v>
      </c>
      <c r="N922" s="37"/>
      <c r="T922" s="35">
        <f t="shared" si="33"/>
        <v>0</v>
      </c>
    </row>
    <row r="923" spans="1:20" ht="15" x14ac:dyDescent="0.25">
      <c r="A923" s="11" t="s">
        <v>210</v>
      </c>
      <c r="B923"/>
      <c r="C923">
        <v>235.48</v>
      </c>
      <c r="D923" s="26"/>
      <c r="H923" s="11" t="str">
        <f t="shared" si="32"/>
        <v>3rd Pay Period ending 30/8/2022</v>
      </c>
      <c r="I923" s="11"/>
      <c r="M923">
        <v>18829</v>
      </c>
      <c r="N923" s="37"/>
      <c r="T923" s="35">
        <f t="shared" si="33"/>
        <v>0</v>
      </c>
    </row>
    <row r="924" spans="1:20" ht="15" x14ac:dyDescent="0.25">
      <c r="A924" s="11" t="s">
        <v>210</v>
      </c>
      <c r="B924"/>
      <c r="C924">
        <v>271.02999999999997</v>
      </c>
      <c r="D924" s="26"/>
      <c r="H924" s="11" t="str">
        <f t="shared" si="32"/>
        <v>3rd Pay Period ending 30/8/2022</v>
      </c>
      <c r="I924" s="11"/>
      <c r="M924">
        <v>18932</v>
      </c>
      <c r="N924" s="37"/>
      <c r="T924" s="35">
        <f t="shared" si="33"/>
        <v>0</v>
      </c>
    </row>
    <row r="925" spans="1:20" ht="15" x14ac:dyDescent="0.25">
      <c r="A925" s="11" t="s">
        <v>210</v>
      </c>
      <c r="B925"/>
      <c r="C925">
        <v>206.61</v>
      </c>
      <c r="D925" s="26"/>
      <c r="H925" s="11" t="str">
        <f t="shared" si="32"/>
        <v>3rd Pay Period ending 30/8/2022</v>
      </c>
      <c r="I925" s="11"/>
      <c r="M925">
        <v>19019</v>
      </c>
      <c r="N925" s="37"/>
      <c r="T925" s="35">
        <f t="shared" si="33"/>
        <v>0</v>
      </c>
    </row>
    <row r="926" spans="1:20" ht="15" x14ac:dyDescent="0.25">
      <c r="A926" s="11" t="s">
        <v>210</v>
      </c>
      <c r="B926"/>
      <c r="C926">
        <v>210.21</v>
      </c>
      <c r="D926" s="26"/>
      <c r="H926" s="11" t="str">
        <f t="shared" si="32"/>
        <v>3rd Pay Period ending 30/8/2022</v>
      </c>
      <c r="I926" s="11"/>
      <c r="M926">
        <v>19009</v>
      </c>
      <c r="N926" s="37"/>
      <c r="T926" s="35">
        <f t="shared" si="33"/>
        <v>0</v>
      </c>
    </row>
    <row r="927" spans="1:20" ht="12.75" customHeight="1" x14ac:dyDescent="0.25">
      <c r="A927" s="11" t="s">
        <v>210</v>
      </c>
      <c r="B927"/>
      <c r="C927">
        <v>302.89</v>
      </c>
      <c r="D927" s="26"/>
      <c r="H927" s="11" t="str">
        <f t="shared" si="32"/>
        <v>3rd Pay Period ending 30/8/2022</v>
      </c>
      <c r="I927" s="11"/>
      <c r="M927">
        <v>18998</v>
      </c>
      <c r="N927" s="37"/>
      <c r="T927" s="35">
        <f t="shared" si="33"/>
        <v>0</v>
      </c>
    </row>
    <row r="928" spans="1:20" ht="12.75" customHeight="1" x14ac:dyDescent="0.25">
      <c r="A928" s="11" t="s">
        <v>210</v>
      </c>
      <c r="B928"/>
      <c r="C928">
        <v>310.76</v>
      </c>
      <c r="D928" s="26"/>
      <c r="H928" s="11" t="str">
        <f t="shared" si="32"/>
        <v>3rd Pay Period ending 30/8/2022</v>
      </c>
      <c r="I928" s="11"/>
      <c r="M928">
        <v>115</v>
      </c>
      <c r="N928" s="37"/>
      <c r="T928" s="35">
        <f t="shared" si="33"/>
        <v>0</v>
      </c>
    </row>
    <row r="929" spans="1:20" ht="12.75" customHeight="1" x14ac:dyDescent="0.25">
      <c r="A929" s="11" t="s">
        <v>210</v>
      </c>
      <c r="B929"/>
      <c r="C929">
        <v>213.19</v>
      </c>
      <c r="D929" s="26"/>
      <c r="H929" s="11" t="str">
        <f t="shared" si="32"/>
        <v>3rd Pay Period ending 30/8/2022</v>
      </c>
      <c r="I929" s="11"/>
      <c r="M929">
        <v>19020</v>
      </c>
      <c r="N929" s="37"/>
      <c r="T929" s="35">
        <f t="shared" si="33"/>
        <v>0</v>
      </c>
    </row>
    <row r="930" spans="1:20" ht="12.75" customHeight="1" x14ac:dyDescent="0.25">
      <c r="A930" s="11" t="s">
        <v>210</v>
      </c>
      <c r="B930"/>
      <c r="C930">
        <v>323.08</v>
      </c>
      <c r="D930" s="26"/>
      <c r="H930" s="11" t="str">
        <f t="shared" si="32"/>
        <v>3rd Pay Period ending 30/8/2022</v>
      </c>
      <c r="I930" s="11"/>
      <c r="M930">
        <v>18649</v>
      </c>
      <c r="N930" s="37"/>
      <c r="T930" s="35">
        <f t="shared" si="33"/>
        <v>0</v>
      </c>
    </row>
    <row r="931" spans="1:20" ht="12.75" customHeight="1" x14ac:dyDescent="0.25">
      <c r="A931" s="11" t="s">
        <v>210</v>
      </c>
      <c r="B931"/>
      <c r="C931">
        <v>127.04</v>
      </c>
      <c r="D931" s="26"/>
      <c r="H931" s="11" t="str">
        <f t="shared" si="32"/>
        <v>3rd Pay Period ending 30/8/2022</v>
      </c>
      <c r="I931" s="11"/>
      <c r="M931">
        <v>18839</v>
      </c>
      <c r="N931" s="37"/>
      <c r="T931" s="35">
        <f t="shared" si="33"/>
        <v>0</v>
      </c>
    </row>
    <row r="932" spans="1:20" ht="12.75" customHeight="1" x14ac:dyDescent="0.25">
      <c r="A932" s="11" t="s">
        <v>210</v>
      </c>
      <c r="B932"/>
      <c r="C932">
        <v>206.8</v>
      </c>
      <c r="D932" s="26"/>
      <c r="H932" s="11" t="str">
        <f t="shared" si="32"/>
        <v>3rd Pay Period ending 30/8/2022</v>
      </c>
      <c r="I932" s="11"/>
      <c r="M932">
        <v>18904</v>
      </c>
      <c r="N932" s="37"/>
      <c r="T932" s="35">
        <f t="shared" si="33"/>
        <v>0</v>
      </c>
    </row>
    <row r="933" spans="1:20" ht="12.75" customHeight="1" x14ac:dyDescent="0.25">
      <c r="A933" s="11" t="s">
        <v>210</v>
      </c>
      <c r="B933"/>
      <c r="C933">
        <v>195.33</v>
      </c>
      <c r="D933" s="26"/>
      <c r="H933" s="11" t="str">
        <f t="shared" si="32"/>
        <v>3rd Pay Period ending 30/8/2022</v>
      </c>
      <c r="I933" s="11"/>
      <c r="M933">
        <v>18650</v>
      </c>
      <c r="N933" s="37"/>
      <c r="T933" s="35">
        <f t="shared" si="33"/>
        <v>0</v>
      </c>
    </row>
    <row r="934" spans="1:20" ht="12.75" customHeight="1" x14ac:dyDescent="0.25">
      <c r="A934" s="11" t="s">
        <v>210</v>
      </c>
      <c r="B934"/>
      <c r="C934">
        <v>113.23</v>
      </c>
      <c r="D934" s="26"/>
      <c r="H934" s="11" t="str">
        <f t="shared" si="32"/>
        <v>3rd Pay Period ending 30/8/2022</v>
      </c>
      <c r="I934" s="11"/>
      <c r="M934">
        <v>18924</v>
      </c>
      <c r="N934" s="37"/>
      <c r="T934" s="35">
        <f t="shared" si="33"/>
        <v>0</v>
      </c>
    </row>
    <row r="935" spans="1:20" ht="12.75" customHeight="1" x14ac:dyDescent="0.25">
      <c r="A935" s="11" t="s">
        <v>210</v>
      </c>
      <c r="B935"/>
      <c r="C935">
        <v>258.33</v>
      </c>
      <c r="D935" s="26"/>
      <c r="H935" s="11" t="str">
        <f t="shared" si="32"/>
        <v>3rd Pay Period ending 30/8/2022</v>
      </c>
      <c r="I935" s="11"/>
      <c r="M935">
        <v>18942</v>
      </c>
      <c r="N935" s="37"/>
      <c r="T935" s="35">
        <f t="shared" si="33"/>
        <v>0</v>
      </c>
    </row>
    <row r="936" spans="1:20" ht="12.75" customHeight="1" x14ac:dyDescent="0.25">
      <c r="A936" s="11" t="s">
        <v>210</v>
      </c>
      <c r="B936"/>
      <c r="C936">
        <v>190.87</v>
      </c>
      <c r="D936" s="26"/>
      <c r="H936" s="11" t="str">
        <f t="shared" si="32"/>
        <v>3rd Pay Period ending 30/8/2022</v>
      </c>
      <c r="I936" s="11"/>
      <c r="M936">
        <v>18990</v>
      </c>
      <c r="N936" s="37"/>
      <c r="T936" s="35">
        <f t="shared" si="33"/>
        <v>0</v>
      </c>
    </row>
    <row r="937" spans="1:20" ht="12.75" customHeight="1" x14ac:dyDescent="0.25">
      <c r="A937" s="11" t="s">
        <v>210</v>
      </c>
      <c r="B937"/>
      <c r="C937">
        <v>50.99</v>
      </c>
      <c r="D937" s="26"/>
      <c r="H937" s="11" t="str">
        <f t="shared" si="32"/>
        <v>3rd Pay Period ending 30/8/2022</v>
      </c>
      <c r="I937" s="11"/>
      <c r="M937">
        <v>18917</v>
      </c>
      <c r="N937" s="37"/>
      <c r="T937" s="35">
        <f t="shared" si="33"/>
        <v>0</v>
      </c>
    </row>
    <row r="938" spans="1:20" ht="15" x14ac:dyDescent="0.25">
      <c r="A938" s="11" t="s">
        <v>210</v>
      </c>
      <c r="B938"/>
      <c r="C938">
        <v>152.51</v>
      </c>
      <c r="D938" s="26"/>
      <c r="H938" s="11" t="str">
        <f t="shared" si="32"/>
        <v>3rd Pay Period ending 30/8/2022</v>
      </c>
      <c r="I938" s="11"/>
      <c r="M938">
        <v>18646</v>
      </c>
      <c r="N938" s="37"/>
      <c r="T938" s="35">
        <f t="shared" si="33"/>
        <v>0</v>
      </c>
    </row>
    <row r="939" spans="1:20" ht="12.75" customHeight="1" x14ac:dyDescent="0.25">
      <c r="A939" s="11" t="s">
        <v>210</v>
      </c>
      <c r="B939"/>
      <c r="C939">
        <v>331.2</v>
      </c>
      <c r="D939" s="26"/>
      <c r="H939" s="11" t="str">
        <f t="shared" si="32"/>
        <v>3rd Pay Period ending 30/8/2022</v>
      </c>
      <c r="I939" s="11"/>
      <c r="M939">
        <v>18713</v>
      </c>
      <c r="N939" s="37"/>
      <c r="T939" s="35">
        <f t="shared" si="33"/>
        <v>0</v>
      </c>
    </row>
    <row r="940" spans="1:20" ht="12.75" customHeight="1" x14ac:dyDescent="0.25">
      <c r="A940" s="11" t="s">
        <v>210</v>
      </c>
      <c r="B940"/>
      <c r="C940">
        <v>235.25</v>
      </c>
      <c r="D940" s="26"/>
      <c r="H940" s="11" t="str">
        <f t="shared" si="32"/>
        <v>3rd Pay Period ending 30/8/2022</v>
      </c>
      <c r="I940" s="11"/>
      <c r="M940">
        <v>18850</v>
      </c>
      <c r="N940" s="37"/>
      <c r="T940" s="35">
        <f t="shared" si="33"/>
        <v>0</v>
      </c>
    </row>
    <row r="941" spans="1:20" ht="12.75" customHeight="1" x14ac:dyDescent="0.25">
      <c r="A941" s="11" t="s">
        <v>210</v>
      </c>
      <c r="B941"/>
      <c r="C941">
        <v>251.89</v>
      </c>
      <c r="D941" s="26"/>
      <c r="H941" s="11" t="str">
        <f t="shared" si="32"/>
        <v>3rd Pay Period ending 30/8/2022</v>
      </c>
      <c r="I941" s="11"/>
      <c r="M941">
        <v>18703</v>
      </c>
      <c r="N941" s="37"/>
      <c r="T941" s="35">
        <f t="shared" si="33"/>
        <v>0</v>
      </c>
    </row>
    <row r="942" spans="1:20" ht="12.75" customHeight="1" x14ac:dyDescent="0.25">
      <c r="A942" s="11" t="s">
        <v>210</v>
      </c>
      <c r="B942"/>
      <c r="C942">
        <v>219.03</v>
      </c>
      <c r="D942" s="26"/>
      <c r="H942" s="11" t="str">
        <f t="shared" si="32"/>
        <v>3rd Pay Period ending 30/8/2022</v>
      </c>
      <c r="I942" s="11"/>
      <c r="M942">
        <v>18986</v>
      </c>
      <c r="N942" s="37"/>
      <c r="T942" s="35">
        <f t="shared" si="33"/>
        <v>0</v>
      </c>
    </row>
    <row r="943" spans="1:20" ht="12.75" customHeight="1" x14ac:dyDescent="0.25">
      <c r="A943" s="11" t="s">
        <v>210</v>
      </c>
      <c r="B943"/>
      <c r="C943">
        <v>234.45</v>
      </c>
      <c r="D943" s="26"/>
      <c r="H943" s="11" t="str">
        <f t="shared" si="32"/>
        <v>3rd Pay Period ending 30/8/2022</v>
      </c>
      <c r="I943" s="11"/>
      <c r="M943">
        <v>18858</v>
      </c>
      <c r="N943" s="37"/>
      <c r="T943" s="35">
        <f t="shared" si="33"/>
        <v>0</v>
      </c>
    </row>
    <row r="944" spans="1:20" ht="15" x14ac:dyDescent="0.25">
      <c r="A944" s="11" t="s">
        <v>210</v>
      </c>
      <c r="B944"/>
      <c r="C944">
        <v>288.79000000000002</v>
      </c>
      <c r="D944" s="26"/>
      <c r="H944" s="11" t="str">
        <f t="shared" si="32"/>
        <v>3rd Pay Period ending 30/8/2022</v>
      </c>
      <c r="I944" s="11"/>
      <c r="M944">
        <v>18944</v>
      </c>
      <c r="N944" s="37"/>
      <c r="T944" s="35">
        <f t="shared" si="33"/>
        <v>0</v>
      </c>
    </row>
    <row r="945" spans="1:20" ht="15" x14ac:dyDescent="0.25">
      <c r="A945" s="11" t="s">
        <v>210</v>
      </c>
      <c r="B945"/>
      <c r="C945">
        <v>104.28</v>
      </c>
      <c r="D945" s="26"/>
      <c r="H945" s="11" t="str">
        <f t="shared" si="32"/>
        <v>3rd Pay Period ending 30/8/2022</v>
      </c>
      <c r="I945" s="11"/>
      <c r="M945">
        <v>19023</v>
      </c>
      <c r="N945" s="37"/>
      <c r="T945" s="35">
        <f t="shared" si="33"/>
        <v>0</v>
      </c>
    </row>
    <row r="946" spans="1:20" ht="12.75" customHeight="1" x14ac:dyDescent="0.25">
      <c r="A946" s="11" t="s">
        <v>210</v>
      </c>
      <c r="B946"/>
      <c r="C946">
        <v>152</v>
      </c>
      <c r="D946" s="26"/>
      <c r="H946" s="11" t="str">
        <f t="shared" si="32"/>
        <v>3rd Pay Period ending 30/8/2022</v>
      </c>
      <c r="I946" s="11"/>
      <c r="M946">
        <v>18970</v>
      </c>
      <c r="N946" s="37"/>
      <c r="T946" s="35">
        <f t="shared" si="33"/>
        <v>0</v>
      </c>
    </row>
    <row r="947" spans="1:20" ht="12.75" customHeight="1" x14ac:dyDescent="0.25">
      <c r="A947" s="11" t="s">
        <v>210</v>
      </c>
      <c r="B947"/>
      <c r="C947">
        <v>240.29</v>
      </c>
      <c r="D947" s="26"/>
      <c r="H947" s="11" t="str">
        <f t="shared" si="32"/>
        <v>3rd Pay Period ending 30/8/2022</v>
      </c>
      <c r="I947" s="11"/>
      <c r="M947">
        <v>19031</v>
      </c>
      <c r="N947" s="37"/>
      <c r="T947" s="35">
        <f t="shared" si="33"/>
        <v>0</v>
      </c>
    </row>
    <row r="948" spans="1:20" ht="15" x14ac:dyDescent="0.25">
      <c r="A948" s="11" t="s">
        <v>210</v>
      </c>
      <c r="B948"/>
      <c r="C948">
        <v>230.19</v>
      </c>
      <c r="D948" s="26"/>
      <c r="H948" s="11" t="str">
        <f t="shared" si="32"/>
        <v>3rd Pay Period ending 30/8/2022</v>
      </c>
      <c r="I948" s="11"/>
      <c r="M948">
        <v>18976</v>
      </c>
      <c r="N948" s="37"/>
      <c r="T948" s="35">
        <f t="shared" si="33"/>
        <v>0</v>
      </c>
    </row>
    <row r="949" spans="1:20" ht="15" x14ac:dyDescent="0.25">
      <c r="A949" s="11" t="s">
        <v>210</v>
      </c>
      <c r="B949"/>
      <c r="C949">
        <v>363.46</v>
      </c>
      <c r="D949" s="26"/>
      <c r="H949" s="11" t="str">
        <f t="shared" si="32"/>
        <v>3rd Pay Period ending 30/8/2022</v>
      </c>
      <c r="I949" s="11"/>
      <c r="M949">
        <v>19001</v>
      </c>
      <c r="N949" s="37"/>
      <c r="T949" s="35">
        <f t="shared" ref="T949:T964" si="34">B949/10*$V$1</f>
        <v>0</v>
      </c>
    </row>
    <row r="950" spans="1:20" ht="12.75" customHeight="1" x14ac:dyDescent="0.25">
      <c r="A950" s="11" t="s">
        <v>210</v>
      </c>
      <c r="B950"/>
      <c r="C950">
        <v>230.2</v>
      </c>
      <c r="D950" s="26"/>
      <c r="H950" s="11" t="str">
        <f t="shared" si="32"/>
        <v>3rd Pay Period ending 30/8/2022</v>
      </c>
      <c r="I950" s="11"/>
      <c r="M950">
        <v>18442</v>
      </c>
      <c r="N950" s="37"/>
      <c r="T950" s="35">
        <f t="shared" si="34"/>
        <v>0</v>
      </c>
    </row>
    <row r="951" spans="1:20" ht="12.75" customHeight="1" x14ac:dyDescent="0.25">
      <c r="A951" s="11" t="s">
        <v>210</v>
      </c>
      <c r="B951"/>
      <c r="C951">
        <v>127.86</v>
      </c>
      <c r="D951" s="26"/>
      <c r="H951" s="11" t="str">
        <f t="shared" si="32"/>
        <v>3rd Pay Period ending 30/8/2022</v>
      </c>
      <c r="I951" s="11"/>
      <c r="M951">
        <v>18634</v>
      </c>
      <c r="N951" s="37"/>
      <c r="T951" s="35">
        <f t="shared" si="34"/>
        <v>0</v>
      </c>
    </row>
    <row r="952" spans="1:20" ht="12.75" customHeight="1" x14ac:dyDescent="0.25">
      <c r="A952" s="11" t="s">
        <v>210</v>
      </c>
      <c r="B952"/>
      <c r="C952">
        <v>119.43</v>
      </c>
      <c r="D952" s="26"/>
      <c r="H952" s="11" t="str">
        <f t="shared" si="32"/>
        <v>3rd Pay Period ending 30/8/2022</v>
      </c>
      <c r="I952" s="11"/>
      <c r="M952">
        <v>18996</v>
      </c>
      <c r="N952" s="37"/>
      <c r="T952" s="35">
        <f t="shared" si="34"/>
        <v>0</v>
      </c>
    </row>
    <row r="953" spans="1:20" ht="12.75" customHeight="1" x14ac:dyDescent="0.25">
      <c r="A953" s="11" t="s">
        <v>210</v>
      </c>
      <c r="B953"/>
      <c r="C953">
        <v>195.91</v>
      </c>
      <c r="D953" s="26"/>
      <c r="H953" s="11" t="str">
        <f t="shared" si="32"/>
        <v>3rd Pay Period ending 30/8/2022</v>
      </c>
      <c r="I953" s="11"/>
      <c r="M953">
        <v>18823</v>
      </c>
      <c r="N953" s="37"/>
      <c r="T953" s="35">
        <f t="shared" si="34"/>
        <v>0</v>
      </c>
    </row>
    <row r="954" spans="1:20" ht="12.75" customHeight="1" x14ac:dyDescent="0.25">
      <c r="A954" s="11" t="s">
        <v>210</v>
      </c>
      <c r="B954"/>
      <c r="C954">
        <v>169.76</v>
      </c>
      <c r="D954" s="26"/>
      <c r="H954" s="11" t="str">
        <f t="shared" si="32"/>
        <v>3rd Pay Period ending 30/8/2022</v>
      </c>
      <c r="I954" s="11"/>
      <c r="M954">
        <v>18895</v>
      </c>
      <c r="N954" s="37"/>
      <c r="T954" s="35">
        <f t="shared" si="34"/>
        <v>0</v>
      </c>
    </row>
    <row r="955" spans="1:20" ht="12.75" customHeight="1" x14ac:dyDescent="0.25">
      <c r="A955" s="11" t="s">
        <v>210</v>
      </c>
      <c r="B955"/>
      <c r="C955">
        <v>202.16</v>
      </c>
      <c r="D955" s="26"/>
      <c r="H955" s="11" t="str">
        <f t="shared" si="32"/>
        <v>3rd Pay Period ending 30/8/2022</v>
      </c>
      <c r="I955" s="11"/>
      <c r="M955">
        <v>18898</v>
      </c>
      <c r="N955" s="37"/>
      <c r="T955" s="35">
        <f t="shared" si="34"/>
        <v>0</v>
      </c>
    </row>
    <row r="956" spans="1:20" ht="12.75" customHeight="1" x14ac:dyDescent="0.25">
      <c r="A956" s="11" t="s">
        <v>210</v>
      </c>
      <c r="B956"/>
      <c r="C956">
        <v>323.08</v>
      </c>
      <c r="D956" s="26"/>
      <c r="H956" s="11" t="str">
        <f t="shared" si="32"/>
        <v>3rd Pay Period ending 30/8/2022</v>
      </c>
      <c r="I956" s="11"/>
      <c r="M956">
        <v>261</v>
      </c>
      <c r="N956" s="37"/>
      <c r="T956" s="35">
        <f t="shared" si="34"/>
        <v>0</v>
      </c>
    </row>
    <row r="957" spans="1:20" ht="12.75" customHeight="1" x14ac:dyDescent="0.25">
      <c r="A957" s="11" t="s">
        <v>210</v>
      </c>
      <c r="B957"/>
      <c r="C957">
        <v>161.59</v>
      </c>
      <c r="D957" s="26"/>
      <c r="H957" s="11" t="str">
        <f t="shared" si="32"/>
        <v>3rd Pay Period ending 30/8/2022</v>
      </c>
      <c r="I957" s="11"/>
      <c r="M957">
        <v>18790</v>
      </c>
      <c r="N957" s="37"/>
      <c r="T957" s="35">
        <f t="shared" si="34"/>
        <v>0</v>
      </c>
    </row>
    <row r="958" spans="1:20" ht="12.75" customHeight="1" x14ac:dyDescent="0.2">
      <c r="A958" s="22" t="s">
        <v>210</v>
      </c>
      <c r="B958"/>
      <c r="C958">
        <v>133.84</v>
      </c>
      <c r="D958" s="26"/>
      <c r="H958" s="22" t="str">
        <f t="shared" si="32"/>
        <v>3rd Pay Period ending 30/8/2022</v>
      </c>
      <c r="I958" s="38"/>
      <c r="M958">
        <v>18927</v>
      </c>
      <c r="N958" s="38"/>
      <c r="T958" s="35">
        <f t="shared" si="34"/>
        <v>0</v>
      </c>
    </row>
    <row r="959" spans="1:20" ht="12.75" customHeight="1" x14ac:dyDescent="0.2">
      <c r="A959" s="22" t="s">
        <v>210</v>
      </c>
      <c r="B959"/>
      <c r="C959">
        <v>295.10000000000002</v>
      </c>
      <c r="D959" s="26"/>
      <c r="H959" s="22" t="str">
        <f t="shared" si="32"/>
        <v>3rd Pay Period ending 30/8/2022</v>
      </c>
      <c r="I959" s="38"/>
      <c r="M959">
        <v>18791</v>
      </c>
      <c r="N959" s="38"/>
      <c r="T959" s="35">
        <f t="shared" si="34"/>
        <v>0</v>
      </c>
    </row>
    <row r="960" spans="1:20" ht="12.75" customHeight="1" x14ac:dyDescent="0.2">
      <c r="A960" s="22" t="s">
        <v>210</v>
      </c>
      <c r="B960"/>
      <c r="C960">
        <v>266.64999999999998</v>
      </c>
      <c r="D960" s="26"/>
      <c r="H960" s="22" t="str">
        <f t="shared" si="32"/>
        <v>3rd Pay Period ending 30/8/2022</v>
      </c>
      <c r="I960" s="38"/>
      <c r="M960">
        <v>18561</v>
      </c>
      <c r="N960" s="38"/>
      <c r="T960" s="35">
        <f t="shared" si="34"/>
        <v>0</v>
      </c>
    </row>
    <row r="961" spans="1:20" ht="12.75" customHeight="1" x14ac:dyDescent="0.2">
      <c r="A961" s="22" t="s">
        <v>210</v>
      </c>
      <c r="B961"/>
      <c r="C961">
        <v>191.2</v>
      </c>
      <c r="D961" s="26"/>
      <c r="H961" s="22" t="str">
        <f t="shared" si="32"/>
        <v>3rd Pay Period ending 30/8/2022</v>
      </c>
      <c r="I961" s="38"/>
      <c r="M961">
        <v>18953</v>
      </c>
      <c r="N961" s="38"/>
      <c r="T961" s="35">
        <f t="shared" si="34"/>
        <v>0</v>
      </c>
    </row>
    <row r="962" spans="1:20" ht="12.75" customHeight="1" x14ac:dyDescent="0.2">
      <c r="A962" s="22" t="s">
        <v>210</v>
      </c>
      <c r="B962"/>
      <c r="C962">
        <v>58.5</v>
      </c>
      <c r="D962" s="26"/>
      <c r="H962" s="22" t="str">
        <f t="shared" si="32"/>
        <v>3rd Pay Period ending 30/8/2022</v>
      </c>
      <c r="I962" s="38"/>
      <c r="M962">
        <v>156</v>
      </c>
      <c r="N962" s="38"/>
      <c r="T962" s="35">
        <f t="shared" si="34"/>
        <v>0</v>
      </c>
    </row>
    <row r="963" spans="1:20" ht="12.75" customHeight="1" x14ac:dyDescent="0.2">
      <c r="A963" s="22" t="s">
        <v>210</v>
      </c>
      <c r="B963"/>
      <c r="C963">
        <v>207.12</v>
      </c>
      <c r="D963" s="26"/>
      <c r="H963" s="22" t="str">
        <f t="shared" si="32"/>
        <v>3rd Pay Period ending 30/8/2022</v>
      </c>
      <c r="I963" s="38"/>
      <c r="M963">
        <v>18792</v>
      </c>
      <c r="N963" s="38"/>
      <c r="T963" s="35">
        <f t="shared" si="34"/>
        <v>0</v>
      </c>
    </row>
    <row r="964" spans="1:20" ht="12.75" customHeight="1" x14ac:dyDescent="0.2">
      <c r="A964" s="22" t="s">
        <v>210</v>
      </c>
      <c r="B964"/>
      <c r="C964">
        <v>302.89</v>
      </c>
      <c r="D964" s="26"/>
      <c r="H964" s="22" t="str">
        <f t="shared" si="32"/>
        <v>3rd Pay Period ending 30/8/2022</v>
      </c>
      <c r="I964" s="38"/>
      <c r="M964">
        <v>18876</v>
      </c>
      <c r="N964" s="38"/>
      <c r="T964" s="35">
        <f t="shared" si="34"/>
        <v>0</v>
      </c>
    </row>
    <row r="965" spans="1:20" ht="12.75" customHeight="1" x14ac:dyDescent="0.2">
      <c r="B965"/>
      <c r="C965" s="10"/>
      <c r="D965" s="26"/>
      <c r="I965" s="38"/>
      <c r="M965" s="10"/>
      <c r="N965" s="38"/>
    </row>
    <row r="966" spans="1:20" ht="12.75" customHeight="1" x14ac:dyDescent="0.2">
      <c r="B966"/>
      <c r="C966" s="10"/>
      <c r="D966" s="26"/>
      <c r="I966" s="38"/>
      <c r="M966" s="10"/>
      <c r="N966" s="38"/>
    </row>
    <row r="967" spans="1:20" ht="12.75" customHeight="1" x14ac:dyDescent="0.2">
      <c r="B967"/>
      <c r="C967" s="10"/>
      <c r="D967" s="26"/>
      <c r="I967" s="38"/>
      <c r="M967" s="10"/>
      <c r="N967" s="38"/>
    </row>
    <row r="968" spans="1:20" ht="12.75" customHeight="1" x14ac:dyDescent="0.2">
      <c r="B968"/>
      <c r="C968" s="10"/>
      <c r="D968" s="26"/>
      <c r="I968" s="38"/>
      <c r="M968" s="10"/>
      <c r="N968" s="38"/>
    </row>
    <row r="969" spans="1:20" ht="12.75" customHeight="1" x14ac:dyDescent="0.2">
      <c r="B969"/>
      <c r="C969" s="10"/>
      <c r="D969" s="26"/>
      <c r="I969" s="38"/>
      <c r="M969" s="10"/>
      <c r="N969" s="38"/>
    </row>
    <row r="970" spans="1:20" ht="12.75" customHeight="1" x14ac:dyDescent="0.2">
      <c r="B970"/>
      <c r="C970" s="10"/>
      <c r="D970" s="26"/>
      <c r="I970" s="38"/>
      <c r="M970" s="10"/>
      <c r="N970" s="38"/>
    </row>
    <row r="971" spans="1:20" ht="12.75" customHeight="1" x14ac:dyDescent="0.2">
      <c r="B971"/>
      <c r="C971" s="10"/>
      <c r="D971" s="26"/>
      <c r="I971" s="38"/>
      <c r="M971" s="10"/>
      <c r="N971" s="38"/>
    </row>
    <row r="972" spans="1:20" ht="12.75" customHeight="1" x14ac:dyDescent="0.2">
      <c r="B972"/>
      <c r="C972" s="10"/>
      <c r="D972" s="26"/>
      <c r="I972" s="38"/>
      <c r="M972" s="10"/>
      <c r="N972" s="38"/>
    </row>
    <row r="973" spans="1:20" x14ac:dyDescent="0.2">
      <c r="B973"/>
      <c r="C973" s="10"/>
      <c r="D973" s="26"/>
      <c r="I973" s="38"/>
      <c r="M973" s="10"/>
      <c r="N973" s="38"/>
    </row>
    <row r="974" spans="1:20" x14ac:dyDescent="0.2">
      <c r="B974"/>
      <c r="C974" s="10"/>
      <c r="D974" s="26"/>
      <c r="I974" s="38"/>
      <c r="M974" s="10"/>
      <c r="N974" s="38"/>
    </row>
    <row r="975" spans="1:20" ht="12.75" customHeight="1" x14ac:dyDescent="0.2">
      <c r="B975"/>
      <c r="C975" s="10"/>
      <c r="D975" s="26"/>
      <c r="I975" s="38"/>
      <c r="M975" s="10"/>
      <c r="N975" s="38"/>
    </row>
    <row r="976" spans="1:20" ht="12.75" customHeight="1" x14ac:dyDescent="0.2">
      <c r="B976"/>
      <c r="C976" s="10"/>
      <c r="D976" s="26"/>
      <c r="I976" s="38"/>
      <c r="M976" s="10"/>
      <c r="N976" s="38"/>
    </row>
    <row r="977" spans="2:14" ht="12.75" customHeight="1" x14ac:dyDescent="0.2">
      <c r="B977"/>
      <c r="C977" s="10"/>
      <c r="D977" s="26"/>
      <c r="I977" s="38"/>
      <c r="M977" s="10"/>
      <c r="N977" s="38"/>
    </row>
    <row r="978" spans="2:14" ht="12.75" customHeight="1" x14ac:dyDescent="0.2">
      <c r="B978"/>
      <c r="C978" s="10"/>
      <c r="D978" s="26"/>
      <c r="I978" s="38"/>
      <c r="M978" s="10"/>
      <c r="N978" s="38"/>
    </row>
    <row r="979" spans="2:14" ht="12.75" customHeight="1" x14ac:dyDescent="0.2">
      <c r="B979"/>
      <c r="C979" s="10"/>
      <c r="D979" s="26"/>
      <c r="I979" s="38"/>
      <c r="M979" s="10"/>
      <c r="N979" s="38"/>
    </row>
    <row r="980" spans="2:14" ht="12.75" customHeight="1" x14ac:dyDescent="0.2">
      <c r="B980"/>
      <c r="C980" s="10"/>
      <c r="D980" s="26"/>
      <c r="I980" s="38"/>
      <c r="M980" s="10"/>
      <c r="N980" s="38"/>
    </row>
    <row r="981" spans="2:14" ht="12.75" customHeight="1" x14ac:dyDescent="0.2">
      <c r="B981"/>
      <c r="C981" s="10"/>
      <c r="D981" s="26"/>
      <c r="I981" s="38"/>
      <c r="M981" s="10"/>
      <c r="N981" s="38"/>
    </row>
    <row r="982" spans="2:14" x14ac:dyDescent="0.2">
      <c r="B982"/>
      <c r="C982" s="10"/>
      <c r="D982" s="26"/>
      <c r="I982" s="38"/>
      <c r="M982" s="10"/>
      <c r="N982" s="38"/>
    </row>
    <row r="983" spans="2:14" x14ac:dyDescent="0.2">
      <c r="B983"/>
      <c r="C983" s="10"/>
      <c r="D983" s="26"/>
      <c r="I983" s="38"/>
      <c r="M983" s="10"/>
      <c r="N983" s="38"/>
    </row>
    <row r="984" spans="2:14" x14ac:dyDescent="0.2">
      <c r="B984"/>
      <c r="C984" s="10"/>
      <c r="D984" s="26"/>
      <c r="I984" s="38"/>
      <c r="M984" s="10"/>
      <c r="N984" s="38"/>
    </row>
    <row r="985" spans="2:14" ht="12.75" customHeight="1" x14ac:dyDescent="0.2">
      <c r="B985"/>
      <c r="C985" s="10"/>
      <c r="D985" s="26"/>
      <c r="I985" s="38"/>
      <c r="M985" s="10"/>
      <c r="N985" s="38"/>
    </row>
    <row r="986" spans="2:14" ht="12.75" customHeight="1" x14ac:dyDescent="0.2">
      <c r="B986"/>
      <c r="C986" s="10"/>
      <c r="D986" s="26"/>
      <c r="I986" s="38"/>
      <c r="M986" s="10"/>
      <c r="N986" s="38"/>
    </row>
    <row r="987" spans="2:14" ht="12.75" customHeight="1" x14ac:dyDescent="0.2">
      <c r="B987"/>
      <c r="C987" s="10"/>
      <c r="D987" s="26"/>
      <c r="I987" s="38"/>
      <c r="M987" s="10"/>
      <c r="N987" s="38"/>
    </row>
    <row r="988" spans="2:14" ht="12.75" customHeight="1" x14ac:dyDescent="0.2">
      <c r="B988"/>
      <c r="C988" s="10"/>
      <c r="D988" s="26"/>
      <c r="I988" s="38"/>
      <c r="M988" s="10"/>
      <c r="N988" s="38"/>
    </row>
    <row r="989" spans="2:14" ht="12.75" customHeight="1" x14ac:dyDescent="0.2">
      <c r="B989"/>
      <c r="C989" s="10"/>
      <c r="D989" s="26"/>
      <c r="I989" s="38"/>
      <c r="M989" s="10"/>
      <c r="N989" s="38"/>
    </row>
    <row r="990" spans="2:14" ht="12.75" customHeight="1" x14ac:dyDescent="0.2">
      <c r="B990"/>
      <c r="C990" s="10"/>
      <c r="D990" s="26"/>
      <c r="I990" s="38"/>
      <c r="M990" s="10"/>
      <c r="N990" s="38"/>
    </row>
    <row r="991" spans="2:14" ht="12.75" customHeight="1" x14ac:dyDescent="0.2">
      <c r="B991"/>
      <c r="C991" s="10"/>
      <c r="D991" s="26"/>
      <c r="I991" s="38"/>
      <c r="M991" s="10"/>
      <c r="N991" s="38"/>
    </row>
    <row r="992" spans="2:14" x14ac:dyDescent="0.2">
      <c r="B992"/>
      <c r="C992" s="10"/>
      <c r="D992" s="26"/>
      <c r="I992" s="38"/>
      <c r="M992" s="10"/>
      <c r="N992" s="38"/>
    </row>
    <row r="993" spans="2:14" x14ac:dyDescent="0.2">
      <c r="B993"/>
      <c r="C993" s="10"/>
      <c r="D993" s="26"/>
      <c r="I993" s="38"/>
      <c r="M993" s="10"/>
      <c r="N993" s="38"/>
    </row>
    <row r="994" spans="2:14" x14ac:dyDescent="0.2">
      <c r="B994"/>
      <c r="C994" s="10"/>
      <c r="D994" s="26"/>
      <c r="I994" s="38"/>
      <c r="M994" s="10"/>
      <c r="N994" s="38"/>
    </row>
    <row r="995" spans="2:14" x14ac:dyDescent="0.2">
      <c r="B995"/>
      <c r="C995" s="10"/>
      <c r="D995" s="26"/>
      <c r="I995" s="38"/>
      <c r="M995" s="10"/>
      <c r="N995" s="38"/>
    </row>
    <row r="996" spans="2:14" x14ac:dyDescent="0.2">
      <c r="B996"/>
      <c r="C996" s="10"/>
      <c r="D996" s="26"/>
      <c r="I996" s="38"/>
      <c r="M996" s="10"/>
      <c r="N996" s="38"/>
    </row>
    <row r="997" spans="2:14" ht="12.75" customHeight="1" x14ac:dyDescent="0.2">
      <c r="B997"/>
      <c r="C997" s="10"/>
      <c r="D997" s="26"/>
      <c r="I997" s="38"/>
      <c r="M997" s="10"/>
      <c r="N997" s="38"/>
    </row>
    <row r="998" spans="2:14" ht="12.75" customHeight="1" x14ac:dyDescent="0.2">
      <c r="B998"/>
      <c r="C998" s="10"/>
      <c r="D998" s="26"/>
      <c r="I998" s="38"/>
      <c r="M998" s="10"/>
      <c r="N998" s="38"/>
    </row>
    <row r="999" spans="2:14" x14ac:dyDescent="0.2">
      <c r="B999"/>
      <c r="C999" s="10"/>
      <c r="D999" s="26"/>
      <c r="I999" s="38"/>
      <c r="M999" s="10"/>
      <c r="N999" s="38"/>
    </row>
    <row r="1000" spans="2:14" ht="12.75" customHeight="1" x14ac:dyDescent="0.2">
      <c r="B1000"/>
      <c r="C1000" s="10"/>
      <c r="D1000" s="26"/>
      <c r="I1000" s="38"/>
      <c r="M1000" s="10"/>
      <c r="N1000" s="38"/>
    </row>
    <row r="1001" spans="2:14" ht="12.75" customHeight="1" x14ac:dyDescent="0.2">
      <c r="B1001"/>
      <c r="C1001" s="10"/>
      <c r="D1001" s="26"/>
      <c r="I1001" s="38"/>
      <c r="M1001" s="10"/>
      <c r="N1001" s="38"/>
    </row>
    <row r="1002" spans="2:14" ht="12.75" customHeight="1" x14ac:dyDescent="0.2">
      <c r="B1002"/>
      <c r="C1002" s="10"/>
      <c r="D1002" s="26"/>
      <c r="I1002" s="38"/>
      <c r="M1002" s="10"/>
      <c r="N1002" s="38"/>
    </row>
    <row r="1003" spans="2:14" ht="12.75" customHeight="1" x14ac:dyDescent="0.2">
      <c r="B1003"/>
      <c r="C1003" s="10"/>
      <c r="D1003" s="26"/>
      <c r="I1003" s="38"/>
      <c r="M1003" s="10"/>
      <c r="N1003" s="38"/>
    </row>
    <row r="1004" spans="2:14" ht="12.75" customHeight="1" x14ac:dyDescent="0.2">
      <c r="B1004"/>
      <c r="C1004" s="10"/>
      <c r="D1004" s="26"/>
      <c r="I1004" s="38"/>
      <c r="M1004" s="10"/>
      <c r="N1004" s="38"/>
    </row>
    <row r="1005" spans="2:14" ht="12.75" customHeight="1" x14ac:dyDescent="0.2">
      <c r="B1005"/>
      <c r="C1005" s="10"/>
      <c r="D1005" s="26"/>
      <c r="I1005" s="38"/>
      <c r="M1005" s="10"/>
      <c r="N1005" s="38"/>
    </row>
    <row r="1006" spans="2:14" ht="12.75" customHeight="1" x14ac:dyDescent="0.2">
      <c r="B1006"/>
      <c r="C1006" s="10"/>
      <c r="D1006" s="26"/>
      <c r="I1006" s="38"/>
      <c r="M1006" s="10"/>
      <c r="N1006" s="38"/>
    </row>
    <row r="1007" spans="2:14" ht="12.75" customHeight="1" x14ac:dyDescent="0.2">
      <c r="B1007"/>
      <c r="C1007" s="10"/>
      <c r="D1007" s="26"/>
      <c r="I1007" s="38"/>
      <c r="M1007" s="10"/>
      <c r="N1007" s="38"/>
    </row>
    <row r="1008" spans="2:14" ht="12.75" customHeight="1" x14ac:dyDescent="0.2">
      <c r="B1008"/>
      <c r="C1008" s="10"/>
      <c r="D1008" s="26"/>
      <c r="I1008" s="38"/>
      <c r="M1008" s="10"/>
      <c r="N1008" s="38"/>
    </row>
    <row r="1009" spans="2:14" ht="12.75" customHeight="1" x14ac:dyDescent="0.2">
      <c r="B1009"/>
      <c r="C1009" s="10"/>
      <c r="D1009" s="26"/>
      <c r="I1009" s="38"/>
      <c r="M1009" s="10"/>
      <c r="N1009" s="38"/>
    </row>
    <row r="1010" spans="2:14" ht="12.75" customHeight="1" x14ac:dyDescent="0.2">
      <c r="B1010"/>
      <c r="C1010" s="10"/>
      <c r="D1010" s="26"/>
      <c r="I1010" s="38"/>
      <c r="M1010" s="10"/>
      <c r="N1010" s="38"/>
    </row>
    <row r="1011" spans="2:14" ht="12.75" customHeight="1" x14ac:dyDescent="0.2">
      <c r="B1011"/>
      <c r="C1011" s="10"/>
      <c r="D1011" s="26"/>
      <c r="I1011" s="38"/>
      <c r="M1011" s="10"/>
      <c r="N1011" s="38"/>
    </row>
    <row r="1012" spans="2:14" ht="12.75" customHeight="1" x14ac:dyDescent="0.2">
      <c r="B1012"/>
      <c r="C1012" s="10"/>
      <c r="D1012" s="26"/>
      <c r="I1012" s="38"/>
      <c r="M1012" s="10"/>
      <c r="N1012" s="38"/>
    </row>
    <row r="1013" spans="2:14" ht="12.75" customHeight="1" x14ac:dyDescent="0.2">
      <c r="B1013"/>
      <c r="C1013" s="10"/>
      <c r="D1013" s="26"/>
      <c r="I1013" s="38"/>
      <c r="M1013" s="10"/>
      <c r="N1013" s="38"/>
    </row>
    <row r="1014" spans="2:14" x14ac:dyDescent="0.2">
      <c r="B1014"/>
      <c r="C1014" s="10"/>
      <c r="D1014" s="26"/>
      <c r="I1014" s="38"/>
      <c r="M1014" s="10"/>
      <c r="N1014" s="38"/>
    </row>
    <row r="1015" spans="2:14" x14ac:dyDescent="0.2">
      <c r="B1015"/>
      <c r="C1015" s="10"/>
      <c r="D1015" s="26"/>
      <c r="I1015" s="38"/>
      <c r="M1015" s="10"/>
      <c r="N1015" s="38"/>
    </row>
    <row r="1016" spans="2:14" ht="12.75" customHeight="1" x14ac:dyDescent="0.2">
      <c r="B1016"/>
      <c r="C1016" s="10"/>
      <c r="D1016" s="26"/>
      <c r="I1016" s="38"/>
      <c r="M1016" s="10"/>
      <c r="N1016" s="38"/>
    </row>
    <row r="1017" spans="2:14" ht="12.75" customHeight="1" x14ac:dyDescent="0.2">
      <c r="B1017"/>
      <c r="C1017" s="10"/>
      <c r="D1017" s="26"/>
      <c r="I1017" s="38"/>
      <c r="M1017" s="10"/>
      <c r="N1017" s="38"/>
    </row>
    <row r="1018" spans="2:14" ht="12.75" customHeight="1" x14ac:dyDescent="0.2">
      <c r="B1018"/>
      <c r="C1018" s="10"/>
      <c r="D1018" s="26"/>
      <c r="I1018" s="38"/>
      <c r="M1018" s="10"/>
      <c r="N1018" s="38"/>
    </row>
    <row r="1019" spans="2:14" ht="12.75" customHeight="1" x14ac:dyDescent="0.2">
      <c r="B1019"/>
      <c r="C1019" s="10"/>
      <c r="D1019" s="26"/>
      <c r="I1019" s="38"/>
      <c r="M1019" s="10"/>
      <c r="N1019" s="38"/>
    </row>
    <row r="1020" spans="2:14" ht="12.75" customHeight="1" x14ac:dyDescent="0.2">
      <c r="B1020"/>
      <c r="C1020" s="10"/>
      <c r="D1020" s="26"/>
      <c r="I1020" s="38"/>
      <c r="M1020" s="10"/>
      <c r="N1020" s="38"/>
    </row>
    <row r="1021" spans="2:14" ht="12.75" customHeight="1" x14ac:dyDescent="0.2">
      <c r="B1021" s="23"/>
      <c r="D1021" s="26"/>
      <c r="I1021" s="38"/>
      <c r="N1021" s="38"/>
    </row>
    <row r="1022" spans="2:14" ht="12.75" customHeight="1" x14ac:dyDescent="0.2">
      <c r="B1022" s="23"/>
      <c r="D1022" s="26"/>
      <c r="I1022" s="38"/>
      <c r="N1022" s="38"/>
    </row>
    <row r="1023" spans="2:14" ht="12.75" customHeight="1" x14ac:dyDescent="0.2">
      <c r="B1023" s="23"/>
      <c r="D1023" s="26"/>
      <c r="I1023" s="38"/>
      <c r="N1023" s="38"/>
    </row>
    <row r="1024" spans="2:14" ht="12.75" customHeight="1" x14ac:dyDescent="0.2">
      <c r="B1024" s="23"/>
      <c r="D1024" s="26"/>
      <c r="I1024" s="38"/>
      <c r="N1024" s="38"/>
    </row>
    <row r="1025" spans="2:14" ht="12.75" customHeight="1" x14ac:dyDescent="0.2">
      <c r="B1025" s="23"/>
      <c r="D1025" s="26"/>
      <c r="I1025" s="38"/>
      <c r="N1025" s="38"/>
    </row>
    <row r="1026" spans="2:14" ht="12.75" customHeight="1" x14ac:dyDescent="0.2">
      <c r="B1026" s="23"/>
      <c r="D1026" s="26"/>
      <c r="I1026" s="38"/>
      <c r="N1026" s="38"/>
    </row>
    <row r="1027" spans="2:14" ht="12.75" customHeight="1" x14ac:dyDescent="0.2">
      <c r="B1027" s="23"/>
      <c r="D1027" s="26"/>
      <c r="I1027" s="38"/>
      <c r="N1027" s="38"/>
    </row>
    <row r="1028" spans="2:14" ht="12.75" customHeight="1" x14ac:dyDescent="0.2">
      <c r="B1028" s="23"/>
      <c r="D1028" s="26"/>
      <c r="I1028" s="38"/>
      <c r="N1028" s="38"/>
    </row>
    <row r="1029" spans="2:14" ht="12.75" customHeight="1" x14ac:dyDescent="0.2">
      <c r="B1029" s="23"/>
      <c r="D1029" s="26"/>
      <c r="I1029" s="38"/>
      <c r="N1029" s="38"/>
    </row>
    <row r="1030" spans="2:14" ht="12.75" customHeight="1" x14ac:dyDescent="0.2">
      <c r="B1030" s="23"/>
      <c r="D1030" s="26"/>
      <c r="I1030" s="38"/>
      <c r="N1030" s="38"/>
    </row>
    <row r="1031" spans="2:14" x14ac:dyDescent="0.2">
      <c r="B1031" s="23"/>
      <c r="D1031" s="26"/>
      <c r="I1031" s="38"/>
      <c r="N1031" s="38"/>
    </row>
    <row r="1032" spans="2:14" x14ac:dyDescent="0.2">
      <c r="B1032" s="23"/>
      <c r="D1032" s="26"/>
      <c r="I1032" s="38"/>
      <c r="N1032" s="38"/>
    </row>
    <row r="1033" spans="2:14" ht="12.75" customHeight="1" x14ac:dyDescent="0.2">
      <c r="B1033" s="23"/>
      <c r="D1033" s="26"/>
      <c r="I1033" s="38"/>
      <c r="N1033" s="38"/>
    </row>
    <row r="1034" spans="2:14" ht="12.75" customHeight="1" x14ac:dyDescent="0.2">
      <c r="B1034" s="23"/>
      <c r="D1034" s="26"/>
      <c r="I1034" s="38"/>
      <c r="N1034" s="38"/>
    </row>
    <row r="1035" spans="2:14" x14ac:dyDescent="0.2">
      <c r="B1035" s="23"/>
      <c r="D1035" s="26"/>
      <c r="I1035" s="38"/>
      <c r="N1035" s="38"/>
    </row>
    <row r="1036" spans="2:14" ht="12.75" customHeight="1" x14ac:dyDescent="0.2">
      <c r="B1036" s="23"/>
      <c r="D1036" s="26"/>
      <c r="I1036" s="38"/>
      <c r="N1036" s="38"/>
    </row>
    <row r="1037" spans="2:14" ht="12.75" customHeight="1" x14ac:dyDescent="0.2">
      <c r="B1037" s="23"/>
      <c r="D1037" s="26"/>
      <c r="I1037" s="38"/>
      <c r="N1037" s="38"/>
    </row>
    <row r="1038" spans="2:14" ht="12.75" customHeight="1" x14ac:dyDescent="0.2">
      <c r="B1038" s="23"/>
      <c r="D1038" s="26"/>
      <c r="I1038" s="38"/>
      <c r="N1038" s="38"/>
    </row>
    <row r="1039" spans="2:14" ht="12.75" customHeight="1" x14ac:dyDescent="0.2">
      <c r="B1039" s="23"/>
      <c r="D1039" s="26"/>
      <c r="I1039" s="38"/>
      <c r="N1039" s="38"/>
    </row>
    <row r="1040" spans="2:14" ht="12.75" customHeight="1" x14ac:dyDescent="0.2">
      <c r="B1040" s="23"/>
      <c r="D1040" s="26"/>
      <c r="I1040" s="38"/>
      <c r="N1040" s="38"/>
    </row>
    <row r="1041" spans="2:14" ht="12.75" customHeight="1" x14ac:dyDescent="0.2">
      <c r="B1041" s="23"/>
      <c r="D1041" s="26"/>
      <c r="I1041" s="38"/>
      <c r="N1041" s="38"/>
    </row>
    <row r="1042" spans="2:14" x14ac:dyDescent="0.2">
      <c r="B1042" s="23"/>
      <c r="D1042" s="26"/>
      <c r="I1042" s="38"/>
      <c r="N1042" s="38"/>
    </row>
    <row r="1043" spans="2:14" x14ac:dyDescent="0.2">
      <c r="B1043" s="23"/>
      <c r="D1043" s="26"/>
      <c r="I1043" s="38"/>
      <c r="N1043" s="38"/>
    </row>
    <row r="1044" spans="2:14" ht="12.75" customHeight="1" x14ac:dyDescent="0.2">
      <c r="B1044" s="23"/>
      <c r="D1044" s="26"/>
      <c r="I1044" s="38"/>
      <c r="N1044" s="38"/>
    </row>
    <row r="1045" spans="2:14" ht="12.75" customHeight="1" x14ac:dyDescent="0.2">
      <c r="B1045" s="23"/>
      <c r="D1045" s="26"/>
      <c r="I1045" s="38"/>
      <c r="N1045" s="38"/>
    </row>
    <row r="1046" spans="2:14" ht="12.75" customHeight="1" x14ac:dyDescent="0.2">
      <c r="B1046" s="23"/>
      <c r="D1046" s="26"/>
      <c r="I1046" s="38"/>
      <c r="N1046" s="38"/>
    </row>
    <row r="1047" spans="2:14" ht="12.75" customHeight="1" x14ac:dyDescent="0.2">
      <c r="B1047" s="23"/>
      <c r="D1047" s="26"/>
      <c r="I1047" s="38"/>
      <c r="N1047" s="38"/>
    </row>
    <row r="1048" spans="2:14" ht="12.75" customHeight="1" x14ac:dyDescent="0.2">
      <c r="B1048" s="23"/>
      <c r="D1048" s="26"/>
      <c r="I1048" s="38"/>
      <c r="N1048" s="38"/>
    </row>
    <row r="1049" spans="2:14" ht="12.75" customHeight="1" x14ac:dyDescent="0.2">
      <c r="B1049" s="23"/>
      <c r="D1049" s="26"/>
      <c r="I1049" s="38"/>
      <c r="N1049" s="38"/>
    </row>
    <row r="1050" spans="2:14" ht="12.75" customHeight="1" x14ac:dyDescent="0.2">
      <c r="B1050" s="23"/>
      <c r="D1050" s="26"/>
      <c r="I1050" s="38"/>
      <c r="N1050" s="38"/>
    </row>
    <row r="1051" spans="2:14" ht="12.75" customHeight="1" x14ac:dyDescent="0.2">
      <c r="B1051" s="23"/>
      <c r="D1051" s="26"/>
      <c r="I1051" s="38"/>
      <c r="N1051" s="38"/>
    </row>
    <row r="1052" spans="2:14" x14ac:dyDescent="0.2">
      <c r="B1052" s="23"/>
      <c r="D1052" s="26"/>
      <c r="I1052" s="38"/>
      <c r="N1052" s="38"/>
    </row>
    <row r="1053" spans="2:14" x14ac:dyDescent="0.2">
      <c r="B1053" s="23"/>
      <c r="D1053" s="26"/>
      <c r="I1053" s="38"/>
      <c r="N1053" s="38"/>
    </row>
    <row r="1054" spans="2:14" ht="12.75" customHeight="1" x14ac:dyDescent="0.2">
      <c r="B1054" s="23"/>
      <c r="D1054" s="26"/>
      <c r="I1054" s="38"/>
      <c r="N1054" s="38"/>
    </row>
    <row r="1055" spans="2:14" ht="12.75" customHeight="1" x14ac:dyDescent="0.2">
      <c r="B1055" s="23"/>
      <c r="D1055" s="26"/>
      <c r="I1055" s="38"/>
      <c r="N1055" s="38"/>
    </row>
    <row r="1056" spans="2:14" x14ac:dyDescent="0.2">
      <c r="B1056" s="23"/>
      <c r="D1056" s="26"/>
      <c r="I1056" s="38"/>
      <c r="N1056" s="38"/>
    </row>
    <row r="1057" spans="2:14" x14ac:dyDescent="0.2">
      <c r="B1057" s="23"/>
      <c r="D1057" s="26"/>
      <c r="I1057" s="38"/>
      <c r="N1057" s="38"/>
    </row>
    <row r="1058" spans="2:14" ht="12.75" customHeight="1" x14ac:dyDescent="0.2">
      <c r="B1058" s="23"/>
      <c r="D1058" s="26"/>
      <c r="I1058" s="38"/>
      <c r="N1058" s="38"/>
    </row>
    <row r="1059" spans="2:14" ht="12.75" customHeight="1" x14ac:dyDescent="0.2">
      <c r="B1059" s="23"/>
      <c r="D1059" s="26"/>
      <c r="I1059" s="38"/>
      <c r="N1059" s="38"/>
    </row>
    <row r="1060" spans="2:14" ht="12.75" customHeight="1" x14ac:dyDescent="0.2">
      <c r="B1060" s="23"/>
      <c r="D1060" s="26"/>
      <c r="I1060" s="38"/>
      <c r="N1060" s="38"/>
    </row>
    <row r="1061" spans="2:14" ht="12.75" customHeight="1" x14ac:dyDescent="0.2">
      <c r="B1061" s="23"/>
      <c r="D1061" s="26"/>
      <c r="I1061" s="38"/>
      <c r="N1061" s="38"/>
    </row>
    <row r="1062" spans="2:14" ht="12.75" customHeight="1" x14ac:dyDescent="0.2">
      <c r="B1062" s="23"/>
      <c r="D1062" s="26"/>
      <c r="I1062" s="38"/>
      <c r="N1062" s="38"/>
    </row>
    <row r="1063" spans="2:14" x14ac:dyDescent="0.2">
      <c r="B1063" s="23"/>
      <c r="D1063" s="26"/>
      <c r="I1063" s="38"/>
      <c r="N1063" s="38"/>
    </row>
    <row r="1064" spans="2:14" x14ac:dyDescent="0.2">
      <c r="B1064" s="23"/>
      <c r="D1064" s="26"/>
      <c r="I1064" s="38"/>
      <c r="N1064" s="38"/>
    </row>
    <row r="1065" spans="2:14" ht="12.75" customHeight="1" x14ac:dyDescent="0.2">
      <c r="B1065" s="23"/>
      <c r="D1065" s="26"/>
      <c r="I1065" s="38"/>
      <c r="N1065" s="38"/>
    </row>
    <row r="1066" spans="2:14" x14ac:dyDescent="0.2">
      <c r="B1066" s="23"/>
      <c r="D1066" s="26"/>
      <c r="I1066" s="38"/>
      <c r="N1066" s="38"/>
    </row>
    <row r="1067" spans="2:14" x14ac:dyDescent="0.2">
      <c r="B1067" s="23"/>
      <c r="D1067" s="26"/>
      <c r="I1067" s="38"/>
      <c r="N1067" s="38"/>
    </row>
    <row r="1068" spans="2:14" x14ac:dyDescent="0.2">
      <c r="B1068" s="23"/>
      <c r="D1068" s="26"/>
      <c r="I1068" s="38"/>
      <c r="N1068" s="38"/>
    </row>
    <row r="1069" spans="2:14" x14ac:dyDescent="0.2">
      <c r="B1069" s="23"/>
      <c r="D1069" s="26"/>
      <c r="I1069" s="38"/>
      <c r="N1069" s="38"/>
    </row>
    <row r="1070" spans="2:14" ht="12.75" customHeight="1" x14ac:dyDescent="0.2">
      <c r="B1070" s="23"/>
      <c r="D1070" s="26"/>
      <c r="I1070" s="38"/>
      <c r="N1070" s="38"/>
    </row>
    <row r="1071" spans="2:14" ht="12.75" customHeight="1" x14ac:dyDescent="0.2">
      <c r="B1071" s="23"/>
      <c r="D1071" s="26"/>
      <c r="I1071" s="38"/>
      <c r="N1071" s="38"/>
    </row>
    <row r="1072" spans="2:14" ht="12.75" customHeight="1" x14ac:dyDescent="0.2">
      <c r="B1072" s="23"/>
      <c r="D1072" s="26"/>
      <c r="I1072" s="38"/>
      <c r="N1072" s="38"/>
    </row>
    <row r="1073" spans="2:14" ht="12.75" customHeight="1" x14ac:dyDescent="0.2">
      <c r="B1073" s="23"/>
      <c r="D1073" s="26"/>
      <c r="I1073" s="38"/>
      <c r="N1073" s="38"/>
    </row>
    <row r="1074" spans="2:14" ht="12.75" customHeight="1" x14ac:dyDescent="0.2">
      <c r="B1074" s="23"/>
      <c r="D1074" s="26"/>
      <c r="I1074" s="38"/>
      <c r="N1074" s="38"/>
    </row>
    <row r="1075" spans="2:14" ht="12.75" customHeight="1" x14ac:dyDescent="0.2">
      <c r="B1075" s="23"/>
      <c r="D1075" s="26"/>
      <c r="I1075" s="38"/>
      <c r="N1075" s="38"/>
    </row>
    <row r="1076" spans="2:14" ht="12.75" customHeight="1" x14ac:dyDescent="0.2">
      <c r="B1076" s="23"/>
      <c r="D1076" s="26"/>
      <c r="I1076" s="38"/>
      <c r="N1076" s="38"/>
    </row>
    <row r="1077" spans="2:14" ht="12.75" customHeight="1" x14ac:dyDescent="0.2">
      <c r="B1077" s="23"/>
      <c r="D1077" s="26"/>
      <c r="I1077" s="38"/>
      <c r="N1077" s="38"/>
    </row>
    <row r="1078" spans="2:14" ht="12.75" customHeight="1" x14ac:dyDescent="0.2">
      <c r="B1078" s="23"/>
      <c r="D1078" s="26"/>
      <c r="I1078" s="38"/>
      <c r="N1078" s="38"/>
    </row>
    <row r="1079" spans="2:14" ht="12.75" customHeight="1" x14ac:dyDescent="0.2">
      <c r="B1079" s="23"/>
      <c r="D1079" s="26"/>
      <c r="I1079" s="38"/>
      <c r="N1079" s="38"/>
    </row>
    <row r="1080" spans="2:14" ht="12.75" customHeight="1" x14ac:dyDescent="0.2">
      <c r="B1080" s="23"/>
      <c r="D1080" s="26"/>
      <c r="I1080" s="38"/>
      <c r="N1080" s="38"/>
    </row>
    <row r="1081" spans="2:14" ht="12.75" customHeight="1" x14ac:dyDescent="0.2">
      <c r="B1081" s="23"/>
      <c r="D1081" s="26"/>
      <c r="I1081" s="38"/>
      <c r="N1081" s="38"/>
    </row>
    <row r="1082" spans="2:14" ht="12.75" customHeight="1" x14ac:dyDescent="0.2">
      <c r="B1082" s="23"/>
      <c r="D1082" s="26"/>
      <c r="I1082" s="38"/>
      <c r="N1082" s="38"/>
    </row>
    <row r="1083" spans="2:14" ht="12.75" customHeight="1" x14ac:dyDescent="0.2">
      <c r="B1083" s="23"/>
      <c r="D1083" s="26"/>
      <c r="I1083" s="38"/>
      <c r="N1083" s="38"/>
    </row>
    <row r="1084" spans="2:14" ht="12.75" customHeight="1" x14ac:dyDescent="0.2">
      <c r="B1084" s="23"/>
      <c r="D1084" s="26"/>
      <c r="I1084" s="38"/>
      <c r="N1084" s="38"/>
    </row>
    <row r="1085" spans="2:14" ht="12.75" customHeight="1" x14ac:dyDescent="0.2">
      <c r="B1085" s="23"/>
      <c r="D1085" s="26"/>
      <c r="I1085" s="38"/>
      <c r="N1085" s="38"/>
    </row>
    <row r="1086" spans="2:14" ht="12.75" customHeight="1" x14ac:dyDescent="0.2">
      <c r="B1086" s="23"/>
      <c r="D1086" s="26"/>
      <c r="I1086" s="38"/>
      <c r="N1086" s="38"/>
    </row>
    <row r="1087" spans="2:14" ht="12.75" customHeight="1" x14ac:dyDescent="0.2">
      <c r="B1087" s="23"/>
      <c r="D1087" s="26"/>
      <c r="I1087" s="38"/>
      <c r="N1087" s="38"/>
    </row>
    <row r="1088" spans="2:14" x14ac:dyDescent="0.2">
      <c r="B1088" s="23"/>
      <c r="D1088" s="26"/>
      <c r="I1088" s="38"/>
      <c r="N1088" s="38"/>
    </row>
    <row r="1089" spans="2:14" x14ac:dyDescent="0.2">
      <c r="B1089" s="23"/>
      <c r="D1089" s="26"/>
      <c r="I1089" s="38"/>
      <c r="N1089" s="38"/>
    </row>
    <row r="1090" spans="2:14" x14ac:dyDescent="0.2">
      <c r="B1090" s="23"/>
      <c r="D1090" s="26"/>
      <c r="I1090" s="38"/>
      <c r="N1090" s="38"/>
    </row>
    <row r="1091" spans="2:14" x14ac:dyDescent="0.2">
      <c r="B1091" s="23"/>
      <c r="D1091" s="26"/>
      <c r="I1091" s="38"/>
      <c r="N1091" s="38"/>
    </row>
    <row r="1092" spans="2:14" x14ac:dyDescent="0.2">
      <c r="B1092" s="23"/>
      <c r="D1092" s="26"/>
      <c r="I1092" s="38"/>
      <c r="N1092" s="38"/>
    </row>
    <row r="1093" spans="2:14" x14ac:dyDescent="0.2">
      <c r="B1093" s="23"/>
      <c r="D1093" s="26"/>
      <c r="I1093" s="38"/>
      <c r="N1093" s="38"/>
    </row>
    <row r="1094" spans="2:14" x14ac:dyDescent="0.2">
      <c r="B1094" s="23"/>
      <c r="D1094" s="26"/>
      <c r="I1094" s="38"/>
      <c r="N1094" s="38"/>
    </row>
    <row r="1095" spans="2:14" x14ac:dyDescent="0.2">
      <c r="B1095" s="23"/>
      <c r="D1095" s="26"/>
      <c r="I1095" s="38"/>
      <c r="N1095" s="38"/>
    </row>
    <row r="1096" spans="2:14" x14ac:dyDescent="0.2">
      <c r="B1096" s="23"/>
      <c r="D1096" s="26"/>
      <c r="I1096" s="38"/>
      <c r="N1096" s="38"/>
    </row>
    <row r="1097" spans="2:14" x14ac:dyDescent="0.2">
      <c r="B1097" s="23"/>
      <c r="D1097" s="26"/>
      <c r="I1097" s="38"/>
      <c r="N1097" s="38"/>
    </row>
    <row r="1098" spans="2:14" x14ac:dyDescent="0.2">
      <c r="B1098" s="23"/>
      <c r="D1098" s="26"/>
      <c r="I1098" s="38"/>
      <c r="N1098" s="38"/>
    </row>
    <row r="1099" spans="2:14" x14ac:dyDescent="0.2">
      <c r="B1099" s="23"/>
      <c r="D1099" s="26"/>
      <c r="I1099" s="38"/>
      <c r="N1099" s="38"/>
    </row>
    <row r="1100" spans="2:14" x14ac:dyDescent="0.2">
      <c r="B1100" s="23"/>
      <c r="D1100" s="26"/>
      <c r="I1100" s="38"/>
      <c r="N1100" s="38"/>
    </row>
    <row r="1101" spans="2:14" x14ac:dyDescent="0.2">
      <c r="B1101" s="23"/>
      <c r="D1101" s="26"/>
      <c r="I1101" s="38"/>
      <c r="N1101" s="38"/>
    </row>
    <row r="1102" spans="2:14" x14ac:dyDescent="0.2">
      <c r="B1102" s="23"/>
      <c r="D1102" s="26"/>
      <c r="I1102" s="38"/>
      <c r="N1102" s="38"/>
    </row>
    <row r="1103" spans="2:14" x14ac:dyDescent="0.2">
      <c r="B1103" s="23"/>
      <c r="D1103" s="26"/>
      <c r="I1103" s="38"/>
      <c r="N1103" s="38"/>
    </row>
    <row r="1104" spans="2:14" x14ac:dyDescent="0.2">
      <c r="B1104" s="23"/>
      <c r="D1104" s="26"/>
      <c r="I1104" s="38"/>
      <c r="N1104" s="38"/>
    </row>
    <row r="1105" spans="2:14" x14ac:dyDescent="0.2">
      <c r="B1105" s="23"/>
      <c r="D1105" s="26"/>
      <c r="I1105" s="38"/>
      <c r="N1105" s="38"/>
    </row>
    <row r="1106" spans="2:14" x14ac:dyDescent="0.2">
      <c r="B1106" s="23"/>
      <c r="D1106" s="26"/>
      <c r="I1106" s="38"/>
      <c r="N1106" s="38"/>
    </row>
    <row r="1107" spans="2:14" x14ac:dyDescent="0.2">
      <c r="B1107" s="23"/>
      <c r="D1107" s="26"/>
      <c r="I1107" s="38"/>
      <c r="N1107" s="38"/>
    </row>
    <row r="1108" spans="2:14" x14ac:dyDescent="0.2">
      <c r="B1108" s="23"/>
      <c r="D1108" s="26"/>
      <c r="I1108" s="38"/>
      <c r="N1108" s="38"/>
    </row>
    <row r="1109" spans="2:14" x14ac:dyDescent="0.2">
      <c r="B1109" s="23"/>
      <c r="D1109" s="26"/>
      <c r="I1109" s="38"/>
      <c r="N1109" s="38"/>
    </row>
    <row r="1110" spans="2:14" x14ac:dyDescent="0.2">
      <c r="B1110" s="23"/>
      <c r="D1110" s="26"/>
      <c r="I1110" s="38"/>
      <c r="N1110" s="38"/>
    </row>
    <row r="1111" spans="2:14" x14ac:dyDescent="0.2">
      <c r="B1111" s="23"/>
      <c r="D1111" s="26"/>
      <c r="I1111" s="38"/>
      <c r="N1111" s="38"/>
    </row>
    <row r="1112" spans="2:14" x14ac:dyDescent="0.2">
      <c r="B1112" s="23"/>
      <c r="D1112" s="26"/>
      <c r="I1112" s="38"/>
      <c r="N1112" s="38"/>
    </row>
    <row r="1113" spans="2:14" x14ac:dyDescent="0.2">
      <c r="B1113" s="23"/>
      <c r="D1113" s="26"/>
      <c r="I1113" s="38"/>
      <c r="N1113" s="38"/>
    </row>
    <row r="1114" spans="2:14" x14ac:dyDescent="0.2">
      <c r="B1114" s="23"/>
      <c r="D1114" s="26"/>
      <c r="I1114" s="38"/>
      <c r="N1114" s="38"/>
    </row>
    <row r="1115" spans="2:14" x14ac:dyDescent="0.2">
      <c r="B1115" s="23"/>
      <c r="D1115" s="26"/>
      <c r="I1115" s="38"/>
      <c r="N1115" s="38"/>
    </row>
    <row r="1116" spans="2:14" x14ac:dyDescent="0.2">
      <c r="B1116" s="23"/>
      <c r="D1116" s="26"/>
      <c r="I1116" s="38"/>
      <c r="N1116" s="38"/>
    </row>
    <row r="1117" spans="2:14" x14ac:dyDescent="0.2">
      <c r="B1117" s="23"/>
      <c r="D1117" s="26"/>
      <c r="I1117" s="38"/>
      <c r="N1117" s="38"/>
    </row>
    <row r="1118" spans="2:14" x14ac:dyDescent="0.2">
      <c r="B1118" s="23"/>
      <c r="D1118" s="26"/>
      <c r="I1118" s="38"/>
      <c r="N1118" s="38"/>
    </row>
    <row r="1119" spans="2:14" x14ac:dyDescent="0.2">
      <c r="B1119" s="23"/>
      <c r="D1119" s="26"/>
      <c r="I1119" s="38"/>
      <c r="N1119" s="38"/>
    </row>
    <row r="1120" spans="2:14" x14ac:dyDescent="0.2">
      <c r="B1120" s="23"/>
      <c r="D1120" s="26"/>
      <c r="I1120" s="38"/>
      <c r="N1120" s="38"/>
    </row>
    <row r="1121" spans="2:14" x14ac:dyDescent="0.2">
      <c r="B1121" s="23"/>
      <c r="D1121" s="26"/>
      <c r="I1121" s="38"/>
      <c r="N1121" s="38"/>
    </row>
    <row r="1122" spans="2:14" x14ac:dyDescent="0.2">
      <c r="B1122" s="23"/>
      <c r="D1122" s="26"/>
      <c r="I1122" s="38"/>
      <c r="N1122" s="38"/>
    </row>
    <row r="1123" spans="2:14" x14ac:dyDescent="0.2">
      <c r="B1123" s="23"/>
      <c r="D1123" s="26"/>
      <c r="I1123" s="38"/>
      <c r="N1123" s="38"/>
    </row>
    <row r="1124" spans="2:14" x14ac:dyDescent="0.2">
      <c r="B1124" s="23"/>
      <c r="D1124" s="26"/>
      <c r="I1124" s="38"/>
      <c r="N1124" s="38"/>
    </row>
    <row r="1125" spans="2:14" x14ac:dyDescent="0.2">
      <c r="B1125" s="23"/>
      <c r="D1125" s="26"/>
      <c r="I1125" s="38"/>
      <c r="N1125" s="38"/>
    </row>
    <row r="1126" spans="2:14" x14ac:dyDescent="0.2">
      <c r="B1126" s="23"/>
      <c r="D1126" s="26"/>
      <c r="I1126" s="38"/>
      <c r="N1126" s="38"/>
    </row>
    <row r="1127" spans="2:14" x14ac:dyDescent="0.2">
      <c r="B1127" s="23"/>
      <c r="D1127" s="26"/>
      <c r="I1127" s="38"/>
      <c r="N1127" s="38"/>
    </row>
    <row r="1128" spans="2:14" x14ac:dyDescent="0.2">
      <c r="B1128" s="23"/>
      <c r="D1128" s="26"/>
      <c r="I1128" s="38"/>
      <c r="N1128" s="38"/>
    </row>
    <row r="1129" spans="2:14" x14ac:dyDescent="0.2">
      <c r="B1129" s="23"/>
      <c r="D1129" s="26"/>
      <c r="I1129" s="38"/>
      <c r="N1129" s="38"/>
    </row>
    <row r="1130" spans="2:14" x14ac:dyDescent="0.2">
      <c r="B1130" s="23"/>
      <c r="D1130" s="26"/>
      <c r="I1130" s="38"/>
      <c r="N1130" s="38"/>
    </row>
    <row r="1131" spans="2:14" x14ac:dyDescent="0.2">
      <c r="B1131" s="23"/>
      <c r="D1131" s="26"/>
      <c r="I1131" s="38"/>
      <c r="N1131" s="38"/>
    </row>
    <row r="1132" spans="2:14" x14ac:dyDescent="0.2">
      <c r="B1132" s="23"/>
      <c r="D1132" s="26"/>
      <c r="I1132" s="38"/>
      <c r="N1132" s="38"/>
    </row>
    <row r="1133" spans="2:14" x14ac:dyDescent="0.2">
      <c r="B1133" s="23"/>
      <c r="D1133" s="26"/>
      <c r="I1133" s="38"/>
      <c r="N1133" s="38"/>
    </row>
    <row r="1134" spans="2:14" x14ac:dyDescent="0.2">
      <c r="B1134" s="23"/>
      <c r="D1134" s="26"/>
      <c r="I1134" s="38"/>
      <c r="N1134" s="38"/>
    </row>
    <row r="1135" spans="2:14" x14ac:dyDescent="0.2">
      <c r="B1135" s="23"/>
      <c r="D1135" s="26"/>
      <c r="I1135" s="38"/>
      <c r="N1135" s="38"/>
    </row>
    <row r="1136" spans="2:14" x14ac:dyDescent="0.2">
      <c r="B1136" s="23"/>
      <c r="D1136" s="26"/>
      <c r="I1136" s="38"/>
      <c r="N1136" s="38"/>
    </row>
    <row r="1137" spans="2:14" x14ac:dyDescent="0.2">
      <c r="B1137" s="23"/>
      <c r="D1137" s="26"/>
      <c r="I1137" s="38"/>
      <c r="N1137" s="38"/>
    </row>
    <row r="1138" spans="2:14" x14ac:dyDescent="0.2">
      <c r="B1138" s="23"/>
      <c r="D1138" s="26"/>
      <c r="I1138" s="38"/>
      <c r="N1138" s="38"/>
    </row>
    <row r="1139" spans="2:14" x14ac:dyDescent="0.2">
      <c r="B1139" s="23"/>
      <c r="D1139" s="26"/>
      <c r="I1139" s="38"/>
      <c r="N1139" s="38"/>
    </row>
    <row r="1140" spans="2:14" x14ac:dyDescent="0.2">
      <c r="B1140" s="23"/>
      <c r="D1140" s="26"/>
      <c r="I1140" s="38"/>
      <c r="N1140" s="38"/>
    </row>
    <row r="1141" spans="2:14" x14ac:dyDescent="0.2">
      <c r="B1141" s="23"/>
      <c r="D1141" s="26"/>
      <c r="I1141" s="38"/>
      <c r="N1141" s="38"/>
    </row>
    <row r="1142" spans="2:14" ht="12.75" customHeight="1" x14ac:dyDescent="0.2">
      <c r="B1142" s="23"/>
      <c r="D1142" s="26"/>
      <c r="I1142" s="38"/>
      <c r="N1142" s="38"/>
    </row>
    <row r="1143" spans="2:14" ht="12.75" customHeight="1" x14ac:dyDescent="0.2">
      <c r="B1143" s="23"/>
      <c r="D1143" s="26"/>
      <c r="I1143" s="38"/>
      <c r="N1143" s="38"/>
    </row>
    <row r="1144" spans="2:14" x14ac:dyDescent="0.2">
      <c r="B1144" s="23"/>
      <c r="D1144" s="26"/>
      <c r="I1144" s="38"/>
      <c r="N1144" s="38"/>
    </row>
    <row r="1145" spans="2:14" x14ac:dyDescent="0.2">
      <c r="B1145" s="23"/>
      <c r="D1145" s="26"/>
      <c r="I1145" s="38"/>
      <c r="N1145" s="38"/>
    </row>
    <row r="1146" spans="2:14" x14ac:dyDescent="0.2">
      <c r="B1146" s="23"/>
      <c r="D1146" s="26"/>
      <c r="I1146" s="38"/>
      <c r="N1146" s="38"/>
    </row>
    <row r="1147" spans="2:14" x14ac:dyDescent="0.2">
      <c r="B1147" s="23"/>
      <c r="D1147" s="26"/>
      <c r="I1147" s="38"/>
      <c r="N1147" s="38"/>
    </row>
    <row r="1148" spans="2:14" ht="12.75" customHeight="1" x14ac:dyDescent="0.2">
      <c r="B1148" s="23"/>
      <c r="D1148" s="26"/>
      <c r="I1148" s="38"/>
      <c r="N1148" s="38"/>
    </row>
    <row r="1149" spans="2:14" ht="12.75" customHeight="1" x14ac:dyDescent="0.2">
      <c r="B1149" s="23"/>
      <c r="D1149" s="26"/>
      <c r="I1149" s="38"/>
      <c r="N1149" s="38"/>
    </row>
    <row r="1150" spans="2:14" ht="12.75" customHeight="1" x14ac:dyDescent="0.2">
      <c r="B1150" s="23"/>
      <c r="D1150" s="26"/>
      <c r="I1150" s="38"/>
      <c r="N1150" s="38"/>
    </row>
    <row r="1151" spans="2:14" x14ac:dyDescent="0.2">
      <c r="B1151" s="23"/>
      <c r="D1151" s="26"/>
      <c r="I1151" s="38"/>
      <c r="N1151" s="38"/>
    </row>
    <row r="1152" spans="2:14" x14ac:dyDescent="0.2">
      <c r="B1152" s="23"/>
      <c r="D1152" s="26"/>
      <c r="I1152" s="38"/>
      <c r="N1152" s="38"/>
    </row>
    <row r="1153" spans="2:14" x14ac:dyDescent="0.2">
      <c r="B1153" s="23"/>
      <c r="D1153" s="26"/>
      <c r="I1153" s="38"/>
      <c r="N1153" s="38"/>
    </row>
    <row r="1154" spans="2:14" x14ac:dyDescent="0.2">
      <c r="B1154" s="23"/>
      <c r="D1154" s="26"/>
      <c r="I1154" s="38"/>
      <c r="N1154" s="38"/>
    </row>
    <row r="1155" spans="2:14" x14ac:dyDescent="0.2">
      <c r="B1155" s="23"/>
      <c r="D1155" s="26"/>
      <c r="I1155" s="38"/>
      <c r="N1155" s="38"/>
    </row>
    <row r="1156" spans="2:14" x14ac:dyDescent="0.2">
      <c r="B1156" s="23"/>
      <c r="D1156" s="26"/>
      <c r="I1156" s="38"/>
      <c r="N1156" s="38"/>
    </row>
    <row r="1157" spans="2:14" x14ac:dyDescent="0.2">
      <c r="B1157" s="23"/>
      <c r="D1157" s="26"/>
      <c r="I1157" s="38"/>
      <c r="N1157" s="38"/>
    </row>
    <row r="1158" spans="2:14" x14ac:dyDescent="0.2">
      <c r="B1158" s="23"/>
      <c r="D1158" s="26"/>
      <c r="I1158" s="38"/>
      <c r="N1158" s="38"/>
    </row>
    <row r="1159" spans="2:14" ht="12.75" customHeight="1" x14ac:dyDescent="0.2">
      <c r="B1159" s="23"/>
      <c r="D1159" s="26"/>
      <c r="I1159" s="38"/>
      <c r="N1159" s="38"/>
    </row>
    <row r="1160" spans="2:14" ht="12.75" customHeight="1" x14ac:dyDescent="0.2">
      <c r="B1160" s="23"/>
      <c r="D1160" s="26"/>
      <c r="I1160" s="38"/>
      <c r="N1160" s="38"/>
    </row>
    <row r="1161" spans="2:14" x14ac:dyDescent="0.2">
      <c r="B1161" s="23"/>
      <c r="D1161" s="26"/>
      <c r="I1161" s="38"/>
      <c r="N1161" s="38"/>
    </row>
    <row r="1162" spans="2:14" x14ac:dyDescent="0.2">
      <c r="B1162" s="23"/>
      <c r="D1162" s="26"/>
      <c r="I1162" s="38"/>
      <c r="N1162" s="38"/>
    </row>
    <row r="1163" spans="2:14" x14ac:dyDescent="0.2">
      <c r="B1163" s="23"/>
      <c r="D1163" s="26"/>
      <c r="I1163" s="38"/>
      <c r="N1163" s="38"/>
    </row>
    <row r="1164" spans="2:14" x14ac:dyDescent="0.2">
      <c r="B1164" s="23"/>
      <c r="D1164" s="26"/>
      <c r="I1164" s="38"/>
      <c r="N1164" s="38"/>
    </row>
    <row r="1165" spans="2:14" x14ac:dyDescent="0.2">
      <c r="B1165" s="23"/>
      <c r="D1165" s="26"/>
      <c r="I1165" s="38"/>
      <c r="N1165" s="38"/>
    </row>
    <row r="1166" spans="2:14" x14ac:dyDescent="0.2">
      <c r="B1166" s="23"/>
      <c r="D1166" s="26"/>
      <c r="I1166" s="38"/>
      <c r="N1166" s="38"/>
    </row>
    <row r="1167" spans="2:14" x14ac:dyDescent="0.2">
      <c r="B1167" s="23"/>
      <c r="D1167" s="26"/>
      <c r="I1167" s="38"/>
      <c r="N1167" s="38"/>
    </row>
    <row r="1168" spans="2:14" x14ac:dyDescent="0.2">
      <c r="B1168" s="23"/>
      <c r="D1168" s="26"/>
      <c r="I1168" s="38"/>
      <c r="N1168" s="38"/>
    </row>
    <row r="1169" spans="2:14" ht="12.75" customHeight="1" x14ac:dyDescent="0.2">
      <c r="B1169" s="23"/>
      <c r="D1169" s="26"/>
      <c r="I1169" s="38"/>
      <c r="N1169" s="38"/>
    </row>
    <row r="1170" spans="2:14" x14ac:dyDescent="0.2">
      <c r="B1170" s="23"/>
      <c r="D1170" s="26"/>
      <c r="I1170" s="38"/>
      <c r="N1170" s="38"/>
    </row>
    <row r="1171" spans="2:14" x14ac:dyDescent="0.2">
      <c r="B1171" s="23"/>
      <c r="D1171" s="26"/>
      <c r="I1171" s="38"/>
      <c r="N1171" s="38"/>
    </row>
    <row r="1172" spans="2:14" x14ac:dyDescent="0.2">
      <c r="B1172" s="23"/>
      <c r="D1172" s="26"/>
      <c r="I1172" s="38"/>
      <c r="N1172" s="38"/>
    </row>
    <row r="1173" spans="2:14" x14ac:dyDescent="0.2">
      <c r="B1173" s="23"/>
      <c r="D1173" s="26"/>
      <c r="I1173" s="38"/>
      <c r="N1173" s="38"/>
    </row>
    <row r="1174" spans="2:14" x14ac:dyDescent="0.2">
      <c r="B1174" s="23"/>
      <c r="D1174" s="26"/>
      <c r="I1174" s="38"/>
      <c r="N1174" s="38"/>
    </row>
    <row r="1175" spans="2:14" x14ac:dyDescent="0.2">
      <c r="B1175" s="23"/>
      <c r="D1175" s="26"/>
      <c r="I1175" s="38"/>
      <c r="N1175" s="38"/>
    </row>
    <row r="1176" spans="2:14" x14ac:dyDescent="0.2">
      <c r="B1176" s="23"/>
      <c r="D1176" s="26"/>
      <c r="I1176" s="38"/>
      <c r="N1176" s="38"/>
    </row>
    <row r="1177" spans="2:14" x14ac:dyDescent="0.2">
      <c r="B1177" s="23"/>
      <c r="D1177" s="26"/>
      <c r="I1177" s="38"/>
      <c r="N1177" s="38"/>
    </row>
    <row r="1178" spans="2:14" x14ac:dyDescent="0.2">
      <c r="B1178" s="23"/>
      <c r="D1178" s="26"/>
      <c r="I1178" s="38"/>
      <c r="N1178" s="38"/>
    </row>
    <row r="1179" spans="2:14" x14ac:dyDescent="0.2">
      <c r="B1179" s="23"/>
      <c r="D1179" s="26"/>
      <c r="I1179" s="38"/>
      <c r="N1179" s="38"/>
    </row>
    <row r="1180" spans="2:14" ht="12.75" customHeight="1" x14ac:dyDescent="0.2">
      <c r="B1180" s="23"/>
      <c r="D1180" s="26"/>
      <c r="I1180" s="38"/>
      <c r="N1180" s="38"/>
    </row>
    <row r="1181" spans="2:14" ht="12.75" customHeight="1" x14ac:dyDescent="0.2">
      <c r="B1181" s="23"/>
      <c r="D1181" s="26"/>
      <c r="I1181" s="38"/>
      <c r="N1181" s="38"/>
    </row>
    <row r="1182" spans="2:14" ht="12.75" customHeight="1" x14ac:dyDescent="0.2">
      <c r="B1182" s="23"/>
      <c r="D1182" s="26"/>
      <c r="I1182" s="38"/>
      <c r="N1182" s="38"/>
    </row>
    <row r="1183" spans="2:14" ht="12.75" customHeight="1" x14ac:dyDescent="0.2">
      <c r="B1183" s="23"/>
      <c r="D1183" s="26"/>
      <c r="I1183" s="38"/>
      <c r="N1183" s="38"/>
    </row>
    <row r="1184" spans="2:14" ht="12.75" customHeight="1" x14ac:dyDescent="0.2">
      <c r="B1184" s="23"/>
      <c r="D1184" s="26"/>
      <c r="I1184" s="38"/>
      <c r="N1184" s="38"/>
    </row>
    <row r="1185" spans="2:14" ht="12.75" customHeight="1" x14ac:dyDescent="0.2">
      <c r="B1185" s="23"/>
      <c r="D1185" s="26"/>
      <c r="I1185" s="38"/>
      <c r="N1185" s="38"/>
    </row>
    <row r="1186" spans="2:14" ht="12.75" customHeight="1" x14ac:dyDescent="0.2">
      <c r="B1186" s="23"/>
      <c r="D1186" s="26"/>
      <c r="I1186" s="38"/>
      <c r="N1186" s="38"/>
    </row>
    <row r="1187" spans="2:14" ht="12.75" customHeight="1" x14ac:dyDescent="0.2">
      <c r="B1187" s="23"/>
      <c r="D1187" s="26"/>
      <c r="I1187" s="38"/>
      <c r="N1187" s="38"/>
    </row>
    <row r="1188" spans="2:14" x14ac:dyDescent="0.2">
      <c r="B1188" s="23"/>
      <c r="D1188" s="26"/>
      <c r="I1188" s="38"/>
      <c r="N1188" s="38"/>
    </row>
    <row r="1189" spans="2:14" ht="12.75" customHeight="1" x14ac:dyDescent="0.2">
      <c r="B1189" s="23"/>
      <c r="D1189" s="26"/>
      <c r="I1189" s="38"/>
      <c r="N1189" s="38"/>
    </row>
    <row r="1190" spans="2:14" x14ac:dyDescent="0.2">
      <c r="B1190" s="23"/>
      <c r="D1190" s="26"/>
      <c r="I1190" s="38"/>
      <c r="N1190" s="38"/>
    </row>
    <row r="1191" spans="2:14" x14ac:dyDescent="0.2">
      <c r="B1191" s="23"/>
      <c r="D1191" s="26"/>
      <c r="I1191" s="38"/>
      <c r="N1191" s="38"/>
    </row>
    <row r="1192" spans="2:14" x14ac:dyDescent="0.2">
      <c r="B1192" s="23"/>
      <c r="D1192" s="26"/>
      <c r="I1192" s="38"/>
      <c r="N1192" s="38"/>
    </row>
    <row r="1193" spans="2:14" x14ac:dyDescent="0.2">
      <c r="B1193" s="23"/>
      <c r="D1193" s="26"/>
      <c r="I1193" s="38"/>
      <c r="N1193" s="38"/>
    </row>
    <row r="1194" spans="2:14" x14ac:dyDescent="0.2">
      <c r="B1194" s="23"/>
      <c r="D1194" s="26"/>
      <c r="I1194" s="38"/>
      <c r="N1194" s="38"/>
    </row>
    <row r="1195" spans="2:14" ht="12.75" customHeight="1" x14ac:dyDescent="0.2">
      <c r="B1195" s="23"/>
      <c r="D1195" s="26"/>
      <c r="I1195" s="38"/>
      <c r="N1195" s="38"/>
    </row>
    <row r="1196" spans="2:14" x14ac:dyDescent="0.2">
      <c r="B1196" s="23"/>
      <c r="D1196" s="26"/>
      <c r="I1196" s="38"/>
      <c r="N1196" s="38"/>
    </row>
    <row r="1197" spans="2:14" x14ac:dyDescent="0.2">
      <c r="B1197" s="23"/>
      <c r="D1197" s="26"/>
      <c r="I1197" s="38"/>
      <c r="N1197" s="38"/>
    </row>
    <row r="1198" spans="2:14" x14ac:dyDescent="0.2">
      <c r="B1198" s="23"/>
      <c r="D1198" s="26"/>
      <c r="I1198" s="38"/>
      <c r="N1198" s="38"/>
    </row>
    <row r="1199" spans="2:14" x14ac:dyDescent="0.2">
      <c r="B1199" s="23"/>
      <c r="D1199" s="26"/>
      <c r="I1199" s="38"/>
      <c r="N1199" s="38"/>
    </row>
    <row r="1200" spans="2:14" x14ac:dyDescent="0.2">
      <c r="B1200" s="23"/>
      <c r="D1200" s="26"/>
      <c r="I1200" s="38"/>
      <c r="N1200" s="38"/>
    </row>
    <row r="1201" spans="2:14" x14ac:dyDescent="0.2">
      <c r="B1201" s="23"/>
      <c r="D1201" s="26"/>
      <c r="I1201" s="38"/>
      <c r="N1201" s="38"/>
    </row>
    <row r="1202" spans="2:14" x14ac:dyDescent="0.2">
      <c r="B1202" s="23"/>
      <c r="D1202" s="26"/>
      <c r="I1202" s="38"/>
      <c r="N1202" s="38"/>
    </row>
    <row r="1203" spans="2:14" x14ac:dyDescent="0.2">
      <c r="B1203" s="23"/>
      <c r="D1203" s="26"/>
      <c r="I1203" s="38"/>
      <c r="N1203" s="38"/>
    </row>
    <row r="1204" spans="2:14" x14ac:dyDescent="0.2">
      <c r="B1204" s="23"/>
      <c r="D1204" s="26"/>
      <c r="I1204" s="38"/>
      <c r="N1204" s="38"/>
    </row>
    <row r="1205" spans="2:14" x14ac:dyDescent="0.2">
      <c r="B1205" s="23"/>
      <c r="D1205" s="26"/>
      <c r="I1205" s="38"/>
      <c r="N1205" s="38"/>
    </row>
    <row r="1206" spans="2:14" x14ac:dyDescent="0.2">
      <c r="B1206" s="23"/>
      <c r="D1206" s="26"/>
      <c r="I1206" s="38"/>
      <c r="N1206" s="38"/>
    </row>
    <row r="1207" spans="2:14" x14ac:dyDescent="0.2">
      <c r="B1207" s="23"/>
      <c r="D1207" s="26"/>
      <c r="I1207" s="38"/>
      <c r="N1207" s="38"/>
    </row>
    <row r="1208" spans="2:14" ht="12.75" customHeight="1" x14ac:dyDescent="0.2">
      <c r="B1208" s="23"/>
      <c r="D1208" s="26"/>
      <c r="I1208" s="38"/>
      <c r="N1208" s="38"/>
    </row>
    <row r="1209" spans="2:14" x14ac:dyDescent="0.2">
      <c r="B1209" s="23"/>
      <c r="D1209" s="26"/>
      <c r="I1209" s="38"/>
      <c r="N1209" s="38"/>
    </row>
    <row r="1210" spans="2:14" x14ac:dyDescent="0.2">
      <c r="B1210" s="23"/>
      <c r="D1210" s="26"/>
      <c r="I1210" s="38"/>
      <c r="N1210" s="38"/>
    </row>
    <row r="1211" spans="2:14" x14ac:dyDescent="0.2">
      <c r="B1211" s="23"/>
      <c r="D1211" s="26"/>
      <c r="I1211" s="38"/>
      <c r="N1211" s="38"/>
    </row>
    <row r="1212" spans="2:14" x14ac:dyDescent="0.2">
      <c r="B1212" s="23"/>
      <c r="D1212" s="26"/>
      <c r="I1212" s="38"/>
      <c r="N1212" s="38"/>
    </row>
    <row r="1213" spans="2:14" ht="12.75" customHeight="1" x14ac:dyDescent="0.2">
      <c r="B1213" s="23"/>
      <c r="D1213" s="26"/>
      <c r="I1213" s="38"/>
      <c r="N1213" s="38"/>
    </row>
    <row r="1214" spans="2:14" x14ac:dyDescent="0.2">
      <c r="B1214" s="23"/>
      <c r="D1214" s="26"/>
      <c r="I1214" s="38"/>
      <c r="N1214" s="38"/>
    </row>
    <row r="1215" spans="2:14" x14ac:dyDescent="0.2">
      <c r="B1215" s="23"/>
      <c r="D1215" s="26"/>
      <c r="I1215" s="38"/>
      <c r="N1215" s="38"/>
    </row>
    <row r="1216" spans="2:14" x14ac:dyDescent="0.2">
      <c r="B1216" s="23"/>
      <c r="D1216" s="26"/>
      <c r="I1216" s="38"/>
      <c r="N1216" s="38"/>
    </row>
    <row r="1217" spans="2:14" ht="12.75" customHeight="1" x14ac:dyDescent="0.2">
      <c r="B1217" s="23"/>
      <c r="D1217" s="26"/>
      <c r="I1217" s="38"/>
      <c r="N1217" s="38"/>
    </row>
    <row r="1218" spans="2:14" ht="12.75" customHeight="1" x14ac:dyDescent="0.2">
      <c r="B1218" s="23"/>
      <c r="D1218" s="26"/>
      <c r="I1218" s="38"/>
      <c r="N1218" s="38"/>
    </row>
    <row r="1219" spans="2:14" ht="12.75" customHeight="1" x14ac:dyDescent="0.2">
      <c r="B1219" s="23"/>
      <c r="D1219" s="26"/>
      <c r="I1219" s="38"/>
      <c r="N1219" s="38"/>
    </row>
    <row r="1220" spans="2:14" ht="12.75" customHeight="1" x14ac:dyDescent="0.2">
      <c r="B1220" s="23"/>
      <c r="D1220" s="26"/>
      <c r="I1220" s="38"/>
      <c r="N1220" s="38"/>
    </row>
    <row r="1221" spans="2:14" ht="12.75" customHeight="1" x14ac:dyDescent="0.2">
      <c r="B1221" s="23"/>
      <c r="D1221" s="26"/>
      <c r="I1221" s="38"/>
      <c r="N1221" s="38"/>
    </row>
    <row r="1222" spans="2:14" ht="12.75" customHeight="1" x14ac:dyDescent="0.2">
      <c r="B1222" s="23"/>
      <c r="D1222" s="26"/>
      <c r="I1222" s="38"/>
      <c r="N1222" s="38"/>
    </row>
    <row r="1223" spans="2:14" ht="12.75" customHeight="1" x14ac:dyDescent="0.2">
      <c r="B1223" s="23"/>
      <c r="D1223" s="26"/>
      <c r="I1223" s="38"/>
      <c r="N1223" s="38"/>
    </row>
    <row r="1224" spans="2:14" ht="12.75" customHeight="1" x14ac:dyDescent="0.2">
      <c r="B1224" s="23"/>
      <c r="D1224" s="26"/>
      <c r="I1224" s="38"/>
      <c r="N1224" s="38"/>
    </row>
    <row r="1225" spans="2:14" ht="12.75" customHeight="1" x14ac:dyDescent="0.2">
      <c r="B1225" s="23"/>
      <c r="D1225" s="26"/>
      <c r="I1225" s="38"/>
      <c r="N1225" s="38"/>
    </row>
    <row r="1226" spans="2:14" ht="12.75" customHeight="1" x14ac:dyDescent="0.2">
      <c r="B1226" s="23"/>
      <c r="D1226" s="26"/>
      <c r="I1226" s="38"/>
      <c r="N1226" s="38"/>
    </row>
    <row r="1227" spans="2:14" ht="12.75" customHeight="1" x14ac:dyDescent="0.2">
      <c r="B1227" s="23"/>
      <c r="D1227" s="26"/>
      <c r="I1227" s="38"/>
      <c r="N1227" s="38"/>
    </row>
    <row r="1228" spans="2:14" ht="12.75" customHeight="1" x14ac:dyDescent="0.2">
      <c r="B1228" s="23"/>
      <c r="D1228" s="26"/>
      <c r="I1228" s="38"/>
      <c r="N1228" s="38"/>
    </row>
    <row r="1229" spans="2:14" x14ac:dyDescent="0.2">
      <c r="B1229" s="23"/>
      <c r="D1229" s="26"/>
      <c r="I1229" s="38"/>
      <c r="N1229" s="38"/>
    </row>
    <row r="1230" spans="2:14" x14ac:dyDescent="0.2">
      <c r="B1230" s="23"/>
      <c r="D1230" s="26"/>
      <c r="I1230" s="38"/>
      <c r="N1230" s="38"/>
    </row>
    <row r="1231" spans="2:14" x14ac:dyDescent="0.2">
      <c r="B1231" s="23"/>
      <c r="D1231" s="26"/>
      <c r="I1231" s="38"/>
      <c r="N1231" s="38"/>
    </row>
    <row r="1232" spans="2:14" ht="12.75" customHeight="1" x14ac:dyDescent="0.2">
      <c r="B1232" s="23"/>
      <c r="D1232" s="26"/>
      <c r="I1232" s="38"/>
      <c r="N1232" s="38"/>
    </row>
    <row r="1233" spans="2:14" x14ac:dyDescent="0.2">
      <c r="B1233" s="23"/>
      <c r="D1233" s="26"/>
      <c r="I1233" s="38"/>
      <c r="N1233" s="38"/>
    </row>
    <row r="1234" spans="2:14" ht="12.75" customHeight="1" x14ac:dyDescent="0.2">
      <c r="B1234" s="23"/>
      <c r="D1234" s="26"/>
      <c r="I1234" s="38"/>
      <c r="N1234" s="38"/>
    </row>
    <row r="1235" spans="2:14" ht="12.75" customHeight="1" x14ac:dyDescent="0.2">
      <c r="B1235" s="23"/>
      <c r="D1235" s="26"/>
      <c r="I1235" s="38"/>
      <c r="N1235" s="38"/>
    </row>
    <row r="1236" spans="2:14" x14ac:dyDescent="0.2">
      <c r="B1236" s="23"/>
      <c r="D1236" s="26"/>
      <c r="I1236" s="38"/>
      <c r="N1236" s="38"/>
    </row>
    <row r="1237" spans="2:14" x14ac:dyDescent="0.2">
      <c r="B1237" s="23"/>
      <c r="D1237" s="26"/>
      <c r="I1237" s="38"/>
      <c r="N1237" s="38"/>
    </row>
    <row r="1238" spans="2:14" ht="12.75" customHeight="1" x14ac:dyDescent="0.2">
      <c r="B1238" s="23"/>
      <c r="D1238" s="26"/>
      <c r="I1238" s="38"/>
      <c r="N1238" s="38"/>
    </row>
    <row r="1239" spans="2:14" x14ac:dyDescent="0.2">
      <c r="B1239" s="23"/>
      <c r="D1239" s="26"/>
      <c r="I1239" s="38"/>
      <c r="N1239" s="38"/>
    </row>
    <row r="1240" spans="2:14" x14ac:dyDescent="0.2">
      <c r="B1240" s="23"/>
      <c r="D1240" s="26"/>
      <c r="I1240" s="38"/>
      <c r="N1240" s="38"/>
    </row>
    <row r="1241" spans="2:14" ht="12.75" customHeight="1" x14ac:dyDescent="0.2">
      <c r="B1241" s="23"/>
      <c r="D1241" s="26"/>
      <c r="I1241" s="38"/>
      <c r="N1241" s="38"/>
    </row>
    <row r="1242" spans="2:14" x14ac:dyDescent="0.2">
      <c r="B1242" s="23"/>
      <c r="D1242" s="26"/>
      <c r="I1242" s="38"/>
      <c r="N1242" s="38"/>
    </row>
    <row r="1243" spans="2:14" x14ac:dyDescent="0.2">
      <c r="B1243" s="23"/>
      <c r="D1243" s="26"/>
      <c r="I1243" s="38"/>
      <c r="N1243" s="38"/>
    </row>
    <row r="1244" spans="2:14" ht="12.75" customHeight="1" x14ac:dyDescent="0.2">
      <c r="B1244" s="23"/>
      <c r="D1244" s="26"/>
      <c r="I1244" s="38"/>
      <c r="N1244" s="38"/>
    </row>
    <row r="1245" spans="2:14" ht="12.75" customHeight="1" x14ac:dyDescent="0.2">
      <c r="B1245" s="23"/>
      <c r="D1245" s="26"/>
      <c r="I1245" s="38"/>
      <c r="N1245" s="38"/>
    </row>
    <row r="1246" spans="2:14" ht="12.75" customHeight="1" x14ac:dyDescent="0.2">
      <c r="B1246" s="23"/>
      <c r="D1246" s="26"/>
      <c r="I1246" s="38"/>
      <c r="N1246" s="38"/>
    </row>
    <row r="1247" spans="2:14" ht="12.75" customHeight="1" x14ac:dyDescent="0.2">
      <c r="B1247" s="23"/>
      <c r="D1247" s="26"/>
      <c r="I1247" s="38"/>
      <c r="N1247" s="38"/>
    </row>
    <row r="1248" spans="2:14" ht="12.75" customHeight="1" x14ac:dyDescent="0.2">
      <c r="B1248" s="23"/>
      <c r="D1248" s="26"/>
      <c r="I1248" s="38"/>
      <c r="N1248" s="38"/>
    </row>
    <row r="1249" spans="2:14" ht="12.75" customHeight="1" x14ac:dyDescent="0.2">
      <c r="B1249" s="23"/>
      <c r="D1249" s="26"/>
      <c r="I1249" s="38"/>
      <c r="N1249" s="38"/>
    </row>
    <row r="1250" spans="2:14" ht="12.75" customHeight="1" x14ac:dyDescent="0.2">
      <c r="B1250" s="23"/>
      <c r="D1250" s="26"/>
      <c r="I1250" s="38"/>
      <c r="N1250" s="38"/>
    </row>
    <row r="1251" spans="2:14" ht="12.75" customHeight="1" x14ac:dyDescent="0.2">
      <c r="B1251" s="23"/>
      <c r="D1251" s="26"/>
      <c r="I1251" s="38"/>
      <c r="N1251" s="38"/>
    </row>
    <row r="1252" spans="2:14" x14ac:dyDescent="0.2">
      <c r="B1252" s="23"/>
      <c r="D1252" s="26"/>
      <c r="I1252" s="38"/>
      <c r="N1252" s="38"/>
    </row>
    <row r="1253" spans="2:14" x14ac:dyDescent="0.2">
      <c r="B1253" s="23"/>
      <c r="D1253" s="26"/>
      <c r="I1253" s="38"/>
      <c r="N1253" s="38"/>
    </row>
    <row r="1254" spans="2:14" x14ac:dyDescent="0.2">
      <c r="B1254" s="23"/>
      <c r="D1254" s="26"/>
      <c r="I1254" s="38"/>
      <c r="N1254" s="38"/>
    </row>
    <row r="1255" spans="2:14" x14ac:dyDescent="0.2">
      <c r="B1255" s="23"/>
      <c r="D1255" s="26"/>
      <c r="I1255" s="38"/>
      <c r="N1255" s="38"/>
    </row>
    <row r="1256" spans="2:14" ht="12.75" customHeight="1" x14ac:dyDescent="0.2">
      <c r="B1256" s="23"/>
      <c r="D1256" s="26"/>
      <c r="I1256" s="38"/>
      <c r="N1256" s="38"/>
    </row>
    <row r="1257" spans="2:14" x14ac:dyDescent="0.2">
      <c r="B1257" s="23"/>
      <c r="D1257" s="26"/>
      <c r="I1257" s="38"/>
      <c r="N1257" s="38"/>
    </row>
    <row r="1258" spans="2:14" x14ac:dyDescent="0.2">
      <c r="B1258" s="23"/>
      <c r="D1258" s="26"/>
      <c r="I1258" s="38"/>
      <c r="N1258" s="38"/>
    </row>
    <row r="1259" spans="2:14" ht="12.75" customHeight="1" x14ac:dyDescent="0.2">
      <c r="B1259" s="23"/>
      <c r="D1259" s="26"/>
      <c r="I1259" s="38"/>
      <c r="N1259" s="38"/>
    </row>
    <row r="1260" spans="2:14" x14ac:dyDescent="0.2">
      <c r="B1260" s="23"/>
      <c r="D1260" s="26"/>
      <c r="I1260" s="38"/>
      <c r="N1260" s="38"/>
    </row>
    <row r="1261" spans="2:14" x14ac:dyDescent="0.2">
      <c r="B1261" s="23"/>
      <c r="D1261" s="26"/>
      <c r="I1261" s="38"/>
      <c r="N1261" s="38"/>
    </row>
    <row r="1262" spans="2:14" x14ac:dyDescent="0.2">
      <c r="B1262" s="23"/>
      <c r="D1262" s="26"/>
      <c r="I1262" s="38"/>
      <c r="N1262" s="38"/>
    </row>
    <row r="1263" spans="2:14" x14ac:dyDescent="0.2">
      <c r="B1263" s="23"/>
      <c r="D1263" s="26"/>
      <c r="I1263" s="38"/>
      <c r="N1263" s="38"/>
    </row>
    <row r="1264" spans="2:14" x14ac:dyDescent="0.2">
      <c r="B1264" s="23"/>
      <c r="D1264" s="26"/>
      <c r="I1264" s="38"/>
      <c r="N1264" s="38"/>
    </row>
    <row r="1265" spans="2:14" x14ac:dyDescent="0.2">
      <c r="B1265" s="23"/>
      <c r="D1265" s="26"/>
      <c r="I1265" s="38"/>
      <c r="N1265" s="38"/>
    </row>
    <row r="1266" spans="2:14" ht="12.75" customHeight="1" x14ac:dyDescent="0.2">
      <c r="B1266" s="23"/>
      <c r="D1266" s="26"/>
      <c r="I1266" s="38"/>
      <c r="N1266" s="38"/>
    </row>
    <row r="1267" spans="2:14" x14ac:dyDescent="0.2">
      <c r="B1267" s="23"/>
      <c r="D1267" s="26"/>
      <c r="I1267" s="38"/>
      <c r="N1267" s="38"/>
    </row>
    <row r="1268" spans="2:14" x14ac:dyDescent="0.2">
      <c r="B1268" s="23"/>
      <c r="D1268" s="26"/>
      <c r="I1268" s="38"/>
      <c r="N1268" s="38"/>
    </row>
    <row r="1269" spans="2:14" ht="12.75" customHeight="1" x14ac:dyDescent="0.2">
      <c r="B1269" s="23"/>
      <c r="D1269" s="26"/>
      <c r="I1269" s="38"/>
      <c r="N1269" s="38"/>
    </row>
    <row r="1270" spans="2:14" ht="12.75" customHeight="1" x14ac:dyDescent="0.2">
      <c r="B1270" s="23"/>
      <c r="D1270" s="26"/>
      <c r="I1270" s="38"/>
      <c r="N1270" s="38"/>
    </row>
    <row r="1271" spans="2:14" ht="12.75" customHeight="1" x14ac:dyDescent="0.2">
      <c r="B1271" s="23"/>
      <c r="D1271" s="26"/>
      <c r="I1271" s="38"/>
      <c r="N1271" s="38"/>
    </row>
    <row r="1272" spans="2:14" ht="12.75" customHeight="1" x14ac:dyDescent="0.2">
      <c r="B1272" s="23"/>
      <c r="D1272" s="26"/>
      <c r="I1272" s="38"/>
      <c r="N1272" s="38"/>
    </row>
    <row r="1273" spans="2:14" x14ac:dyDescent="0.2">
      <c r="B1273" s="23"/>
      <c r="D1273" s="26"/>
      <c r="I1273" s="38"/>
      <c r="N1273" s="38"/>
    </row>
    <row r="1274" spans="2:14" x14ac:dyDescent="0.2">
      <c r="B1274" s="23"/>
      <c r="D1274" s="26"/>
      <c r="I1274" s="38"/>
      <c r="N1274" s="38"/>
    </row>
    <row r="1275" spans="2:14" x14ac:dyDescent="0.2">
      <c r="B1275" s="23"/>
      <c r="D1275" s="26"/>
      <c r="I1275" s="38"/>
      <c r="N1275" s="38"/>
    </row>
    <row r="1276" spans="2:14" x14ac:dyDescent="0.2">
      <c r="B1276" s="23"/>
      <c r="D1276" s="26"/>
      <c r="I1276" s="38"/>
      <c r="N1276" s="38"/>
    </row>
    <row r="1277" spans="2:14" x14ac:dyDescent="0.2">
      <c r="B1277" s="23"/>
      <c r="D1277" s="26"/>
      <c r="I1277" s="38"/>
      <c r="N1277" s="38"/>
    </row>
    <row r="1278" spans="2:14" x14ac:dyDescent="0.2">
      <c r="B1278" s="23"/>
      <c r="D1278" s="26"/>
      <c r="I1278" s="38"/>
      <c r="N1278" s="38"/>
    </row>
    <row r="1279" spans="2:14" ht="12.75" customHeight="1" x14ac:dyDescent="0.2">
      <c r="B1279" s="23"/>
      <c r="D1279" s="26"/>
      <c r="I1279" s="38"/>
      <c r="N1279" s="38"/>
    </row>
    <row r="1280" spans="2:14" x14ac:dyDescent="0.2">
      <c r="B1280" s="23"/>
      <c r="D1280" s="26"/>
      <c r="I1280" s="38"/>
      <c r="N1280" s="38"/>
    </row>
    <row r="1281" spans="2:14" x14ac:dyDescent="0.2">
      <c r="B1281" s="23"/>
      <c r="D1281" s="26"/>
      <c r="I1281" s="38"/>
      <c r="N1281" s="38"/>
    </row>
    <row r="1282" spans="2:14" ht="12.75" customHeight="1" x14ac:dyDescent="0.2">
      <c r="B1282" s="23"/>
      <c r="D1282" s="26"/>
      <c r="I1282" s="38"/>
      <c r="N1282" s="38"/>
    </row>
    <row r="1283" spans="2:14" ht="12.75" customHeight="1" x14ac:dyDescent="0.2">
      <c r="B1283" s="23"/>
      <c r="D1283" s="26"/>
      <c r="I1283" s="38"/>
      <c r="N1283" s="38"/>
    </row>
    <row r="1284" spans="2:14" x14ac:dyDescent="0.2">
      <c r="B1284" s="23"/>
      <c r="D1284" s="26"/>
      <c r="I1284" s="38"/>
      <c r="N1284" s="38"/>
    </row>
    <row r="1285" spans="2:14" x14ac:dyDescent="0.2">
      <c r="B1285" s="23"/>
      <c r="D1285" s="26"/>
      <c r="I1285" s="38"/>
      <c r="N1285" s="38"/>
    </row>
    <row r="1286" spans="2:14" ht="12.75" customHeight="1" x14ac:dyDescent="0.2">
      <c r="B1286" s="23"/>
      <c r="D1286" s="26"/>
      <c r="I1286" s="38"/>
      <c r="N1286" s="38"/>
    </row>
    <row r="1287" spans="2:14" ht="12.75" customHeight="1" x14ac:dyDescent="0.2">
      <c r="B1287" s="23"/>
      <c r="D1287" s="26"/>
      <c r="I1287" s="38"/>
      <c r="N1287" s="38"/>
    </row>
    <row r="1288" spans="2:14" x14ac:dyDescent="0.2">
      <c r="B1288" s="23"/>
      <c r="D1288" s="26"/>
      <c r="I1288" s="38"/>
      <c r="N1288" s="38"/>
    </row>
    <row r="1289" spans="2:14" x14ac:dyDescent="0.2">
      <c r="B1289" s="23"/>
      <c r="D1289" s="26"/>
      <c r="I1289" s="38"/>
      <c r="N1289" s="38"/>
    </row>
    <row r="1290" spans="2:14" x14ac:dyDescent="0.2">
      <c r="B1290" s="23"/>
      <c r="D1290" s="26"/>
      <c r="I1290" s="38"/>
      <c r="N1290" s="38"/>
    </row>
    <row r="1291" spans="2:14" x14ac:dyDescent="0.2">
      <c r="B1291" s="23"/>
      <c r="D1291" s="26"/>
      <c r="I1291" s="38"/>
      <c r="N1291" s="38"/>
    </row>
    <row r="1292" spans="2:14" x14ac:dyDescent="0.2">
      <c r="B1292" s="23"/>
      <c r="D1292" s="26"/>
      <c r="I1292" s="38"/>
      <c r="N1292" s="38"/>
    </row>
    <row r="1293" spans="2:14" x14ac:dyDescent="0.2">
      <c r="B1293" s="23"/>
      <c r="D1293" s="26"/>
      <c r="I1293" s="38"/>
      <c r="N1293" s="38"/>
    </row>
    <row r="1294" spans="2:14" x14ac:dyDescent="0.2">
      <c r="B1294" s="23"/>
      <c r="D1294" s="26"/>
      <c r="I1294" s="38"/>
      <c r="N1294" s="38"/>
    </row>
    <row r="1295" spans="2:14" x14ac:dyDescent="0.2">
      <c r="B1295" s="23"/>
      <c r="D1295" s="26"/>
      <c r="I1295" s="38"/>
      <c r="N1295" s="38"/>
    </row>
    <row r="1296" spans="2:14" ht="12.75" customHeight="1" x14ac:dyDescent="0.2">
      <c r="B1296" s="23"/>
      <c r="D1296" s="26"/>
      <c r="I1296" s="38"/>
      <c r="N1296" s="38"/>
    </row>
    <row r="1297" spans="2:14" ht="12.75" customHeight="1" x14ac:dyDescent="0.2">
      <c r="B1297" s="23"/>
      <c r="D1297" s="26"/>
      <c r="I1297" s="38"/>
      <c r="N1297" s="38"/>
    </row>
    <row r="1298" spans="2:14" x14ac:dyDescent="0.2">
      <c r="B1298" s="23"/>
      <c r="D1298" s="26"/>
      <c r="I1298" s="38"/>
      <c r="N1298" s="38"/>
    </row>
    <row r="1299" spans="2:14" x14ac:dyDescent="0.2">
      <c r="B1299" s="23"/>
      <c r="D1299" s="26"/>
      <c r="I1299" s="38"/>
      <c r="N1299" s="38"/>
    </row>
    <row r="1300" spans="2:14" x14ac:dyDescent="0.2">
      <c r="B1300" s="23"/>
      <c r="D1300" s="26"/>
      <c r="I1300" s="38"/>
      <c r="N1300" s="38"/>
    </row>
    <row r="1301" spans="2:14" x14ac:dyDescent="0.2">
      <c r="B1301" s="23"/>
      <c r="D1301" s="26"/>
      <c r="I1301" s="38"/>
      <c r="N1301" s="38"/>
    </row>
    <row r="1302" spans="2:14" x14ac:dyDescent="0.2">
      <c r="B1302" s="23"/>
      <c r="D1302" s="26"/>
      <c r="I1302" s="38"/>
      <c r="N1302" s="38"/>
    </row>
    <row r="1303" spans="2:14" x14ac:dyDescent="0.2">
      <c r="B1303" s="23"/>
      <c r="D1303" s="26"/>
      <c r="I1303" s="38"/>
      <c r="N1303" s="38"/>
    </row>
    <row r="1304" spans="2:14" x14ac:dyDescent="0.2">
      <c r="B1304" s="23"/>
      <c r="D1304" s="26"/>
      <c r="I1304" s="38"/>
      <c r="N1304" s="38"/>
    </row>
    <row r="1305" spans="2:14" x14ac:dyDescent="0.2">
      <c r="B1305" s="23"/>
      <c r="D1305" s="26"/>
      <c r="I1305" s="38"/>
      <c r="N1305" s="38"/>
    </row>
    <row r="1306" spans="2:14" x14ac:dyDescent="0.2">
      <c r="B1306" s="23"/>
      <c r="D1306" s="26"/>
      <c r="I1306" s="38"/>
      <c r="N1306" s="38"/>
    </row>
    <row r="1307" spans="2:14" x14ac:dyDescent="0.2">
      <c r="B1307" s="23"/>
      <c r="D1307" s="26"/>
      <c r="I1307" s="38"/>
      <c r="N1307" s="38"/>
    </row>
    <row r="1308" spans="2:14" x14ac:dyDescent="0.2">
      <c r="B1308" s="23"/>
      <c r="D1308" s="26"/>
      <c r="I1308" s="38"/>
      <c r="N1308" s="38"/>
    </row>
    <row r="1309" spans="2:14" x14ac:dyDescent="0.2">
      <c r="B1309" s="23"/>
      <c r="D1309" s="26"/>
      <c r="I1309" s="38"/>
      <c r="N1309" s="38"/>
    </row>
    <row r="1310" spans="2:14" x14ac:dyDescent="0.2">
      <c r="B1310" s="23"/>
      <c r="D1310" s="26"/>
      <c r="I1310" s="38"/>
      <c r="N1310" s="38"/>
    </row>
    <row r="1311" spans="2:14" x14ac:dyDescent="0.2">
      <c r="B1311" s="23"/>
      <c r="D1311" s="26"/>
      <c r="I1311" s="38"/>
      <c r="N1311" s="38"/>
    </row>
    <row r="1312" spans="2:14" ht="12.75" customHeight="1" x14ac:dyDescent="0.2">
      <c r="B1312" s="23"/>
      <c r="D1312" s="26"/>
      <c r="I1312" s="38"/>
      <c r="N1312" s="38"/>
    </row>
    <row r="1313" spans="2:14" ht="12.75" customHeight="1" x14ac:dyDescent="0.2">
      <c r="B1313" s="23"/>
      <c r="D1313" s="26"/>
      <c r="I1313" s="38"/>
      <c r="N1313" s="38"/>
    </row>
    <row r="1314" spans="2:14" x14ac:dyDescent="0.2">
      <c r="B1314" s="23"/>
      <c r="D1314" s="26"/>
      <c r="I1314" s="38"/>
      <c r="N1314" s="38"/>
    </row>
    <row r="1315" spans="2:14" x14ac:dyDescent="0.2">
      <c r="B1315" s="23"/>
      <c r="D1315" s="26"/>
      <c r="I1315" s="38"/>
      <c r="N1315" s="38"/>
    </row>
    <row r="1316" spans="2:14" ht="12.75" customHeight="1" x14ac:dyDescent="0.2">
      <c r="B1316" s="23"/>
      <c r="D1316" s="26"/>
      <c r="I1316" s="38"/>
      <c r="N1316" s="38"/>
    </row>
    <row r="1317" spans="2:14" ht="12.75" customHeight="1" x14ac:dyDescent="0.2">
      <c r="B1317" s="23"/>
      <c r="D1317" s="26"/>
      <c r="I1317" s="38"/>
      <c r="N1317" s="38"/>
    </row>
    <row r="1318" spans="2:14" x14ac:dyDescent="0.2">
      <c r="B1318" s="23"/>
      <c r="D1318" s="26"/>
      <c r="I1318" s="38"/>
      <c r="N1318" s="38"/>
    </row>
    <row r="1319" spans="2:14" x14ac:dyDescent="0.2">
      <c r="B1319" s="23"/>
      <c r="D1319" s="26"/>
      <c r="I1319" s="38"/>
      <c r="N1319" s="38"/>
    </row>
    <row r="1320" spans="2:14" x14ac:dyDescent="0.2">
      <c r="B1320" s="23"/>
      <c r="D1320" s="26"/>
      <c r="I1320" s="38"/>
      <c r="N1320" s="38"/>
    </row>
    <row r="1321" spans="2:14" x14ac:dyDescent="0.2">
      <c r="B1321" s="23"/>
      <c r="D1321" s="26"/>
      <c r="I1321" s="38"/>
      <c r="N1321" s="38"/>
    </row>
    <row r="1322" spans="2:14" ht="12.75" customHeight="1" x14ac:dyDescent="0.2">
      <c r="B1322" s="23"/>
      <c r="D1322" s="26"/>
      <c r="I1322" s="38"/>
      <c r="N1322" s="38"/>
    </row>
    <row r="1323" spans="2:14" x14ac:dyDescent="0.2">
      <c r="B1323" s="23"/>
      <c r="D1323" s="26"/>
      <c r="I1323" s="38"/>
      <c r="N1323" s="38"/>
    </row>
    <row r="1324" spans="2:14" x14ac:dyDescent="0.2">
      <c r="B1324" s="23"/>
      <c r="D1324" s="26"/>
      <c r="I1324" s="38"/>
      <c r="N1324" s="38"/>
    </row>
    <row r="1325" spans="2:14" x14ac:dyDescent="0.2">
      <c r="B1325" s="23"/>
      <c r="D1325" s="26"/>
      <c r="I1325" s="38"/>
      <c r="N1325" s="38"/>
    </row>
    <row r="1326" spans="2:14" x14ac:dyDescent="0.2">
      <c r="B1326" s="23"/>
      <c r="D1326" s="26"/>
      <c r="I1326" s="38"/>
      <c r="N1326" s="38"/>
    </row>
    <row r="1327" spans="2:14" ht="12.75" customHeight="1" x14ac:dyDescent="0.2">
      <c r="B1327" s="23"/>
      <c r="D1327" s="26"/>
      <c r="I1327" s="38"/>
      <c r="N1327" s="38"/>
    </row>
    <row r="1328" spans="2:14" x14ac:dyDescent="0.2">
      <c r="B1328" s="23"/>
      <c r="D1328" s="26"/>
      <c r="I1328" s="38"/>
      <c r="N1328" s="38"/>
    </row>
    <row r="1329" spans="2:14" x14ac:dyDescent="0.2">
      <c r="B1329" s="23"/>
      <c r="D1329" s="26"/>
      <c r="I1329" s="38"/>
      <c r="N1329" s="38"/>
    </row>
    <row r="1330" spans="2:14" ht="12.75" customHeight="1" x14ac:dyDescent="0.2">
      <c r="B1330" s="23"/>
      <c r="D1330" s="26"/>
      <c r="I1330" s="38"/>
      <c r="N1330" s="38"/>
    </row>
    <row r="1331" spans="2:14" x14ac:dyDescent="0.2">
      <c r="B1331" s="23"/>
      <c r="D1331" s="26"/>
      <c r="I1331" s="38"/>
      <c r="N1331" s="38"/>
    </row>
    <row r="1332" spans="2:14" x14ac:dyDescent="0.2">
      <c r="B1332" s="23"/>
      <c r="D1332" s="26"/>
      <c r="I1332" s="38"/>
      <c r="N1332" s="38"/>
    </row>
    <row r="1333" spans="2:14" x14ac:dyDescent="0.2">
      <c r="B1333" s="23"/>
      <c r="D1333" s="26"/>
      <c r="I1333" s="38"/>
      <c r="N1333" s="38"/>
    </row>
    <row r="1334" spans="2:14" x14ac:dyDescent="0.2">
      <c r="B1334" s="23"/>
      <c r="D1334" s="26"/>
      <c r="I1334" s="38"/>
      <c r="N1334" s="38"/>
    </row>
    <row r="1335" spans="2:14" ht="12.75" customHeight="1" x14ac:dyDescent="0.2">
      <c r="B1335" s="23"/>
      <c r="D1335" s="26"/>
      <c r="I1335" s="38"/>
      <c r="N1335" s="38"/>
    </row>
    <row r="1336" spans="2:14" x14ac:dyDescent="0.2">
      <c r="B1336" s="23"/>
      <c r="D1336" s="26"/>
      <c r="I1336" s="38"/>
      <c r="N1336" s="38"/>
    </row>
    <row r="1337" spans="2:14" x14ac:dyDescent="0.2">
      <c r="B1337" s="23"/>
      <c r="D1337" s="26"/>
      <c r="I1337" s="38"/>
      <c r="N1337" s="38"/>
    </row>
    <row r="1338" spans="2:14" x14ac:dyDescent="0.2">
      <c r="B1338" s="23"/>
      <c r="D1338" s="26"/>
      <c r="I1338" s="38"/>
      <c r="N1338" s="38"/>
    </row>
    <row r="1339" spans="2:14" x14ac:dyDescent="0.2">
      <c r="B1339" s="23"/>
      <c r="D1339" s="26"/>
      <c r="I1339" s="38"/>
      <c r="N1339" s="38"/>
    </row>
    <row r="1340" spans="2:14" x14ac:dyDescent="0.2">
      <c r="B1340" s="23"/>
      <c r="D1340" s="26"/>
      <c r="I1340" s="38"/>
      <c r="N1340" s="38"/>
    </row>
    <row r="1341" spans="2:14" x14ac:dyDescent="0.2">
      <c r="B1341" s="23"/>
      <c r="D1341" s="26"/>
      <c r="I1341" s="38"/>
      <c r="N1341" s="38"/>
    </row>
    <row r="1342" spans="2:14" ht="12.75" customHeight="1" x14ac:dyDescent="0.2">
      <c r="B1342" s="23"/>
      <c r="D1342" s="26"/>
      <c r="I1342" s="38"/>
      <c r="N1342" s="38"/>
    </row>
    <row r="1343" spans="2:14" ht="12.75" customHeight="1" x14ac:dyDescent="0.2">
      <c r="B1343" s="23"/>
      <c r="D1343" s="26"/>
      <c r="I1343" s="38"/>
      <c r="N1343" s="38"/>
    </row>
    <row r="1344" spans="2:14" x14ac:dyDescent="0.2">
      <c r="B1344" s="23"/>
      <c r="D1344" s="26"/>
      <c r="I1344" s="38"/>
      <c r="N1344" s="38"/>
    </row>
    <row r="1345" spans="2:14" x14ac:dyDescent="0.2">
      <c r="B1345" s="23"/>
      <c r="D1345" s="26"/>
      <c r="I1345" s="38"/>
      <c r="N1345" s="38"/>
    </row>
    <row r="1346" spans="2:14" ht="12.75" customHeight="1" x14ac:dyDescent="0.2">
      <c r="B1346" s="23"/>
      <c r="D1346" s="26"/>
      <c r="I1346" s="38"/>
      <c r="N1346" s="38"/>
    </row>
    <row r="1347" spans="2:14" x14ac:dyDescent="0.2">
      <c r="B1347" s="23"/>
      <c r="D1347" s="26"/>
      <c r="I1347" s="38"/>
      <c r="N1347" s="38"/>
    </row>
    <row r="1348" spans="2:14" x14ac:dyDescent="0.2">
      <c r="B1348" s="23"/>
      <c r="D1348" s="26"/>
      <c r="I1348" s="38"/>
      <c r="N1348" s="38"/>
    </row>
    <row r="1349" spans="2:14" ht="12.75" customHeight="1" x14ac:dyDescent="0.2">
      <c r="B1349" s="23"/>
      <c r="D1349" s="26"/>
      <c r="I1349" s="38"/>
      <c r="N1349" s="38"/>
    </row>
    <row r="1350" spans="2:14" x14ac:dyDescent="0.2">
      <c r="B1350" s="23"/>
      <c r="D1350" s="26"/>
      <c r="I1350" s="38"/>
      <c r="N1350" s="38"/>
    </row>
    <row r="1351" spans="2:14" x14ac:dyDescent="0.2">
      <c r="B1351" s="23"/>
      <c r="D1351" s="26"/>
      <c r="I1351" s="38"/>
      <c r="N1351" s="38"/>
    </row>
    <row r="1352" spans="2:14" x14ac:dyDescent="0.2">
      <c r="B1352" s="23"/>
      <c r="D1352" s="26"/>
      <c r="I1352" s="38"/>
      <c r="N1352" s="38"/>
    </row>
    <row r="1353" spans="2:14" x14ac:dyDescent="0.2">
      <c r="B1353" s="23"/>
      <c r="D1353" s="26"/>
      <c r="I1353" s="38"/>
      <c r="N1353" s="38"/>
    </row>
    <row r="1354" spans="2:14" x14ac:dyDescent="0.2">
      <c r="B1354" s="23"/>
      <c r="D1354" s="26"/>
      <c r="I1354" s="38"/>
      <c r="N1354" s="38"/>
    </row>
    <row r="1355" spans="2:14" x14ac:dyDescent="0.2">
      <c r="B1355" s="23"/>
      <c r="D1355" s="26"/>
      <c r="I1355" s="38"/>
      <c r="N1355" s="38"/>
    </row>
    <row r="1356" spans="2:14" ht="12.75" customHeight="1" x14ac:dyDescent="0.2">
      <c r="B1356" s="23"/>
      <c r="D1356" s="26"/>
      <c r="I1356" s="38"/>
      <c r="N1356" s="38"/>
    </row>
    <row r="1357" spans="2:14" ht="12.75" customHeight="1" x14ac:dyDescent="0.2">
      <c r="B1357" s="23"/>
      <c r="D1357" s="26"/>
      <c r="I1357" s="38"/>
      <c r="N1357" s="38"/>
    </row>
    <row r="1358" spans="2:14" ht="12.75" customHeight="1" x14ac:dyDescent="0.2">
      <c r="B1358" s="23"/>
      <c r="D1358" s="26"/>
      <c r="I1358" s="38"/>
      <c r="N1358" s="38"/>
    </row>
    <row r="1359" spans="2:14" ht="12.75" customHeight="1" x14ac:dyDescent="0.2">
      <c r="B1359" s="23"/>
      <c r="D1359" s="26"/>
      <c r="I1359" s="38"/>
      <c r="N1359" s="38"/>
    </row>
    <row r="1360" spans="2:14" ht="12.75" customHeight="1" x14ac:dyDescent="0.2">
      <c r="B1360" s="23"/>
      <c r="D1360" s="26"/>
      <c r="I1360" s="38"/>
      <c r="N1360" s="38"/>
    </row>
    <row r="1361" spans="2:14" ht="12.75" customHeight="1" x14ac:dyDescent="0.2">
      <c r="B1361" s="23"/>
      <c r="D1361" s="26"/>
      <c r="I1361" s="38"/>
      <c r="N1361" s="38"/>
    </row>
    <row r="1362" spans="2:14" x14ac:dyDescent="0.2">
      <c r="B1362" s="23"/>
      <c r="D1362" s="26"/>
      <c r="I1362" s="38"/>
      <c r="N1362" s="38"/>
    </row>
    <row r="1363" spans="2:14" x14ac:dyDescent="0.2">
      <c r="B1363" s="23"/>
      <c r="D1363" s="26"/>
      <c r="I1363" s="38"/>
      <c r="N1363" s="38"/>
    </row>
    <row r="1364" spans="2:14" ht="12.75" customHeight="1" x14ac:dyDescent="0.2">
      <c r="B1364" s="23"/>
      <c r="D1364" s="26"/>
      <c r="I1364" s="38"/>
      <c r="N1364" s="38"/>
    </row>
    <row r="1365" spans="2:14" ht="12.75" customHeight="1" x14ac:dyDescent="0.2">
      <c r="B1365" s="23"/>
      <c r="D1365" s="26"/>
      <c r="I1365" s="38"/>
      <c r="N1365" s="38"/>
    </row>
    <row r="1366" spans="2:14" ht="12.75" customHeight="1" x14ac:dyDescent="0.2">
      <c r="B1366" s="23"/>
      <c r="D1366" s="26"/>
      <c r="I1366" s="38"/>
      <c r="N1366" s="38"/>
    </row>
    <row r="1367" spans="2:14" ht="12.75" customHeight="1" x14ac:dyDescent="0.2">
      <c r="B1367" s="23"/>
      <c r="D1367" s="26"/>
      <c r="I1367" s="38"/>
      <c r="N1367" s="38"/>
    </row>
    <row r="1368" spans="2:14" x14ac:dyDescent="0.2">
      <c r="B1368" s="23"/>
      <c r="D1368" s="26"/>
      <c r="I1368" s="38"/>
      <c r="N1368" s="38"/>
    </row>
    <row r="1369" spans="2:14" x14ac:dyDescent="0.2">
      <c r="B1369" s="23"/>
      <c r="D1369" s="26"/>
      <c r="I1369" s="38"/>
      <c r="N1369" s="38"/>
    </row>
    <row r="1370" spans="2:14" ht="12.75" customHeight="1" x14ac:dyDescent="0.2">
      <c r="B1370" s="23"/>
      <c r="D1370" s="26"/>
      <c r="I1370" s="38"/>
      <c r="N1370" s="38"/>
    </row>
    <row r="1371" spans="2:14" x14ac:dyDescent="0.2">
      <c r="B1371" s="23"/>
      <c r="D1371" s="26"/>
      <c r="I1371" s="38"/>
      <c r="N1371" s="38"/>
    </row>
    <row r="1372" spans="2:14" x14ac:dyDescent="0.2">
      <c r="B1372" s="23"/>
      <c r="D1372" s="26"/>
      <c r="I1372" s="38"/>
      <c r="N1372" s="38"/>
    </row>
    <row r="1373" spans="2:14" x14ac:dyDescent="0.2">
      <c r="B1373" s="23"/>
      <c r="D1373" s="26"/>
      <c r="I1373" s="38"/>
      <c r="N1373" s="38"/>
    </row>
    <row r="1374" spans="2:14" x14ac:dyDescent="0.2">
      <c r="B1374" s="23"/>
      <c r="D1374" s="26"/>
      <c r="I1374" s="38"/>
      <c r="N1374" s="38"/>
    </row>
    <row r="1375" spans="2:14" ht="12.75" customHeight="1" x14ac:dyDescent="0.2">
      <c r="B1375" s="23"/>
      <c r="D1375" s="26"/>
      <c r="I1375" s="38"/>
      <c r="N1375" s="38"/>
    </row>
    <row r="1376" spans="2:14" ht="12.75" customHeight="1" x14ac:dyDescent="0.2">
      <c r="B1376" s="23"/>
      <c r="D1376" s="26"/>
      <c r="I1376" s="38"/>
      <c r="N1376" s="38"/>
    </row>
    <row r="1377" spans="2:14" ht="12.75" customHeight="1" x14ac:dyDescent="0.2">
      <c r="B1377" s="23"/>
      <c r="D1377" s="26"/>
      <c r="I1377" s="38"/>
      <c r="N1377" s="38"/>
    </row>
    <row r="1378" spans="2:14" ht="12.75" customHeight="1" x14ac:dyDescent="0.2">
      <c r="B1378" s="23"/>
      <c r="D1378" s="26"/>
      <c r="I1378" s="38"/>
      <c r="N1378" s="38"/>
    </row>
    <row r="1379" spans="2:14" ht="12.75" customHeight="1" x14ac:dyDescent="0.2">
      <c r="B1379" s="23"/>
      <c r="D1379" s="26"/>
      <c r="I1379" s="38"/>
      <c r="N1379" s="38"/>
    </row>
    <row r="1380" spans="2:14" ht="12.75" customHeight="1" x14ac:dyDescent="0.2">
      <c r="B1380" s="23"/>
      <c r="D1380" s="26"/>
      <c r="I1380" s="38"/>
      <c r="N1380" s="38"/>
    </row>
    <row r="1381" spans="2:14" ht="12.75" customHeight="1" x14ac:dyDescent="0.2">
      <c r="B1381" s="23"/>
      <c r="D1381" s="26"/>
      <c r="I1381" s="38"/>
      <c r="N1381" s="38"/>
    </row>
    <row r="1382" spans="2:14" ht="12.75" customHeight="1" x14ac:dyDescent="0.2">
      <c r="B1382" s="23"/>
      <c r="D1382" s="26"/>
      <c r="I1382" s="38"/>
      <c r="N1382" s="38"/>
    </row>
    <row r="1383" spans="2:14" ht="12.75" customHeight="1" x14ac:dyDescent="0.2">
      <c r="B1383" s="23"/>
      <c r="D1383" s="26"/>
      <c r="I1383" s="38"/>
      <c r="N1383" s="38"/>
    </row>
    <row r="1384" spans="2:14" ht="12.75" customHeight="1" x14ac:dyDescent="0.2">
      <c r="B1384" s="23"/>
      <c r="D1384" s="26"/>
      <c r="I1384" s="38"/>
      <c r="N1384" s="38"/>
    </row>
    <row r="1385" spans="2:14" ht="12.75" customHeight="1" x14ac:dyDescent="0.2">
      <c r="B1385" s="23"/>
      <c r="D1385" s="26"/>
      <c r="I1385" s="38"/>
      <c r="N1385" s="38"/>
    </row>
    <row r="1386" spans="2:14" ht="12.75" customHeight="1" x14ac:dyDescent="0.2">
      <c r="B1386" s="23"/>
      <c r="D1386" s="26"/>
      <c r="I1386" s="38"/>
      <c r="N1386" s="38"/>
    </row>
    <row r="1387" spans="2:14" x14ac:dyDescent="0.2">
      <c r="B1387" s="23"/>
      <c r="D1387" s="26"/>
      <c r="I1387" s="38"/>
      <c r="N1387" s="38"/>
    </row>
    <row r="1388" spans="2:14" x14ac:dyDescent="0.2">
      <c r="B1388" s="23"/>
      <c r="D1388" s="26"/>
      <c r="I1388" s="38"/>
      <c r="N1388" s="38"/>
    </row>
    <row r="1389" spans="2:14" ht="12.75" customHeight="1" x14ac:dyDescent="0.2">
      <c r="B1389" s="23"/>
      <c r="D1389" s="26"/>
      <c r="I1389" s="38"/>
      <c r="N1389" s="38"/>
    </row>
    <row r="1390" spans="2:14" ht="12.75" customHeight="1" x14ac:dyDescent="0.2">
      <c r="B1390" s="23"/>
      <c r="D1390" s="26"/>
      <c r="I1390" s="38"/>
      <c r="N1390" s="38"/>
    </row>
    <row r="1391" spans="2:14" ht="12.75" customHeight="1" x14ac:dyDescent="0.2">
      <c r="B1391" s="23"/>
      <c r="D1391" s="26"/>
      <c r="I1391" s="38"/>
      <c r="N1391" s="38"/>
    </row>
    <row r="1392" spans="2:14" ht="12.75" customHeight="1" x14ac:dyDescent="0.2">
      <c r="B1392" s="23"/>
      <c r="D1392" s="26"/>
      <c r="I1392" s="38"/>
      <c r="N1392" s="38"/>
    </row>
    <row r="1393" spans="2:14" x14ac:dyDescent="0.2">
      <c r="B1393" s="23"/>
      <c r="D1393" s="26"/>
      <c r="I1393" s="38"/>
      <c r="N1393" s="38"/>
    </row>
    <row r="1394" spans="2:14" x14ac:dyDescent="0.2">
      <c r="B1394" s="23"/>
      <c r="D1394" s="26"/>
      <c r="I1394" s="38"/>
      <c r="N1394" s="38"/>
    </row>
    <row r="1395" spans="2:14" x14ac:dyDescent="0.2">
      <c r="B1395" s="23"/>
      <c r="D1395" s="26"/>
      <c r="I1395" s="38"/>
      <c r="N1395" s="38"/>
    </row>
    <row r="1396" spans="2:14" x14ac:dyDescent="0.2">
      <c r="B1396" s="23"/>
      <c r="D1396" s="26"/>
      <c r="I1396" s="38"/>
      <c r="N1396" s="38"/>
    </row>
    <row r="1397" spans="2:14" ht="12.75" customHeight="1" x14ac:dyDescent="0.2">
      <c r="B1397" s="23"/>
      <c r="D1397" s="26"/>
      <c r="I1397" s="38"/>
      <c r="N1397" s="38"/>
    </row>
    <row r="1398" spans="2:14" ht="12.75" customHeight="1" x14ac:dyDescent="0.2">
      <c r="B1398" s="23"/>
      <c r="D1398" s="26"/>
      <c r="I1398" s="38"/>
      <c r="N1398" s="38"/>
    </row>
    <row r="1399" spans="2:14" ht="12.75" customHeight="1" x14ac:dyDescent="0.2">
      <c r="B1399" s="23"/>
      <c r="D1399" s="26"/>
      <c r="I1399" s="38"/>
      <c r="N1399" s="38"/>
    </row>
    <row r="1400" spans="2:14" ht="12.75" customHeight="1" x14ac:dyDescent="0.2">
      <c r="B1400" s="23"/>
      <c r="D1400" s="26"/>
      <c r="I1400" s="38"/>
      <c r="N1400" s="38"/>
    </row>
    <row r="1401" spans="2:14" x14ac:dyDescent="0.2">
      <c r="B1401" s="23"/>
      <c r="D1401" s="26"/>
      <c r="I1401" s="38"/>
      <c r="N1401" s="38"/>
    </row>
    <row r="1402" spans="2:14" x14ac:dyDescent="0.2">
      <c r="B1402" s="23"/>
      <c r="D1402" s="26"/>
      <c r="I1402" s="38"/>
      <c r="N1402" s="38"/>
    </row>
    <row r="1403" spans="2:14" x14ac:dyDescent="0.2">
      <c r="B1403" s="23"/>
      <c r="D1403" s="26"/>
      <c r="I1403" s="38"/>
      <c r="N1403" s="38"/>
    </row>
    <row r="1404" spans="2:14" x14ac:dyDescent="0.2">
      <c r="B1404" s="23"/>
      <c r="D1404" s="26"/>
      <c r="I1404" s="38"/>
      <c r="N1404" s="38"/>
    </row>
    <row r="1405" spans="2:14" x14ac:dyDescent="0.2">
      <c r="B1405" s="23"/>
      <c r="D1405" s="26"/>
      <c r="I1405" s="38"/>
      <c r="N1405" s="38"/>
    </row>
    <row r="1406" spans="2:14" ht="12.75" customHeight="1" x14ac:dyDescent="0.2">
      <c r="B1406" s="23"/>
      <c r="D1406" s="26"/>
      <c r="I1406" s="38"/>
      <c r="N1406" s="38"/>
    </row>
    <row r="1407" spans="2:14" x14ac:dyDescent="0.2">
      <c r="B1407" s="23"/>
      <c r="D1407" s="26"/>
      <c r="I1407" s="38"/>
      <c r="N1407" s="38"/>
    </row>
    <row r="1408" spans="2:14" x14ac:dyDescent="0.2">
      <c r="B1408" s="23"/>
      <c r="D1408" s="26"/>
      <c r="I1408" s="38"/>
      <c r="N1408" s="38"/>
    </row>
    <row r="1409" spans="2:14" ht="12.75" customHeight="1" x14ac:dyDescent="0.2">
      <c r="B1409" s="23"/>
      <c r="D1409" s="26"/>
      <c r="I1409" s="38"/>
      <c r="N1409" s="38"/>
    </row>
    <row r="1410" spans="2:14" ht="12.75" customHeight="1" x14ac:dyDescent="0.2">
      <c r="B1410" s="23"/>
      <c r="D1410" s="26"/>
      <c r="I1410" s="38"/>
      <c r="N1410" s="38"/>
    </row>
    <row r="1411" spans="2:14" ht="12.75" customHeight="1" x14ac:dyDescent="0.2">
      <c r="B1411" s="23"/>
      <c r="D1411" s="26"/>
      <c r="I1411" s="38"/>
      <c r="N1411" s="38"/>
    </row>
    <row r="1412" spans="2:14" ht="12.75" customHeight="1" x14ac:dyDescent="0.2">
      <c r="B1412" s="23"/>
      <c r="D1412" s="26"/>
      <c r="I1412" s="38"/>
      <c r="N1412" s="38"/>
    </row>
    <row r="1413" spans="2:14" ht="12.75" customHeight="1" x14ac:dyDescent="0.2">
      <c r="B1413" s="23"/>
      <c r="D1413" s="26"/>
      <c r="I1413" s="38"/>
      <c r="N1413" s="38"/>
    </row>
    <row r="1414" spans="2:14" ht="12.75" customHeight="1" x14ac:dyDescent="0.2">
      <c r="B1414" s="23"/>
      <c r="D1414" s="26"/>
      <c r="I1414" s="38"/>
      <c r="N1414" s="38"/>
    </row>
    <row r="1415" spans="2:14" x14ac:dyDescent="0.2">
      <c r="B1415" s="23"/>
      <c r="D1415" s="26"/>
      <c r="I1415" s="38"/>
      <c r="N1415" s="38"/>
    </row>
    <row r="1416" spans="2:14" x14ac:dyDescent="0.2">
      <c r="B1416" s="23"/>
      <c r="D1416" s="26"/>
      <c r="I1416" s="38"/>
      <c r="N1416" s="38"/>
    </row>
    <row r="1417" spans="2:14" ht="12.75" customHeight="1" x14ac:dyDescent="0.2">
      <c r="B1417" s="23"/>
      <c r="D1417" s="26"/>
      <c r="I1417" s="38"/>
      <c r="N1417" s="38"/>
    </row>
    <row r="1418" spans="2:14" ht="12.75" customHeight="1" x14ac:dyDescent="0.2">
      <c r="B1418" s="23"/>
      <c r="D1418" s="26"/>
      <c r="I1418" s="38"/>
      <c r="N1418" s="38"/>
    </row>
    <row r="1419" spans="2:14" ht="12.75" customHeight="1" x14ac:dyDescent="0.2">
      <c r="B1419" s="23"/>
      <c r="D1419" s="26"/>
      <c r="I1419" s="38"/>
      <c r="N1419" s="38"/>
    </row>
    <row r="1420" spans="2:14" ht="12.75" customHeight="1" x14ac:dyDescent="0.2">
      <c r="B1420" s="23"/>
      <c r="D1420" s="26"/>
      <c r="I1420" s="38"/>
      <c r="N1420" s="38"/>
    </row>
    <row r="1421" spans="2:14" ht="12.75" customHeight="1" x14ac:dyDescent="0.2">
      <c r="B1421" s="23"/>
      <c r="D1421" s="26"/>
      <c r="I1421" s="38"/>
      <c r="N1421" s="38"/>
    </row>
    <row r="1422" spans="2:14" ht="12.75" customHeight="1" x14ac:dyDescent="0.2">
      <c r="B1422" s="23"/>
      <c r="D1422" s="26"/>
      <c r="I1422" s="38"/>
      <c r="N1422" s="38"/>
    </row>
    <row r="1423" spans="2:14" ht="12.75" customHeight="1" x14ac:dyDescent="0.2">
      <c r="B1423" s="23"/>
      <c r="D1423" s="26"/>
      <c r="I1423" s="38"/>
      <c r="N1423" s="38"/>
    </row>
    <row r="1424" spans="2:14" ht="12.75" customHeight="1" x14ac:dyDescent="0.2">
      <c r="B1424" s="23"/>
      <c r="D1424" s="26"/>
      <c r="I1424" s="38"/>
      <c r="N1424" s="38"/>
    </row>
    <row r="1425" spans="2:14" x14ac:dyDescent="0.2">
      <c r="B1425" s="23"/>
      <c r="D1425" s="26"/>
      <c r="I1425" s="38"/>
      <c r="N1425" s="38"/>
    </row>
    <row r="1426" spans="2:14" x14ac:dyDescent="0.2">
      <c r="B1426" s="23"/>
      <c r="D1426" s="26"/>
      <c r="I1426" s="38"/>
      <c r="N1426" s="38"/>
    </row>
    <row r="1427" spans="2:14" ht="12.75" customHeight="1" x14ac:dyDescent="0.2">
      <c r="B1427" s="23"/>
      <c r="D1427" s="26"/>
      <c r="I1427" s="38"/>
      <c r="N1427" s="38"/>
    </row>
    <row r="1428" spans="2:14" x14ac:dyDescent="0.2">
      <c r="B1428" s="23"/>
      <c r="D1428" s="26"/>
      <c r="I1428" s="38"/>
      <c r="N1428" s="38"/>
    </row>
    <row r="1429" spans="2:14" x14ac:dyDescent="0.2">
      <c r="B1429" s="23"/>
      <c r="D1429" s="26"/>
      <c r="I1429" s="38"/>
      <c r="N1429" s="38"/>
    </row>
    <row r="1430" spans="2:14" ht="12.75" customHeight="1" x14ac:dyDescent="0.2">
      <c r="B1430" s="23"/>
      <c r="D1430" s="26"/>
      <c r="I1430" s="38"/>
      <c r="N1430" s="38"/>
    </row>
    <row r="1431" spans="2:14" ht="12.75" customHeight="1" x14ac:dyDescent="0.2">
      <c r="B1431" s="23"/>
      <c r="D1431" s="26"/>
      <c r="I1431" s="38"/>
      <c r="N1431" s="38"/>
    </row>
    <row r="1432" spans="2:14" ht="12.75" customHeight="1" x14ac:dyDescent="0.2">
      <c r="B1432" s="23"/>
      <c r="D1432" s="26"/>
      <c r="I1432" s="38"/>
      <c r="N1432" s="38"/>
    </row>
    <row r="1433" spans="2:14" x14ac:dyDescent="0.2">
      <c r="B1433" s="23"/>
      <c r="D1433" s="26"/>
      <c r="I1433" s="38"/>
      <c r="N1433" s="38"/>
    </row>
    <row r="1434" spans="2:14" ht="12.75" customHeight="1" x14ac:dyDescent="0.2">
      <c r="B1434" s="23"/>
      <c r="D1434" s="26"/>
      <c r="I1434" s="38"/>
      <c r="N1434" s="38"/>
    </row>
    <row r="1435" spans="2:14" ht="12.75" customHeight="1" x14ac:dyDescent="0.2">
      <c r="B1435" s="23"/>
      <c r="D1435" s="26"/>
      <c r="I1435" s="38"/>
      <c r="N1435" s="38"/>
    </row>
    <row r="1436" spans="2:14" ht="12.75" customHeight="1" x14ac:dyDescent="0.2">
      <c r="B1436" s="23"/>
      <c r="D1436" s="26"/>
      <c r="I1436" s="38"/>
      <c r="N1436" s="38"/>
    </row>
    <row r="1437" spans="2:14" ht="12.75" customHeight="1" x14ac:dyDescent="0.2">
      <c r="B1437" s="23"/>
      <c r="D1437" s="26"/>
      <c r="I1437" s="38"/>
      <c r="N1437" s="38"/>
    </row>
    <row r="1438" spans="2:14" x14ac:dyDescent="0.2">
      <c r="B1438" s="23"/>
      <c r="D1438" s="26"/>
      <c r="I1438" s="38"/>
      <c r="N1438" s="38"/>
    </row>
    <row r="1439" spans="2:14" x14ac:dyDescent="0.2">
      <c r="B1439" s="23"/>
      <c r="D1439" s="26"/>
      <c r="I1439" s="38"/>
      <c r="N1439" s="38"/>
    </row>
    <row r="1440" spans="2:14" ht="12.75" customHeight="1" x14ac:dyDescent="0.2">
      <c r="B1440" s="23"/>
      <c r="D1440" s="26"/>
      <c r="I1440" s="38"/>
      <c r="N1440" s="38"/>
    </row>
    <row r="1441" spans="2:14" x14ac:dyDescent="0.2">
      <c r="B1441" s="23"/>
      <c r="D1441" s="26"/>
      <c r="I1441" s="38"/>
      <c r="N1441" s="38"/>
    </row>
    <row r="1442" spans="2:14" x14ac:dyDescent="0.2">
      <c r="B1442" s="23"/>
      <c r="D1442" s="26"/>
      <c r="I1442" s="38"/>
      <c r="N1442" s="38"/>
    </row>
    <row r="1443" spans="2:14" ht="12.75" customHeight="1" x14ac:dyDescent="0.2">
      <c r="B1443" s="23"/>
      <c r="D1443" s="26"/>
      <c r="I1443" s="38"/>
      <c r="N1443" s="38"/>
    </row>
    <row r="1444" spans="2:14" ht="12.75" customHeight="1" x14ac:dyDescent="0.2">
      <c r="B1444" s="23"/>
      <c r="D1444" s="26"/>
      <c r="I1444" s="38"/>
      <c r="N1444" s="38"/>
    </row>
    <row r="1445" spans="2:14" ht="12.75" customHeight="1" x14ac:dyDescent="0.2">
      <c r="B1445" s="23"/>
      <c r="D1445" s="26"/>
      <c r="I1445" s="38"/>
      <c r="N1445" s="38"/>
    </row>
    <row r="1446" spans="2:14" x14ac:dyDescent="0.2">
      <c r="B1446" s="23"/>
      <c r="D1446" s="26"/>
      <c r="I1446" s="38"/>
      <c r="N1446" s="38"/>
    </row>
    <row r="1447" spans="2:14" x14ac:dyDescent="0.2">
      <c r="B1447" s="23"/>
      <c r="D1447" s="26"/>
      <c r="I1447" s="38"/>
      <c r="N1447" s="38"/>
    </row>
    <row r="1448" spans="2:14" ht="12.75" customHeight="1" x14ac:dyDescent="0.2">
      <c r="B1448" s="23"/>
      <c r="D1448" s="26"/>
      <c r="I1448" s="38"/>
      <c r="N1448" s="38"/>
    </row>
    <row r="1449" spans="2:14" x14ac:dyDescent="0.2">
      <c r="B1449" s="23"/>
      <c r="D1449" s="26"/>
      <c r="I1449" s="38"/>
      <c r="N1449" s="38"/>
    </row>
    <row r="1450" spans="2:14" x14ac:dyDescent="0.2">
      <c r="B1450" s="23"/>
      <c r="D1450" s="26"/>
      <c r="I1450" s="38"/>
      <c r="N1450" s="38"/>
    </row>
    <row r="1451" spans="2:14" x14ac:dyDescent="0.2">
      <c r="B1451" s="23"/>
      <c r="D1451" s="26"/>
      <c r="I1451" s="38"/>
      <c r="N1451" s="38"/>
    </row>
    <row r="1452" spans="2:14" x14ac:dyDescent="0.2">
      <c r="B1452" s="23"/>
      <c r="D1452" s="26"/>
      <c r="I1452" s="38"/>
      <c r="N1452" s="38"/>
    </row>
    <row r="1453" spans="2:14" x14ac:dyDescent="0.2">
      <c r="B1453" s="23"/>
      <c r="D1453" s="26"/>
      <c r="I1453" s="38"/>
      <c r="N1453" s="38"/>
    </row>
    <row r="1454" spans="2:14" x14ac:dyDescent="0.2">
      <c r="B1454" s="23"/>
      <c r="D1454" s="26"/>
      <c r="I1454" s="38"/>
      <c r="N1454" s="38"/>
    </row>
    <row r="1455" spans="2:14" ht="12.75" customHeight="1" x14ac:dyDescent="0.2">
      <c r="B1455" s="23"/>
      <c r="D1455" s="26"/>
      <c r="I1455" s="38"/>
      <c r="N1455" s="38"/>
    </row>
    <row r="1456" spans="2:14" x14ac:dyDescent="0.2">
      <c r="B1456" s="23"/>
      <c r="D1456" s="26"/>
      <c r="I1456" s="38"/>
      <c r="N1456" s="38"/>
    </row>
    <row r="1457" spans="2:14" x14ac:dyDescent="0.2">
      <c r="B1457" s="23"/>
      <c r="D1457" s="26"/>
      <c r="I1457" s="38"/>
      <c r="N1457" s="38"/>
    </row>
    <row r="1458" spans="2:14" x14ac:dyDescent="0.2">
      <c r="B1458" s="23"/>
      <c r="D1458" s="26"/>
      <c r="I1458" s="38"/>
      <c r="N1458" s="38"/>
    </row>
    <row r="1459" spans="2:14" x14ac:dyDescent="0.2">
      <c r="B1459" s="23"/>
      <c r="D1459" s="26"/>
      <c r="I1459" s="38"/>
      <c r="N1459" s="38"/>
    </row>
    <row r="1460" spans="2:14" x14ac:dyDescent="0.2">
      <c r="B1460" s="23"/>
      <c r="D1460" s="26"/>
      <c r="I1460" s="38"/>
      <c r="N1460" s="38"/>
    </row>
    <row r="1461" spans="2:14" x14ac:dyDescent="0.2">
      <c r="B1461" s="23"/>
      <c r="D1461" s="26"/>
      <c r="I1461" s="38"/>
      <c r="N1461" s="38"/>
    </row>
    <row r="1462" spans="2:14" x14ac:dyDescent="0.2">
      <c r="B1462" s="23"/>
      <c r="D1462" s="26"/>
      <c r="I1462" s="38"/>
      <c r="N1462" s="38"/>
    </row>
    <row r="1463" spans="2:14" x14ac:dyDescent="0.2">
      <c r="B1463" s="23"/>
      <c r="I1463" s="38"/>
      <c r="N1463" s="38"/>
    </row>
    <row r="1464" spans="2:14" x14ac:dyDescent="0.2">
      <c r="B1464" s="23"/>
      <c r="I1464" s="38"/>
      <c r="N1464" s="38"/>
    </row>
    <row r="1465" spans="2:14" x14ac:dyDescent="0.2">
      <c r="B1465" s="23"/>
      <c r="I1465" s="38"/>
      <c r="N1465" s="38"/>
    </row>
    <row r="1466" spans="2:14" x14ac:dyDescent="0.2">
      <c r="B1466" s="23"/>
      <c r="I1466" s="38"/>
      <c r="N1466" s="38"/>
    </row>
    <row r="1467" spans="2:14" x14ac:dyDescent="0.2">
      <c r="B1467" s="23"/>
      <c r="I1467" s="38"/>
      <c r="N1467" s="38"/>
    </row>
    <row r="1468" spans="2:14" x14ac:dyDescent="0.2">
      <c r="B1468" s="23"/>
      <c r="I1468" s="38"/>
      <c r="N1468" s="38"/>
    </row>
    <row r="1469" spans="2:14" x14ac:dyDescent="0.2">
      <c r="B1469" s="23"/>
      <c r="I1469" s="38"/>
      <c r="N1469" s="38"/>
    </row>
    <row r="1470" spans="2:14" x14ac:dyDescent="0.2">
      <c r="B1470" s="23"/>
      <c r="I1470" s="38"/>
      <c r="N1470" s="38"/>
    </row>
    <row r="1471" spans="2:14" x14ac:dyDescent="0.2">
      <c r="B1471" s="23"/>
      <c r="I1471" s="38"/>
      <c r="N1471" s="38"/>
    </row>
    <row r="1472" spans="2:14" x14ac:dyDescent="0.2">
      <c r="B1472" s="23"/>
      <c r="I1472" s="38"/>
      <c r="N1472" s="38"/>
    </row>
    <row r="1473" spans="2:14" x14ac:dyDescent="0.2">
      <c r="B1473" s="23"/>
      <c r="I1473" s="38"/>
      <c r="N1473" s="38"/>
    </row>
    <row r="1474" spans="2:14" x14ac:dyDescent="0.2">
      <c r="B1474" s="23"/>
      <c r="I1474" s="38"/>
      <c r="N1474" s="38"/>
    </row>
    <row r="1475" spans="2:14" x14ac:dyDescent="0.2">
      <c r="B1475" s="23"/>
      <c r="I1475" s="38"/>
      <c r="N1475" s="38"/>
    </row>
    <row r="1476" spans="2:14" x14ac:dyDescent="0.2">
      <c r="B1476" s="23"/>
      <c r="I1476" s="38"/>
      <c r="N1476" s="38"/>
    </row>
    <row r="1477" spans="2:14" x14ac:dyDescent="0.2">
      <c r="B1477" s="23"/>
      <c r="I1477" s="38"/>
      <c r="N1477" s="38"/>
    </row>
    <row r="1478" spans="2:14" x14ac:dyDescent="0.2">
      <c r="B1478" s="23"/>
      <c r="I1478" s="38"/>
      <c r="N1478" s="38"/>
    </row>
    <row r="1479" spans="2:14" x14ac:dyDescent="0.2">
      <c r="B1479" s="23"/>
      <c r="I1479" s="38"/>
      <c r="N1479" s="38"/>
    </row>
    <row r="1480" spans="2:14" x14ac:dyDescent="0.2">
      <c r="B1480" s="23"/>
      <c r="I1480" s="38"/>
      <c r="N1480" s="38"/>
    </row>
    <row r="1481" spans="2:14" x14ac:dyDescent="0.2">
      <c r="B1481" s="23"/>
      <c r="I1481" s="38"/>
      <c r="N1481" s="38"/>
    </row>
    <row r="1482" spans="2:14" x14ac:dyDescent="0.2">
      <c r="B1482" s="23"/>
      <c r="I1482" s="38"/>
      <c r="N1482" s="38"/>
    </row>
    <row r="1483" spans="2:14" x14ac:dyDescent="0.2">
      <c r="B1483" s="23"/>
      <c r="I1483" s="38"/>
      <c r="N1483" s="38"/>
    </row>
    <row r="1484" spans="2:14" x14ac:dyDescent="0.2">
      <c r="B1484" s="23"/>
      <c r="I1484" s="38"/>
      <c r="N1484" s="38"/>
    </row>
    <row r="1485" spans="2:14" x14ac:dyDescent="0.2">
      <c r="B1485" s="23"/>
      <c r="I1485" s="38"/>
      <c r="N1485" s="38"/>
    </row>
    <row r="1486" spans="2:14" x14ac:dyDescent="0.2">
      <c r="B1486" s="23"/>
      <c r="I1486" s="38"/>
      <c r="N1486" s="38"/>
    </row>
    <row r="1487" spans="2:14" x14ac:dyDescent="0.2">
      <c r="B1487" s="23"/>
      <c r="I1487" s="38"/>
      <c r="N1487" s="38"/>
    </row>
    <row r="1488" spans="2:14" x14ac:dyDescent="0.2">
      <c r="B1488" s="23"/>
      <c r="I1488" s="38"/>
      <c r="N1488" s="38"/>
    </row>
    <row r="1489" spans="2:14" x14ac:dyDescent="0.2">
      <c r="B1489" s="23"/>
      <c r="I1489" s="38"/>
      <c r="N1489" s="38"/>
    </row>
    <row r="1490" spans="2:14" x14ac:dyDescent="0.2">
      <c r="B1490" s="23"/>
      <c r="I1490" s="38"/>
      <c r="N1490" s="38"/>
    </row>
    <row r="1491" spans="2:14" x14ac:dyDescent="0.2">
      <c r="B1491" s="23"/>
      <c r="I1491" s="38"/>
      <c r="N1491" s="38"/>
    </row>
    <row r="1492" spans="2:14" x14ac:dyDescent="0.2">
      <c r="B1492" s="23"/>
      <c r="I1492" s="38"/>
      <c r="N1492" s="38"/>
    </row>
    <row r="1493" spans="2:14" x14ac:dyDescent="0.2">
      <c r="B1493" s="23"/>
      <c r="I1493" s="38"/>
      <c r="N1493" s="38"/>
    </row>
    <row r="1494" spans="2:14" x14ac:dyDescent="0.2">
      <c r="B1494" s="23"/>
      <c r="I1494" s="38"/>
      <c r="N1494" s="38"/>
    </row>
    <row r="1495" spans="2:14" x14ac:dyDescent="0.2">
      <c r="B1495" s="23"/>
      <c r="I1495" s="38"/>
      <c r="N1495" s="38"/>
    </row>
    <row r="1496" spans="2:14" x14ac:dyDescent="0.2">
      <c r="B1496" s="23"/>
      <c r="I1496" s="38"/>
      <c r="N1496" s="38"/>
    </row>
    <row r="1497" spans="2:14" x14ac:dyDescent="0.2">
      <c r="B1497" s="23"/>
      <c r="I1497" s="38"/>
      <c r="N1497" s="38"/>
    </row>
    <row r="1498" spans="2:14" x14ac:dyDescent="0.2">
      <c r="B1498" s="23"/>
      <c r="I1498" s="38"/>
      <c r="N1498" s="38"/>
    </row>
    <row r="1499" spans="2:14" x14ac:dyDescent="0.2">
      <c r="B1499" s="23"/>
      <c r="I1499" s="38"/>
      <c r="N1499" s="38"/>
    </row>
    <row r="1500" spans="2:14" x14ac:dyDescent="0.2">
      <c r="B1500" s="23"/>
      <c r="I1500" s="38"/>
      <c r="N1500" s="38"/>
    </row>
    <row r="1501" spans="2:14" x14ac:dyDescent="0.2">
      <c r="B1501" s="23"/>
      <c r="I1501" s="38"/>
      <c r="N1501" s="38"/>
    </row>
    <row r="1502" spans="2:14" x14ac:dyDescent="0.2">
      <c r="B1502" s="23"/>
      <c r="I1502" s="38"/>
      <c r="N1502" s="38"/>
    </row>
    <row r="1503" spans="2:14" x14ac:dyDescent="0.2">
      <c r="B1503" s="23"/>
      <c r="I1503" s="38"/>
      <c r="N1503" s="38"/>
    </row>
    <row r="1504" spans="2:14" x14ac:dyDescent="0.2">
      <c r="B1504" s="23"/>
      <c r="I1504" s="38"/>
      <c r="N1504" s="38"/>
    </row>
    <row r="1505" spans="2:14" x14ac:dyDescent="0.2">
      <c r="B1505" s="23"/>
      <c r="I1505" s="38"/>
      <c r="N1505" s="38"/>
    </row>
    <row r="1506" spans="2:14" x14ac:dyDescent="0.2">
      <c r="B1506" s="23"/>
      <c r="I1506" s="38"/>
      <c r="N1506" s="38"/>
    </row>
    <row r="1507" spans="2:14" x14ac:dyDescent="0.2">
      <c r="B1507" s="23"/>
      <c r="I1507" s="38"/>
      <c r="N1507" s="38"/>
    </row>
    <row r="1508" spans="2:14" x14ac:dyDescent="0.2">
      <c r="B1508" s="23"/>
      <c r="I1508" s="38"/>
      <c r="N1508" s="38"/>
    </row>
    <row r="1509" spans="2:14" x14ac:dyDescent="0.2">
      <c r="B1509" s="23"/>
      <c r="I1509" s="38"/>
      <c r="N1509" s="38"/>
    </row>
    <row r="1510" spans="2:14" x14ac:dyDescent="0.2">
      <c r="B1510" s="23"/>
      <c r="I1510" s="38"/>
      <c r="N1510" s="38"/>
    </row>
    <row r="1511" spans="2:14" x14ac:dyDescent="0.2">
      <c r="B1511" s="23"/>
      <c r="I1511" s="38"/>
      <c r="N1511" s="38"/>
    </row>
    <row r="1512" spans="2:14" x14ac:dyDescent="0.2">
      <c r="B1512" s="23"/>
      <c r="I1512" s="38"/>
      <c r="N1512" s="38"/>
    </row>
    <row r="1513" spans="2:14" x14ac:dyDescent="0.2">
      <c r="B1513" s="23"/>
      <c r="I1513" s="38"/>
      <c r="N1513" s="38"/>
    </row>
    <row r="1514" spans="2:14" x14ac:dyDescent="0.2">
      <c r="B1514" s="23"/>
      <c r="I1514" s="38"/>
      <c r="N1514" s="38"/>
    </row>
    <row r="1515" spans="2:14" x14ac:dyDescent="0.2">
      <c r="B1515" s="23"/>
      <c r="I1515" s="38"/>
      <c r="N1515" s="38"/>
    </row>
    <row r="1516" spans="2:14" x14ac:dyDescent="0.2">
      <c r="B1516" s="23"/>
      <c r="I1516" s="38"/>
      <c r="N1516" s="38"/>
    </row>
    <row r="1517" spans="2:14" x14ac:dyDescent="0.2">
      <c r="B1517" s="23"/>
      <c r="I1517" s="38"/>
      <c r="N1517" s="38"/>
    </row>
    <row r="1518" spans="2:14" x14ac:dyDescent="0.2">
      <c r="B1518" s="23"/>
      <c r="I1518" s="38"/>
      <c r="N1518" s="38"/>
    </row>
    <row r="1519" spans="2:14" x14ac:dyDescent="0.2">
      <c r="B1519" s="23"/>
      <c r="I1519" s="38"/>
      <c r="N1519" s="38"/>
    </row>
    <row r="1520" spans="2:14" x14ac:dyDescent="0.2">
      <c r="B1520" s="23"/>
      <c r="I1520" s="38"/>
      <c r="N1520" s="38"/>
    </row>
    <row r="1521" spans="2:14" x14ac:dyDescent="0.2">
      <c r="B1521" s="23"/>
      <c r="I1521" s="38"/>
      <c r="N1521" s="38"/>
    </row>
    <row r="1522" spans="2:14" x14ac:dyDescent="0.2">
      <c r="B1522" s="23"/>
      <c r="I1522" s="38"/>
      <c r="N1522" s="38"/>
    </row>
    <row r="1523" spans="2:14" x14ac:dyDescent="0.2">
      <c r="B1523" s="23"/>
      <c r="I1523" s="38"/>
      <c r="N1523" s="38"/>
    </row>
    <row r="1524" spans="2:14" x14ac:dyDescent="0.2">
      <c r="B1524" s="23"/>
      <c r="I1524" s="38"/>
      <c r="N1524" s="38"/>
    </row>
    <row r="1525" spans="2:14" x14ac:dyDescent="0.2">
      <c r="B1525" s="23"/>
      <c r="I1525" s="38"/>
      <c r="N1525" s="38"/>
    </row>
    <row r="1526" spans="2:14" x14ac:dyDescent="0.2">
      <c r="B1526" s="23"/>
      <c r="I1526" s="38"/>
      <c r="N1526" s="38"/>
    </row>
    <row r="1527" spans="2:14" x14ac:dyDescent="0.2">
      <c r="B1527" s="23"/>
      <c r="I1527" s="38"/>
      <c r="N1527" s="38"/>
    </row>
    <row r="1528" spans="2:14" x14ac:dyDescent="0.2">
      <c r="B1528" s="23"/>
      <c r="I1528" s="38"/>
      <c r="N1528" s="38"/>
    </row>
    <row r="1529" spans="2:14" x14ac:dyDescent="0.2">
      <c r="B1529" s="23"/>
      <c r="I1529" s="38"/>
      <c r="N1529" s="38"/>
    </row>
    <row r="1530" spans="2:14" x14ac:dyDescent="0.2">
      <c r="B1530" s="23"/>
      <c r="I1530" s="38"/>
      <c r="N1530" s="38"/>
    </row>
    <row r="1531" spans="2:14" x14ac:dyDescent="0.2">
      <c r="B1531" s="23"/>
      <c r="I1531" s="38"/>
      <c r="N1531" s="38"/>
    </row>
    <row r="1532" spans="2:14" x14ac:dyDescent="0.2">
      <c r="B1532" s="23"/>
      <c r="I1532" s="38"/>
      <c r="N1532" s="38"/>
    </row>
    <row r="1533" spans="2:14" x14ac:dyDescent="0.2">
      <c r="B1533" s="23"/>
      <c r="I1533" s="38"/>
      <c r="N1533" s="38"/>
    </row>
    <row r="1534" spans="2:14" x14ac:dyDescent="0.2">
      <c r="B1534" s="23"/>
      <c r="I1534" s="38"/>
      <c r="N1534" s="38"/>
    </row>
    <row r="1535" spans="2:14" x14ac:dyDescent="0.2">
      <c r="B1535" s="23"/>
      <c r="I1535" s="38"/>
      <c r="N1535" s="38"/>
    </row>
    <row r="1536" spans="2:14" x14ac:dyDescent="0.2">
      <c r="B1536" s="23"/>
      <c r="I1536" s="38"/>
      <c r="N1536" s="38"/>
    </row>
    <row r="1537" spans="2:14" x14ac:dyDescent="0.2">
      <c r="B1537" s="23"/>
      <c r="I1537" s="38"/>
      <c r="N1537" s="38"/>
    </row>
    <row r="1538" spans="2:14" x14ac:dyDescent="0.2">
      <c r="B1538" s="23"/>
      <c r="I1538" s="38"/>
      <c r="N1538" s="38"/>
    </row>
    <row r="1539" spans="2:14" x14ac:dyDescent="0.2">
      <c r="B1539" s="23"/>
      <c r="I1539" s="38"/>
      <c r="N1539" s="38"/>
    </row>
    <row r="1540" spans="2:14" x14ac:dyDescent="0.2">
      <c r="B1540" s="23"/>
      <c r="I1540" s="38"/>
      <c r="N1540" s="38"/>
    </row>
    <row r="1541" spans="2:14" x14ac:dyDescent="0.2">
      <c r="B1541" s="23"/>
      <c r="I1541" s="38"/>
      <c r="N1541" s="38"/>
    </row>
    <row r="1542" spans="2:14" x14ac:dyDescent="0.2">
      <c r="B1542" s="23"/>
      <c r="I1542" s="38"/>
      <c r="N1542" s="38"/>
    </row>
    <row r="1543" spans="2:14" x14ac:dyDescent="0.2">
      <c r="B1543" s="23"/>
      <c r="I1543" s="38"/>
      <c r="N1543" s="38"/>
    </row>
    <row r="1544" spans="2:14" x14ac:dyDescent="0.2">
      <c r="B1544" s="23"/>
      <c r="I1544" s="38"/>
      <c r="N1544" s="38"/>
    </row>
    <row r="1545" spans="2:14" x14ac:dyDescent="0.2">
      <c r="B1545" s="23"/>
      <c r="I1545" s="38"/>
      <c r="N1545" s="38"/>
    </row>
    <row r="1546" spans="2:14" x14ac:dyDescent="0.2">
      <c r="B1546" s="23"/>
      <c r="I1546" s="38"/>
      <c r="N1546" s="38"/>
    </row>
    <row r="1547" spans="2:14" x14ac:dyDescent="0.2">
      <c r="B1547" s="23"/>
      <c r="I1547" s="38"/>
      <c r="N1547" s="38"/>
    </row>
    <row r="1548" spans="2:14" x14ac:dyDescent="0.2">
      <c r="B1548" s="23"/>
      <c r="I1548" s="38"/>
      <c r="N1548" s="38"/>
    </row>
    <row r="1549" spans="2:14" x14ac:dyDescent="0.2">
      <c r="B1549" s="23"/>
      <c r="I1549" s="38"/>
      <c r="N1549" s="38"/>
    </row>
    <row r="1550" spans="2:14" x14ac:dyDescent="0.2">
      <c r="B1550" s="23"/>
      <c r="I1550" s="38"/>
      <c r="N1550" s="38"/>
    </row>
    <row r="1551" spans="2:14" x14ac:dyDescent="0.2">
      <c r="B1551" s="23"/>
      <c r="I1551" s="38"/>
      <c r="N1551" s="38"/>
    </row>
    <row r="1552" spans="2:14" x14ac:dyDescent="0.2">
      <c r="B1552" s="23"/>
      <c r="I1552" s="38"/>
      <c r="N1552" s="38"/>
    </row>
    <row r="1553" spans="2:14" x14ac:dyDescent="0.2">
      <c r="B1553" s="23"/>
      <c r="I1553" s="38"/>
      <c r="N1553" s="38"/>
    </row>
    <row r="1554" spans="2:14" x14ac:dyDescent="0.2">
      <c r="B1554" s="23"/>
      <c r="I1554" s="38"/>
      <c r="N1554" s="38"/>
    </row>
    <row r="1555" spans="2:14" x14ac:dyDescent="0.2">
      <c r="B1555" s="23"/>
      <c r="I1555" s="38"/>
      <c r="N1555" s="38"/>
    </row>
    <row r="1556" spans="2:14" x14ac:dyDescent="0.2">
      <c r="B1556" s="23"/>
      <c r="I1556" s="38"/>
      <c r="N1556" s="38"/>
    </row>
    <row r="1557" spans="2:14" x14ac:dyDescent="0.2">
      <c r="B1557" s="23"/>
      <c r="I1557" s="38"/>
      <c r="N1557" s="38"/>
    </row>
    <row r="1558" spans="2:14" x14ac:dyDescent="0.2">
      <c r="B1558" s="23"/>
      <c r="I1558" s="38"/>
      <c r="N1558" s="38"/>
    </row>
    <row r="1559" spans="2:14" x14ac:dyDescent="0.2">
      <c r="B1559" s="23"/>
      <c r="I1559" s="38"/>
      <c r="N1559" s="38"/>
    </row>
    <row r="1560" spans="2:14" x14ac:dyDescent="0.2">
      <c r="B1560" s="23"/>
      <c r="I1560" s="38"/>
      <c r="N1560" s="38"/>
    </row>
    <row r="1561" spans="2:14" x14ac:dyDescent="0.2">
      <c r="B1561" s="23"/>
      <c r="I1561" s="38"/>
      <c r="N1561" s="38"/>
    </row>
    <row r="1562" spans="2:14" x14ac:dyDescent="0.2">
      <c r="B1562" s="23"/>
      <c r="I1562" s="38"/>
      <c r="N1562" s="38"/>
    </row>
    <row r="1563" spans="2:14" x14ac:dyDescent="0.2">
      <c r="B1563" s="23"/>
      <c r="I1563" s="38"/>
      <c r="N1563" s="38"/>
    </row>
    <row r="1564" spans="2:14" x14ac:dyDescent="0.2">
      <c r="B1564" s="23"/>
      <c r="I1564" s="38"/>
      <c r="N1564" s="38"/>
    </row>
    <row r="1565" spans="2:14" x14ac:dyDescent="0.2">
      <c r="B1565" s="23"/>
      <c r="I1565" s="38"/>
      <c r="N1565" s="38"/>
    </row>
    <row r="1566" spans="2:14" x14ac:dyDescent="0.2">
      <c r="B1566" s="23"/>
      <c r="I1566" s="38"/>
      <c r="N1566" s="38"/>
    </row>
    <row r="1567" spans="2:14" x14ac:dyDescent="0.2">
      <c r="B1567" s="23"/>
      <c r="I1567" s="38"/>
      <c r="N1567" s="38"/>
    </row>
    <row r="1568" spans="2:14" x14ac:dyDescent="0.2">
      <c r="B1568" s="23"/>
      <c r="I1568" s="38"/>
      <c r="N1568" s="38"/>
    </row>
    <row r="1569" spans="2:14" x14ac:dyDescent="0.2">
      <c r="B1569" s="23"/>
      <c r="I1569" s="38"/>
      <c r="N1569" s="38"/>
    </row>
    <row r="1570" spans="2:14" x14ac:dyDescent="0.2">
      <c r="B1570" s="23"/>
      <c r="I1570" s="38"/>
      <c r="N1570" s="38"/>
    </row>
    <row r="1571" spans="2:14" x14ac:dyDescent="0.2">
      <c r="B1571" s="23"/>
      <c r="I1571" s="38"/>
      <c r="N1571" s="38"/>
    </row>
    <row r="1572" spans="2:14" x14ac:dyDescent="0.2">
      <c r="B1572" s="23"/>
      <c r="I1572" s="38"/>
      <c r="N1572" s="38"/>
    </row>
    <row r="1573" spans="2:14" x14ac:dyDescent="0.2">
      <c r="B1573" s="23"/>
      <c r="I1573" s="38"/>
      <c r="N1573" s="38"/>
    </row>
    <row r="1574" spans="2:14" x14ac:dyDescent="0.2">
      <c r="B1574" s="23"/>
      <c r="I1574" s="38"/>
      <c r="N1574" s="38"/>
    </row>
    <row r="1575" spans="2:14" x14ac:dyDescent="0.2">
      <c r="B1575" s="23"/>
      <c r="I1575" s="38"/>
      <c r="N1575" s="38"/>
    </row>
    <row r="1576" spans="2:14" x14ac:dyDescent="0.2">
      <c r="B1576" s="23"/>
      <c r="I1576" s="38"/>
      <c r="N1576" s="38"/>
    </row>
    <row r="1577" spans="2:14" x14ac:dyDescent="0.2">
      <c r="B1577" s="23"/>
      <c r="I1577" s="38"/>
      <c r="N1577" s="38"/>
    </row>
    <row r="1578" spans="2:14" x14ac:dyDescent="0.2">
      <c r="B1578" s="23"/>
      <c r="I1578" s="38"/>
      <c r="N1578" s="38"/>
    </row>
    <row r="1579" spans="2:14" x14ac:dyDescent="0.2">
      <c r="B1579" s="23"/>
      <c r="I1579" s="38"/>
      <c r="N1579" s="38"/>
    </row>
    <row r="1580" spans="2:14" x14ac:dyDescent="0.2">
      <c r="B1580" s="23"/>
      <c r="I1580" s="38"/>
      <c r="N1580" s="38"/>
    </row>
    <row r="1581" spans="2:14" x14ac:dyDescent="0.2">
      <c r="B1581" s="23"/>
      <c r="I1581" s="38"/>
      <c r="N1581" s="38"/>
    </row>
    <row r="1582" spans="2:14" x14ac:dyDescent="0.2">
      <c r="B1582" s="23"/>
      <c r="I1582" s="38"/>
      <c r="N1582" s="38"/>
    </row>
    <row r="1583" spans="2:14" x14ac:dyDescent="0.2">
      <c r="B1583" s="23"/>
      <c r="I1583" s="38"/>
      <c r="N1583" s="38"/>
    </row>
    <row r="1584" spans="2:14" x14ac:dyDescent="0.2">
      <c r="B1584" s="23"/>
      <c r="I1584" s="38"/>
      <c r="N1584" s="38"/>
    </row>
    <row r="1585" spans="2:14" x14ac:dyDescent="0.2">
      <c r="B1585" s="23"/>
      <c r="I1585" s="38"/>
      <c r="N1585" s="38"/>
    </row>
    <row r="1586" spans="2:14" x14ac:dyDescent="0.2">
      <c r="B1586" s="23"/>
      <c r="I1586" s="38"/>
      <c r="N1586" s="38"/>
    </row>
    <row r="1587" spans="2:14" x14ac:dyDescent="0.2">
      <c r="B1587" s="23"/>
      <c r="I1587" s="38"/>
      <c r="N1587" s="38"/>
    </row>
    <row r="1588" spans="2:14" x14ac:dyDescent="0.2">
      <c r="B1588" s="23"/>
      <c r="I1588" s="38"/>
      <c r="N1588" s="38"/>
    </row>
    <row r="1589" spans="2:14" x14ac:dyDescent="0.2">
      <c r="B1589" s="23"/>
      <c r="I1589" s="38"/>
      <c r="N1589" s="38"/>
    </row>
    <row r="1590" spans="2:14" x14ac:dyDescent="0.2">
      <c r="B1590" s="23"/>
      <c r="I1590" s="38"/>
      <c r="N1590" s="38"/>
    </row>
    <row r="1591" spans="2:14" x14ac:dyDescent="0.2">
      <c r="B1591" s="23"/>
      <c r="I1591" s="38"/>
      <c r="N1591" s="38"/>
    </row>
    <row r="1592" spans="2:14" x14ac:dyDescent="0.2">
      <c r="B1592" s="23"/>
      <c r="I1592" s="38"/>
      <c r="N1592" s="38"/>
    </row>
    <row r="1593" spans="2:14" x14ac:dyDescent="0.2">
      <c r="B1593" s="23"/>
      <c r="I1593" s="38"/>
      <c r="N1593" s="38"/>
    </row>
    <row r="1594" spans="2:14" x14ac:dyDescent="0.2">
      <c r="B1594" s="23"/>
      <c r="I1594" s="38"/>
      <c r="N1594" s="38"/>
    </row>
    <row r="1595" spans="2:14" x14ac:dyDescent="0.2">
      <c r="B1595" s="23"/>
      <c r="I1595" s="38"/>
      <c r="N1595" s="38"/>
    </row>
    <row r="1596" spans="2:14" x14ac:dyDescent="0.2">
      <c r="B1596" s="23"/>
      <c r="I1596" s="38"/>
      <c r="N1596" s="38"/>
    </row>
    <row r="1597" spans="2:14" x14ac:dyDescent="0.2">
      <c r="B1597" s="23"/>
      <c r="I1597" s="38"/>
      <c r="N1597" s="38"/>
    </row>
    <row r="1598" spans="2:14" x14ac:dyDescent="0.2">
      <c r="B1598" s="23"/>
      <c r="I1598" s="38"/>
      <c r="N1598" s="38"/>
    </row>
    <row r="1599" spans="2:14" x14ac:dyDescent="0.2">
      <c r="B1599" s="23"/>
      <c r="I1599" s="38"/>
      <c r="N1599" s="38"/>
    </row>
    <row r="1600" spans="2:14" x14ac:dyDescent="0.2">
      <c r="B1600" s="23"/>
      <c r="I1600" s="38"/>
      <c r="N1600" s="38"/>
    </row>
    <row r="1601" spans="2:14" x14ac:dyDescent="0.2">
      <c r="B1601" s="23"/>
      <c r="I1601" s="38"/>
      <c r="N1601" s="38"/>
    </row>
    <row r="1602" spans="2:14" x14ac:dyDescent="0.2">
      <c r="B1602" s="23"/>
      <c r="I1602" s="38"/>
      <c r="N1602" s="38"/>
    </row>
    <row r="1603" spans="2:14" x14ac:dyDescent="0.2">
      <c r="B1603" s="23"/>
      <c r="I1603" s="38"/>
      <c r="N1603" s="38"/>
    </row>
    <row r="1604" spans="2:14" x14ac:dyDescent="0.2">
      <c r="B1604" s="23"/>
      <c r="I1604" s="38"/>
      <c r="N1604" s="38"/>
    </row>
    <row r="1605" spans="2:14" x14ac:dyDescent="0.2">
      <c r="B1605" s="23"/>
      <c r="I1605" s="38"/>
      <c r="N1605" s="38"/>
    </row>
    <row r="1606" spans="2:14" x14ac:dyDescent="0.2">
      <c r="B1606" s="23"/>
      <c r="I1606" s="38"/>
      <c r="N1606" s="38"/>
    </row>
    <row r="1607" spans="2:14" x14ac:dyDescent="0.2">
      <c r="B1607" s="23"/>
      <c r="I1607" s="38"/>
      <c r="N1607" s="38"/>
    </row>
    <row r="1608" spans="2:14" x14ac:dyDescent="0.2">
      <c r="B1608" s="23"/>
      <c r="I1608" s="38"/>
      <c r="N1608" s="38"/>
    </row>
    <row r="1609" spans="2:14" x14ac:dyDescent="0.2">
      <c r="B1609" s="23"/>
      <c r="I1609" s="38"/>
      <c r="N1609" s="38"/>
    </row>
    <row r="1610" spans="2:14" x14ac:dyDescent="0.2">
      <c r="B1610" s="23"/>
      <c r="I1610" s="38"/>
      <c r="N1610" s="38"/>
    </row>
    <row r="1611" spans="2:14" x14ac:dyDescent="0.2">
      <c r="B1611" s="23"/>
      <c r="I1611" s="38"/>
      <c r="N1611" s="38"/>
    </row>
    <row r="1612" spans="2:14" x14ac:dyDescent="0.2">
      <c r="B1612" s="23"/>
      <c r="I1612" s="38"/>
      <c r="N1612" s="38"/>
    </row>
    <row r="1613" spans="2:14" x14ac:dyDescent="0.2">
      <c r="B1613" s="23"/>
      <c r="I1613" s="38"/>
      <c r="N1613" s="38"/>
    </row>
    <row r="1614" spans="2:14" x14ac:dyDescent="0.2">
      <c r="B1614" s="23"/>
      <c r="I1614" s="38"/>
      <c r="N1614" s="38"/>
    </row>
    <row r="1615" spans="2:14" x14ac:dyDescent="0.2">
      <c r="B1615" s="23"/>
      <c r="I1615" s="38"/>
      <c r="N1615" s="38"/>
    </row>
    <row r="1616" spans="2:14" x14ac:dyDescent="0.2">
      <c r="B1616" s="23"/>
      <c r="I1616" s="38"/>
      <c r="N1616" s="38"/>
    </row>
    <row r="1617" spans="2:14" x14ac:dyDescent="0.2">
      <c r="B1617" s="23"/>
      <c r="I1617" s="38"/>
      <c r="N1617" s="38"/>
    </row>
    <row r="1618" spans="2:14" x14ac:dyDescent="0.2">
      <c r="B1618" s="23"/>
      <c r="I1618" s="38"/>
      <c r="N1618" s="38"/>
    </row>
    <row r="1619" spans="2:14" x14ac:dyDescent="0.2">
      <c r="B1619" s="23"/>
      <c r="I1619" s="38"/>
      <c r="N1619" s="38"/>
    </row>
    <row r="1620" spans="2:14" x14ac:dyDescent="0.2">
      <c r="B1620" s="23"/>
      <c r="I1620" s="38"/>
      <c r="N1620" s="38"/>
    </row>
    <row r="1621" spans="2:14" x14ac:dyDescent="0.2">
      <c r="B1621" s="23"/>
      <c r="I1621" s="38"/>
      <c r="N1621" s="38"/>
    </row>
    <row r="1622" spans="2:14" x14ac:dyDescent="0.2">
      <c r="B1622" s="23"/>
      <c r="I1622" s="38"/>
      <c r="N1622" s="38"/>
    </row>
    <row r="1623" spans="2:14" x14ac:dyDescent="0.2">
      <c r="B1623" s="23"/>
      <c r="I1623" s="38"/>
      <c r="N1623" s="38"/>
    </row>
    <row r="1624" spans="2:14" x14ac:dyDescent="0.2">
      <c r="B1624" s="23"/>
      <c r="I1624" s="38"/>
      <c r="N1624" s="38"/>
    </row>
    <row r="1625" spans="2:14" x14ac:dyDescent="0.2">
      <c r="B1625" s="23"/>
      <c r="I1625" s="38"/>
      <c r="N1625" s="38"/>
    </row>
    <row r="1626" spans="2:14" x14ac:dyDescent="0.2">
      <c r="B1626" s="23"/>
      <c r="I1626" s="38"/>
      <c r="N1626" s="38"/>
    </row>
    <row r="1627" spans="2:14" x14ac:dyDescent="0.2">
      <c r="B1627" s="23"/>
      <c r="I1627" s="38"/>
      <c r="N1627" s="38"/>
    </row>
    <row r="1628" spans="2:14" x14ac:dyDescent="0.2">
      <c r="B1628" s="23"/>
      <c r="I1628" s="38"/>
      <c r="N1628" s="38"/>
    </row>
    <row r="1629" spans="2:14" x14ac:dyDescent="0.2">
      <c r="B1629" s="23"/>
      <c r="I1629" s="38"/>
      <c r="N1629" s="38"/>
    </row>
    <row r="1630" spans="2:14" x14ac:dyDescent="0.2">
      <c r="B1630" s="23"/>
      <c r="I1630" s="38"/>
      <c r="N1630" s="38"/>
    </row>
    <row r="1631" spans="2:14" x14ac:dyDescent="0.2">
      <c r="B1631" s="23"/>
      <c r="I1631" s="38"/>
      <c r="N1631" s="38"/>
    </row>
    <row r="1632" spans="2:14" x14ac:dyDescent="0.2">
      <c r="B1632" s="23"/>
      <c r="I1632" s="38"/>
      <c r="N1632" s="38"/>
    </row>
    <row r="1633" spans="2:14" x14ac:dyDescent="0.2">
      <c r="B1633" s="23"/>
      <c r="I1633" s="38"/>
      <c r="N1633" s="38"/>
    </row>
    <row r="1634" spans="2:14" x14ac:dyDescent="0.2">
      <c r="B1634" s="23"/>
      <c r="I1634" s="38"/>
      <c r="N1634" s="38"/>
    </row>
    <row r="1635" spans="2:14" x14ac:dyDescent="0.2">
      <c r="B1635" s="23"/>
      <c r="I1635" s="38"/>
      <c r="N1635" s="38"/>
    </row>
    <row r="1636" spans="2:14" x14ac:dyDescent="0.2">
      <c r="B1636" s="23"/>
      <c r="I1636" s="38"/>
      <c r="N1636" s="38"/>
    </row>
    <row r="1637" spans="2:14" x14ac:dyDescent="0.2">
      <c r="B1637" s="23"/>
      <c r="I1637" s="38"/>
      <c r="N1637" s="38"/>
    </row>
    <row r="1638" spans="2:14" x14ac:dyDescent="0.2">
      <c r="B1638" s="23"/>
      <c r="I1638" s="38"/>
      <c r="N1638" s="38"/>
    </row>
    <row r="1639" spans="2:14" x14ac:dyDescent="0.2">
      <c r="B1639" s="23"/>
      <c r="I1639" s="38"/>
      <c r="N1639" s="38"/>
    </row>
    <row r="1640" spans="2:14" x14ac:dyDescent="0.2">
      <c r="B1640" s="23"/>
      <c r="I1640" s="38"/>
      <c r="N1640" s="38"/>
    </row>
    <row r="1641" spans="2:14" x14ac:dyDescent="0.2">
      <c r="B1641" s="23"/>
      <c r="I1641" s="38"/>
      <c r="N1641" s="38"/>
    </row>
    <row r="1642" spans="2:14" x14ac:dyDescent="0.2">
      <c r="B1642" s="23"/>
      <c r="I1642" s="38"/>
      <c r="N1642" s="38"/>
    </row>
    <row r="1643" spans="2:14" x14ac:dyDescent="0.2">
      <c r="B1643" s="23"/>
      <c r="I1643" s="38"/>
      <c r="N1643" s="38"/>
    </row>
    <row r="1644" spans="2:14" x14ac:dyDescent="0.2">
      <c r="B1644" s="23"/>
      <c r="I1644" s="38"/>
      <c r="N1644" s="38"/>
    </row>
    <row r="1645" spans="2:14" x14ac:dyDescent="0.2">
      <c r="B1645" s="23"/>
      <c r="I1645" s="38"/>
      <c r="N1645" s="38"/>
    </row>
    <row r="1646" spans="2:14" x14ac:dyDescent="0.2">
      <c r="B1646" s="23"/>
      <c r="I1646" s="38"/>
      <c r="N1646" s="38"/>
    </row>
    <row r="1647" spans="2:14" x14ac:dyDescent="0.2">
      <c r="B1647" s="23"/>
      <c r="I1647" s="38"/>
      <c r="N1647" s="38"/>
    </row>
    <row r="1648" spans="2:14" x14ac:dyDescent="0.2">
      <c r="B1648" s="23"/>
      <c r="I1648" s="38"/>
      <c r="N1648" s="38"/>
    </row>
    <row r="1649" spans="2:14" x14ac:dyDescent="0.2">
      <c r="B1649" s="23"/>
      <c r="I1649" s="38"/>
      <c r="N1649" s="38"/>
    </row>
    <row r="1650" spans="2:14" x14ac:dyDescent="0.2">
      <c r="B1650" s="23"/>
      <c r="I1650" s="38"/>
      <c r="N1650" s="38"/>
    </row>
    <row r="1651" spans="2:14" x14ac:dyDescent="0.2">
      <c r="B1651" s="23"/>
      <c r="I1651" s="38"/>
      <c r="N1651" s="38"/>
    </row>
    <row r="1652" spans="2:14" x14ac:dyDescent="0.2">
      <c r="B1652" s="23"/>
      <c r="I1652" s="38"/>
      <c r="N1652" s="38"/>
    </row>
    <row r="1653" spans="2:14" x14ac:dyDescent="0.2">
      <c r="B1653" s="23"/>
      <c r="I1653" s="38"/>
      <c r="N1653" s="38"/>
    </row>
    <row r="1654" spans="2:14" x14ac:dyDescent="0.2">
      <c r="B1654" s="23"/>
      <c r="I1654" s="38"/>
      <c r="N1654" s="38"/>
    </row>
    <row r="1655" spans="2:14" x14ac:dyDescent="0.2">
      <c r="B1655" s="23"/>
      <c r="I1655" s="38"/>
      <c r="N1655" s="38"/>
    </row>
    <row r="1656" spans="2:14" x14ac:dyDescent="0.2">
      <c r="B1656" s="23"/>
      <c r="I1656" s="38"/>
      <c r="N1656" s="38"/>
    </row>
    <row r="1657" spans="2:14" x14ac:dyDescent="0.2">
      <c r="B1657" s="23"/>
      <c r="I1657" s="38"/>
      <c r="N1657" s="38"/>
    </row>
    <row r="1658" spans="2:14" x14ac:dyDescent="0.2">
      <c r="B1658" s="23"/>
      <c r="I1658" s="38"/>
      <c r="N1658" s="38"/>
    </row>
    <row r="1659" spans="2:14" x14ac:dyDescent="0.2">
      <c r="B1659" s="23"/>
      <c r="I1659" s="38"/>
      <c r="N1659" s="38"/>
    </row>
    <row r="1660" spans="2:14" x14ac:dyDescent="0.2">
      <c r="B1660" s="23"/>
      <c r="I1660" s="38"/>
      <c r="N1660" s="38"/>
    </row>
    <row r="1661" spans="2:14" x14ac:dyDescent="0.2">
      <c r="B1661" s="23"/>
      <c r="I1661" s="38"/>
      <c r="N1661" s="38"/>
    </row>
    <row r="1662" spans="2:14" x14ac:dyDescent="0.2">
      <c r="B1662" s="23"/>
      <c r="I1662" s="38"/>
      <c r="N1662" s="38"/>
    </row>
    <row r="1663" spans="2:14" x14ac:dyDescent="0.2">
      <c r="B1663" s="23"/>
      <c r="I1663" s="38"/>
      <c r="N1663" s="38"/>
    </row>
    <row r="1664" spans="2:14" x14ac:dyDescent="0.2">
      <c r="B1664" s="23"/>
      <c r="I1664" s="38"/>
      <c r="N1664" s="38"/>
    </row>
    <row r="1665" spans="2:14" x14ac:dyDescent="0.2">
      <c r="B1665" s="23"/>
      <c r="I1665" s="38"/>
      <c r="N1665" s="38"/>
    </row>
    <row r="1666" spans="2:14" x14ac:dyDescent="0.2">
      <c r="B1666" s="23"/>
      <c r="I1666" s="38"/>
      <c r="N1666" s="38"/>
    </row>
    <row r="1667" spans="2:14" x14ac:dyDescent="0.2">
      <c r="B1667" s="23"/>
      <c r="I1667" s="38"/>
      <c r="N1667" s="38"/>
    </row>
    <row r="1668" spans="2:14" x14ac:dyDescent="0.2">
      <c r="B1668" s="23"/>
      <c r="I1668" s="38"/>
      <c r="N1668" s="38"/>
    </row>
    <row r="1669" spans="2:14" x14ac:dyDescent="0.2">
      <c r="B1669" s="23"/>
      <c r="I1669" s="38"/>
      <c r="N1669" s="38"/>
    </row>
    <row r="1670" spans="2:14" x14ac:dyDescent="0.2">
      <c r="B1670" s="23"/>
      <c r="I1670" s="38"/>
      <c r="N1670" s="38"/>
    </row>
    <row r="1671" spans="2:14" x14ac:dyDescent="0.2">
      <c r="B1671" s="23"/>
      <c r="I1671" s="38"/>
      <c r="N1671" s="38"/>
    </row>
    <row r="1672" spans="2:14" x14ac:dyDescent="0.2">
      <c r="B1672" s="23"/>
      <c r="I1672" s="38"/>
      <c r="N1672" s="38"/>
    </row>
    <row r="1673" spans="2:14" x14ac:dyDescent="0.2">
      <c r="B1673" s="23"/>
      <c r="I1673" s="38"/>
      <c r="N1673" s="38"/>
    </row>
    <row r="1674" spans="2:14" x14ac:dyDescent="0.2">
      <c r="B1674" s="23"/>
      <c r="I1674" s="38"/>
      <c r="N1674" s="38"/>
    </row>
    <row r="1675" spans="2:14" x14ac:dyDescent="0.2">
      <c r="B1675" s="23"/>
      <c r="I1675" s="38"/>
      <c r="N1675" s="38"/>
    </row>
    <row r="1676" spans="2:14" x14ac:dyDescent="0.2">
      <c r="B1676" s="23"/>
      <c r="I1676" s="38"/>
      <c r="N1676" s="38"/>
    </row>
    <row r="1677" spans="2:14" x14ac:dyDescent="0.2">
      <c r="B1677" s="23"/>
      <c r="I1677" s="38"/>
      <c r="N1677" s="38"/>
    </row>
    <row r="1678" spans="2:14" x14ac:dyDescent="0.2">
      <c r="B1678" s="23"/>
      <c r="I1678" s="38"/>
      <c r="N1678" s="38"/>
    </row>
    <row r="1679" spans="2:14" x14ac:dyDescent="0.2">
      <c r="B1679" s="23"/>
      <c r="I1679" s="38"/>
      <c r="N1679" s="38"/>
    </row>
    <row r="1680" spans="2:14" x14ac:dyDescent="0.2">
      <c r="B1680" s="23"/>
      <c r="I1680" s="38"/>
      <c r="N1680" s="38"/>
    </row>
    <row r="1681" spans="2:14" x14ac:dyDescent="0.2">
      <c r="B1681" s="23"/>
      <c r="I1681" s="38"/>
      <c r="N1681" s="38"/>
    </row>
    <row r="1682" spans="2:14" x14ac:dyDescent="0.2">
      <c r="B1682" s="23"/>
      <c r="I1682" s="38"/>
      <c r="N1682" s="38"/>
    </row>
    <row r="1683" spans="2:14" x14ac:dyDescent="0.2">
      <c r="B1683" s="23"/>
      <c r="I1683" s="38"/>
      <c r="N1683" s="38"/>
    </row>
    <row r="1684" spans="2:14" x14ac:dyDescent="0.2">
      <c r="B1684" s="23"/>
      <c r="I1684" s="38"/>
      <c r="N1684" s="38"/>
    </row>
    <row r="1685" spans="2:14" x14ac:dyDescent="0.2">
      <c r="B1685" s="23"/>
      <c r="I1685" s="38"/>
      <c r="N1685" s="38"/>
    </row>
    <row r="1686" spans="2:14" x14ac:dyDescent="0.2">
      <c r="B1686" s="23"/>
      <c r="I1686" s="38"/>
      <c r="N1686" s="38"/>
    </row>
    <row r="1687" spans="2:14" x14ac:dyDescent="0.2">
      <c r="B1687" s="23"/>
      <c r="I1687" s="38"/>
      <c r="N1687" s="38"/>
    </row>
    <row r="1688" spans="2:14" x14ac:dyDescent="0.2">
      <c r="B1688" s="23"/>
      <c r="I1688" s="38"/>
      <c r="N1688" s="38"/>
    </row>
    <row r="1689" spans="2:14" x14ac:dyDescent="0.2">
      <c r="B1689" s="23"/>
      <c r="I1689" s="38"/>
      <c r="N1689" s="38"/>
    </row>
    <row r="1690" spans="2:14" x14ac:dyDescent="0.2">
      <c r="B1690" s="23"/>
      <c r="I1690" s="38"/>
      <c r="N1690" s="38"/>
    </row>
    <row r="1691" spans="2:14" x14ac:dyDescent="0.2">
      <c r="B1691" s="23"/>
      <c r="I1691" s="38"/>
      <c r="N1691" s="38"/>
    </row>
    <row r="1692" spans="2:14" x14ac:dyDescent="0.2">
      <c r="B1692" s="23"/>
      <c r="I1692" s="38"/>
      <c r="N1692" s="38"/>
    </row>
    <row r="1693" spans="2:14" x14ac:dyDescent="0.2">
      <c r="B1693" s="23"/>
      <c r="I1693" s="38"/>
      <c r="N1693" s="38"/>
    </row>
    <row r="1694" spans="2:14" x14ac:dyDescent="0.2">
      <c r="B1694" s="23"/>
      <c r="I1694" s="38"/>
      <c r="N1694" s="38"/>
    </row>
    <row r="1695" spans="2:14" x14ac:dyDescent="0.2">
      <c r="B1695" s="23"/>
      <c r="I1695" s="38"/>
      <c r="N1695" s="38"/>
    </row>
    <row r="1696" spans="2:14" x14ac:dyDescent="0.2">
      <c r="B1696" s="23"/>
      <c r="I1696" s="38"/>
      <c r="N1696" s="38"/>
    </row>
    <row r="1697" spans="2:14" x14ac:dyDescent="0.2">
      <c r="B1697" s="23"/>
      <c r="I1697" s="38"/>
      <c r="N1697" s="38"/>
    </row>
    <row r="1698" spans="2:14" x14ac:dyDescent="0.2">
      <c r="B1698" s="23"/>
      <c r="I1698" s="38"/>
      <c r="N1698" s="38"/>
    </row>
    <row r="1699" spans="2:14" x14ac:dyDescent="0.2">
      <c r="B1699" s="23"/>
      <c r="I1699" s="38"/>
      <c r="N1699" s="38"/>
    </row>
    <row r="1700" spans="2:14" x14ac:dyDescent="0.2">
      <c r="B1700" s="23"/>
      <c r="I1700" s="38"/>
      <c r="N1700" s="38"/>
    </row>
    <row r="1701" spans="2:14" x14ac:dyDescent="0.2">
      <c r="B1701" s="23"/>
      <c r="I1701" s="38"/>
      <c r="N1701" s="38"/>
    </row>
    <row r="1702" spans="2:14" x14ac:dyDescent="0.2">
      <c r="B1702" s="23"/>
      <c r="I1702" s="38"/>
      <c r="N1702" s="38"/>
    </row>
    <row r="1703" spans="2:14" x14ac:dyDescent="0.2">
      <c r="B1703" s="23"/>
      <c r="I1703" s="38"/>
      <c r="N1703" s="38"/>
    </row>
    <row r="1704" spans="2:14" x14ac:dyDescent="0.2">
      <c r="B1704" s="23"/>
      <c r="I1704" s="38"/>
      <c r="N1704" s="38"/>
    </row>
    <row r="1705" spans="2:14" x14ac:dyDescent="0.2">
      <c r="B1705" s="23"/>
      <c r="I1705" s="38"/>
      <c r="N1705" s="38"/>
    </row>
    <row r="1706" spans="2:14" x14ac:dyDescent="0.2">
      <c r="B1706" s="23"/>
      <c r="I1706" s="38"/>
      <c r="N1706" s="38"/>
    </row>
    <row r="1707" spans="2:14" x14ac:dyDescent="0.2">
      <c r="B1707" s="23"/>
      <c r="I1707" s="38"/>
      <c r="N1707" s="38"/>
    </row>
    <row r="1708" spans="2:14" x14ac:dyDescent="0.2">
      <c r="B1708" s="23"/>
      <c r="I1708" s="38"/>
      <c r="N1708" s="38"/>
    </row>
    <row r="1709" spans="2:14" x14ac:dyDescent="0.2">
      <c r="B1709" s="23"/>
      <c r="I1709" s="38"/>
      <c r="N1709" s="38"/>
    </row>
    <row r="1710" spans="2:14" x14ac:dyDescent="0.2">
      <c r="B1710" s="23"/>
      <c r="I1710" s="38"/>
      <c r="N1710" s="38"/>
    </row>
    <row r="1711" spans="2:14" x14ac:dyDescent="0.2">
      <c r="B1711" s="23"/>
      <c r="I1711" s="38"/>
      <c r="N1711" s="38"/>
    </row>
    <row r="1712" spans="2:14" x14ac:dyDescent="0.2">
      <c r="B1712" s="23"/>
      <c r="I1712" s="38"/>
      <c r="N1712" s="38"/>
    </row>
    <row r="1713" spans="2:14" x14ac:dyDescent="0.2">
      <c r="B1713" s="23"/>
      <c r="I1713" s="38"/>
      <c r="N1713" s="38"/>
    </row>
    <row r="1714" spans="2:14" x14ac:dyDescent="0.2">
      <c r="B1714" s="23"/>
      <c r="I1714" s="38"/>
      <c r="N1714" s="38"/>
    </row>
    <row r="1715" spans="2:14" x14ac:dyDescent="0.2">
      <c r="B1715" s="23"/>
      <c r="I1715" s="38"/>
      <c r="N1715" s="38"/>
    </row>
    <row r="1716" spans="2:14" x14ac:dyDescent="0.2">
      <c r="B1716" s="23"/>
      <c r="I1716" s="38"/>
      <c r="N1716" s="38"/>
    </row>
    <row r="1717" spans="2:14" x14ac:dyDescent="0.2">
      <c r="B1717" s="23"/>
      <c r="I1717" s="38"/>
      <c r="N1717" s="38"/>
    </row>
    <row r="1718" spans="2:14" x14ac:dyDescent="0.2">
      <c r="B1718" s="23"/>
      <c r="I1718" s="38"/>
      <c r="N1718" s="38"/>
    </row>
    <row r="1719" spans="2:14" x14ac:dyDescent="0.2">
      <c r="B1719" s="23"/>
      <c r="I1719" s="38"/>
      <c r="N1719" s="38"/>
    </row>
    <row r="1720" spans="2:14" x14ac:dyDescent="0.2">
      <c r="B1720" s="23"/>
      <c r="I1720" s="38"/>
      <c r="N1720" s="38"/>
    </row>
    <row r="1721" spans="2:14" x14ac:dyDescent="0.2">
      <c r="B1721" s="23"/>
      <c r="I1721" s="38"/>
      <c r="N1721" s="38"/>
    </row>
    <row r="1722" spans="2:14" x14ac:dyDescent="0.2">
      <c r="B1722" s="23"/>
      <c r="I1722" s="38"/>
      <c r="N1722" s="38"/>
    </row>
    <row r="1723" spans="2:14" x14ac:dyDescent="0.2">
      <c r="B1723" s="23"/>
      <c r="I1723" s="38"/>
      <c r="N1723" s="38"/>
    </row>
    <row r="1724" spans="2:14" x14ac:dyDescent="0.2">
      <c r="B1724" s="23"/>
      <c r="I1724" s="38"/>
      <c r="N1724" s="38"/>
    </row>
    <row r="1725" spans="2:14" x14ac:dyDescent="0.2">
      <c r="B1725" s="23"/>
      <c r="I1725" s="38"/>
      <c r="N1725" s="38"/>
    </row>
    <row r="1726" spans="2:14" x14ac:dyDescent="0.2">
      <c r="B1726" s="23"/>
      <c r="I1726" s="38"/>
      <c r="N1726" s="38"/>
    </row>
    <row r="1727" spans="2:14" x14ac:dyDescent="0.2">
      <c r="B1727" s="23"/>
      <c r="I1727" s="38"/>
      <c r="N1727" s="38"/>
    </row>
    <row r="1728" spans="2:14" x14ac:dyDescent="0.2">
      <c r="B1728" s="23"/>
      <c r="I1728" s="38"/>
      <c r="N1728" s="38"/>
    </row>
    <row r="1729" spans="2:14" x14ac:dyDescent="0.2">
      <c r="B1729" s="23"/>
      <c r="I1729" s="38"/>
      <c r="N1729" s="38"/>
    </row>
    <row r="1730" spans="2:14" x14ac:dyDescent="0.2">
      <c r="B1730" s="23"/>
      <c r="I1730" s="38"/>
      <c r="N1730" s="38"/>
    </row>
    <row r="1731" spans="2:14" x14ac:dyDescent="0.2">
      <c r="B1731" s="23"/>
      <c r="I1731" s="38"/>
      <c r="N1731" s="38"/>
    </row>
    <row r="1732" spans="2:14" x14ac:dyDescent="0.2">
      <c r="B1732" s="23"/>
      <c r="I1732" s="38"/>
      <c r="N1732" s="38"/>
    </row>
    <row r="1733" spans="2:14" x14ac:dyDescent="0.2">
      <c r="B1733" s="23"/>
      <c r="I1733" s="38"/>
      <c r="N1733" s="38"/>
    </row>
    <row r="1734" spans="2:14" x14ac:dyDescent="0.2">
      <c r="B1734" s="23"/>
      <c r="I1734" s="38"/>
      <c r="N1734" s="38"/>
    </row>
    <row r="1735" spans="2:14" x14ac:dyDescent="0.2">
      <c r="B1735" s="23"/>
      <c r="I1735" s="38"/>
      <c r="N1735" s="38"/>
    </row>
    <row r="1736" spans="2:14" x14ac:dyDescent="0.2">
      <c r="B1736" s="23"/>
      <c r="I1736" s="38"/>
      <c r="N1736" s="38"/>
    </row>
    <row r="1737" spans="2:14" x14ac:dyDescent="0.2">
      <c r="B1737" s="23"/>
      <c r="I1737" s="38"/>
      <c r="N1737" s="38"/>
    </row>
    <row r="1738" spans="2:14" x14ac:dyDescent="0.2">
      <c r="B1738" s="23"/>
      <c r="I1738" s="38"/>
      <c r="N1738" s="38"/>
    </row>
    <row r="1739" spans="2:14" x14ac:dyDescent="0.2">
      <c r="B1739" s="23"/>
      <c r="I1739" s="38"/>
      <c r="N1739" s="38"/>
    </row>
    <row r="1740" spans="2:14" x14ac:dyDescent="0.2">
      <c r="B1740" s="23"/>
      <c r="I1740" s="38"/>
      <c r="N1740" s="38"/>
    </row>
    <row r="1741" spans="2:14" x14ac:dyDescent="0.2">
      <c r="B1741" s="23"/>
      <c r="I1741" s="38"/>
      <c r="N1741" s="38"/>
    </row>
    <row r="1742" spans="2:14" x14ac:dyDescent="0.2">
      <c r="B1742" s="23"/>
      <c r="I1742" s="38"/>
      <c r="N1742" s="38"/>
    </row>
    <row r="1743" spans="2:14" x14ac:dyDescent="0.2">
      <c r="B1743" s="23"/>
      <c r="I1743" s="38"/>
      <c r="N1743" s="38"/>
    </row>
    <row r="1744" spans="2:14" x14ac:dyDescent="0.2">
      <c r="B1744" s="23"/>
      <c r="I1744" s="38"/>
      <c r="N1744" s="38"/>
    </row>
    <row r="1745" spans="2:14" x14ac:dyDescent="0.2">
      <c r="B1745" s="23"/>
      <c r="I1745" s="38"/>
      <c r="N1745" s="38"/>
    </row>
    <row r="1746" spans="2:14" x14ac:dyDescent="0.2">
      <c r="B1746" s="23"/>
      <c r="I1746" s="38"/>
      <c r="N1746" s="38"/>
    </row>
    <row r="1747" spans="2:14" x14ac:dyDescent="0.2">
      <c r="B1747" s="23"/>
      <c r="I1747" s="38"/>
      <c r="N1747" s="38"/>
    </row>
    <row r="1748" spans="2:14" x14ac:dyDescent="0.2">
      <c r="B1748" s="23"/>
      <c r="I1748" s="38"/>
      <c r="N1748" s="38"/>
    </row>
    <row r="1749" spans="2:14" x14ac:dyDescent="0.2">
      <c r="B1749" s="23"/>
      <c r="I1749" s="38"/>
      <c r="N1749" s="38"/>
    </row>
    <row r="1750" spans="2:14" x14ac:dyDescent="0.2">
      <c r="B1750" s="23"/>
      <c r="I1750" s="38"/>
      <c r="N1750" s="38"/>
    </row>
    <row r="1751" spans="2:14" x14ac:dyDescent="0.2">
      <c r="B1751" s="23"/>
      <c r="I1751" s="38"/>
      <c r="N1751" s="38"/>
    </row>
    <row r="1752" spans="2:14" x14ac:dyDescent="0.2">
      <c r="B1752" s="23"/>
      <c r="I1752" s="38"/>
      <c r="N1752" s="38"/>
    </row>
    <row r="1753" spans="2:14" x14ac:dyDescent="0.2">
      <c r="B1753" s="23"/>
      <c r="I1753" s="38"/>
      <c r="N1753" s="38"/>
    </row>
    <row r="1754" spans="2:14" x14ac:dyDescent="0.2">
      <c r="B1754" s="23"/>
      <c r="I1754" s="38"/>
      <c r="N1754" s="38"/>
    </row>
    <row r="1755" spans="2:14" x14ac:dyDescent="0.2">
      <c r="B1755" s="23"/>
      <c r="I1755" s="38"/>
      <c r="N1755" s="38"/>
    </row>
    <row r="1756" spans="2:14" x14ac:dyDescent="0.2">
      <c r="B1756" s="23"/>
      <c r="I1756" s="38"/>
      <c r="N1756" s="38"/>
    </row>
    <row r="1757" spans="2:14" x14ac:dyDescent="0.2">
      <c r="B1757" s="23"/>
      <c r="I1757" s="38"/>
      <c r="N1757" s="38"/>
    </row>
    <row r="1758" spans="2:14" x14ac:dyDescent="0.2">
      <c r="B1758" s="23"/>
      <c r="I1758" s="38"/>
      <c r="N1758" s="38"/>
    </row>
    <row r="1759" spans="2:14" x14ac:dyDescent="0.2">
      <c r="B1759" s="23"/>
      <c r="I1759" s="38"/>
      <c r="N1759" s="38"/>
    </row>
    <row r="1760" spans="2:14" x14ac:dyDescent="0.2">
      <c r="B1760" s="23"/>
      <c r="I1760" s="38"/>
      <c r="N1760" s="38"/>
    </row>
    <row r="1761" spans="2:14" x14ac:dyDescent="0.2">
      <c r="B1761" s="23"/>
      <c r="I1761" s="38"/>
      <c r="N1761" s="38"/>
    </row>
    <row r="1762" spans="2:14" x14ac:dyDescent="0.2">
      <c r="B1762" s="23"/>
      <c r="I1762" s="38"/>
      <c r="N1762" s="38"/>
    </row>
    <row r="1763" spans="2:14" x14ac:dyDescent="0.2">
      <c r="B1763" s="23"/>
      <c r="I1763" s="38"/>
      <c r="N1763" s="38"/>
    </row>
    <row r="1764" spans="2:14" x14ac:dyDescent="0.2">
      <c r="B1764" s="23"/>
      <c r="I1764" s="38"/>
      <c r="N1764" s="38"/>
    </row>
    <row r="1765" spans="2:14" x14ac:dyDescent="0.2">
      <c r="B1765" s="23"/>
      <c r="I1765" s="38"/>
      <c r="N1765" s="38"/>
    </row>
    <row r="1766" spans="2:14" x14ac:dyDescent="0.2">
      <c r="B1766" s="23"/>
      <c r="I1766" s="38"/>
      <c r="N1766" s="38"/>
    </row>
    <row r="1767" spans="2:14" x14ac:dyDescent="0.2">
      <c r="B1767" s="23"/>
      <c r="I1767" s="38"/>
      <c r="N1767" s="38"/>
    </row>
    <row r="1768" spans="2:14" x14ac:dyDescent="0.2">
      <c r="B1768" s="23"/>
      <c r="I1768" s="38"/>
      <c r="N1768" s="38"/>
    </row>
    <row r="1769" spans="2:14" x14ac:dyDescent="0.2">
      <c r="B1769" s="23"/>
      <c r="I1769" s="38"/>
      <c r="N1769" s="38"/>
    </row>
    <row r="1770" spans="2:14" x14ac:dyDescent="0.2">
      <c r="B1770" s="23"/>
      <c r="I1770" s="38"/>
      <c r="N1770" s="38"/>
    </row>
    <row r="1771" spans="2:14" x14ac:dyDescent="0.2">
      <c r="B1771" s="23"/>
      <c r="I1771" s="38"/>
      <c r="N1771" s="38"/>
    </row>
    <row r="1772" spans="2:14" x14ac:dyDescent="0.2">
      <c r="B1772" s="23"/>
      <c r="I1772" s="38"/>
      <c r="N1772" s="38"/>
    </row>
    <row r="1773" spans="2:14" x14ac:dyDescent="0.2">
      <c r="B1773" s="23"/>
      <c r="I1773" s="38"/>
      <c r="N1773" s="38"/>
    </row>
    <row r="1774" spans="2:14" x14ac:dyDescent="0.2">
      <c r="B1774" s="23"/>
      <c r="I1774" s="38"/>
      <c r="N1774" s="38"/>
    </row>
    <row r="1775" spans="2:14" x14ac:dyDescent="0.2">
      <c r="B1775" s="23"/>
      <c r="I1775" s="38"/>
      <c r="N1775" s="38"/>
    </row>
    <row r="1776" spans="2:14" x14ac:dyDescent="0.2">
      <c r="B1776" s="23"/>
      <c r="I1776" s="38"/>
      <c r="N1776" s="38"/>
    </row>
    <row r="1777" spans="2:14" x14ac:dyDescent="0.2">
      <c r="B1777" s="23"/>
      <c r="I1777" s="38"/>
      <c r="N1777" s="38"/>
    </row>
    <row r="1778" spans="2:14" x14ac:dyDescent="0.2">
      <c r="B1778" s="23"/>
      <c r="I1778" s="38"/>
      <c r="N1778" s="38"/>
    </row>
    <row r="1779" spans="2:14" x14ac:dyDescent="0.2">
      <c r="B1779" s="23"/>
      <c r="I1779" s="38"/>
      <c r="N1779" s="38"/>
    </row>
    <row r="1780" spans="2:14" x14ac:dyDescent="0.2">
      <c r="B1780" s="23"/>
      <c r="I1780" s="38"/>
      <c r="N1780" s="38"/>
    </row>
    <row r="1781" spans="2:14" x14ac:dyDescent="0.2">
      <c r="B1781" s="23"/>
      <c r="I1781" s="38"/>
      <c r="N1781" s="38"/>
    </row>
    <row r="1782" spans="2:14" x14ac:dyDescent="0.2">
      <c r="B1782" s="23"/>
      <c r="I1782" s="38"/>
      <c r="N1782" s="38"/>
    </row>
    <row r="1783" spans="2:14" x14ac:dyDescent="0.2">
      <c r="B1783" s="23"/>
      <c r="I1783" s="38"/>
      <c r="N1783" s="38"/>
    </row>
    <row r="1784" spans="2:14" x14ac:dyDescent="0.2">
      <c r="B1784" s="23"/>
      <c r="I1784" s="38"/>
      <c r="N1784" s="38"/>
    </row>
    <row r="1785" spans="2:14" x14ac:dyDescent="0.2">
      <c r="B1785" s="23"/>
      <c r="I1785" s="38"/>
      <c r="N1785" s="38"/>
    </row>
    <row r="1786" spans="2:14" x14ac:dyDescent="0.2">
      <c r="B1786" s="23"/>
      <c r="I1786" s="38"/>
      <c r="N1786" s="38"/>
    </row>
    <row r="1787" spans="2:14" x14ac:dyDescent="0.2">
      <c r="B1787" s="23"/>
      <c r="I1787" s="38"/>
      <c r="N1787" s="38"/>
    </row>
    <row r="1788" spans="2:14" x14ac:dyDescent="0.2">
      <c r="B1788" s="23"/>
      <c r="I1788" s="38"/>
      <c r="N1788" s="38"/>
    </row>
    <row r="1789" spans="2:14" x14ac:dyDescent="0.2">
      <c r="B1789" s="23"/>
      <c r="I1789" s="38"/>
      <c r="N1789" s="38"/>
    </row>
    <row r="1790" spans="2:14" x14ac:dyDescent="0.2">
      <c r="B1790" s="23"/>
      <c r="I1790" s="38"/>
      <c r="N1790" s="38"/>
    </row>
    <row r="1791" spans="2:14" x14ac:dyDescent="0.2">
      <c r="B1791" s="23"/>
      <c r="I1791" s="38"/>
      <c r="N1791" s="38"/>
    </row>
    <row r="1792" spans="2:14" x14ac:dyDescent="0.2">
      <c r="B1792" s="23"/>
      <c r="I1792" s="38"/>
      <c r="N1792" s="38"/>
    </row>
    <row r="1793" spans="2:14" x14ac:dyDescent="0.2">
      <c r="B1793" s="23"/>
      <c r="I1793" s="38"/>
      <c r="N1793" s="38"/>
    </row>
    <row r="1794" spans="2:14" x14ac:dyDescent="0.2">
      <c r="B1794" s="23"/>
      <c r="I1794" s="38"/>
      <c r="N1794" s="38"/>
    </row>
    <row r="1795" spans="2:14" x14ac:dyDescent="0.2">
      <c r="B1795" s="23"/>
      <c r="I1795" s="38"/>
      <c r="N1795" s="38"/>
    </row>
    <row r="1796" spans="2:14" x14ac:dyDescent="0.2">
      <c r="B1796" s="23"/>
      <c r="I1796" s="38"/>
      <c r="N1796" s="38"/>
    </row>
    <row r="1797" spans="2:14" x14ac:dyDescent="0.2">
      <c r="B1797" s="23"/>
      <c r="I1797" s="38"/>
      <c r="N1797" s="38"/>
    </row>
    <row r="1798" spans="2:14" x14ac:dyDescent="0.2">
      <c r="B1798" s="23"/>
      <c r="I1798" s="38"/>
      <c r="N1798" s="38"/>
    </row>
    <row r="1799" spans="2:14" x14ac:dyDescent="0.2">
      <c r="B1799" s="23"/>
      <c r="I1799" s="38"/>
      <c r="N1799" s="38"/>
    </row>
    <row r="1800" spans="2:14" x14ac:dyDescent="0.2">
      <c r="B1800" s="23"/>
      <c r="I1800" s="38"/>
      <c r="N1800" s="38"/>
    </row>
    <row r="1801" spans="2:14" x14ac:dyDescent="0.2">
      <c r="B1801" s="23"/>
      <c r="I1801" s="38"/>
      <c r="N1801" s="38"/>
    </row>
    <row r="1802" spans="2:14" x14ac:dyDescent="0.2">
      <c r="B1802" s="23"/>
      <c r="I1802" s="38"/>
      <c r="N1802" s="38"/>
    </row>
    <row r="1803" spans="2:14" x14ac:dyDescent="0.2">
      <c r="B1803" s="23"/>
      <c r="I1803" s="38"/>
      <c r="N1803" s="38"/>
    </row>
    <row r="1804" spans="2:14" x14ac:dyDescent="0.2">
      <c r="B1804" s="23"/>
      <c r="I1804" s="38"/>
      <c r="N1804" s="38"/>
    </row>
    <row r="1805" spans="2:14" x14ac:dyDescent="0.2">
      <c r="B1805" s="23"/>
      <c r="I1805" s="38"/>
      <c r="N1805" s="38"/>
    </row>
    <row r="1806" spans="2:14" x14ac:dyDescent="0.2">
      <c r="B1806" s="23"/>
      <c r="I1806" s="38"/>
      <c r="N1806" s="38"/>
    </row>
    <row r="1807" spans="2:14" x14ac:dyDescent="0.2">
      <c r="B1807" s="23"/>
      <c r="I1807" s="38"/>
      <c r="N1807" s="38"/>
    </row>
    <row r="1808" spans="2:14" x14ac:dyDescent="0.2">
      <c r="B1808" s="23"/>
      <c r="I1808" s="38"/>
      <c r="N1808" s="38"/>
    </row>
    <row r="1809" spans="2:14" x14ac:dyDescent="0.2">
      <c r="B1809" s="23"/>
      <c r="I1809" s="38"/>
      <c r="N1809" s="38"/>
    </row>
    <row r="1810" spans="2:14" x14ac:dyDescent="0.2">
      <c r="B1810" s="23"/>
      <c r="I1810" s="38"/>
      <c r="N1810" s="38"/>
    </row>
    <row r="1811" spans="2:14" x14ac:dyDescent="0.2">
      <c r="B1811" s="23"/>
      <c r="I1811" s="38"/>
      <c r="N1811" s="38"/>
    </row>
    <row r="1812" spans="2:14" x14ac:dyDescent="0.2">
      <c r="B1812" s="23"/>
      <c r="I1812" s="38"/>
      <c r="N1812" s="38"/>
    </row>
    <row r="1813" spans="2:14" x14ac:dyDescent="0.2">
      <c r="B1813" s="23"/>
      <c r="I1813" s="38"/>
      <c r="N1813" s="38"/>
    </row>
    <row r="1814" spans="2:14" x14ac:dyDescent="0.2">
      <c r="B1814" s="23"/>
      <c r="I1814" s="38"/>
      <c r="N1814" s="38"/>
    </row>
    <row r="1815" spans="2:14" x14ac:dyDescent="0.2">
      <c r="B1815" s="23"/>
      <c r="I1815" s="38"/>
      <c r="N1815" s="38"/>
    </row>
    <row r="1816" spans="2:14" x14ac:dyDescent="0.2">
      <c r="B1816" s="23"/>
      <c r="I1816" s="38"/>
      <c r="N1816" s="38"/>
    </row>
    <row r="1817" spans="2:14" x14ac:dyDescent="0.2">
      <c r="B1817" s="23"/>
      <c r="I1817" s="38"/>
      <c r="N1817" s="38"/>
    </row>
    <row r="1818" spans="2:14" x14ac:dyDescent="0.2">
      <c r="B1818" s="23"/>
      <c r="I1818" s="38"/>
      <c r="N1818" s="38"/>
    </row>
    <row r="1819" spans="2:14" x14ac:dyDescent="0.2">
      <c r="B1819" s="23"/>
      <c r="I1819" s="38"/>
      <c r="N1819" s="38"/>
    </row>
    <row r="1820" spans="2:14" x14ac:dyDescent="0.2">
      <c r="B1820" s="23"/>
      <c r="I1820" s="38"/>
      <c r="N1820" s="38"/>
    </row>
    <row r="1821" spans="2:14" x14ac:dyDescent="0.2">
      <c r="B1821" s="23"/>
      <c r="I1821" s="38"/>
      <c r="N1821" s="38"/>
    </row>
    <row r="1822" spans="2:14" x14ac:dyDescent="0.2">
      <c r="B1822" s="23"/>
      <c r="I1822" s="38"/>
      <c r="N1822" s="38"/>
    </row>
    <row r="1823" spans="2:14" x14ac:dyDescent="0.2">
      <c r="B1823" s="23"/>
      <c r="I1823" s="38"/>
      <c r="N1823" s="38"/>
    </row>
    <row r="1824" spans="2:14" x14ac:dyDescent="0.2">
      <c r="B1824" s="23"/>
      <c r="I1824" s="38"/>
      <c r="N1824" s="38"/>
    </row>
    <row r="1825" spans="2:14" x14ac:dyDescent="0.2">
      <c r="B1825" s="23"/>
      <c r="I1825" s="38"/>
      <c r="N1825" s="38"/>
    </row>
    <row r="1826" spans="2:14" x14ac:dyDescent="0.2">
      <c r="B1826" s="23"/>
      <c r="I1826" s="38"/>
      <c r="N1826" s="38"/>
    </row>
    <row r="1827" spans="2:14" x14ac:dyDescent="0.2">
      <c r="B1827" s="23"/>
      <c r="I1827" s="38"/>
      <c r="N1827" s="38"/>
    </row>
    <row r="1828" spans="2:14" x14ac:dyDescent="0.2">
      <c r="B1828" s="23"/>
      <c r="I1828" s="38"/>
      <c r="N1828" s="38"/>
    </row>
    <row r="1829" spans="2:14" x14ac:dyDescent="0.2">
      <c r="B1829" s="23"/>
      <c r="I1829" s="38"/>
      <c r="N1829" s="38"/>
    </row>
    <row r="1830" spans="2:14" x14ac:dyDescent="0.2">
      <c r="B1830" s="23"/>
      <c r="I1830" s="38"/>
      <c r="N1830" s="38"/>
    </row>
    <row r="1831" spans="2:14" x14ac:dyDescent="0.2">
      <c r="B1831" s="23"/>
      <c r="I1831" s="38"/>
      <c r="N1831" s="38"/>
    </row>
    <row r="1832" spans="2:14" x14ac:dyDescent="0.2">
      <c r="B1832" s="23"/>
      <c r="I1832" s="38"/>
      <c r="N1832" s="38"/>
    </row>
    <row r="1833" spans="2:14" x14ac:dyDescent="0.2">
      <c r="B1833" s="23"/>
      <c r="I1833" s="38"/>
      <c r="N1833" s="38"/>
    </row>
    <row r="1834" spans="2:14" x14ac:dyDescent="0.2">
      <c r="B1834" s="23"/>
      <c r="I1834" s="38"/>
      <c r="N1834" s="38"/>
    </row>
    <row r="1835" spans="2:14" x14ac:dyDescent="0.2">
      <c r="B1835" s="23"/>
      <c r="I1835" s="38"/>
      <c r="N1835" s="38"/>
    </row>
    <row r="1836" spans="2:14" x14ac:dyDescent="0.2">
      <c r="B1836" s="23"/>
      <c r="I1836" s="38"/>
      <c r="N1836" s="38"/>
    </row>
    <row r="1837" spans="2:14" x14ac:dyDescent="0.2">
      <c r="B1837" s="23"/>
      <c r="I1837" s="38"/>
      <c r="N1837" s="38"/>
    </row>
    <row r="1838" spans="2:14" x14ac:dyDescent="0.2">
      <c r="B1838" s="23"/>
      <c r="I1838" s="38"/>
      <c r="N1838" s="38"/>
    </row>
    <row r="1839" spans="2:14" x14ac:dyDescent="0.2">
      <c r="B1839" s="23"/>
      <c r="I1839" s="38"/>
      <c r="N1839" s="38"/>
    </row>
    <row r="1840" spans="2:14" x14ac:dyDescent="0.2">
      <c r="B1840" s="23"/>
      <c r="I1840" s="38"/>
      <c r="N1840" s="38"/>
    </row>
    <row r="1841" spans="2:14" x14ac:dyDescent="0.2">
      <c r="B1841" s="23"/>
      <c r="I1841" s="38"/>
      <c r="N1841" s="38"/>
    </row>
    <row r="1842" spans="2:14" x14ac:dyDescent="0.2">
      <c r="B1842" s="23"/>
      <c r="I1842" s="38"/>
      <c r="N1842" s="38"/>
    </row>
    <row r="1843" spans="2:14" x14ac:dyDescent="0.2">
      <c r="B1843" s="23"/>
      <c r="I1843" s="38"/>
      <c r="N1843" s="38"/>
    </row>
    <row r="1844" spans="2:14" x14ac:dyDescent="0.2">
      <c r="B1844" s="23"/>
      <c r="I1844" s="38"/>
      <c r="N1844" s="38"/>
    </row>
    <row r="1845" spans="2:14" x14ac:dyDescent="0.2">
      <c r="B1845" s="23"/>
      <c r="I1845" s="38"/>
      <c r="N1845" s="38"/>
    </row>
    <row r="1846" spans="2:14" x14ac:dyDescent="0.2">
      <c r="B1846" s="23"/>
      <c r="I1846" s="38"/>
      <c r="N1846" s="38"/>
    </row>
    <row r="1847" spans="2:14" x14ac:dyDescent="0.2">
      <c r="B1847" s="23"/>
      <c r="I1847" s="38"/>
      <c r="N1847" s="38"/>
    </row>
    <row r="1848" spans="2:14" x14ac:dyDescent="0.2">
      <c r="B1848" s="23"/>
      <c r="I1848" s="38"/>
      <c r="N1848" s="38"/>
    </row>
    <row r="1849" spans="2:14" x14ac:dyDescent="0.2">
      <c r="B1849" s="23"/>
      <c r="I1849" s="38"/>
      <c r="N1849" s="38"/>
    </row>
    <row r="1850" spans="2:14" x14ac:dyDescent="0.2">
      <c r="B1850" s="23"/>
      <c r="I1850" s="38"/>
      <c r="N1850" s="38"/>
    </row>
    <row r="1851" spans="2:14" x14ac:dyDescent="0.2">
      <c r="B1851" s="23"/>
      <c r="I1851" s="38"/>
      <c r="N1851" s="38"/>
    </row>
    <row r="1852" spans="2:14" x14ac:dyDescent="0.2">
      <c r="B1852" s="23"/>
      <c r="I1852" s="38"/>
      <c r="N1852" s="38"/>
    </row>
    <row r="1853" spans="2:14" x14ac:dyDescent="0.2">
      <c r="B1853" s="23"/>
      <c r="I1853" s="38"/>
      <c r="N1853" s="38"/>
    </row>
    <row r="1854" spans="2:14" x14ac:dyDescent="0.2">
      <c r="B1854" s="23"/>
      <c r="I1854" s="38"/>
      <c r="N1854" s="38"/>
    </row>
    <row r="1855" spans="2:14" x14ac:dyDescent="0.2">
      <c r="B1855" s="23"/>
      <c r="I1855" s="38"/>
      <c r="N1855" s="38"/>
    </row>
    <row r="1856" spans="2:14" x14ac:dyDescent="0.2">
      <c r="B1856" s="23"/>
      <c r="I1856" s="38"/>
      <c r="N1856" s="38"/>
    </row>
    <row r="1857" spans="2:14" x14ac:dyDescent="0.2">
      <c r="B1857" s="23"/>
      <c r="I1857" s="38"/>
      <c r="N1857" s="38"/>
    </row>
    <row r="1858" spans="2:14" x14ac:dyDescent="0.2">
      <c r="B1858" s="23"/>
      <c r="I1858" s="38"/>
      <c r="N1858" s="38"/>
    </row>
    <row r="1859" spans="2:14" x14ac:dyDescent="0.2">
      <c r="B1859" s="23"/>
      <c r="I1859" s="38"/>
      <c r="N1859" s="38"/>
    </row>
    <row r="1860" spans="2:14" x14ac:dyDescent="0.2">
      <c r="B1860" s="23"/>
      <c r="I1860" s="38"/>
      <c r="N1860" s="38"/>
    </row>
    <row r="1861" spans="2:14" x14ac:dyDescent="0.2">
      <c r="B1861" s="23"/>
      <c r="I1861" s="38"/>
      <c r="N1861" s="38"/>
    </row>
    <row r="1862" spans="2:14" x14ac:dyDescent="0.2">
      <c r="B1862" s="23"/>
      <c r="I1862" s="38"/>
      <c r="N1862" s="38"/>
    </row>
    <row r="1863" spans="2:14" x14ac:dyDescent="0.2">
      <c r="B1863" s="23"/>
      <c r="I1863" s="38"/>
      <c r="N1863" s="38"/>
    </row>
    <row r="1864" spans="2:14" x14ac:dyDescent="0.2">
      <c r="B1864" s="23"/>
      <c r="I1864" s="38"/>
      <c r="N1864" s="38"/>
    </row>
    <row r="1865" spans="2:14" x14ac:dyDescent="0.2">
      <c r="B1865" s="23"/>
      <c r="I1865" s="38"/>
      <c r="N1865" s="38"/>
    </row>
    <row r="1866" spans="2:14" x14ac:dyDescent="0.2">
      <c r="B1866" s="23"/>
      <c r="I1866" s="38"/>
      <c r="N1866" s="38"/>
    </row>
    <row r="1867" spans="2:14" x14ac:dyDescent="0.2">
      <c r="B1867" s="23"/>
      <c r="I1867" s="38"/>
      <c r="N1867" s="38"/>
    </row>
    <row r="1868" spans="2:14" x14ac:dyDescent="0.2">
      <c r="B1868" s="23"/>
      <c r="I1868" s="38"/>
      <c r="N1868" s="38"/>
    </row>
    <row r="1869" spans="2:14" x14ac:dyDescent="0.2">
      <c r="B1869" s="23"/>
      <c r="I1869" s="38"/>
      <c r="N1869" s="38"/>
    </row>
    <row r="1870" spans="2:14" x14ac:dyDescent="0.2">
      <c r="B1870" s="23"/>
      <c r="I1870" s="38"/>
      <c r="N1870" s="38"/>
    </row>
    <row r="1871" spans="2:14" x14ac:dyDescent="0.2">
      <c r="B1871" s="23"/>
      <c r="I1871" s="38"/>
      <c r="N1871" s="38"/>
    </row>
    <row r="1872" spans="2:14" x14ac:dyDescent="0.2">
      <c r="B1872" s="23"/>
      <c r="I1872" s="38"/>
      <c r="N1872" s="38"/>
    </row>
    <row r="1873" spans="2:14" x14ac:dyDescent="0.2">
      <c r="B1873" s="23"/>
      <c r="I1873" s="38"/>
      <c r="N1873" s="38"/>
    </row>
    <row r="1874" spans="2:14" x14ac:dyDescent="0.2">
      <c r="B1874" s="23"/>
      <c r="I1874" s="38"/>
      <c r="N1874" s="38"/>
    </row>
    <row r="1875" spans="2:14" x14ac:dyDescent="0.2">
      <c r="B1875" s="23"/>
      <c r="I1875" s="38"/>
      <c r="N1875" s="38"/>
    </row>
    <row r="1876" spans="2:14" x14ac:dyDescent="0.2">
      <c r="B1876" s="23"/>
      <c r="I1876" s="38"/>
      <c r="N1876" s="38"/>
    </row>
    <row r="1877" spans="2:14" x14ac:dyDescent="0.2">
      <c r="B1877" s="23"/>
      <c r="I1877" s="38"/>
      <c r="N1877" s="38"/>
    </row>
    <row r="1878" spans="2:14" x14ac:dyDescent="0.2">
      <c r="B1878" s="23"/>
      <c r="I1878" s="38"/>
      <c r="N1878" s="38"/>
    </row>
    <row r="1879" spans="2:14" x14ac:dyDescent="0.2">
      <c r="B1879" s="23"/>
      <c r="I1879" s="38"/>
      <c r="N1879" s="38"/>
    </row>
    <row r="1880" spans="2:14" x14ac:dyDescent="0.2">
      <c r="B1880" s="23"/>
      <c r="I1880" s="38"/>
      <c r="N1880" s="38"/>
    </row>
    <row r="1881" spans="2:14" x14ac:dyDescent="0.2">
      <c r="B1881" s="23"/>
      <c r="I1881" s="38"/>
      <c r="N1881" s="38"/>
    </row>
    <row r="1882" spans="2:14" x14ac:dyDescent="0.2">
      <c r="B1882" s="23"/>
      <c r="I1882" s="38"/>
      <c r="N1882" s="38"/>
    </row>
    <row r="1883" spans="2:14" x14ac:dyDescent="0.2">
      <c r="B1883" s="23"/>
      <c r="I1883" s="38"/>
      <c r="N1883" s="38"/>
    </row>
    <row r="1884" spans="2:14" x14ac:dyDescent="0.2">
      <c r="B1884" s="23"/>
      <c r="I1884" s="38"/>
      <c r="N1884" s="38"/>
    </row>
    <row r="1885" spans="2:14" x14ac:dyDescent="0.2">
      <c r="B1885" s="23"/>
      <c r="I1885" s="38"/>
      <c r="N1885" s="38"/>
    </row>
    <row r="1886" spans="2:14" x14ac:dyDescent="0.2">
      <c r="B1886" s="23"/>
      <c r="I1886" s="38"/>
      <c r="N1886" s="38"/>
    </row>
    <row r="1887" spans="2:14" x14ac:dyDescent="0.2">
      <c r="B1887" s="23"/>
      <c r="I1887" s="38"/>
      <c r="N1887" s="38"/>
    </row>
    <row r="1888" spans="2:14" x14ac:dyDescent="0.2">
      <c r="B1888" s="23"/>
      <c r="I1888" s="38"/>
      <c r="N1888" s="38"/>
    </row>
    <row r="1889" spans="2:14" x14ac:dyDescent="0.2">
      <c r="B1889" s="23"/>
      <c r="I1889" s="38"/>
      <c r="N1889" s="38"/>
    </row>
    <row r="1890" spans="2:14" x14ac:dyDescent="0.2">
      <c r="B1890" s="23"/>
      <c r="I1890" s="38"/>
      <c r="N1890" s="38"/>
    </row>
    <row r="1891" spans="2:14" x14ac:dyDescent="0.2">
      <c r="B1891" s="23"/>
      <c r="I1891" s="38"/>
      <c r="N1891" s="38"/>
    </row>
    <row r="1892" spans="2:14" x14ac:dyDescent="0.2">
      <c r="B1892" s="23"/>
      <c r="I1892" s="38"/>
      <c r="N1892" s="38"/>
    </row>
    <row r="1893" spans="2:14" x14ac:dyDescent="0.2">
      <c r="B1893" s="23"/>
      <c r="I1893" s="38"/>
      <c r="N1893" s="38"/>
    </row>
    <row r="1894" spans="2:14" x14ac:dyDescent="0.2">
      <c r="B1894" s="23"/>
      <c r="I1894" s="38"/>
      <c r="N1894" s="38"/>
    </row>
    <row r="1895" spans="2:14" x14ac:dyDescent="0.2">
      <c r="B1895" s="23"/>
      <c r="I1895" s="38"/>
      <c r="N1895" s="38"/>
    </row>
    <row r="1896" spans="2:14" x14ac:dyDescent="0.2">
      <c r="B1896" s="23"/>
      <c r="I1896" s="38"/>
      <c r="N1896" s="38"/>
    </row>
    <row r="1897" spans="2:14" x14ac:dyDescent="0.2">
      <c r="B1897" s="23"/>
      <c r="I1897" s="38"/>
      <c r="N1897" s="38"/>
    </row>
    <row r="1898" spans="2:14" x14ac:dyDescent="0.2">
      <c r="B1898" s="23"/>
      <c r="I1898" s="38"/>
      <c r="N1898" s="38"/>
    </row>
    <row r="1899" spans="2:14" x14ac:dyDescent="0.2">
      <c r="B1899" s="23"/>
      <c r="I1899" s="38"/>
      <c r="N1899" s="38"/>
    </row>
    <row r="1900" spans="2:14" x14ac:dyDescent="0.2">
      <c r="B1900" s="23"/>
      <c r="I1900" s="38"/>
      <c r="N1900" s="38"/>
    </row>
    <row r="1901" spans="2:14" x14ac:dyDescent="0.2">
      <c r="B1901" s="23"/>
      <c r="I1901" s="38"/>
      <c r="N1901" s="38"/>
    </row>
    <row r="1902" spans="2:14" x14ac:dyDescent="0.2">
      <c r="B1902" s="23"/>
      <c r="I1902" s="38"/>
      <c r="N1902" s="38"/>
    </row>
    <row r="1903" spans="2:14" x14ac:dyDescent="0.2">
      <c r="B1903" s="23"/>
      <c r="I1903" s="38"/>
      <c r="N1903" s="38"/>
    </row>
    <row r="1904" spans="2:14" x14ac:dyDescent="0.2">
      <c r="B1904" s="23"/>
      <c r="I1904" s="38"/>
      <c r="N1904" s="38"/>
    </row>
    <row r="1905" spans="2:14" x14ac:dyDescent="0.2">
      <c r="B1905" s="23"/>
      <c r="I1905" s="38"/>
      <c r="N1905" s="38"/>
    </row>
    <row r="1906" spans="2:14" x14ac:dyDescent="0.2">
      <c r="B1906" s="23"/>
      <c r="I1906" s="38"/>
      <c r="N1906" s="38"/>
    </row>
    <row r="1907" spans="2:14" x14ac:dyDescent="0.2">
      <c r="B1907" s="23"/>
      <c r="I1907" s="38"/>
      <c r="N1907" s="38"/>
    </row>
    <row r="1908" spans="2:14" x14ac:dyDescent="0.2">
      <c r="B1908" s="23"/>
      <c r="I1908" s="38"/>
      <c r="N1908" s="38"/>
    </row>
    <row r="1909" spans="2:14" x14ac:dyDescent="0.2">
      <c r="B1909" s="23"/>
      <c r="I1909" s="38"/>
      <c r="N1909" s="38"/>
    </row>
    <row r="1910" spans="2:14" x14ac:dyDescent="0.2">
      <c r="B1910" s="23"/>
      <c r="I1910" s="38"/>
      <c r="N1910" s="38"/>
    </row>
    <row r="1911" spans="2:14" x14ac:dyDescent="0.2">
      <c r="B1911" s="23"/>
      <c r="I1911" s="38"/>
      <c r="N1911" s="38"/>
    </row>
    <row r="1912" spans="2:14" x14ac:dyDescent="0.2">
      <c r="B1912" s="23"/>
      <c r="I1912" s="38"/>
      <c r="N1912" s="38"/>
    </row>
    <row r="1913" spans="2:14" x14ac:dyDescent="0.2">
      <c r="B1913" s="23"/>
      <c r="I1913" s="38"/>
      <c r="N1913" s="38"/>
    </row>
    <row r="1914" spans="2:14" x14ac:dyDescent="0.2">
      <c r="B1914" s="23"/>
      <c r="I1914" s="38"/>
      <c r="N1914" s="38"/>
    </row>
    <row r="1915" spans="2:14" x14ac:dyDescent="0.2">
      <c r="B1915" s="23"/>
      <c r="I1915" s="38"/>
      <c r="N1915" s="38"/>
    </row>
    <row r="1916" spans="2:14" x14ac:dyDescent="0.2">
      <c r="B1916" s="23"/>
      <c r="I1916" s="38"/>
      <c r="N1916" s="38"/>
    </row>
    <row r="1917" spans="2:14" x14ac:dyDescent="0.2">
      <c r="B1917" s="23"/>
      <c r="I1917" s="38"/>
      <c r="N1917" s="38"/>
    </row>
    <row r="1918" spans="2:14" x14ac:dyDescent="0.2">
      <c r="B1918" s="23"/>
      <c r="I1918" s="38"/>
      <c r="N1918" s="38"/>
    </row>
    <row r="1919" spans="2:14" x14ac:dyDescent="0.2">
      <c r="B1919" s="23"/>
      <c r="I1919" s="38"/>
      <c r="N1919" s="38"/>
    </row>
    <row r="1920" spans="2:14" x14ac:dyDescent="0.2">
      <c r="B1920" s="23"/>
      <c r="I1920" s="38"/>
      <c r="N1920" s="38"/>
    </row>
    <row r="1921" spans="2:14" x14ac:dyDescent="0.2">
      <c r="B1921" s="23"/>
      <c r="I1921" s="38"/>
      <c r="N1921" s="38"/>
    </row>
    <row r="1922" spans="2:14" x14ac:dyDescent="0.2">
      <c r="B1922" s="23"/>
      <c r="I1922" s="38"/>
      <c r="N1922" s="38"/>
    </row>
    <row r="1923" spans="2:14" x14ac:dyDescent="0.2">
      <c r="B1923" s="23"/>
      <c r="I1923" s="38"/>
      <c r="N1923" s="38"/>
    </row>
    <row r="1924" spans="2:14" x14ac:dyDescent="0.2">
      <c r="B1924" s="23"/>
      <c r="I1924" s="38"/>
      <c r="N1924" s="38"/>
    </row>
    <row r="1925" spans="2:14" x14ac:dyDescent="0.2">
      <c r="B1925" s="23"/>
      <c r="I1925" s="38"/>
      <c r="N1925" s="38"/>
    </row>
    <row r="1926" spans="2:14" x14ac:dyDescent="0.2">
      <c r="B1926" s="23"/>
      <c r="I1926" s="38"/>
      <c r="N1926" s="38"/>
    </row>
    <row r="1927" spans="2:14" x14ac:dyDescent="0.2">
      <c r="B1927" s="23"/>
      <c r="I1927" s="38"/>
      <c r="N1927" s="38"/>
    </row>
    <row r="1928" spans="2:14" x14ac:dyDescent="0.2">
      <c r="B1928" s="23"/>
      <c r="I1928" s="38"/>
      <c r="N1928" s="38"/>
    </row>
    <row r="1929" spans="2:14" x14ac:dyDescent="0.2">
      <c r="B1929" s="23"/>
      <c r="I1929" s="38"/>
      <c r="N1929" s="38"/>
    </row>
    <row r="1930" spans="2:14" x14ac:dyDescent="0.2">
      <c r="B1930" s="23"/>
      <c r="I1930" s="38"/>
      <c r="N1930" s="38"/>
    </row>
    <row r="1931" spans="2:14" x14ac:dyDescent="0.2">
      <c r="B1931" s="23"/>
      <c r="I1931" s="38"/>
      <c r="N1931" s="38"/>
    </row>
    <row r="1932" spans="2:14" x14ac:dyDescent="0.2">
      <c r="B1932" s="23"/>
      <c r="I1932" s="38"/>
      <c r="N1932" s="38"/>
    </row>
    <row r="1933" spans="2:14" x14ac:dyDescent="0.2">
      <c r="B1933" s="23"/>
      <c r="I1933" s="38"/>
      <c r="N1933" s="38"/>
    </row>
    <row r="1934" spans="2:14" x14ac:dyDescent="0.2">
      <c r="B1934" s="23"/>
      <c r="I1934" s="38"/>
      <c r="N1934" s="38"/>
    </row>
    <row r="1935" spans="2:14" x14ac:dyDescent="0.2">
      <c r="B1935" s="23"/>
      <c r="I1935" s="38"/>
      <c r="N1935" s="38"/>
    </row>
    <row r="1936" spans="2:14" x14ac:dyDescent="0.2">
      <c r="B1936" s="23"/>
      <c r="I1936" s="38"/>
      <c r="N1936" s="38"/>
    </row>
    <row r="1937" spans="2:14" x14ac:dyDescent="0.2">
      <c r="B1937" s="23"/>
      <c r="I1937" s="38"/>
      <c r="N1937" s="38"/>
    </row>
    <row r="1938" spans="2:14" x14ac:dyDescent="0.2">
      <c r="B1938" s="23"/>
      <c r="I1938" s="38"/>
      <c r="N1938" s="38"/>
    </row>
    <row r="1939" spans="2:14" x14ac:dyDescent="0.2">
      <c r="B1939" s="23"/>
      <c r="I1939" s="38"/>
      <c r="N1939" s="38"/>
    </row>
    <row r="1940" spans="2:14" x14ac:dyDescent="0.2">
      <c r="B1940" s="23"/>
      <c r="I1940" s="38"/>
      <c r="N1940" s="38"/>
    </row>
    <row r="1941" spans="2:14" x14ac:dyDescent="0.2">
      <c r="B1941" s="23"/>
      <c r="I1941" s="38"/>
      <c r="N1941" s="38"/>
    </row>
    <row r="1942" spans="2:14" x14ac:dyDescent="0.2">
      <c r="B1942" s="23"/>
      <c r="I1942" s="38"/>
      <c r="N1942" s="38"/>
    </row>
    <row r="1943" spans="2:14" x14ac:dyDescent="0.2">
      <c r="B1943" s="23"/>
      <c r="I1943" s="38"/>
      <c r="N1943" s="38"/>
    </row>
    <row r="1944" spans="2:14" x14ac:dyDescent="0.2">
      <c r="B1944" s="23"/>
      <c r="I1944" s="38"/>
      <c r="N1944" s="38"/>
    </row>
    <row r="1945" spans="2:14" x14ac:dyDescent="0.2">
      <c r="B1945" s="23"/>
      <c r="I1945" s="38"/>
      <c r="N1945" s="38"/>
    </row>
    <row r="1946" spans="2:14" x14ac:dyDescent="0.2">
      <c r="B1946" s="23"/>
      <c r="I1946" s="38"/>
      <c r="N1946" s="38"/>
    </row>
    <row r="1947" spans="2:14" x14ac:dyDescent="0.2">
      <c r="B1947" s="23"/>
      <c r="I1947" s="38"/>
      <c r="N1947" s="38"/>
    </row>
    <row r="1948" spans="2:14" x14ac:dyDescent="0.2">
      <c r="B1948" s="23"/>
      <c r="I1948" s="38"/>
      <c r="N1948" s="38"/>
    </row>
    <row r="1949" spans="2:14" x14ac:dyDescent="0.2">
      <c r="B1949" s="23"/>
      <c r="I1949" s="38"/>
      <c r="N1949" s="38"/>
    </row>
    <row r="1950" spans="2:14" x14ac:dyDescent="0.2">
      <c r="B1950" s="23"/>
      <c r="I1950" s="38"/>
      <c r="N1950" s="38"/>
    </row>
    <row r="1951" spans="2:14" x14ac:dyDescent="0.2">
      <c r="B1951" s="23"/>
      <c r="I1951" s="38"/>
      <c r="N1951" s="38"/>
    </row>
    <row r="1952" spans="2:14" x14ac:dyDescent="0.2">
      <c r="B1952" s="23"/>
      <c r="I1952" s="38"/>
      <c r="N1952" s="38"/>
    </row>
    <row r="1953" spans="2:14" x14ac:dyDescent="0.2">
      <c r="B1953" s="23"/>
      <c r="I1953" s="38"/>
      <c r="N1953" s="38"/>
    </row>
    <row r="1954" spans="2:14" x14ac:dyDescent="0.2">
      <c r="B1954" s="23"/>
      <c r="I1954" s="38"/>
      <c r="N1954" s="38"/>
    </row>
    <row r="1955" spans="2:14" x14ac:dyDescent="0.2">
      <c r="B1955" s="23"/>
      <c r="I1955" s="38"/>
      <c r="N1955" s="38"/>
    </row>
    <row r="1956" spans="2:14" x14ac:dyDescent="0.2">
      <c r="B1956" s="23"/>
      <c r="I1956" s="38"/>
      <c r="N1956" s="38"/>
    </row>
    <row r="1957" spans="2:14" x14ac:dyDescent="0.2">
      <c r="B1957" s="23"/>
      <c r="I1957" s="38"/>
      <c r="N1957" s="38"/>
    </row>
    <row r="1958" spans="2:14" x14ac:dyDescent="0.2">
      <c r="B1958" s="23"/>
      <c r="I1958" s="38"/>
      <c r="N1958" s="38"/>
    </row>
    <row r="1959" spans="2:14" x14ac:dyDescent="0.2">
      <c r="B1959" s="23"/>
      <c r="I1959" s="38"/>
      <c r="N1959" s="38"/>
    </row>
    <row r="1960" spans="2:14" x14ac:dyDescent="0.2">
      <c r="B1960" s="23"/>
      <c r="I1960" s="38"/>
      <c r="N1960" s="38"/>
    </row>
    <row r="1961" spans="2:14" x14ac:dyDescent="0.2">
      <c r="B1961" s="23"/>
      <c r="I1961" s="38"/>
      <c r="N1961" s="38"/>
    </row>
    <row r="1962" spans="2:14" x14ac:dyDescent="0.2">
      <c r="B1962" s="23"/>
      <c r="I1962" s="38"/>
      <c r="N1962" s="38"/>
    </row>
    <row r="1963" spans="2:14" x14ac:dyDescent="0.2">
      <c r="B1963" s="23"/>
      <c r="I1963" s="38"/>
      <c r="N1963" s="38"/>
    </row>
    <row r="1964" spans="2:14" x14ac:dyDescent="0.2">
      <c r="B1964" s="23"/>
      <c r="I1964" s="38"/>
      <c r="N1964" s="38"/>
    </row>
    <row r="1965" spans="2:14" x14ac:dyDescent="0.2">
      <c r="B1965" s="23"/>
      <c r="I1965" s="38"/>
      <c r="N1965" s="38"/>
    </row>
    <row r="1966" spans="2:14" x14ac:dyDescent="0.2">
      <c r="B1966" s="23"/>
      <c r="I1966" s="38"/>
      <c r="N1966" s="38"/>
    </row>
    <row r="1967" spans="2:14" x14ac:dyDescent="0.2">
      <c r="B1967" s="23"/>
      <c r="I1967" s="38"/>
      <c r="N1967" s="38"/>
    </row>
    <row r="1968" spans="2:14" x14ac:dyDescent="0.2">
      <c r="B1968" s="23"/>
      <c r="I1968" s="38"/>
      <c r="N1968" s="38"/>
    </row>
    <row r="1969" spans="2:14" x14ac:dyDescent="0.2">
      <c r="B1969" s="23"/>
      <c r="I1969" s="38"/>
      <c r="N1969" s="38"/>
    </row>
  </sheetData>
  <mergeCells count="1">
    <mergeCell ref="T1:U1"/>
  </mergeCells>
  <pageMargins left="0.75" right="0.75" top="1" bottom="1" header="0.5" footer="0.5"/>
  <pageSetup paperSize="9" orientation="portrait" horizontalDpi="1200" verticalDpi="12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2:I1963"/>
  <sheetViews>
    <sheetView workbookViewId="0">
      <selection activeCell="E423" sqref="E423"/>
    </sheetView>
  </sheetViews>
  <sheetFormatPr defaultColWidth="9" defaultRowHeight="12.75" x14ac:dyDescent="0.2"/>
  <cols>
    <col min="1" max="3" width="20.140625" customWidth="1"/>
    <col min="4" max="4" width="10" style="16" customWidth="1"/>
    <col min="9" max="9" width="27.42578125" customWidth="1"/>
  </cols>
  <sheetData>
    <row r="2" spans="1:9" hidden="1" x14ac:dyDescent="0.2">
      <c r="A2">
        <v>12010500</v>
      </c>
      <c r="B2">
        <v>4010</v>
      </c>
      <c r="C2">
        <v>100</v>
      </c>
      <c r="D2" s="17">
        <v>1799.04</v>
      </c>
      <c r="I2" t="s">
        <v>392</v>
      </c>
    </row>
    <row r="3" spans="1:9" hidden="1" x14ac:dyDescent="0.2">
      <c r="A3">
        <v>12010500</v>
      </c>
      <c r="B3">
        <v>4010</v>
      </c>
      <c r="C3">
        <v>100</v>
      </c>
      <c r="D3" s="17">
        <v>-135.19</v>
      </c>
      <c r="I3" t="s">
        <v>392</v>
      </c>
    </row>
    <row r="4" spans="1:9" hidden="1" x14ac:dyDescent="0.2">
      <c r="A4">
        <v>12010500</v>
      </c>
      <c r="B4">
        <v>4010</v>
      </c>
      <c r="C4">
        <v>100</v>
      </c>
      <c r="D4" s="17">
        <v>1982.02</v>
      </c>
      <c r="I4" t="s">
        <v>392</v>
      </c>
    </row>
    <row r="5" spans="1:9" hidden="1" x14ac:dyDescent="0.2">
      <c r="A5">
        <v>12010500</v>
      </c>
      <c r="B5">
        <v>4010</v>
      </c>
      <c r="C5">
        <v>100</v>
      </c>
      <c r="D5" s="17">
        <v>-40.869999999999997</v>
      </c>
      <c r="I5" t="s">
        <v>392</v>
      </c>
    </row>
    <row r="6" spans="1:9" hidden="1" x14ac:dyDescent="0.2">
      <c r="A6">
        <v>12010500</v>
      </c>
      <c r="B6">
        <v>4010</v>
      </c>
      <c r="C6">
        <v>100</v>
      </c>
      <c r="D6" s="17">
        <v>2398.9299999999998</v>
      </c>
      <c r="I6" t="s">
        <v>392</v>
      </c>
    </row>
    <row r="7" spans="1:9" hidden="1" x14ac:dyDescent="0.2">
      <c r="A7">
        <v>12010500</v>
      </c>
      <c r="B7">
        <v>4010</v>
      </c>
      <c r="C7">
        <v>100</v>
      </c>
      <c r="D7" s="17">
        <v>-119.89</v>
      </c>
      <c r="I7" t="s">
        <v>392</v>
      </c>
    </row>
    <row r="8" spans="1:9" hidden="1" x14ac:dyDescent="0.2">
      <c r="A8">
        <v>12010500</v>
      </c>
      <c r="B8">
        <v>4010</v>
      </c>
      <c r="C8">
        <v>100</v>
      </c>
      <c r="D8" s="17">
        <v>2239.0500000000002</v>
      </c>
      <c r="I8" t="s">
        <v>392</v>
      </c>
    </row>
    <row r="9" spans="1:9" hidden="1" x14ac:dyDescent="0.2">
      <c r="A9">
        <v>12010500</v>
      </c>
      <c r="B9">
        <v>4010</v>
      </c>
      <c r="C9">
        <v>100</v>
      </c>
      <c r="D9" s="17">
        <v>10.95</v>
      </c>
      <c r="I9" t="s">
        <v>392</v>
      </c>
    </row>
    <row r="10" spans="1:9" hidden="1" x14ac:dyDescent="0.2">
      <c r="A10">
        <v>12010500</v>
      </c>
      <c r="B10">
        <v>4010</v>
      </c>
      <c r="C10">
        <v>100</v>
      </c>
      <c r="D10" s="17">
        <v>3634.62</v>
      </c>
      <c r="I10" t="s">
        <v>392</v>
      </c>
    </row>
    <row r="11" spans="1:9" hidden="1" x14ac:dyDescent="0.2">
      <c r="A11">
        <v>12010500</v>
      </c>
      <c r="B11">
        <v>4010</v>
      </c>
      <c r="C11">
        <v>100</v>
      </c>
      <c r="D11" s="17">
        <v>2675.67</v>
      </c>
      <c r="I11" t="s">
        <v>392</v>
      </c>
    </row>
    <row r="12" spans="1:9" hidden="1" x14ac:dyDescent="0.2">
      <c r="A12">
        <v>12010500</v>
      </c>
      <c r="B12">
        <v>4010</v>
      </c>
      <c r="C12">
        <v>100</v>
      </c>
      <c r="D12" s="17">
        <v>16.649999999999999</v>
      </c>
      <c r="I12" t="s">
        <v>392</v>
      </c>
    </row>
    <row r="13" spans="1:9" hidden="1" x14ac:dyDescent="0.2">
      <c r="A13">
        <v>12010500</v>
      </c>
      <c r="B13">
        <v>4010</v>
      </c>
      <c r="C13">
        <v>100</v>
      </c>
      <c r="D13" s="17">
        <v>1327.27</v>
      </c>
      <c r="E13" s="17"/>
      <c r="F13" s="18"/>
      <c r="I13" t="s">
        <v>393</v>
      </c>
    </row>
    <row r="14" spans="1:9" hidden="1" x14ac:dyDescent="0.2">
      <c r="A14">
        <v>12010500</v>
      </c>
      <c r="B14">
        <v>4010</v>
      </c>
      <c r="C14">
        <v>100</v>
      </c>
      <c r="D14" s="17">
        <v>207.98</v>
      </c>
      <c r="E14" s="17"/>
      <c r="F14" s="18"/>
      <c r="I14" t="s">
        <v>393</v>
      </c>
    </row>
    <row r="15" spans="1:9" hidden="1" x14ac:dyDescent="0.2">
      <c r="A15">
        <v>12010500</v>
      </c>
      <c r="B15">
        <v>4010</v>
      </c>
      <c r="C15">
        <v>100</v>
      </c>
      <c r="D15" s="17">
        <v>207.98</v>
      </c>
      <c r="E15" s="17"/>
      <c r="F15" s="18"/>
      <c r="I15" t="s">
        <v>393</v>
      </c>
    </row>
    <row r="16" spans="1:9" hidden="1" x14ac:dyDescent="0.2">
      <c r="A16">
        <v>12010500</v>
      </c>
      <c r="B16">
        <v>4010</v>
      </c>
      <c r="C16">
        <v>100</v>
      </c>
      <c r="D16" s="17">
        <v>-79.38</v>
      </c>
      <c r="E16" s="17"/>
      <c r="F16" s="18"/>
      <c r="I16" t="s">
        <v>393</v>
      </c>
    </row>
    <row r="17" spans="1:9" hidden="1" x14ac:dyDescent="0.2">
      <c r="A17" s="19">
        <v>12010500</v>
      </c>
      <c r="B17">
        <v>4010</v>
      </c>
      <c r="C17">
        <v>100</v>
      </c>
      <c r="D17" s="17">
        <v>2517.67</v>
      </c>
      <c r="E17" s="20"/>
      <c r="F17" s="21"/>
      <c r="G17" s="19"/>
      <c r="H17" s="19"/>
      <c r="I17" t="s">
        <v>393</v>
      </c>
    </row>
    <row r="18" spans="1:9" hidden="1" x14ac:dyDescent="0.2">
      <c r="A18" s="19">
        <v>12010500</v>
      </c>
      <c r="B18">
        <v>4010</v>
      </c>
      <c r="C18">
        <v>100</v>
      </c>
      <c r="D18" s="17">
        <v>277.31</v>
      </c>
      <c r="E18" s="20"/>
      <c r="F18" s="21"/>
      <c r="G18" s="19"/>
      <c r="H18" s="19"/>
      <c r="I18" t="s">
        <v>393</v>
      </c>
    </row>
    <row r="19" spans="1:9" hidden="1" x14ac:dyDescent="0.2">
      <c r="A19" s="19">
        <v>12010500</v>
      </c>
      <c r="B19">
        <v>4010</v>
      </c>
      <c r="C19">
        <v>100</v>
      </c>
      <c r="D19" s="17">
        <v>-21.89</v>
      </c>
      <c r="E19" s="20"/>
      <c r="F19" s="21"/>
      <c r="G19" s="19"/>
      <c r="H19" s="19"/>
      <c r="I19" t="s">
        <v>393</v>
      </c>
    </row>
    <row r="20" spans="1:9" hidden="1" x14ac:dyDescent="0.2">
      <c r="A20" s="19">
        <v>12010500</v>
      </c>
      <c r="B20">
        <v>4010</v>
      </c>
      <c r="C20">
        <v>100</v>
      </c>
      <c r="D20" s="17">
        <v>300.70999999999998</v>
      </c>
      <c r="E20" s="20"/>
      <c r="F20" s="21"/>
      <c r="G20" s="19"/>
      <c r="H20" s="19"/>
      <c r="I20" t="s">
        <v>393</v>
      </c>
    </row>
    <row r="21" spans="1:9" hidden="1" x14ac:dyDescent="0.2">
      <c r="A21" s="19">
        <v>12010500</v>
      </c>
      <c r="B21">
        <v>4010</v>
      </c>
      <c r="C21">
        <v>100</v>
      </c>
      <c r="D21" s="17">
        <v>237.4</v>
      </c>
      <c r="E21" s="20"/>
      <c r="F21" s="21"/>
      <c r="G21" s="19"/>
      <c r="H21" s="19"/>
      <c r="I21" t="s">
        <v>393</v>
      </c>
    </row>
    <row r="22" spans="1:9" hidden="1" x14ac:dyDescent="0.2">
      <c r="A22">
        <v>12010500</v>
      </c>
      <c r="B22">
        <v>4010</v>
      </c>
      <c r="C22">
        <v>100</v>
      </c>
      <c r="D22" s="17">
        <v>225</v>
      </c>
      <c r="E22" s="17"/>
      <c r="F22" s="18"/>
      <c r="I22" t="s">
        <v>393</v>
      </c>
    </row>
    <row r="23" spans="1:9" hidden="1" x14ac:dyDescent="0.2">
      <c r="A23">
        <v>12010500</v>
      </c>
      <c r="B23">
        <v>4010</v>
      </c>
      <c r="C23">
        <v>100</v>
      </c>
      <c r="D23" s="17">
        <v>1805.04</v>
      </c>
      <c r="E23" s="17"/>
      <c r="F23" s="18"/>
      <c r="I23" t="s">
        <v>393</v>
      </c>
    </row>
    <row r="24" spans="1:9" hidden="1" x14ac:dyDescent="0.2">
      <c r="A24">
        <v>12010500</v>
      </c>
      <c r="B24">
        <v>4010</v>
      </c>
      <c r="C24">
        <v>100</v>
      </c>
      <c r="D24" s="17">
        <v>-5.03</v>
      </c>
      <c r="E24" s="17"/>
      <c r="F24" s="18"/>
      <c r="I24" t="s">
        <v>393</v>
      </c>
    </row>
    <row r="25" spans="1:9" hidden="1" x14ac:dyDescent="0.2">
      <c r="A25">
        <v>12010500</v>
      </c>
      <c r="B25">
        <v>4010</v>
      </c>
      <c r="C25">
        <v>100</v>
      </c>
      <c r="D25" s="17">
        <v>403.85</v>
      </c>
      <c r="E25" s="17"/>
      <c r="F25" s="18"/>
      <c r="I25" t="s">
        <v>393</v>
      </c>
    </row>
    <row r="26" spans="1:9" hidden="1" x14ac:dyDescent="0.2">
      <c r="A26">
        <v>12010500</v>
      </c>
      <c r="B26">
        <v>4010</v>
      </c>
      <c r="C26">
        <v>100</v>
      </c>
      <c r="D26" s="17">
        <v>3634.62</v>
      </c>
      <c r="E26" s="17"/>
      <c r="F26" s="18"/>
      <c r="I26" t="s">
        <v>393</v>
      </c>
    </row>
    <row r="27" spans="1:9" hidden="1" x14ac:dyDescent="0.2">
      <c r="A27">
        <v>12010500</v>
      </c>
      <c r="B27">
        <v>4010</v>
      </c>
      <c r="C27">
        <v>100</v>
      </c>
      <c r="D27" s="17">
        <v>2443.63</v>
      </c>
      <c r="E27" s="17"/>
      <c r="F27" s="18"/>
      <c r="I27" t="s">
        <v>393</v>
      </c>
    </row>
    <row r="28" spans="1:9" hidden="1" x14ac:dyDescent="0.2">
      <c r="A28">
        <v>12010500</v>
      </c>
      <c r="B28">
        <v>4010</v>
      </c>
      <c r="C28">
        <v>100</v>
      </c>
      <c r="D28" s="17">
        <v>269.23</v>
      </c>
      <c r="E28" s="17"/>
      <c r="F28" s="18"/>
      <c r="I28" t="s">
        <v>393</v>
      </c>
    </row>
    <row r="29" spans="1:9" hidden="1" x14ac:dyDescent="0.2">
      <c r="A29">
        <v>12010500</v>
      </c>
      <c r="B29">
        <v>4010</v>
      </c>
      <c r="C29">
        <v>100</v>
      </c>
      <c r="D29" s="17">
        <v>-20.55</v>
      </c>
      <c r="E29" s="17"/>
      <c r="F29" s="18"/>
      <c r="I29" t="s">
        <v>393</v>
      </c>
    </row>
    <row r="30" spans="1:9" hidden="1" x14ac:dyDescent="0.2">
      <c r="A30">
        <v>12010500</v>
      </c>
      <c r="B30">
        <v>4010</v>
      </c>
      <c r="C30">
        <v>400</v>
      </c>
      <c r="D30" s="17">
        <v>22.98</v>
      </c>
      <c r="I30" t="s">
        <v>392</v>
      </c>
    </row>
    <row r="31" spans="1:9" hidden="1" x14ac:dyDescent="0.2">
      <c r="A31">
        <v>12010500</v>
      </c>
      <c r="B31">
        <v>4010</v>
      </c>
      <c r="C31">
        <v>400</v>
      </c>
      <c r="D31" s="17">
        <v>461.54</v>
      </c>
      <c r="I31" t="s">
        <v>392</v>
      </c>
    </row>
    <row r="32" spans="1:9" hidden="1" x14ac:dyDescent="0.2">
      <c r="A32">
        <v>12010500</v>
      </c>
      <c r="B32">
        <v>4010</v>
      </c>
      <c r="C32">
        <v>400</v>
      </c>
      <c r="D32" s="17">
        <v>461.54</v>
      </c>
      <c r="I32" t="s">
        <v>393</v>
      </c>
    </row>
    <row r="33" spans="1:9" hidden="1" x14ac:dyDescent="0.2">
      <c r="A33">
        <v>12010500</v>
      </c>
      <c r="B33">
        <v>4080</v>
      </c>
      <c r="C33">
        <v>100</v>
      </c>
      <c r="D33" s="17">
        <v>149.75</v>
      </c>
      <c r="I33" t="s">
        <v>392</v>
      </c>
    </row>
    <row r="34" spans="1:9" hidden="1" x14ac:dyDescent="0.2">
      <c r="A34">
        <v>12010500</v>
      </c>
      <c r="B34">
        <v>4080</v>
      </c>
      <c r="C34">
        <v>100</v>
      </c>
      <c r="D34" s="17">
        <v>249.58</v>
      </c>
      <c r="I34" t="s">
        <v>392</v>
      </c>
    </row>
    <row r="35" spans="1:9" hidden="1" x14ac:dyDescent="0.2">
      <c r="A35">
        <v>12010500</v>
      </c>
      <c r="B35">
        <v>4080</v>
      </c>
      <c r="C35">
        <v>100</v>
      </c>
      <c r="D35" s="17">
        <v>205.11</v>
      </c>
      <c r="I35" t="s">
        <v>392</v>
      </c>
    </row>
    <row r="36" spans="1:9" hidden="1" x14ac:dyDescent="0.2">
      <c r="A36">
        <v>12010500</v>
      </c>
      <c r="B36">
        <v>4080</v>
      </c>
      <c r="C36">
        <v>100</v>
      </c>
      <c r="D36">
        <v>202.5</v>
      </c>
      <c r="I36" t="s">
        <v>392</v>
      </c>
    </row>
    <row r="37" spans="1:9" hidden="1" x14ac:dyDescent="0.2">
      <c r="A37">
        <v>12010500</v>
      </c>
      <c r="B37">
        <v>4080</v>
      </c>
      <c r="C37">
        <v>100</v>
      </c>
      <c r="D37">
        <v>363.46</v>
      </c>
      <c r="I37" t="s">
        <v>392</v>
      </c>
    </row>
    <row r="38" spans="1:9" hidden="1" x14ac:dyDescent="0.2">
      <c r="A38">
        <v>12010500</v>
      </c>
      <c r="B38">
        <v>4080</v>
      </c>
      <c r="C38">
        <v>100</v>
      </c>
      <c r="D38">
        <v>242.31</v>
      </c>
      <c r="I38" t="s">
        <v>392</v>
      </c>
    </row>
    <row r="39" spans="1:9" hidden="1" x14ac:dyDescent="0.2">
      <c r="A39">
        <v>12010500</v>
      </c>
      <c r="B39">
        <v>4080</v>
      </c>
      <c r="C39">
        <v>100</v>
      </c>
      <c r="D39" s="17">
        <v>149.75</v>
      </c>
      <c r="I39" t="s">
        <v>393</v>
      </c>
    </row>
    <row r="40" spans="1:9" hidden="1" x14ac:dyDescent="0.2">
      <c r="A40">
        <v>12010500</v>
      </c>
      <c r="B40">
        <v>4080</v>
      </c>
      <c r="C40">
        <v>100</v>
      </c>
      <c r="D40" s="17">
        <v>249.58</v>
      </c>
      <c r="I40" t="s">
        <v>393</v>
      </c>
    </row>
    <row r="41" spans="1:9" hidden="1" x14ac:dyDescent="0.2">
      <c r="A41">
        <v>12010500</v>
      </c>
      <c r="B41">
        <v>4080</v>
      </c>
      <c r="C41">
        <v>100</v>
      </c>
      <c r="D41" s="17">
        <v>205.11</v>
      </c>
      <c r="I41" t="s">
        <v>393</v>
      </c>
    </row>
    <row r="42" spans="1:9" hidden="1" x14ac:dyDescent="0.2">
      <c r="A42">
        <v>12010500</v>
      </c>
      <c r="B42">
        <v>4080</v>
      </c>
      <c r="C42">
        <v>100</v>
      </c>
      <c r="D42" s="17">
        <v>202.5</v>
      </c>
      <c r="I42" t="s">
        <v>393</v>
      </c>
    </row>
    <row r="43" spans="1:9" hidden="1" x14ac:dyDescent="0.2">
      <c r="A43">
        <v>12010500</v>
      </c>
      <c r="B43">
        <v>4080</v>
      </c>
      <c r="C43">
        <v>100</v>
      </c>
      <c r="D43" s="17">
        <v>363.46</v>
      </c>
      <c r="I43" t="s">
        <v>393</v>
      </c>
    </row>
    <row r="44" spans="1:9" hidden="1" x14ac:dyDescent="0.2">
      <c r="A44">
        <v>12010500</v>
      </c>
      <c r="B44">
        <v>4080</v>
      </c>
      <c r="C44">
        <v>100</v>
      </c>
      <c r="D44" s="17">
        <v>242.31</v>
      </c>
      <c r="I44" t="s">
        <v>393</v>
      </c>
    </row>
    <row r="45" spans="1:9" hidden="1" x14ac:dyDescent="0.2">
      <c r="A45">
        <v>12013012</v>
      </c>
      <c r="B45">
        <v>4010</v>
      </c>
      <c r="C45">
        <v>100</v>
      </c>
      <c r="D45" s="17">
        <v>381</v>
      </c>
      <c r="I45" t="s">
        <v>392</v>
      </c>
    </row>
    <row r="46" spans="1:9" hidden="1" x14ac:dyDescent="0.2">
      <c r="A46">
        <v>12013012</v>
      </c>
      <c r="B46">
        <v>4010</v>
      </c>
      <c r="C46">
        <v>100</v>
      </c>
      <c r="D46" s="17">
        <v>793.75</v>
      </c>
      <c r="I46" t="s">
        <v>392</v>
      </c>
    </row>
    <row r="47" spans="1:9" hidden="1" x14ac:dyDescent="0.2">
      <c r="A47">
        <v>12013012</v>
      </c>
      <c r="B47">
        <v>4010</v>
      </c>
      <c r="C47">
        <v>100</v>
      </c>
      <c r="D47" s="17">
        <v>6765</v>
      </c>
      <c r="E47" s="17"/>
      <c r="F47" s="18"/>
      <c r="I47" t="s">
        <v>393</v>
      </c>
    </row>
    <row r="48" spans="1:9" hidden="1" x14ac:dyDescent="0.2">
      <c r="A48">
        <v>12013012</v>
      </c>
      <c r="B48">
        <v>4010</v>
      </c>
      <c r="C48">
        <v>100</v>
      </c>
      <c r="D48" s="17">
        <v>539.75</v>
      </c>
      <c r="E48" s="17"/>
      <c r="F48" s="18"/>
      <c r="I48" t="s">
        <v>393</v>
      </c>
    </row>
    <row r="49" spans="1:9" hidden="1" x14ac:dyDescent="0.2">
      <c r="A49">
        <v>12013012</v>
      </c>
      <c r="B49">
        <v>4080</v>
      </c>
      <c r="C49">
        <v>100</v>
      </c>
      <c r="D49" s="17">
        <v>34.29</v>
      </c>
      <c r="I49" t="s">
        <v>392</v>
      </c>
    </row>
    <row r="50" spans="1:9" hidden="1" x14ac:dyDescent="0.2">
      <c r="A50">
        <v>12013012</v>
      </c>
      <c r="B50">
        <v>4080</v>
      </c>
      <c r="C50">
        <v>100</v>
      </c>
      <c r="D50" s="17">
        <v>71.44</v>
      </c>
      <c r="I50" t="s">
        <v>392</v>
      </c>
    </row>
    <row r="51" spans="1:9" hidden="1" x14ac:dyDescent="0.2">
      <c r="A51">
        <v>12013012</v>
      </c>
      <c r="B51">
        <v>4080</v>
      </c>
      <c r="C51">
        <v>100</v>
      </c>
      <c r="D51" s="17">
        <v>608.85</v>
      </c>
      <c r="I51" t="s">
        <v>393</v>
      </c>
    </row>
    <row r="52" spans="1:9" hidden="1" x14ac:dyDescent="0.2">
      <c r="A52">
        <v>12013012</v>
      </c>
      <c r="B52">
        <v>4080</v>
      </c>
      <c r="C52">
        <v>100</v>
      </c>
      <c r="D52" s="17">
        <v>48.58</v>
      </c>
      <c r="I52" t="s">
        <v>393</v>
      </c>
    </row>
    <row r="53" spans="1:9" hidden="1" x14ac:dyDescent="0.2">
      <c r="A53">
        <v>12013250</v>
      </c>
      <c r="B53">
        <v>4010</v>
      </c>
      <c r="C53">
        <v>100</v>
      </c>
      <c r="D53" s="17">
        <v>3787.04</v>
      </c>
      <c r="I53" t="s">
        <v>392</v>
      </c>
    </row>
    <row r="54" spans="1:9" hidden="1" x14ac:dyDescent="0.2">
      <c r="A54">
        <v>12013250</v>
      </c>
      <c r="B54">
        <v>4010</v>
      </c>
      <c r="C54">
        <v>100</v>
      </c>
      <c r="D54" s="17">
        <v>685.26</v>
      </c>
      <c r="I54" t="s">
        <v>392</v>
      </c>
    </row>
    <row r="55" spans="1:9" hidden="1" x14ac:dyDescent="0.2">
      <c r="A55">
        <v>12013250</v>
      </c>
      <c r="B55">
        <v>4010</v>
      </c>
      <c r="C55">
        <v>100</v>
      </c>
      <c r="D55" s="17">
        <v>2863.22</v>
      </c>
      <c r="I55" t="s">
        <v>392</v>
      </c>
    </row>
    <row r="56" spans="1:9" hidden="1" x14ac:dyDescent="0.2">
      <c r="A56">
        <v>12013250</v>
      </c>
      <c r="B56">
        <v>4010</v>
      </c>
      <c r="C56">
        <v>100</v>
      </c>
      <c r="D56" s="17">
        <v>2223.33</v>
      </c>
      <c r="I56" t="s">
        <v>392</v>
      </c>
    </row>
    <row r="57" spans="1:9" hidden="1" x14ac:dyDescent="0.2">
      <c r="A57">
        <v>12013250</v>
      </c>
      <c r="B57">
        <v>4010</v>
      </c>
      <c r="C57">
        <v>100</v>
      </c>
      <c r="D57" s="17">
        <v>26.34</v>
      </c>
      <c r="I57" t="s">
        <v>392</v>
      </c>
    </row>
    <row r="58" spans="1:9" hidden="1" x14ac:dyDescent="0.2">
      <c r="A58">
        <v>12013250</v>
      </c>
      <c r="B58">
        <v>4010</v>
      </c>
      <c r="C58">
        <v>100</v>
      </c>
      <c r="D58" s="17">
        <v>4336.57</v>
      </c>
      <c r="I58" t="s">
        <v>392</v>
      </c>
    </row>
    <row r="59" spans="1:9" hidden="1" x14ac:dyDescent="0.2">
      <c r="A59">
        <v>12013250</v>
      </c>
      <c r="B59">
        <v>4010</v>
      </c>
      <c r="C59">
        <v>100</v>
      </c>
      <c r="D59" s="17">
        <v>3787.04</v>
      </c>
      <c r="E59" s="17"/>
      <c r="F59" s="18"/>
      <c r="I59" t="s">
        <v>393</v>
      </c>
    </row>
    <row r="60" spans="1:9" hidden="1" x14ac:dyDescent="0.2">
      <c r="A60" s="19">
        <v>12013250</v>
      </c>
      <c r="B60">
        <v>4010</v>
      </c>
      <c r="C60">
        <v>100</v>
      </c>
      <c r="D60" s="17">
        <v>2741.02</v>
      </c>
      <c r="E60" s="20"/>
      <c r="F60" s="21"/>
      <c r="G60" s="19"/>
      <c r="H60" s="19"/>
      <c r="I60" t="s">
        <v>393</v>
      </c>
    </row>
    <row r="61" spans="1:9" hidden="1" x14ac:dyDescent="0.2">
      <c r="A61" s="19">
        <v>12013250</v>
      </c>
      <c r="B61">
        <v>4010</v>
      </c>
      <c r="C61">
        <v>100</v>
      </c>
      <c r="D61" s="17">
        <v>572.64</v>
      </c>
      <c r="E61" s="20"/>
      <c r="F61" s="21"/>
      <c r="G61" s="19"/>
      <c r="H61" s="19"/>
      <c r="I61" t="s">
        <v>393</v>
      </c>
    </row>
    <row r="62" spans="1:9" hidden="1" x14ac:dyDescent="0.2">
      <c r="A62" s="19">
        <v>12013250</v>
      </c>
      <c r="B62">
        <v>4010</v>
      </c>
      <c r="C62">
        <v>100</v>
      </c>
      <c r="D62" s="17">
        <v>286.32</v>
      </c>
      <c r="E62" s="20"/>
      <c r="F62" s="21"/>
      <c r="G62" s="19"/>
      <c r="H62" s="19"/>
      <c r="I62" t="s">
        <v>393</v>
      </c>
    </row>
    <row r="63" spans="1:9" hidden="1" x14ac:dyDescent="0.2">
      <c r="A63" s="19">
        <v>12013250</v>
      </c>
      <c r="B63">
        <v>4010</v>
      </c>
      <c r="C63">
        <v>100</v>
      </c>
      <c r="D63" s="17">
        <v>2004.25</v>
      </c>
      <c r="E63" s="20"/>
      <c r="F63" s="21"/>
      <c r="G63" s="19"/>
      <c r="H63" s="19"/>
      <c r="I63" t="s">
        <v>393</v>
      </c>
    </row>
    <row r="64" spans="1:9" hidden="1" x14ac:dyDescent="0.2">
      <c r="A64">
        <v>12013250</v>
      </c>
      <c r="B64">
        <v>4010</v>
      </c>
      <c r="C64">
        <v>100</v>
      </c>
      <c r="D64" s="17">
        <v>2015.53</v>
      </c>
      <c r="E64" s="17"/>
      <c r="F64" s="18"/>
      <c r="I64" t="s">
        <v>393</v>
      </c>
    </row>
    <row r="65" spans="1:9" hidden="1" x14ac:dyDescent="0.2">
      <c r="A65">
        <v>12013250</v>
      </c>
      <c r="B65">
        <v>4010</v>
      </c>
      <c r="C65">
        <v>100</v>
      </c>
      <c r="D65" s="17">
        <v>224.97</v>
      </c>
      <c r="E65" s="17"/>
      <c r="F65" s="18"/>
      <c r="I65" t="s">
        <v>393</v>
      </c>
    </row>
    <row r="66" spans="1:9" hidden="1" x14ac:dyDescent="0.2">
      <c r="A66">
        <v>12013250</v>
      </c>
      <c r="B66">
        <v>4010</v>
      </c>
      <c r="C66">
        <v>100</v>
      </c>
      <c r="D66" s="17">
        <v>9.18</v>
      </c>
      <c r="E66" s="17"/>
      <c r="F66" s="18"/>
      <c r="I66" t="s">
        <v>393</v>
      </c>
    </row>
    <row r="67" spans="1:9" hidden="1" x14ac:dyDescent="0.2">
      <c r="A67">
        <v>12013250</v>
      </c>
      <c r="B67">
        <v>4010</v>
      </c>
      <c r="C67">
        <v>100</v>
      </c>
      <c r="D67" s="17">
        <v>433.66</v>
      </c>
      <c r="E67" s="17"/>
      <c r="F67" s="18"/>
      <c r="I67" t="s">
        <v>393</v>
      </c>
    </row>
    <row r="68" spans="1:9" hidden="1" x14ac:dyDescent="0.2">
      <c r="A68">
        <v>12013250</v>
      </c>
      <c r="B68">
        <v>4010</v>
      </c>
      <c r="C68">
        <v>100</v>
      </c>
      <c r="D68" s="17">
        <v>3902.91</v>
      </c>
      <c r="E68" s="17"/>
      <c r="F68" s="18"/>
      <c r="I68" t="s">
        <v>393</v>
      </c>
    </row>
    <row r="69" spans="1:9" hidden="1" x14ac:dyDescent="0.2">
      <c r="A69">
        <v>12013250</v>
      </c>
      <c r="B69">
        <v>4010</v>
      </c>
      <c r="C69">
        <v>400</v>
      </c>
      <c r="D69" s="17">
        <v>477.69</v>
      </c>
      <c r="I69" t="s">
        <v>392</v>
      </c>
    </row>
    <row r="70" spans="1:9" hidden="1" x14ac:dyDescent="0.2">
      <c r="A70">
        <v>12013250</v>
      </c>
      <c r="B70">
        <v>4010</v>
      </c>
      <c r="C70">
        <v>400</v>
      </c>
      <c r="D70" s="17">
        <v>477.69</v>
      </c>
      <c r="I70" t="s">
        <v>393</v>
      </c>
    </row>
    <row r="71" spans="1:9" hidden="1" x14ac:dyDescent="0.2">
      <c r="A71">
        <v>12013250</v>
      </c>
      <c r="B71">
        <v>4080</v>
      </c>
      <c r="C71">
        <v>100</v>
      </c>
      <c r="D71" s="17">
        <v>340.83</v>
      </c>
      <c r="I71" t="s">
        <v>392</v>
      </c>
    </row>
    <row r="72" spans="1:9" hidden="1" x14ac:dyDescent="0.2">
      <c r="A72">
        <v>12013250</v>
      </c>
      <c r="B72">
        <v>4080</v>
      </c>
      <c r="C72">
        <v>100</v>
      </c>
      <c r="D72" s="17">
        <v>308.37</v>
      </c>
      <c r="I72" t="s">
        <v>392</v>
      </c>
    </row>
    <row r="73" spans="1:9" hidden="1" x14ac:dyDescent="0.2">
      <c r="A73">
        <v>12013250</v>
      </c>
      <c r="B73">
        <v>4080</v>
      </c>
      <c r="C73">
        <v>100</v>
      </c>
      <c r="D73" s="17">
        <v>257.69</v>
      </c>
      <c r="I73" t="s">
        <v>392</v>
      </c>
    </row>
    <row r="74" spans="1:9" hidden="1" x14ac:dyDescent="0.2">
      <c r="A74">
        <v>12013250</v>
      </c>
      <c r="B74">
        <v>4080</v>
      </c>
      <c r="C74">
        <v>100</v>
      </c>
      <c r="D74" s="17">
        <v>202.47</v>
      </c>
      <c r="I74" t="s">
        <v>392</v>
      </c>
    </row>
    <row r="75" spans="1:9" hidden="1" x14ac:dyDescent="0.2">
      <c r="A75">
        <v>12013250</v>
      </c>
      <c r="B75">
        <v>4080</v>
      </c>
      <c r="C75">
        <v>100</v>
      </c>
      <c r="D75" s="17">
        <v>390.29</v>
      </c>
      <c r="I75" t="s">
        <v>392</v>
      </c>
    </row>
    <row r="76" spans="1:9" hidden="1" x14ac:dyDescent="0.2">
      <c r="A76">
        <v>12013250</v>
      </c>
      <c r="B76">
        <v>4080</v>
      </c>
      <c r="C76">
        <v>100</v>
      </c>
      <c r="D76" s="17">
        <v>340.83</v>
      </c>
      <c r="I76" t="s">
        <v>393</v>
      </c>
    </row>
    <row r="77" spans="1:9" hidden="1" x14ac:dyDescent="0.2">
      <c r="A77">
        <v>12013250</v>
      </c>
      <c r="B77">
        <v>4080</v>
      </c>
      <c r="C77">
        <v>100</v>
      </c>
      <c r="D77" s="17">
        <v>308.37</v>
      </c>
      <c r="I77" t="s">
        <v>393</v>
      </c>
    </row>
    <row r="78" spans="1:9" hidden="1" x14ac:dyDescent="0.2">
      <c r="A78">
        <v>12013250</v>
      </c>
      <c r="B78">
        <v>4080</v>
      </c>
      <c r="C78">
        <v>100</v>
      </c>
      <c r="D78" s="17">
        <v>257.69</v>
      </c>
      <c r="I78" t="s">
        <v>393</v>
      </c>
    </row>
    <row r="79" spans="1:9" hidden="1" x14ac:dyDescent="0.2">
      <c r="A79">
        <v>12013250</v>
      </c>
      <c r="B79">
        <v>4080</v>
      </c>
      <c r="C79">
        <v>100</v>
      </c>
      <c r="D79" s="17">
        <v>202.47</v>
      </c>
      <c r="I79" t="s">
        <v>393</v>
      </c>
    </row>
    <row r="80" spans="1:9" hidden="1" x14ac:dyDescent="0.2">
      <c r="A80">
        <v>12013250</v>
      </c>
      <c r="B80">
        <v>4080</v>
      </c>
      <c r="C80">
        <v>100</v>
      </c>
      <c r="D80" s="17">
        <v>390.29</v>
      </c>
      <c r="I80" t="s">
        <v>393</v>
      </c>
    </row>
    <row r="81" spans="1:9" hidden="1" x14ac:dyDescent="0.2">
      <c r="A81">
        <v>12013260</v>
      </c>
      <c r="B81">
        <v>4010</v>
      </c>
      <c r="C81">
        <v>100</v>
      </c>
      <c r="D81" s="17">
        <v>2444.2600000000002</v>
      </c>
      <c r="I81" t="s">
        <v>392</v>
      </c>
    </row>
    <row r="82" spans="1:9" hidden="1" x14ac:dyDescent="0.2">
      <c r="A82">
        <v>12013260</v>
      </c>
      <c r="B82">
        <v>4010</v>
      </c>
      <c r="C82">
        <v>100</v>
      </c>
      <c r="D82" s="17">
        <v>-129.74</v>
      </c>
      <c r="I82" t="s">
        <v>392</v>
      </c>
    </row>
    <row r="83" spans="1:9" hidden="1" x14ac:dyDescent="0.2">
      <c r="A83">
        <v>12013260</v>
      </c>
      <c r="B83">
        <v>4010</v>
      </c>
      <c r="C83">
        <v>100</v>
      </c>
      <c r="D83" s="17">
        <v>3184.1</v>
      </c>
      <c r="I83" t="s">
        <v>392</v>
      </c>
    </row>
    <row r="84" spans="1:9" hidden="1" x14ac:dyDescent="0.2">
      <c r="A84">
        <v>12013260</v>
      </c>
      <c r="B84">
        <v>4010</v>
      </c>
      <c r="C84">
        <v>100</v>
      </c>
      <c r="D84" s="17">
        <v>-239.09</v>
      </c>
      <c r="I84" t="s">
        <v>392</v>
      </c>
    </row>
    <row r="85" spans="1:9" hidden="1" x14ac:dyDescent="0.2">
      <c r="A85">
        <v>12013260</v>
      </c>
      <c r="B85">
        <v>4010</v>
      </c>
      <c r="C85">
        <v>100</v>
      </c>
      <c r="D85" s="17">
        <v>2648.76</v>
      </c>
      <c r="I85" t="s">
        <v>392</v>
      </c>
    </row>
    <row r="86" spans="1:9" hidden="1" x14ac:dyDescent="0.2">
      <c r="A86">
        <v>12013260</v>
      </c>
      <c r="B86">
        <v>4010</v>
      </c>
      <c r="C86">
        <v>100</v>
      </c>
      <c r="D86" s="17">
        <v>230.01</v>
      </c>
      <c r="I86" t="s">
        <v>392</v>
      </c>
    </row>
    <row r="87" spans="1:9" hidden="1" x14ac:dyDescent="0.2">
      <c r="A87">
        <v>12013260</v>
      </c>
      <c r="B87">
        <v>4010</v>
      </c>
      <c r="C87">
        <v>100</v>
      </c>
      <c r="D87" s="17">
        <v>624.29999999999995</v>
      </c>
      <c r="I87" t="s">
        <v>392</v>
      </c>
    </row>
    <row r="88" spans="1:9" hidden="1" x14ac:dyDescent="0.2">
      <c r="A88">
        <v>12013260</v>
      </c>
      <c r="B88">
        <v>4010</v>
      </c>
      <c r="C88">
        <v>100</v>
      </c>
      <c r="D88" s="17">
        <v>-381.56</v>
      </c>
      <c r="I88" t="s">
        <v>392</v>
      </c>
    </row>
    <row r="89" spans="1:9" hidden="1" x14ac:dyDescent="0.2">
      <c r="A89">
        <v>12013260</v>
      </c>
      <c r="B89">
        <v>4010</v>
      </c>
      <c r="C89">
        <v>100</v>
      </c>
      <c r="D89" s="17">
        <v>2471.94</v>
      </c>
      <c r="I89" t="s">
        <v>392</v>
      </c>
    </row>
    <row r="90" spans="1:9" hidden="1" x14ac:dyDescent="0.2">
      <c r="A90">
        <v>12013260</v>
      </c>
      <c r="B90">
        <v>4010</v>
      </c>
      <c r="C90">
        <v>100</v>
      </c>
      <c r="D90" s="17">
        <v>-17.760000000000002</v>
      </c>
      <c r="I90" t="s">
        <v>392</v>
      </c>
    </row>
    <row r="91" spans="1:9" hidden="1" x14ac:dyDescent="0.2">
      <c r="A91">
        <v>12013260</v>
      </c>
      <c r="B91">
        <v>4010</v>
      </c>
      <c r="C91">
        <v>100</v>
      </c>
      <c r="D91" s="17">
        <v>3043.24</v>
      </c>
      <c r="I91" t="s">
        <v>392</v>
      </c>
    </row>
    <row r="92" spans="1:9" hidden="1" x14ac:dyDescent="0.2">
      <c r="A92">
        <v>12013260</v>
      </c>
      <c r="B92">
        <v>4010</v>
      </c>
      <c r="C92">
        <v>100</v>
      </c>
      <c r="D92" s="17">
        <v>-200.84</v>
      </c>
      <c r="I92" t="s">
        <v>392</v>
      </c>
    </row>
    <row r="93" spans="1:9" hidden="1" x14ac:dyDescent="0.2">
      <c r="A93">
        <v>12013260</v>
      </c>
      <c r="B93">
        <v>4010</v>
      </c>
      <c r="C93">
        <v>100</v>
      </c>
      <c r="D93" s="17">
        <v>1553.91</v>
      </c>
      <c r="I93" t="s">
        <v>392</v>
      </c>
    </row>
    <row r="94" spans="1:9" hidden="1" x14ac:dyDescent="0.2">
      <c r="A94">
        <v>12013260</v>
      </c>
      <c r="B94">
        <v>4010</v>
      </c>
      <c r="C94">
        <v>100</v>
      </c>
      <c r="D94" s="17">
        <v>171.83</v>
      </c>
      <c r="I94" t="s">
        <v>392</v>
      </c>
    </row>
    <row r="95" spans="1:9" hidden="1" x14ac:dyDescent="0.2">
      <c r="A95">
        <v>12013260</v>
      </c>
      <c r="B95">
        <v>4010</v>
      </c>
      <c r="C95">
        <v>100</v>
      </c>
      <c r="D95" s="17">
        <v>-7.46</v>
      </c>
      <c r="I95" t="s">
        <v>392</v>
      </c>
    </row>
    <row r="96" spans="1:9" hidden="1" x14ac:dyDescent="0.2">
      <c r="A96">
        <v>12013260</v>
      </c>
      <c r="B96">
        <v>4010</v>
      </c>
      <c r="C96">
        <v>100</v>
      </c>
      <c r="D96" s="17">
        <v>1610.65</v>
      </c>
      <c r="I96" t="s">
        <v>392</v>
      </c>
    </row>
    <row r="97" spans="1:9" hidden="1" x14ac:dyDescent="0.2">
      <c r="A97">
        <v>12013260</v>
      </c>
      <c r="B97">
        <v>4010</v>
      </c>
      <c r="C97">
        <v>100</v>
      </c>
      <c r="D97" s="17">
        <v>-20</v>
      </c>
      <c r="I97" t="s">
        <v>392</v>
      </c>
    </row>
    <row r="98" spans="1:9" hidden="1" x14ac:dyDescent="0.2">
      <c r="A98">
        <v>12013260</v>
      </c>
      <c r="B98">
        <v>4010</v>
      </c>
      <c r="C98">
        <v>100</v>
      </c>
      <c r="D98" s="17">
        <v>4692</v>
      </c>
      <c r="I98" t="s">
        <v>392</v>
      </c>
    </row>
    <row r="99" spans="1:9" hidden="1" x14ac:dyDescent="0.2">
      <c r="A99">
        <v>12013260</v>
      </c>
      <c r="B99">
        <v>4010</v>
      </c>
      <c r="C99">
        <v>100</v>
      </c>
      <c r="D99" s="17">
        <v>2558.98</v>
      </c>
      <c r="I99" t="s">
        <v>392</v>
      </c>
    </row>
    <row r="100" spans="1:9" hidden="1" x14ac:dyDescent="0.2">
      <c r="A100">
        <v>12013260</v>
      </c>
      <c r="B100">
        <v>4010</v>
      </c>
      <c r="C100">
        <v>100</v>
      </c>
      <c r="D100" s="17">
        <v>14.56</v>
      </c>
      <c r="I100" t="s">
        <v>392</v>
      </c>
    </row>
    <row r="101" spans="1:9" hidden="1" x14ac:dyDescent="0.2">
      <c r="A101">
        <v>12013260</v>
      </c>
      <c r="B101">
        <v>4010</v>
      </c>
      <c r="C101">
        <v>100</v>
      </c>
      <c r="D101" s="17">
        <v>1696.43</v>
      </c>
      <c r="I101" t="s">
        <v>392</v>
      </c>
    </row>
    <row r="102" spans="1:9" hidden="1" x14ac:dyDescent="0.2">
      <c r="A102">
        <v>12013260</v>
      </c>
      <c r="B102">
        <v>4010</v>
      </c>
      <c r="C102">
        <v>100</v>
      </c>
      <c r="D102" s="17">
        <v>-4.67</v>
      </c>
      <c r="I102" t="s">
        <v>392</v>
      </c>
    </row>
    <row r="103" spans="1:9" hidden="1" x14ac:dyDescent="0.2">
      <c r="A103">
        <v>12013260</v>
      </c>
      <c r="B103">
        <v>4010</v>
      </c>
      <c r="C103">
        <v>100</v>
      </c>
      <c r="D103" s="17">
        <v>1503.79</v>
      </c>
      <c r="I103" t="s">
        <v>392</v>
      </c>
    </row>
    <row r="104" spans="1:9" hidden="1" x14ac:dyDescent="0.2">
      <c r="A104">
        <v>12013260</v>
      </c>
      <c r="B104">
        <v>4010</v>
      </c>
      <c r="C104">
        <v>100</v>
      </c>
      <c r="D104" s="17">
        <v>166.82</v>
      </c>
      <c r="I104" t="s">
        <v>392</v>
      </c>
    </row>
    <row r="105" spans="1:9" hidden="1" x14ac:dyDescent="0.2">
      <c r="A105">
        <v>12013260</v>
      </c>
      <c r="B105">
        <v>4010</v>
      </c>
      <c r="C105">
        <v>100</v>
      </c>
      <c r="D105" s="17">
        <v>-2.41</v>
      </c>
      <c r="I105" t="s">
        <v>392</v>
      </c>
    </row>
    <row r="106" spans="1:9" hidden="1" x14ac:dyDescent="0.2">
      <c r="A106">
        <v>12013260</v>
      </c>
      <c r="B106">
        <v>4010</v>
      </c>
      <c r="C106">
        <v>100</v>
      </c>
      <c r="D106" s="17">
        <v>2492.61</v>
      </c>
      <c r="I106" t="s">
        <v>392</v>
      </c>
    </row>
    <row r="107" spans="1:9" hidden="1" x14ac:dyDescent="0.2">
      <c r="A107">
        <v>12013260</v>
      </c>
      <c r="B107">
        <v>4010</v>
      </c>
      <c r="C107">
        <v>100</v>
      </c>
      <c r="D107" s="17">
        <v>-184.92</v>
      </c>
      <c r="I107" t="s">
        <v>392</v>
      </c>
    </row>
    <row r="108" spans="1:9" hidden="1" x14ac:dyDescent="0.2">
      <c r="A108">
        <v>12013260</v>
      </c>
      <c r="B108">
        <v>4010</v>
      </c>
      <c r="C108">
        <v>100</v>
      </c>
      <c r="D108" s="17">
        <v>3160.4</v>
      </c>
      <c r="I108" t="s">
        <v>392</v>
      </c>
    </row>
    <row r="109" spans="1:9" hidden="1" x14ac:dyDescent="0.2">
      <c r="A109">
        <v>12013260</v>
      </c>
      <c r="B109">
        <v>4010</v>
      </c>
      <c r="C109">
        <v>100</v>
      </c>
      <c r="D109" s="17">
        <v>303.85000000000002</v>
      </c>
      <c r="I109" t="s">
        <v>392</v>
      </c>
    </row>
    <row r="110" spans="1:9" hidden="1" x14ac:dyDescent="0.2">
      <c r="A110">
        <v>12013260</v>
      </c>
      <c r="B110">
        <v>4010</v>
      </c>
      <c r="C110">
        <v>100</v>
      </c>
      <c r="D110" s="17">
        <v>-425.78</v>
      </c>
      <c r="I110" t="s">
        <v>392</v>
      </c>
    </row>
    <row r="111" spans="1:9" hidden="1" x14ac:dyDescent="0.2">
      <c r="A111">
        <v>12013260</v>
      </c>
      <c r="B111">
        <v>4010</v>
      </c>
      <c r="C111">
        <v>100</v>
      </c>
      <c r="D111" s="17">
        <v>1556.46</v>
      </c>
      <c r="I111" t="s">
        <v>392</v>
      </c>
    </row>
    <row r="112" spans="1:9" hidden="1" x14ac:dyDescent="0.2">
      <c r="A112">
        <v>12013260</v>
      </c>
      <c r="B112">
        <v>4010</v>
      </c>
      <c r="C112">
        <v>100</v>
      </c>
      <c r="D112" s="17">
        <v>2933.21</v>
      </c>
      <c r="I112" t="s">
        <v>392</v>
      </c>
    </row>
    <row r="113" spans="1:9" hidden="1" x14ac:dyDescent="0.2">
      <c r="A113">
        <v>12013260</v>
      </c>
      <c r="B113">
        <v>4010</v>
      </c>
      <c r="C113">
        <v>100</v>
      </c>
      <c r="D113" s="17">
        <v>-240.89</v>
      </c>
      <c r="I113" t="s">
        <v>392</v>
      </c>
    </row>
    <row r="114" spans="1:9" hidden="1" x14ac:dyDescent="0.2">
      <c r="A114">
        <v>12013260</v>
      </c>
      <c r="B114">
        <v>4010</v>
      </c>
      <c r="C114">
        <v>100</v>
      </c>
      <c r="D114" s="17">
        <v>519.23</v>
      </c>
      <c r="I114" t="s">
        <v>392</v>
      </c>
    </row>
    <row r="115" spans="1:9" hidden="1" x14ac:dyDescent="0.2">
      <c r="A115">
        <v>12013260</v>
      </c>
      <c r="B115">
        <v>4010</v>
      </c>
      <c r="C115">
        <v>100</v>
      </c>
      <c r="D115" s="17">
        <v>2195.4499999999998</v>
      </c>
      <c r="E115" s="17"/>
      <c r="F115" s="18"/>
      <c r="I115" t="s">
        <v>393</v>
      </c>
    </row>
    <row r="116" spans="1:9" hidden="1" x14ac:dyDescent="0.2">
      <c r="A116">
        <v>12013260</v>
      </c>
      <c r="B116">
        <v>4010</v>
      </c>
      <c r="C116">
        <v>100</v>
      </c>
      <c r="D116" s="17">
        <v>231.45</v>
      </c>
      <c r="E116" s="17"/>
      <c r="F116" s="18"/>
      <c r="I116" t="s">
        <v>393</v>
      </c>
    </row>
    <row r="117" spans="1:9" hidden="1" x14ac:dyDescent="0.2">
      <c r="A117">
        <v>12013260</v>
      </c>
      <c r="B117">
        <v>4010</v>
      </c>
      <c r="C117">
        <v>100</v>
      </c>
      <c r="D117" s="17">
        <v>-112.38</v>
      </c>
      <c r="E117" s="17"/>
      <c r="F117" s="18"/>
      <c r="I117" t="s">
        <v>393</v>
      </c>
    </row>
    <row r="118" spans="1:9" hidden="1" x14ac:dyDescent="0.2">
      <c r="A118">
        <v>12013260</v>
      </c>
      <c r="B118">
        <v>4010</v>
      </c>
      <c r="C118">
        <v>100</v>
      </c>
      <c r="D118" s="17">
        <v>2429.2399999999998</v>
      </c>
      <c r="E118" s="17"/>
      <c r="F118" s="18"/>
      <c r="I118" t="s">
        <v>393</v>
      </c>
    </row>
    <row r="119" spans="1:9" hidden="1" x14ac:dyDescent="0.2">
      <c r="A119">
        <v>12013260</v>
      </c>
      <c r="B119">
        <v>4010</v>
      </c>
      <c r="C119">
        <v>100</v>
      </c>
      <c r="D119" s="17">
        <v>348.75</v>
      </c>
      <c r="E119" s="17"/>
      <c r="F119" s="18"/>
      <c r="I119" t="s">
        <v>393</v>
      </c>
    </row>
    <row r="120" spans="1:9" hidden="1" x14ac:dyDescent="0.2">
      <c r="A120">
        <v>12013260</v>
      </c>
      <c r="B120">
        <v>4010</v>
      </c>
      <c r="C120">
        <v>100</v>
      </c>
      <c r="D120" s="17">
        <v>294.5</v>
      </c>
      <c r="E120" s="17"/>
      <c r="F120" s="18"/>
      <c r="I120" t="s">
        <v>393</v>
      </c>
    </row>
    <row r="121" spans="1:9" hidden="1" x14ac:dyDescent="0.2">
      <c r="A121">
        <v>12013260</v>
      </c>
      <c r="B121">
        <v>4010</v>
      </c>
      <c r="C121">
        <v>100</v>
      </c>
      <c r="D121" s="17">
        <v>-127.49</v>
      </c>
      <c r="E121" s="17"/>
      <c r="F121" s="18"/>
      <c r="I121" t="s">
        <v>393</v>
      </c>
    </row>
    <row r="122" spans="1:9" hidden="1" x14ac:dyDescent="0.2">
      <c r="A122">
        <v>12013260</v>
      </c>
      <c r="B122">
        <v>4010</v>
      </c>
      <c r="C122">
        <v>100</v>
      </c>
      <c r="D122" s="17">
        <v>3119.86</v>
      </c>
      <c r="E122" s="17"/>
      <c r="F122" s="18"/>
      <c r="I122" t="s">
        <v>393</v>
      </c>
    </row>
    <row r="123" spans="1:9" hidden="1" x14ac:dyDescent="0.2">
      <c r="A123">
        <v>12013260</v>
      </c>
      <c r="B123">
        <v>4010</v>
      </c>
      <c r="C123">
        <v>100</v>
      </c>
      <c r="D123" s="17">
        <v>312.14999999999998</v>
      </c>
      <c r="E123" s="17"/>
      <c r="F123" s="18"/>
      <c r="I123" t="s">
        <v>393</v>
      </c>
    </row>
    <row r="124" spans="1:9" hidden="1" x14ac:dyDescent="0.2">
      <c r="A124">
        <v>12013260</v>
      </c>
      <c r="B124">
        <v>4010</v>
      </c>
      <c r="C124">
        <v>100</v>
      </c>
      <c r="D124" s="17">
        <v>-310.51</v>
      </c>
      <c r="E124" s="17"/>
      <c r="F124" s="18"/>
      <c r="I124" t="s">
        <v>393</v>
      </c>
    </row>
    <row r="125" spans="1:9" hidden="1" x14ac:dyDescent="0.2">
      <c r="A125" s="19">
        <v>12013260</v>
      </c>
      <c r="B125">
        <v>4010</v>
      </c>
      <c r="C125">
        <v>100</v>
      </c>
      <c r="D125" s="17">
        <v>2052.79</v>
      </c>
      <c r="E125" s="20"/>
      <c r="F125" s="21"/>
      <c r="G125" s="19"/>
      <c r="H125" s="19"/>
      <c r="I125" t="s">
        <v>393</v>
      </c>
    </row>
    <row r="126" spans="1:9" hidden="1" x14ac:dyDescent="0.2">
      <c r="A126" s="19">
        <v>12013260</v>
      </c>
      <c r="B126">
        <v>4010</v>
      </c>
      <c r="C126">
        <v>100</v>
      </c>
      <c r="D126" s="17">
        <v>245.42</v>
      </c>
      <c r="E126" s="20"/>
      <c r="F126" s="21"/>
      <c r="G126" s="19"/>
      <c r="H126" s="19"/>
      <c r="I126" t="s">
        <v>393</v>
      </c>
    </row>
    <row r="127" spans="1:9" hidden="1" x14ac:dyDescent="0.2">
      <c r="A127" s="19">
        <v>12013260</v>
      </c>
      <c r="B127">
        <v>4010</v>
      </c>
      <c r="C127">
        <v>100</v>
      </c>
      <c r="D127" s="17">
        <v>245.42</v>
      </c>
      <c r="E127" s="20"/>
      <c r="F127" s="21"/>
      <c r="G127" s="19"/>
      <c r="H127" s="19"/>
      <c r="I127" t="s">
        <v>393</v>
      </c>
    </row>
    <row r="128" spans="1:9" hidden="1" x14ac:dyDescent="0.2">
      <c r="A128" s="19">
        <v>12013260</v>
      </c>
      <c r="B128">
        <v>4010</v>
      </c>
      <c r="C128">
        <v>100</v>
      </c>
      <c r="D128" s="17">
        <v>-89.45</v>
      </c>
      <c r="E128" s="20"/>
      <c r="F128" s="21"/>
      <c r="G128" s="19"/>
      <c r="H128" s="19"/>
      <c r="I128" t="s">
        <v>393</v>
      </c>
    </row>
    <row r="129" spans="1:9" hidden="1" x14ac:dyDescent="0.2">
      <c r="A129" s="19">
        <v>12013260</v>
      </c>
      <c r="B129">
        <v>4010</v>
      </c>
      <c r="C129">
        <v>100</v>
      </c>
      <c r="D129" s="17">
        <v>2710.38</v>
      </c>
      <c r="E129" s="20"/>
      <c r="F129" s="21"/>
      <c r="G129" s="19"/>
      <c r="H129" s="19"/>
      <c r="I129" t="s">
        <v>393</v>
      </c>
    </row>
    <row r="130" spans="1:9" hidden="1" x14ac:dyDescent="0.2">
      <c r="A130" s="19">
        <v>12013260</v>
      </c>
      <c r="B130">
        <v>4010</v>
      </c>
      <c r="C130">
        <v>100</v>
      </c>
      <c r="D130" s="17">
        <v>284.24</v>
      </c>
      <c r="E130" s="20"/>
      <c r="F130" s="21"/>
      <c r="G130" s="19"/>
      <c r="H130" s="19"/>
      <c r="I130" t="s">
        <v>393</v>
      </c>
    </row>
    <row r="131" spans="1:9" hidden="1" x14ac:dyDescent="0.2">
      <c r="A131" s="19">
        <v>12013260</v>
      </c>
      <c r="B131">
        <v>4010</v>
      </c>
      <c r="C131">
        <v>100</v>
      </c>
      <c r="D131" s="17">
        <v>-152.22</v>
      </c>
      <c r="E131" s="20"/>
      <c r="F131" s="21"/>
      <c r="G131" s="19"/>
      <c r="H131" s="19"/>
      <c r="I131" t="s">
        <v>393</v>
      </c>
    </row>
    <row r="132" spans="1:9" hidden="1" x14ac:dyDescent="0.2">
      <c r="A132">
        <v>12013260</v>
      </c>
      <c r="B132">
        <v>4010</v>
      </c>
      <c r="C132">
        <v>100</v>
      </c>
      <c r="D132" s="17">
        <v>1555.49</v>
      </c>
      <c r="E132" s="17"/>
      <c r="F132" s="18"/>
      <c r="I132" t="s">
        <v>393</v>
      </c>
    </row>
    <row r="133" spans="1:9" hidden="1" x14ac:dyDescent="0.2">
      <c r="A133">
        <v>12013260</v>
      </c>
      <c r="B133">
        <v>4010</v>
      </c>
      <c r="C133">
        <v>100</v>
      </c>
      <c r="D133" s="17">
        <v>171.83</v>
      </c>
      <c r="E133" s="17"/>
      <c r="F133" s="18"/>
      <c r="I133" t="s">
        <v>393</v>
      </c>
    </row>
    <row r="134" spans="1:9" hidden="1" x14ac:dyDescent="0.2">
      <c r="A134" s="22">
        <v>12013260</v>
      </c>
      <c r="B134">
        <v>4010</v>
      </c>
      <c r="C134">
        <v>100</v>
      </c>
      <c r="D134" s="17">
        <v>-9.0399999999999991</v>
      </c>
      <c r="E134" s="23"/>
      <c r="F134" s="24"/>
      <c r="G134" s="22"/>
      <c r="H134" s="22"/>
      <c r="I134" t="s">
        <v>393</v>
      </c>
    </row>
    <row r="135" spans="1:9" hidden="1" x14ac:dyDescent="0.2">
      <c r="A135">
        <v>12013260</v>
      </c>
      <c r="B135">
        <v>4010</v>
      </c>
      <c r="C135">
        <v>100</v>
      </c>
      <c r="D135" s="17">
        <v>1470.19</v>
      </c>
      <c r="E135" s="17"/>
      <c r="F135" s="18"/>
      <c r="I135" t="s">
        <v>393</v>
      </c>
    </row>
    <row r="136" spans="1:9" hidden="1" x14ac:dyDescent="0.2">
      <c r="A136">
        <v>12013260</v>
      </c>
      <c r="B136">
        <v>4010</v>
      </c>
      <c r="C136">
        <v>100</v>
      </c>
      <c r="D136" s="17">
        <v>176.74</v>
      </c>
      <c r="E136" s="17"/>
      <c r="F136" s="18"/>
      <c r="I136" t="s">
        <v>393</v>
      </c>
    </row>
    <row r="137" spans="1:9" hidden="1" x14ac:dyDescent="0.2">
      <c r="A137">
        <v>12013260</v>
      </c>
      <c r="B137">
        <v>4010</v>
      </c>
      <c r="C137">
        <v>100</v>
      </c>
      <c r="D137" s="17">
        <v>-56.28</v>
      </c>
      <c r="E137" s="17"/>
      <c r="F137" s="18"/>
      <c r="I137" t="s">
        <v>393</v>
      </c>
    </row>
    <row r="138" spans="1:9" hidden="1" x14ac:dyDescent="0.2">
      <c r="A138">
        <v>12013260</v>
      </c>
      <c r="B138">
        <v>4010</v>
      </c>
      <c r="C138">
        <v>100</v>
      </c>
      <c r="D138" s="17">
        <v>469.2</v>
      </c>
      <c r="E138" s="17"/>
      <c r="F138" s="18"/>
      <c r="I138" t="s">
        <v>393</v>
      </c>
    </row>
    <row r="139" spans="1:9" hidden="1" x14ac:dyDescent="0.2">
      <c r="A139">
        <v>12013260</v>
      </c>
      <c r="B139">
        <v>4010</v>
      </c>
      <c r="C139">
        <v>100</v>
      </c>
      <c r="D139" s="17">
        <v>4222.8</v>
      </c>
      <c r="E139" s="17"/>
      <c r="F139" s="18"/>
      <c r="I139" t="s">
        <v>393</v>
      </c>
    </row>
    <row r="140" spans="1:9" hidden="1" x14ac:dyDescent="0.2">
      <c r="A140">
        <v>12013260</v>
      </c>
      <c r="B140">
        <v>4010</v>
      </c>
      <c r="C140">
        <v>100</v>
      </c>
      <c r="D140" s="17">
        <v>2288.7600000000002</v>
      </c>
      <c r="E140" s="17"/>
      <c r="F140" s="18"/>
      <c r="I140" t="s">
        <v>393</v>
      </c>
    </row>
    <row r="141" spans="1:9" hidden="1" x14ac:dyDescent="0.2">
      <c r="A141">
        <v>12013260</v>
      </c>
      <c r="B141">
        <v>4010</v>
      </c>
      <c r="C141">
        <v>100</v>
      </c>
      <c r="D141" s="17">
        <v>257.35000000000002</v>
      </c>
      <c r="E141" s="17"/>
      <c r="F141" s="18"/>
      <c r="I141" t="s">
        <v>393</v>
      </c>
    </row>
    <row r="142" spans="1:9" hidden="1" x14ac:dyDescent="0.2">
      <c r="A142">
        <v>12013260</v>
      </c>
      <c r="B142">
        <v>4010</v>
      </c>
      <c r="C142">
        <v>100</v>
      </c>
      <c r="D142" s="17">
        <v>27.43</v>
      </c>
      <c r="E142" s="17"/>
      <c r="F142" s="18"/>
      <c r="I142" t="s">
        <v>393</v>
      </c>
    </row>
    <row r="143" spans="1:9" hidden="1" x14ac:dyDescent="0.2">
      <c r="A143">
        <v>12013260</v>
      </c>
      <c r="B143">
        <v>4010</v>
      </c>
      <c r="C143">
        <v>100</v>
      </c>
      <c r="D143" s="17">
        <v>1527.7</v>
      </c>
      <c r="E143" s="17"/>
      <c r="F143" s="18"/>
      <c r="I143" t="s">
        <v>393</v>
      </c>
    </row>
    <row r="144" spans="1:9" hidden="1" x14ac:dyDescent="0.2">
      <c r="A144">
        <v>12013260</v>
      </c>
      <c r="B144">
        <v>4010</v>
      </c>
      <c r="C144">
        <v>100</v>
      </c>
      <c r="D144" s="17">
        <v>169.18</v>
      </c>
      <c r="E144" s="17"/>
      <c r="F144" s="18"/>
      <c r="I144" t="s">
        <v>393</v>
      </c>
    </row>
    <row r="145" spans="1:9" hidden="1" x14ac:dyDescent="0.2">
      <c r="A145">
        <v>12013260</v>
      </c>
      <c r="B145">
        <v>4010</v>
      </c>
      <c r="C145">
        <v>100</v>
      </c>
      <c r="D145" s="17">
        <v>-5.12</v>
      </c>
      <c r="E145" s="17"/>
      <c r="F145" s="18"/>
      <c r="I145" t="s">
        <v>393</v>
      </c>
    </row>
    <row r="146" spans="1:9" hidden="1" x14ac:dyDescent="0.2">
      <c r="A146">
        <v>12013260</v>
      </c>
      <c r="B146">
        <v>4010</v>
      </c>
      <c r="C146">
        <v>100</v>
      </c>
      <c r="D146" s="17">
        <v>1495.67</v>
      </c>
      <c r="E146" s="17"/>
      <c r="F146" s="18"/>
      <c r="I146" t="s">
        <v>393</v>
      </c>
    </row>
    <row r="147" spans="1:9" hidden="1" x14ac:dyDescent="0.2">
      <c r="A147">
        <v>12013260</v>
      </c>
      <c r="B147">
        <v>4010</v>
      </c>
      <c r="C147">
        <v>100</v>
      </c>
      <c r="D147" s="17">
        <v>166.82</v>
      </c>
      <c r="E147" s="17"/>
      <c r="F147" s="18"/>
      <c r="I147" t="s">
        <v>393</v>
      </c>
    </row>
    <row r="148" spans="1:9" hidden="1" x14ac:dyDescent="0.2">
      <c r="A148">
        <v>12013260</v>
      </c>
      <c r="B148">
        <v>4010</v>
      </c>
      <c r="C148">
        <v>100</v>
      </c>
      <c r="D148" s="17">
        <v>5.71</v>
      </c>
      <c r="E148" s="17"/>
      <c r="F148" s="18"/>
      <c r="I148" t="s">
        <v>393</v>
      </c>
    </row>
    <row r="149" spans="1:9" hidden="1" x14ac:dyDescent="0.2">
      <c r="A149">
        <v>12013260</v>
      </c>
      <c r="B149">
        <v>4010</v>
      </c>
      <c r="C149">
        <v>100</v>
      </c>
      <c r="D149" s="17">
        <v>2322.88</v>
      </c>
      <c r="E149" s="17"/>
      <c r="F149" s="18"/>
      <c r="I149" t="s">
        <v>393</v>
      </c>
    </row>
    <row r="150" spans="1:9" hidden="1" x14ac:dyDescent="0.2">
      <c r="A150">
        <v>12013260</v>
      </c>
      <c r="B150">
        <v>4010</v>
      </c>
      <c r="C150">
        <v>100</v>
      </c>
      <c r="D150" s="17">
        <v>230.77</v>
      </c>
      <c r="E150" s="17"/>
      <c r="F150" s="18"/>
      <c r="I150" t="s">
        <v>393</v>
      </c>
    </row>
    <row r="151" spans="1:9" hidden="1" x14ac:dyDescent="0.2">
      <c r="A151">
        <v>12013260</v>
      </c>
      <c r="B151">
        <v>4010</v>
      </c>
      <c r="C151">
        <v>100</v>
      </c>
      <c r="D151" s="17">
        <v>-245.95</v>
      </c>
      <c r="E151" s="17"/>
      <c r="F151" s="18"/>
      <c r="I151" t="s">
        <v>393</v>
      </c>
    </row>
    <row r="152" spans="1:9" hidden="1" x14ac:dyDescent="0.2">
      <c r="A152">
        <v>12013260</v>
      </c>
      <c r="B152">
        <v>4010</v>
      </c>
      <c r="C152">
        <v>100</v>
      </c>
      <c r="D152" s="17">
        <v>3069.25</v>
      </c>
      <c r="E152" s="17"/>
      <c r="F152" s="18"/>
      <c r="I152" t="s">
        <v>393</v>
      </c>
    </row>
    <row r="153" spans="1:9" hidden="1" x14ac:dyDescent="0.2">
      <c r="A153">
        <v>12013260</v>
      </c>
      <c r="B153">
        <v>4010</v>
      </c>
      <c r="C153">
        <v>100</v>
      </c>
      <c r="D153" s="17">
        <v>303.85000000000002</v>
      </c>
      <c r="E153" s="17"/>
      <c r="F153" s="18"/>
      <c r="I153" t="s">
        <v>393</v>
      </c>
    </row>
    <row r="154" spans="1:9" hidden="1" x14ac:dyDescent="0.2">
      <c r="A154">
        <v>12013260</v>
      </c>
      <c r="B154">
        <v>4010</v>
      </c>
      <c r="C154">
        <v>100</v>
      </c>
      <c r="D154" s="17">
        <v>-454.57</v>
      </c>
      <c r="E154" s="17"/>
      <c r="F154" s="18"/>
      <c r="I154" t="s">
        <v>393</v>
      </c>
    </row>
    <row r="155" spans="1:9" hidden="1" x14ac:dyDescent="0.2">
      <c r="A155">
        <v>12013260</v>
      </c>
      <c r="B155">
        <v>4010</v>
      </c>
      <c r="C155">
        <v>100</v>
      </c>
      <c r="D155" s="17">
        <v>1334.26</v>
      </c>
      <c r="E155" s="17"/>
      <c r="F155" s="18"/>
      <c r="I155" t="s">
        <v>393</v>
      </c>
    </row>
    <row r="156" spans="1:9" hidden="1" x14ac:dyDescent="0.2">
      <c r="A156">
        <v>12013260</v>
      </c>
      <c r="B156">
        <v>4010</v>
      </c>
      <c r="C156">
        <v>100</v>
      </c>
      <c r="D156" s="17">
        <v>155.65</v>
      </c>
      <c r="E156" s="17"/>
      <c r="F156" s="18"/>
      <c r="I156" t="s">
        <v>393</v>
      </c>
    </row>
    <row r="157" spans="1:9" hidden="1" x14ac:dyDescent="0.2">
      <c r="A157">
        <v>12013260</v>
      </c>
      <c r="B157">
        <v>4010</v>
      </c>
      <c r="C157">
        <v>100</v>
      </c>
      <c r="D157" s="17">
        <v>2745.81</v>
      </c>
      <c r="E157" s="17"/>
      <c r="F157" s="18"/>
      <c r="I157" t="s">
        <v>393</v>
      </c>
    </row>
    <row r="158" spans="1:9" hidden="1" x14ac:dyDescent="0.2">
      <c r="A158">
        <v>12013260</v>
      </c>
      <c r="B158">
        <v>4010</v>
      </c>
      <c r="C158">
        <v>100</v>
      </c>
      <c r="D158" s="17">
        <v>269.23</v>
      </c>
      <c r="E158" s="17"/>
      <c r="F158" s="18"/>
      <c r="I158" t="s">
        <v>393</v>
      </c>
    </row>
    <row r="159" spans="1:9" hidden="1" x14ac:dyDescent="0.2">
      <c r="A159">
        <v>12013260</v>
      </c>
      <c r="B159">
        <v>4010</v>
      </c>
      <c r="C159">
        <v>100</v>
      </c>
      <c r="D159" s="17">
        <v>-322.72000000000003</v>
      </c>
      <c r="E159" s="17"/>
      <c r="F159" s="18"/>
      <c r="I159" t="s">
        <v>393</v>
      </c>
    </row>
    <row r="160" spans="1:9" hidden="1" x14ac:dyDescent="0.2">
      <c r="A160">
        <v>12013260</v>
      </c>
      <c r="B160">
        <v>4010</v>
      </c>
      <c r="C160">
        <v>100</v>
      </c>
      <c r="D160" s="17">
        <v>1592.31</v>
      </c>
      <c r="E160" s="17"/>
      <c r="F160" s="18"/>
      <c r="I160" t="s">
        <v>393</v>
      </c>
    </row>
    <row r="161" spans="1:9" hidden="1" x14ac:dyDescent="0.2">
      <c r="A161">
        <v>12013260</v>
      </c>
      <c r="B161">
        <v>4010</v>
      </c>
      <c r="C161">
        <v>100</v>
      </c>
      <c r="D161" s="17">
        <v>173.08</v>
      </c>
      <c r="E161" s="17"/>
      <c r="F161" s="18"/>
      <c r="I161" t="s">
        <v>393</v>
      </c>
    </row>
    <row r="162" spans="1:9" hidden="1" x14ac:dyDescent="0.2">
      <c r="A162">
        <v>12013260</v>
      </c>
      <c r="B162">
        <v>4010</v>
      </c>
      <c r="C162">
        <v>100</v>
      </c>
      <c r="D162" s="17">
        <v>-34.619999999999997</v>
      </c>
      <c r="E162" s="17"/>
      <c r="F162" s="18"/>
      <c r="I162" t="s">
        <v>393</v>
      </c>
    </row>
    <row r="163" spans="1:9" hidden="1" x14ac:dyDescent="0.2">
      <c r="A163">
        <v>12013260</v>
      </c>
      <c r="B163">
        <v>4010</v>
      </c>
      <c r="C163">
        <v>300</v>
      </c>
      <c r="D163" s="17">
        <v>15.36</v>
      </c>
      <c r="I163" t="s">
        <v>392</v>
      </c>
    </row>
    <row r="164" spans="1:9" hidden="1" x14ac:dyDescent="0.2">
      <c r="A164">
        <v>12013260</v>
      </c>
      <c r="B164">
        <v>4010</v>
      </c>
      <c r="C164">
        <v>400</v>
      </c>
      <c r="D164" s="17">
        <v>19.829999999999998</v>
      </c>
      <c r="I164" t="s">
        <v>392</v>
      </c>
    </row>
    <row r="165" spans="1:9" hidden="1" x14ac:dyDescent="0.2">
      <c r="A165">
        <v>12013260</v>
      </c>
      <c r="B165">
        <v>4010</v>
      </c>
      <c r="C165">
        <v>400</v>
      </c>
      <c r="D165" s="17">
        <v>19.829999999999998</v>
      </c>
      <c r="I165" t="s">
        <v>393</v>
      </c>
    </row>
    <row r="166" spans="1:9" hidden="1" x14ac:dyDescent="0.2">
      <c r="A166">
        <v>12013260</v>
      </c>
      <c r="B166">
        <v>4080</v>
      </c>
      <c r="C166">
        <v>100</v>
      </c>
      <c r="D166" s="17">
        <v>208.31</v>
      </c>
      <c r="I166" t="s">
        <v>392</v>
      </c>
    </row>
    <row r="167" spans="1:9" hidden="1" x14ac:dyDescent="0.2">
      <c r="A167">
        <v>12013260</v>
      </c>
      <c r="B167">
        <v>4080</v>
      </c>
      <c r="C167">
        <v>100</v>
      </c>
      <c r="D167" s="17">
        <v>265.05</v>
      </c>
      <c r="I167" t="s">
        <v>392</v>
      </c>
    </row>
    <row r="168" spans="1:9" hidden="1" x14ac:dyDescent="0.2">
      <c r="A168">
        <v>12013260</v>
      </c>
      <c r="B168">
        <v>4080</v>
      </c>
      <c r="C168">
        <v>100</v>
      </c>
      <c r="D168" s="17">
        <v>280.94</v>
      </c>
      <c r="I168" t="s">
        <v>392</v>
      </c>
    </row>
    <row r="169" spans="1:9" hidden="1" x14ac:dyDescent="0.2">
      <c r="A169">
        <v>12013260</v>
      </c>
      <c r="B169">
        <v>4080</v>
      </c>
      <c r="C169">
        <v>100</v>
      </c>
      <c r="D169" s="17">
        <v>220.88</v>
      </c>
      <c r="I169" t="s">
        <v>392</v>
      </c>
    </row>
    <row r="170" spans="1:9" hidden="1" x14ac:dyDescent="0.2">
      <c r="A170">
        <v>12013260</v>
      </c>
      <c r="B170">
        <v>4080</v>
      </c>
      <c r="C170">
        <v>100</v>
      </c>
      <c r="D170" s="17">
        <v>257.60000000000002</v>
      </c>
      <c r="I170" t="s">
        <v>392</v>
      </c>
    </row>
    <row r="171" spans="1:9" hidden="1" x14ac:dyDescent="0.2">
      <c r="A171">
        <v>12013260</v>
      </c>
      <c r="B171">
        <v>4080</v>
      </c>
      <c r="C171">
        <v>100</v>
      </c>
      <c r="D171" s="17">
        <v>154.65</v>
      </c>
      <c r="I171" t="s">
        <v>392</v>
      </c>
    </row>
    <row r="172" spans="1:9" hidden="1" x14ac:dyDescent="0.2">
      <c r="A172">
        <v>12013260</v>
      </c>
      <c r="B172">
        <v>4080</v>
      </c>
      <c r="C172">
        <v>100</v>
      </c>
      <c r="D172" s="17">
        <v>159.07</v>
      </c>
      <c r="I172" t="s">
        <v>392</v>
      </c>
    </row>
    <row r="173" spans="1:9" hidden="1" x14ac:dyDescent="0.2">
      <c r="A173">
        <v>12013260</v>
      </c>
      <c r="B173">
        <v>4080</v>
      </c>
      <c r="C173">
        <v>100</v>
      </c>
      <c r="D173" s="17">
        <v>422.28</v>
      </c>
      <c r="I173" t="s">
        <v>392</v>
      </c>
    </row>
    <row r="174" spans="1:9" hidden="1" x14ac:dyDescent="0.2">
      <c r="A174">
        <v>12013260</v>
      </c>
      <c r="B174">
        <v>4080</v>
      </c>
      <c r="C174">
        <v>100</v>
      </c>
      <c r="D174" s="17">
        <v>231.62</v>
      </c>
      <c r="I174" t="s">
        <v>392</v>
      </c>
    </row>
    <row r="175" spans="1:9" hidden="1" x14ac:dyDescent="0.2">
      <c r="A175">
        <v>12013260</v>
      </c>
      <c r="B175">
        <v>4080</v>
      </c>
      <c r="C175">
        <v>100</v>
      </c>
      <c r="D175" s="17">
        <v>152.26</v>
      </c>
      <c r="I175" t="s">
        <v>392</v>
      </c>
    </row>
    <row r="176" spans="1:9" hidden="1" x14ac:dyDescent="0.2">
      <c r="A176">
        <v>12013260</v>
      </c>
      <c r="B176">
        <v>4080</v>
      </c>
      <c r="C176">
        <v>100</v>
      </c>
      <c r="D176">
        <v>150.13999999999999</v>
      </c>
      <c r="I176" t="s">
        <v>392</v>
      </c>
    </row>
    <row r="177" spans="1:9" hidden="1" x14ac:dyDescent="0.2">
      <c r="A177">
        <v>12013260</v>
      </c>
      <c r="B177">
        <v>4080</v>
      </c>
      <c r="C177">
        <v>100</v>
      </c>
      <c r="D177">
        <v>207.69</v>
      </c>
      <c r="I177" t="s">
        <v>392</v>
      </c>
    </row>
    <row r="178" spans="1:9" hidden="1" x14ac:dyDescent="0.2">
      <c r="A178">
        <v>12013260</v>
      </c>
      <c r="B178">
        <v>4080</v>
      </c>
      <c r="C178">
        <v>100</v>
      </c>
      <c r="D178">
        <v>273.45999999999998</v>
      </c>
      <c r="I178" t="s">
        <v>392</v>
      </c>
    </row>
    <row r="179" spans="1:9" hidden="1" x14ac:dyDescent="0.2">
      <c r="A179">
        <v>12013260</v>
      </c>
      <c r="B179">
        <v>4080</v>
      </c>
      <c r="C179">
        <v>100</v>
      </c>
      <c r="D179">
        <v>140.08000000000001</v>
      </c>
      <c r="I179" t="s">
        <v>392</v>
      </c>
    </row>
    <row r="180" spans="1:9" hidden="1" x14ac:dyDescent="0.2">
      <c r="A180">
        <v>12013260</v>
      </c>
      <c r="B180">
        <v>4080</v>
      </c>
      <c r="C180">
        <v>100</v>
      </c>
      <c r="D180">
        <v>242.31</v>
      </c>
      <c r="I180" t="s">
        <v>392</v>
      </c>
    </row>
    <row r="181" spans="1:9" hidden="1" x14ac:dyDescent="0.2">
      <c r="A181">
        <v>12013260</v>
      </c>
      <c r="B181">
        <v>4080</v>
      </c>
      <c r="C181">
        <v>100</v>
      </c>
      <c r="D181">
        <v>46.73</v>
      </c>
      <c r="I181" t="s">
        <v>392</v>
      </c>
    </row>
    <row r="182" spans="1:9" hidden="1" x14ac:dyDescent="0.2">
      <c r="A182">
        <v>12013260</v>
      </c>
      <c r="B182">
        <v>4080</v>
      </c>
      <c r="C182">
        <v>100</v>
      </c>
      <c r="D182" s="17">
        <v>208.31</v>
      </c>
      <c r="I182" t="s">
        <v>393</v>
      </c>
    </row>
    <row r="183" spans="1:9" hidden="1" x14ac:dyDescent="0.2">
      <c r="A183">
        <v>12013260</v>
      </c>
      <c r="B183">
        <v>4080</v>
      </c>
      <c r="C183">
        <v>100</v>
      </c>
      <c r="D183" s="17">
        <v>265.05</v>
      </c>
      <c r="I183" t="s">
        <v>393</v>
      </c>
    </row>
    <row r="184" spans="1:9" hidden="1" x14ac:dyDescent="0.2">
      <c r="A184">
        <v>12013260</v>
      </c>
      <c r="B184">
        <v>4080</v>
      </c>
      <c r="C184">
        <v>100</v>
      </c>
      <c r="D184" s="17">
        <v>280.94</v>
      </c>
      <c r="I184" t="s">
        <v>393</v>
      </c>
    </row>
    <row r="185" spans="1:9" hidden="1" x14ac:dyDescent="0.2">
      <c r="A185">
        <v>12013260</v>
      </c>
      <c r="B185">
        <v>4080</v>
      </c>
      <c r="C185">
        <v>100</v>
      </c>
      <c r="D185" s="17">
        <v>220.88</v>
      </c>
      <c r="I185" t="s">
        <v>393</v>
      </c>
    </row>
    <row r="186" spans="1:9" hidden="1" x14ac:dyDescent="0.2">
      <c r="A186">
        <v>12013260</v>
      </c>
      <c r="B186">
        <v>4080</v>
      </c>
      <c r="C186">
        <v>100</v>
      </c>
      <c r="D186" s="17">
        <v>257.60000000000002</v>
      </c>
      <c r="I186" t="s">
        <v>393</v>
      </c>
    </row>
    <row r="187" spans="1:9" hidden="1" x14ac:dyDescent="0.2">
      <c r="A187">
        <v>12013260</v>
      </c>
      <c r="B187">
        <v>4080</v>
      </c>
      <c r="C187">
        <v>100</v>
      </c>
      <c r="D187" s="17">
        <v>154.65</v>
      </c>
      <c r="I187" t="s">
        <v>393</v>
      </c>
    </row>
    <row r="188" spans="1:9" hidden="1" x14ac:dyDescent="0.2">
      <c r="A188">
        <v>12013260</v>
      </c>
      <c r="B188">
        <v>4080</v>
      </c>
      <c r="C188">
        <v>100</v>
      </c>
      <c r="D188" s="17">
        <v>159.07</v>
      </c>
      <c r="I188" t="s">
        <v>393</v>
      </c>
    </row>
    <row r="189" spans="1:9" hidden="1" x14ac:dyDescent="0.2">
      <c r="A189">
        <v>12013260</v>
      </c>
      <c r="B189">
        <v>4080</v>
      </c>
      <c r="C189">
        <v>100</v>
      </c>
      <c r="D189" s="17">
        <v>422.28</v>
      </c>
      <c r="I189" t="s">
        <v>393</v>
      </c>
    </row>
    <row r="190" spans="1:9" hidden="1" x14ac:dyDescent="0.2">
      <c r="A190">
        <v>12013260</v>
      </c>
      <c r="B190">
        <v>4080</v>
      </c>
      <c r="C190">
        <v>100</v>
      </c>
      <c r="D190" s="17">
        <v>231.62</v>
      </c>
      <c r="I190" t="s">
        <v>393</v>
      </c>
    </row>
    <row r="191" spans="1:9" hidden="1" x14ac:dyDescent="0.2">
      <c r="A191">
        <v>12013260</v>
      </c>
      <c r="B191">
        <v>4080</v>
      </c>
      <c r="C191">
        <v>100</v>
      </c>
      <c r="D191" s="17">
        <v>152.26</v>
      </c>
      <c r="I191" t="s">
        <v>393</v>
      </c>
    </row>
    <row r="192" spans="1:9" hidden="1" x14ac:dyDescent="0.2">
      <c r="A192">
        <v>12013260</v>
      </c>
      <c r="B192">
        <v>4080</v>
      </c>
      <c r="C192">
        <v>100</v>
      </c>
      <c r="D192" s="17">
        <v>150.13999999999999</v>
      </c>
      <c r="I192" t="s">
        <v>393</v>
      </c>
    </row>
    <row r="193" spans="1:9" hidden="1" x14ac:dyDescent="0.2">
      <c r="A193">
        <v>12013260</v>
      </c>
      <c r="B193">
        <v>4080</v>
      </c>
      <c r="C193">
        <v>100</v>
      </c>
      <c r="D193" s="17">
        <v>207.69</v>
      </c>
      <c r="I193" t="s">
        <v>393</v>
      </c>
    </row>
    <row r="194" spans="1:9" hidden="1" x14ac:dyDescent="0.2">
      <c r="A194">
        <v>12013260</v>
      </c>
      <c r="B194">
        <v>4080</v>
      </c>
      <c r="C194">
        <v>100</v>
      </c>
      <c r="D194" s="17">
        <v>273.45999999999998</v>
      </c>
      <c r="I194" t="s">
        <v>393</v>
      </c>
    </row>
    <row r="195" spans="1:9" hidden="1" x14ac:dyDescent="0.2">
      <c r="A195">
        <v>12013260</v>
      </c>
      <c r="B195">
        <v>4080</v>
      </c>
      <c r="C195">
        <v>100</v>
      </c>
      <c r="D195" s="17">
        <v>134.09</v>
      </c>
      <c r="I195" t="s">
        <v>393</v>
      </c>
    </row>
    <row r="196" spans="1:9" hidden="1" x14ac:dyDescent="0.2">
      <c r="A196">
        <v>12013260</v>
      </c>
      <c r="B196">
        <v>4080</v>
      </c>
      <c r="C196">
        <v>100</v>
      </c>
      <c r="D196" s="17">
        <v>242.31</v>
      </c>
      <c r="I196" t="s">
        <v>393</v>
      </c>
    </row>
    <row r="197" spans="1:9" hidden="1" x14ac:dyDescent="0.2">
      <c r="A197">
        <v>12013260</v>
      </c>
      <c r="B197">
        <v>4080</v>
      </c>
      <c r="C197">
        <v>100</v>
      </c>
      <c r="D197" s="17">
        <v>155.77000000000001</v>
      </c>
      <c r="I197" t="s">
        <v>393</v>
      </c>
    </row>
    <row r="198" spans="1:9" hidden="1" x14ac:dyDescent="0.2">
      <c r="A198">
        <v>12013300</v>
      </c>
      <c r="B198">
        <v>4010</v>
      </c>
      <c r="C198">
        <v>100</v>
      </c>
      <c r="D198" s="17">
        <v>2748.99</v>
      </c>
      <c r="I198" t="s">
        <v>392</v>
      </c>
    </row>
    <row r="199" spans="1:9" hidden="1" x14ac:dyDescent="0.2">
      <c r="A199">
        <v>12013300</v>
      </c>
      <c r="B199">
        <v>4010</v>
      </c>
      <c r="C199">
        <v>100</v>
      </c>
      <c r="D199" s="17">
        <v>2560.09</v>
      </c>
      <c r="I199" t="s">
        <v>392</v>
      </c>
    </row>
    <row r="200" spans="1:9" hidden="1" x14ac:dyDescent="0.2">
      <c r="A200">
        <v>12013300</v>
      </c>
      <c r="B200">
        <v>4010</v>
      </c>
      <c r="C200">
        <v>100</v>
      </c>
      <c r="D200" s="17">
        <v>10.49</v>
      </c>
      <c r="I200" t="s">
        <v>392</v>
      </c>
    </row>
    <row r="201" spans="1:9" hidden="1" x14ac:dyDescent="0.2">
      <c r="A201">
        <v>12013300</v>
      </c>
      <c r="B201">
        <v>4010</v>
      </c>
      <c r="C201">
        <v>100</v>
      </c>
      <c r="D201" s="17">
        <v>897.68</v>
      </c>
      <c r="I201" t="s">
        <v>392</v>
      </c>
    </row>
    <row r="202" spans="1:9" hidden="1" x14ac:dyDescent="0.2">
      <c r="A202">
        <v>12013300</v>
      </c>
      <c r="B202">
        <v>4010</v>
      </c>
      <c r="C202">
        <v>100</v>
      </c>
      <c r="D202" s="17">
        <v>3590.74</v>
      </c>
      <c r="I202" t="s">
        <v>392</v>
      </c>
    </row>
    <row r="203" spans="1:9" hidden="1" x14ac:dyDescent="0.2">
      <c r="A203" s="19">
        <v>12013300</v>
      </c>
      <c r="B203">
        <v>4010</v>
      </c>
      <c r="C203">
        <v>100</v>
      </c>
      <c r="D203" s="17">
        <v>343.62</v>
      </c>
      <c r="E203" s="20"/>
      <c r="F203" s="21"/>
      <c r="G203" s="19"/>
      <c r="H203" s="19"/>
      <c r="I203" t="s">
        <v>393</v>
      </c>
    </row>
    <row r="204" spans="1:9" hidden="1" x14ac:dyDescent="0.2">
      <c r="A204" s="19">
        <v>12013300</v>
      </c>
      <c r="B204">
        <v>4010</v>
      </c>
      <c r="C204">
        <v>100</v>
      </c>
      <c r="D204" s="17">
        <v>343.62</v>
      </c>
      <c r="E204" s="20"/>
      <c r="F204" s="21"/>
      <c r="G204" s="19"/>
      <c r="H204" s="19"/>
      <c r="I204" t="s">
        <v>393</v>
      </c>
    </row>
    <row r="205" spans="1:9" hidden="1" x14ac:dyDescent="0.2">
      <c r="A205" s="19">
        <v>12013300</v>
      </c>
      <c r="B205">
        <v>4010</v>
      </c>
      <c r="C205">
        <v>100</v>
      </c>
      <c r="D205" s="17">
        <v>2748.99</v>
      </c>
      <c r="E205" s="20"/>
      <c r="F205" s="21"/>
      <c r="G205" s="19"/>
      <c r="H205" s="19"/>
      <c r="I205" t="s">
        <v>393</v>
      </c>
    </row>
    <row r="206" spans="1:9" hidden="1" x14ac:dyDescent="0.2">
      <c r="A206" s="19">
        <v>12013300</v>
      </c>
      <c r="B206">
        <v>4010</v>
      </c>
      <c r="C206">
        <v>100</v>
      </c>
      <c r="D206" s="17">
        <v>2228.96</v>
      </c>
      <c r="E206" s="20"/>
      <c r="F206" s="21"/>
      <c r="G206" s="19"/>
      <c r="H206" s="19"/>
      <c r="I206" t="s">
        <v>393</v>
      </c>
    </row>
    <row r="207" spans="1:9" hidden="1" x14ac:dyDescent="0.2">
      <c r="A207" s="19">
        <v>12013300</v>
      </c>
      <c r="B207">
        <v>4010</v>
      </c>
      <c r="C207">
        <v>100</v>
      </c>
      <c r="D207" s="17">
        <v>257.06</v>
      </c>
      <c r="E207" s="20"/>
      <c r="F207" s="21"/>
      <c r="G207" s="19"/>
      <c r="H207" s="19"/>
      <c r="I207" t="s">
        <v>393</v>
      </c>
    </row>
    <row r="208" spans="1:9" hidden="1" x14ac:dyDescent="0.2">
      <c r="A208" s="19">
        <v>12013300</v>
      </c>
      <c r="B208">
        <v>4010</v>
      </c>
      <c r="C208">
        <v>100</v>
      </c>
      <c r="D208" s="17">
        <v>84.56</v>
      </c>
      <c r="E208" s="20"/>
      <c r="F208" s="21"/>
      <c r="G208" s="19"/>
      <c r="H208" s="19"/>
      <c r="I208" t="s">
        <v>393</v>
      </c>
    </row>
    <row r="209" spans="1:9" hidden="1" x14ac:dyDescent="0.2">
      <c r="A209" s="19">
        <v>12013300</v>
      </c>
      <c r="B209">
        <v>4010</v>
      </c>
      <c r="C209">
        <v>100</v>
      </c>
      <c r="D209" s="17">
        <v>448.84</v>
      </c>
      <c r="E209" s="20"/>
      <c r="F209" s="21"/>
      <c r="G209" s="19"/>
      <c r="H209" s="19"/>
      <c r="I209" t="s">
        <v>393</v>
      </c>
    </row>
    <row r="210" spans="1:9" hidden="1" x14ac:dyDescent="0.2">
      <c r="A210" s="19">
        <v>12013300</v>
      </c>
      <c r="B210">
        <v>4010</v>
      </c>
      <c r="C210">
        <v>100</v>
      </c>
      <c r="D210" s="17">
        <v>4039.58</v>
      </c>
      <c r="E210" s="20"/>
      <c r="F210" s="21"/>
      <c r="G210" s="19"/>
      <c r="H210" s="19"/>
      <c r="I210" t="s">
        <v>393</v>
      </c>
    </row>
    <row r="211" spans="1:9" hidden="1" x14ac:dyDescent="0.2">
      <c r="A211">
        <v>12013300</v>
      </c>
      <c r="B211">
        <v>4080</v>
      </c>
      <c r="C211">
        <v>100</v>
      </c>
      <c r="D211" s="17">
        <v>309.26</v>
      </c>
      <c r="I211" t="s">
        <v>392</v>
      </c>
    </row>
    <row r="212" spans="1:9" hidden="1" x14ac:dyDescent="0.2">
      <c r="A212">
        <v>12013300</v>
      </c>
      <c r="B212">
        <v>4080</v>
      </c>
      <c r="C212">
        <v>100</v>
      </c>
      <c r="D212" s="17">
        <v>231.35</v>
      </c>
      <c r="I212" t="s">
        <v>392</v>
      </c>
    </row>
    <row r="213" spans="1:9" hidden="1" x14ac:dyDescent="0.2">
      <c r="A213">
        <v>12013300</v>
      </c>
      <c r="B213">
        <v>4080</v>
      </c>
      <c r="C213">
        <v>100</v>
      </c>
      <c r="D213" s="17">
        <v>403.96</v>
      </c>
      <c r="I213" t="s">
        <v>392</v>
      </c>
    </row>
    <row r="214" spans="1:9" hidden="1" x14ac:dyDescent="0.2">
      <c r="A214">
        <v>12013300</v>
      </c>
      <c r="B214">
        <v>4080</v>
      </c>
      <c r="C214">
        <v>100</v>
      </c>
      <c r="D214" s="17">
        <v>309.26</v>
      </c>
      <c r="I214" t="s">
        <v>393</v>
      </c>
    </row>
    <row r="215" spans="1:9" hidden="1" x14ac:dyDescent="0.2">
      <c r="A215">
        <v>12013300</v>
      </c>
      <c r="B215">
        <v>4080</v>
      </c>
      <c r="C215">
        <v>100</v>
      </c>
      <c r="D215" s="17">
        <v>231.35</v>
      </c>
      <c r="I215" t="s">
        <v>393</v>
      </c>
    </row>
    <row r="216" spans="1:9" hidden="1" x14ac:dyDescent="0.2">
      <c r="A216">
        <v>12013300</v>
      </c>
      <c r="B216">
        <v>4080</v>
      </c>
      <c r="C216">
        <v>100</v>
      </c>
      <c r="D216" s="17">
        <v>403.96</v>
      </c>
      <c r="I216" t="s">
        <v>393</v>
      </c>
    </row>
    <row r="217" spans="1:9" hidden="1" x14ac:dyDescent="0.2">
      <c r="A217">
        <v>12018099</v>
      </c>
      <c r="B217">
        <v>4010</v>
      </c>
      <c r="C217">
        <v>100</v>
      </c>
      <c r="D217" s="17">
        <v>909.08</v>
      </c>
      <c r="I217" t="s">
        <v>392</v>
      </c>
    </row>
    <row r="218" spans="1:9" hidden="1" x14ac:dyDescent="0.2">
      <c r="A218">
        <v>12018099</v>
      </c>
      <c r="B218">
        <v>4010</v>
      </c>
      <c r="C218">
        <v>100</v>
      </c>
      <c r="D218" s="17">
        <v>-15.75</v>
      </c>
      <c r="I218" t="s">
        <v>392</v>
      </c>
    </row>
    <row r="219" spans="1:9" hidden="1" x14ac:dyDescent="0.2">
      <c r="A219">
        <v>12018099</v>
      </c>
      <c r="B219">
        <v>4010</v>
      </c>
      <c r="C219">
        <v>100</v>
      </c>
      <c r="D219" s="17">
        <v>4092.89</v>
      </c>
      <c r="I219" t="s">
        <v>392</v>
      </c>
    </row>
    <row r="220" spans="1:9" hidden="1" x14ac:dyDescent="0.2">
      <c r="A220">
        <v>12018099</v>
      </c>
      <c r="B220">
        <v>4010</v>
      </c>
      <c r="C220">
        <v>100</v>
      </c>
      <c r="D220" s="17">
        <v>2219.34</v>
      </c>
      <c r="I220" t="s">
        <v>392</v>
      </c>
    </row>
    <row r="221" spans="1:9" hidden="1" x14ac:dyDescent="0.2">
      <c r="A221">
        <v>12018099</v>
      </c>
      <c r="B221">
        <v>4010</v>
      </c>
      <c r="C221">
        <v>100</v>
      </c>
      <c r="D221" s="17">
        <v>-51.07</v>
      </c>
      <c r="I221" t="s">
        <v>392</v>
      </c>
    </row>
    <row r="222" spans="1:9" hidden="1" x14ac:dyDescent="0.2">
      <c r="A222">
        <v>12018099</v>
      </c>
      <c r="B222">
        <v>4010</v>
      </c>
      <c r="C222">
        <v>100</v>
      </c>
      <c r="D222" s="17">
        <v>1451.66</v>
      </c>
      <c r="E222" s="17"/>
      <c r="F222" s="18"/>
      <c r="I222" t="s">
        <v>393</v>
      </c>
    </row>
    <row r="223" spans="1:9" hidden="1" x14ac:dyDescent="0.2">
      <c r="A223">
        <v>12018099</v>
      </c>
      <c r="B223">
        <v>4010</v>
      </c>
      <c r="C223">
        <v>100</v>
      </c>
      <c r="D223" s="17">
        <v>178.67</v>
      </c>
      <c r="E223" s="17"/>
      <c r="F223" s="18"/>
      <c r="I223" t="s">
        <v>393</v>
      </c>
    </row>
    <row r="224" spans="1:9" hidden="1" x14ac:dyDescent="0.2">
      <c r="A224">
        <v>12018099</v>
      </c>
      <c r="B224">
        <v>4010</v>
      </c>
      <c r="C224">
        <v>100</v>
      </c>
      <c r="D224" s="17">
        <v>-22.33</v>
      </c>
      <c r="E224" s="17"/>
      <c r="F224" s="18"/>
      <c r="I224" t="s">
        <v>393</v>
      </c>
    </row>
    <row r="225" spans="1:9" hidden="1" x14ac:dyDescent="0.2">
      <c r="A225">
        <v>12018099</v>
      </c>
      <c r="B225">
        <v>4010</v>
      </c>
      <c r="C225">
        <v>100</v>
      </c>
      <c r="D225" s="17">
        <v>409.29</v>
      </c>
      <c r="E225" s="17"/>
      <c r="F225" s="18"/>
      <c r="I225" t="s">
        <v>393</v>
      </c>
    </row>
    <row r="226" spans="1:9" hidden="1" x14ac:dyDescent="0.2">
      <c r="A226" s="19">
        <v>12018099</v>
      </c>
      <c r="B226">
        <v>4010</v>
      </c>
      <c r="C226">
        <v>100</v>
      </c>
      <c r="D226" s="17">
        <v>3683.6</v>
      </c>
      <c r="E226" s="20"/>
      <c r="F226" s="21"/>
      <c r="G226" s="19"/>
      <c r="H226" s="19"/>
      <c r="I226" t="s">
        <v>393</v>
      </c>
    </row>
    <row r="227" spans="1:9" hidden="1" x14ac:dyDescent="0.2">
      <c r="A227">
        <v>12018099</v>
      </c>
      <c r="B227">
        <v>4010</v>
      </c>
      <c r="C227">
        <v>100</v>
      </c>
      <c r="D227" s="17">
        <v>1975.7</v>
      </c>
      <c r="E227" s="17"/>
      <c r="F227" s="18"/>
      <c r="I227" t="s">
        <v>393</v>
      </c>
    </row>
    <row r="228" spans="1:9" hidden="1" x14ac:dyDescent="0.2">
      <c r="A228">
        <v>12018099</v>
      </c>
      <c r="B228">
        <v>4010</v>
      </c>
      <c r="C228">
        <v>100</v>
      </c>
      <c r="D228" s="17">
        <v>216.83</v>
      </c>
      <c r="E228" s="17"/>
      <c r="F228" s="18"/>
      <c r="I228" t="s">
        <v>393</v>
      </c>
    </row>
    <row r="229" spans="1:9" hidden="1" x14ac:dyDescent="0.2">
      <c r="A229">
        <v>12018099</v>
      </c>
      <c r="B229">
        <v>4010</v>
      </c>
      <c r="C229">
        <v>100</v>
      </c>
      <c r="D229" s="17">
        <v>-24.25</v>
      </c>
      <c r="E229" s="17"/>
      <c r="F229" s="18"/>
      <c r="I229" t="s">
        <v>393</v>
      </c>
    </row>
    <row r="230" spans="1:9" hidden="1" x14ac:dyDescent="0.2">
      <c r="A230">
        <v>12018099</v>
      </c>
      <c r="B230">
        <v>4080</v>
      </c>
      <c r="C230">
        <v>100</v>
      </c>
      <c r="D230" s="17">
        <v>160.80000000000001</v>
      </c>
      <c r="I230" t="s">
        <v>392</v>
      </c>
    </row>
    <row r="231" spans="1:9" hidden="1" x14ac:dyDescent="0.2">
      <c r="A231">
        <v>12018099</v>
      </c>
      <c r="B231">
        <v>4080</v>
      </c>
      <c r="C231">
        <v>100</v>
      </c>
      <c r="D231" s="17">
        <v>368.36</v>
      </c>
      <c r="I231" t="s">
        <v>392</v>
      </c>
    </row>
    <row r="232" spans="1:9" hidden="1" x14ac:dyDescent="0.2">
      <c r="A232">
        <v>12018099</v>
      </c>
      <c r="B232">
        <v>4080</v>
      </c>
      <c r="C232">
        <v>100</v>
      </c>
      <c r="D232" s="17">
        <v>195.14</v>
      </c>
      <c r="I232" t="s">
        <v>392</v>
      </c>
    </row>
    <row r="233" spans="1:9" hidden="1" x14ac:dyDescent="0.2">
      <c r="A233">
        <v>12018099</v>
      </c>
      <c r="B233">
        <v>4080</v>
      </c>
      <c r="C233">
        <v>100</v>
      </c>
      <c r="D233" s="17">
        <v>160.80000000000001</v>
      </c>
      <c r="I233" t="s">
        <v>393</v>
      </c>
    </row>
    <row r="234" spans="1:9" hidden="1" x14ac:dyDescent="0.2">
      <c r="A234">
        <v>12018099</v>
      </c>
      <c r="B234">
        <v>4080</v>
      </c>
      <c r="C234">
        <v>100</v>
      </c>
      <c r="D234" s="17">
        <v>368.36</v>
      </c>
      <c r="I234" t="s">
        <v>393</v>
      </c>
    </row>
    <row r="235" spans="1:9" hidden="1" x14ac:dyDescent="0.2">
      <c r="A235">
        <v>12018099</v>
      </c>
      <c r="B235">
        <v>4080</v>
      </c>
      <c r="C235">
        <v>100</v>
      </c>
      <c r="D235" s="17">
        <v>195.15</v>
      </c>
      <c r="I235" t="s">
        <v>393</v>
      </c>
    </row>
    <row r="236" spans="1:9" hidden="1" x14ac:dyDescent="0.2">
      <c r="A236">
        <v>12018199</v>
      </c>
      <c r="B236">
        <v>4010</v>
      </c>
      <c r="C236">
        <v>100</v>
      </c>
      <c r="D236" s="17">
        <v>2284.69</v>
      </c>
      <c r="I236" t="s">
        <v>392</v>
      </c>
    </row>
    <row r="237" spans="1:9" hidden="1" x14ac:dyDescent="0.2">
      <c r="A237">
        <v>12018199</v>
      </c>
      <c r="B237">
        <v>4010</v>
      </c>
      <c r="C237">
        <v>100</v>
      </c>
      <c r="D237" s="17">
        <v>-24.09</v>
      </c>
      <c r="I237" t="s">
        <v>392</v>
      </c>
    </row>
    <row r="238" spans="1:9" hidden="1" x14ac:dyDescent="0.2">
      <c r="A238">
        <v>12018199</v>
      </c>
      <c r="B238">
        <v>4010</v>
      </c>
      <c r="C238">
        <v>100</v>
      </c>
      <c r="D238" s="17">
        <v>2065.4699999999998</v>
      </c>
      <c r="E238" s="17"/>
      <c r="F238" s="18"/>
      <c r="I238" t="s">
        <v>393</v>
      </c>
    </row>
    <row r="239" spans="1:9" hidden="1" x14ac:dyDescent="0.2">
      <c r="A239">
        <v>12018199</v>
      </c>
      <c r="B239">
        <v>4010</v>
      </c>
      <c r="C239">
        <v>100</v>
      </c>
      <c r="D239" s="17">
        <v>226.06</v>
      </c>
      <c r="E239" s="17"/>
      <c r="F239" s="18"/>
      <c r="I239" t="s">
        <v>393</v>
      </c>
    </row>
    <row r="240" spans="1:9" hidden="1" x14ac:dyDescent="0.2">
      <c r="A240">
        <v>12018199</v>
      </c>
      <c r="B240">
        <v>4010</v>
      </c>
      <c r="C240">
        <v>100</v>
      </c>
      <c r="D240" s="17">
        <v>-30.93</v>
      </c>
      <c r="E240" s="17"/>
      <c r="F240" s="18"/>
      <c r="I240" t="s">
        <v>393</v>
      </c>
    </row>
    <row r="241" spans="1:9" hidden="1" x14ac:dyDescent="0.2">
      <c r="A241">
        <v>12018199</v>
      </c>
      <c r="B241">
        <v>4080</v>
      </c>
      <c r="C241">
        <v>100</v>
      </c>
      <c r="D241" s="17">
        <v>203.45</v>
      </c>
      <c r="I241" t="s">
        <v>392</v>
      </c>
    </row>
    <row r="242" spans="1:9" hidden="1" x14ac:dyDescent="0.2">
      <c r="A242">
        <v>12018199</v>
      </c>
      <c r="B242">
        <v>4080</v>
      </c>
      <c r="C242">
        <v>100</v>
      </c>
      <c r="D242" s="17">
        <v>203.45</v>
      </c>
      <c r="I242" t="s">
        <v>393</v>
      </c>
    </row>
    <row r="243" spans="1:9" hidden="1" x14ac:dyDescent="0.2">
      <c r="A243">
        <v>12018599</v>
      </c>
      <c r="B243">
        <v>4010</v>
      </c>
      <c r="C243">
        <v>100</v>
      </c>
      <c r="D243" s="17">
        <v>171.31</v>
      </c>
      <c r="I243" t="s">
        <v>392</v>
      </c>
    </row>
    <row r="244" spans="1:9" hidden="1" x14ac:dyDescent="0.2">
      <c r="A244">
        <v>12018599</v>
      </c>
      <c r="B244">
        <v>4010</v>
      </c>
      <c r="C244">
        <v>100</v>
      </c>
      <c r="D244" s="17">
        <v>2736.26</v>
      </c>
      <c r="I244" t="s">
        <v>392</v>
      </c>
    </row>
    <row r="245" spans="1:9" hidden="1" x14ac:dyDescent="0.2">
      <c r="A245">
        <v>12018599</v>
      </c>
      <c r="B245">
        <v>4010</v>
      </c>
      <c r="C245">
        <v>100</v>
      </c>
      <c r="D245" s="17">
        <v>-82.41</v>
      </c>
      <c r="I245" t="s">
        <v>392</v>
      </c>
    </row>
    <row r="246" spans="1:9" hidden="1" x14ac:dyDescent="0.2">
      <c r="A246" s="19">
        <v>12018599</v>
      </c>
      <c r="B246">
        <v>4010</v>
      </c>
      <c r="C246">
        <v>100</v>
      </c>
      <c r="D246" s="17">
        <v>428.29</v>
      </c>
      <c r="E246" s="20"/>
      <c r="F246" s="21"/>
      <c r="G246" s="19"/>
      <c r="H246" s="19"/>
      <c r="I246" t="s">
        <v>393</v>
      </c>
    </row>
    <row r="247" spans="1:9" hidden="1" x14ac:dyDescent="0.2">
      <c r="A247" s="19">
        <v>12018599</v>
      </c>
      <c r="B247">
        <v>4010</v>
      </c>
      <c r="C247">
        <v>100</v>
      </c>
      <c r="D247" s="17">
        <v>685.26</v>
      </c>
      <c r="E247" s="20"/>
      <c r="F247" s="21"/>
      <c r="G247" s="19"/>
      <c r="H247" s="19"/>
      <c r="I247" t="s">
        <v>393</v>
      </c>
    </row>
    <row r="248" spans="1:9" hidden="1" x14ac:dyDescent="0.2">
      <c r="A248">
        <v>12018599</v>
      </c>
      <c r="B248">
        <v>4010</v>
      </c>
      <c r="C248">
        <v>100</v>
      </c>
      <c r="D248" s="17">
        <v>2499.86</v>
      </c>
      <c r="E248" s="17"/>
      <c r="F248" s="18"/>
      <c r="I248" t="s">
        <v>393</v>
      </c>
    </row>
    <row r="249" spans="1:9" hidden="1" x14ac:dyDescent="0.2">
      <c r="A249">
        <v>12018599</v>
      </c>
      <c r="B249">
        <v>4010</v>
      </c>
      <c r="C249">
        <v>100</v>
      </c>
      <c r="D249" s="17">
        <v>265.39</v>
      </c>
      <c r="E249" s="17"/>
      <c r="F249" s="18"/>
      <c r="I249" t="s">
        <v>393</v>
      </c>
    </row>
    <row r="250" spans="1:9" hidden="1" x14ac:dyDescent="0.2">
      <c r="A250">
        <v>12018599</v>
      </c>
      <c r="B250">
        <v>4010</v>
      </c>
      <c r="C250">
        <v>100</v>
      </c>
      <c r="D250" s="17">
        <v>-111.39</v>
      </c>
      <c r="E250" s="17"/>
      <c r="F250" s="18"/>
      <c r="I250" t="s">
        <v>393</v>
      </c>
    </row>
    <row r="251" spans="1:9" hidden="1" x14ac:dyDescent="0.2">
      <c r="A251">
        <v>12018599</v>
      </c>
      <c r="B251">
        <v>4080</v>
      </c>
      <c r="C251">
        <v>100</v>
      </c>
      <c r="D251" s="17">
        <v>77.09</v>
      </c>
      <c r="I251" t="s">
        <v>392</v>
      </c>
    </row>
    <row r="252" spans="1:9" hidden="1" x14ac:dyDescent="0.2">
      <c r="A252">
        <v>12018599</v>
      </c>
      <c r="B252">
        <v>4080</v>
      </c>
      <c r="C252">
        <v>100</v>
      </c>
      <c r="D252">
        <v>238.85</v>
      </c>
      <c r="I252" t="s">
        <v>392</v>
      </c>
    </row>
    <row r="253" spans="1:9" hidden="1" x14ac:dyDescent="0.2">
      <c r="A253">
        <v>12018599</v>
      </c>
      <c r="B253">
        <v>4080</v>
      </c>
      <c r="C253">
        <v>100</v>
      </c>
      <c r="D253" s="17">
        <v>77.09</v>
      </c>
      <c r="I253" t="s">
        <v>393</v>
      </c>
    </row>
    <row r="254" spans="1:9" hidden="1" x14ac:dyDescent="0.2">
      <c r="A254">
        <v>12018599</v>
      </c>
      <c r="B254">
        <v>4080</v>
      </c>
      <c r="C254">
        <v>100</v>
      </c>
      <c r="D254" s="17">
        <v>238.85</v>
      </c>
      <c r="I254" t="s">
        <v>393</v>
      </c>
    </row>
    <row r="255" spans="1:9" hidden="1" x14ac:dyDescent="0.2">
      <c r="A255">
        <v>12019099</v>
      </c>
      <c r="B255">
        <v>4010</v>
      </c>
      <c r="C255">
        <v>100</v>
      </c>
      <c r="D255" s="17">
        <v>8292.31</v>
      </c>
      <c r="I255" t="s">
        <v>392</v>
      </c>
    </row>
    <row r="256" spans="1:9" hidden="1" x14ac:dyDescent="0.2">
      <c r="A256">
        <v>12019099</v>
      </c>
      <c r="B256">
        <v>4010</v>
      </c>
      <c r="C256">
        <v>100</v>
      </c>
      <c r="D256" s="17">
        <v>829.23</v>
      </c>
      <c r="E256" s="17"/>
      <c r="F256" s="18"/>
      <c r="I256" t="s">
        <v>393</v>
      </c>
    </row>
    <row r="257" spans="1:9" hidden="1" x14ac:dyDescent="0.2">
      <c r="A257">
        <v>12019099</v>
      </c>
      <c r="B257">
        <v>4010</v>
      </c>
      <c r="C257">
        <v>100</v>
      </c>
      <c r="D257" s="17">
        <v>7463.08</v>
      </c>
      <c r="E257" s="17"/>
      <c r="F257" s="18"/>
      <c r="I257" t="s">
        <v>393</v>
      </c>
    </row>
    <row r="258" spans="1:9" hidden="1" x14ac:dyDescent="0.2">
      <c r="A258">
        <v>12019099</v>
      </c>
      <c r="B258">
        <v>4080</v>
      </c>
      <c r="C258">
        <v>100</v>
      </c>
      <c r="D258">
        <v>746.31</v>
      </c>
      <c r="I258" t="s">
        <v>392</v>
      </c>
    </row>
    <row r="259" spans="1:9" hidden="1" x14ac:dyDescent="0.2">
      <c r="A259">
        <v>12019099</v>
      </c>
      <c r="B259">
        <v>4080</v>
      </c>
      <c r="C259">
        <v>100</v>
      </c>
      <c r="D259" s="17">
        <v>746.31</v>
      </c>
      <c r="I259" t="s">
        <v>393</v>
      </c>
    </row>
    <row r="260" spans="1:9" hidden="1" x14ac:dyDescent="0.2">
      <c r="A260">
        <v>12019199</v>
      </c>
      <c r="B260">
        <v>4010</v>
      </c>
      <c r="C260">
        <v>100</v>
      </c>
      <c r="D260" s="17">
        <v>6161.58</v>
      </c>
      <c r="I260" t="s">
        <v>392</v>
      </c>
    </row>
    <row r="261" spans="1:9" hidden="1" x14ac:dyDescent="0.2">
      <c r="A261">
        <v>12019199</v>
      </c>
      <c r="B261">
        <v>4010</v>
      </c>
      <c r="C261">
        <v>100</v>
      </c>
      <c r="D261" s="17">
        <v>3485.97</v>
      </c>
      <c r="I261" t="s">
        <v>392</v>
      </c>
    </row>
    <row r="262" spans="1:9" hidden="1" x14ac:dyDescent="0.2">
      <c r="A262">
        <v>12019199</v>
      </c>
      <c r="B262">
        <v>4010</v>
      </c>
      <c r="C262">
        <v>100</v>
      </c>
      <c r="D262" s="17">
        <v>1848.23</v>
      </c>
      <c r="I262" t="s">
        <v>392</v>
      </c>
    </row>
    <row r="263" spans="1:9" hidden="1" x14ac:dyDescent="0.2">
      <c r="A263">
        <v>12019199</v>
      </c>
      <c r="B263">
        <v>4010</v>
      </c>
      <c r="C263">
        <v>100</v>
      </c>
      <c r="D263" s="17">
        <v>75.95</v>
      </c>
      <c r="I263" t="s">
        <v>392</v>
      </c>
    </row>
    <row r="264" spans="1:9" hidden="1" x14ac:dyDescent="0.2">
      <c r="A264">
        <v>12019199</v>
      </c>
      <c r="B264">
        <v>4010</v>
      </c>
      <c r="C264">
        <v>100</v>
      </c>
      <c r="D264" s="17">
        <v>1583.6</v>
      </c>
      <c r="I264" t="s">
        <v>392</v>
      </c>
    </row>
    <row r="265" spans="1:9" hidden="1" x14ac:dyDescent="0.2">
      <c r="A265">
        <v>12019199</v>
      </c>
      <c r="B265">
        <v>4010</v>
      </c>
      <c r="C265">
        <v>100</v>
      </c>
      <c r="D265" s="17">
        <v>65.08</v>
      </c>
      <c r="I265" t="s">
        <v>392</v>
      </c>
    </row>
    <row r="266" spans="1:9" hidden="1" x14ac:dyDescent="0.2">
      <c r="A266">
        <v>12019199</v>
      </c>
      <c r="B266">
        <v>4010</v>
      </c>
      <c r="C266">
        <v>100</v>
      </c>
      <c r="D266" s="17">
        <v>2049.56</v>
      </c>
      <c r="I266" t="s">
        <v>392</v>
      </c>
    </row>
    <row r="267" spans="1:9" hidden="1" x14ac:dyDescent="0.2">
      <c r="A267">
        <v>12019199</v>
      </c>
      <c r="B267">
        <v>4010</v>
      </c>
      <c r="C267">
        <v>100</v>
      </c>
      <c r="D267" s="17">
        <v>-21.09</v>
      </c>
      <c r="I267" t="s">
        <v>392</v>
      </c>
    </row>
    <row r="268" spans="1:9" hidden="1" x14ac:dyDescent="0.2">
      <c r="A268">
        <v>12019199</v>
      </c>
      <c r="B268">
        <v>4010</v>
      </c>
      <c r="C268">
        <v>100</v>
      </c>
      <c r="D268" s="17">
        <v>1667.31</v>
      </c>
      <c r="I268" t="s">
        <v>392</v>
      </c>
    </row>
    <row r="269" spans="1:9" hidden="1" x14ac:dyDescent="0.2">
      <c r="A269">
        <v>12019199</v>
      </c>
      <c r="B269">
        <v>4010</v>
      </c>
      <c r="C269">
        <v>100</v>
      </c>
      <c r="D269" s="17">
        <v>1181.17</v>
      </c>
      <c r="I269" t="s">
        <v>392</v>
      </c>
    </row>
    <row r="270" spans="1:9" hidden="1" x14ac:dyDescent="0.2">
      <c r="A270">
        <v>12019199</v>
      </c>
      <c r="B270">
        <v>4010</v>
      </c>
      <c r="C270">
        <v>100</v>
      </c>
      <c r="D270" s="17">
        <v>396.15</v>
      </c>
      <c r="I270" t="s">
        <v>392</v>
      </c>
    </row>
    <row r="271" spans="1:9" hidden="1" x14ac:dyDescent="0.2">
      <c r="A271">
        <v>12019199</v>
      </c>
      <c r="B271">
        <v>4010</v>
      </c>
      <c r="C271">
        <v>100</v>
      </c>
      <c r="D271" s="17">
        <v>140.22</v>
      </c>
      <c r="I271" t="s">
        <v>392</v>
      </c>
    </row>
    <row r="272" spans="1:9" hidden="1" x14ac:dyDescent="0.2">
      <c r="A272">
        <v>12019199</v>
      </c>
      <c r="B272">
        <v>4010</v>
      </c>
      <c r="C272">
        <v>100</v>
      </c>
      <c r="D272" s="17">
        <v>2257.9</v>
      </c>
      <c r="I272" t="s">
        <v>392</v>
      </c>
    </row>
    <row r="273" spans="1:9" hidden="1" x14ac:dyDescent="0.2">
      <c r="A273">
        <v>12019199</v>
      </c>
      <c r="B273">
        <v>4010</v>
      </c>
      <c r="C273">
        <v>100</v>
      </c>
      <c r="D273" s="17">
        <v>-142.51</v>
      </c>
      <c r="I273" t="s">
        <v>392</v>
      </c>
    </row>
    <row r="274" spans="1:9" hidden="1" x14ac:dyDescent="0.2">
      <c r="A274" s="19">
        <v>12019199</v>
      </c>
      <c r="B274">
        <v>4010</v>
      </c>
      <c r="C274">
        <v>100</v>
      </c>
      <c r="D274" s="17">
        <v>616.16</v>
      </c>
      <c r="E274" s="20"/>
      <c r="F274" s="21"/>
      <c r="G274" s="19"/>
      <c r="H274" s="19"/>
      <c r="I274" t="s">
        <v>393</v>
      </c>
    </row>
    <row r="275" spans="1:9" hidden="1" x14ac:dyDescent="0.2">
      <c r="A275" s="19">
        <v>12019199</v>
      </c>
      <c r="B275">
        <v>4010</v>
      </c>
      <c r="C275">
        <v>100</v>
      </c>
      <c r="D275" s="17">
        <v>5545.42</v>
      </c>
      <c r="E275" s="20"/>
      <c r="F275" s="21"/>
      <c r="G275" s="19"/>
      <c r="H275" s="19"/>
      <c r="I275" t="s">
        <v>393</v>
      </c>
    </row>
    <row r="276" spans="1:9" hidden="1" x14ac:dyDescent="0.2">
      <c r="A276" s="19">
        <v>12019199</v>
      </c>
      <c r="B276">
        <v>4010</v>
      </c>
      <c r="C276">
        <v>100</v>
      </c>
      <c r="D276" s="17">
        <v>348.6</v>
      </c>
      <c r="E276" s="20"/>
      <c r="F276" s="21"/>
      <c r="G276" s="19"/>
      <c r="H276" s="19"/>
      <c r="I276" t="s">
        <v>393</v>
      </c>
    </row>
    <row r="277" spans="1:9" hidden="1" x14ac:dyDescent="0.2">
      <c r="A277" s="19">
        <v>12019199</v>
      </c>
      <c r="B277">
        <v>4010</v>
      </c>
      <c r="C277">
        <v>100</v>
      </c>
      <c r="D277" s="17">
        <v>3137.37</v>
      </c>
      <c r="E277" s="20"/>
      <c r="F277" s="21"/>
      <c r="G277" s="19"/>
      <c r="H277" s="19"/>
      <c r="I277" t="s">
        <v>393</v>
      </c>
    </row>
    <row r="278" spans="1:9" hidden="1" x14ac:dyDescent="0.2">
      <c r="A278" s="19">
        <v>12019199</v>
      </c>
      <c r="B278">
        <v>4010</v>
      </c>
      <c r="C278">
        <v>100</v>
      </c>
      <c r="D278" s="17">
        <v>1731.76</v>
      </c>
      <c r="E278" s="20"/>
      <c r="F278" s="21"/>
      <c r="G278" s="19"/>
      <c r="H278" s="19"/>
      <c r="I278" t="s">
        <v>393</v>
      </c>
    </row>
    <row r="279" spans="1:9" hidden="1" x14ac:dyDescent="0.2">
      <c r="A279" s="19">
        <v>12019199</v>
      </c>
      <c r="B279">
        <v>4010</v>
      </c>
      <c r="C279">
        <v>100</v>
      </c>
      <c r="D279" s="17">
        <v>192.42</v>
      </c>
      <c r="E279" s="20"/>
      <c r="F279" s="21"/>
      <c r="G279" s="19"/>
      <c r="H279" s="19"/>
      <c r="I279" t="s">
        <v>393</v>
      </c>
    </row>
    <row r="280" spans="1:9" hidden="1" x14ac:dyDescent="0.2">
      <c r="A280">
        <v>12019199</v>
      </c>
      <c r="B280">
        <v>4010</v>
      </c>
      <c r="C280">
        <v>100</v>
      </c>
      <c r="D280" s="17">
        <v>1483.81</v>
      </c>
      <c r="E280" s="17"/>
      <c r="F280" s="18"/>
      <c r="I280" t="s">
        <v>393</v>
      </c>
    </row>
    <row r="281" spans="1:9" hidden="1" x14ac:dyDescent="0.2">
      <c r="A281">
        <v>12019199</v>
      </c>
      <c r="B281">
        <v>4010</v>
      </c>
      <c r="C281">
        <v>100</v>
      </c>
      <c r="D281" s="17">
        <v>164.87</v>
      </c>
      <c r="E281" s="17"/>
      <c r="F281" s="18"/>
      <c r="I281" t="s">
        <v>393</v>
      </c>
    </row>
    <row r="282" spans="1:9" hidden="1" x14ac:dyDescent="0.2">
      <c r="A282">
        <v>12019199</v>
      </c>
      <c r="B282">
        <v>4010</v>
      </c>
      <c r="C282">
        <v>100</v>
      </c>
      <c r="D282" s="17">
        <v>1913.97</v>
      </c>
      <c r="E282" s="17"/>
      <c r="F282" s="18"/>
      <c r="I282" t="s">
        <v>393</v>
      </c>
    </row>
    <row r="283" spans="1:9" hidden="1" x14ac:dyDescent="0.2">
      <c r="A283">
        <v>12019199</v>
      </c>
      <c r="B283">
        <v>4010</v>
      </c>
      <c r="C283">
        <v>100</v>
      </c>
      <c r="D283" s="17">
        <v>202.85</v>
      </c>
      <c r="E283" s="17"/>
      <c r="F283" s="18"/>
      <c r="I283" t="s">
        <v>393</v>
      </c>
    </row>
    <row r="284" spans="1:9" hidden="1" x14ac:dyDescent="0.2">
      <c r="A284">
        <v>12019199</v>
      </c>
      <c r="B284">
        <v>4010</v>
      </c>
      <c r="C284">
        <v>100</v>
      </c>
      <c r="D284" s="17">
        <v>-88.35</v>
      </c>
      <c r="E284" s="17"/>
      <c r="F284" s="18"/>
      <c r="I284" t="s">
        <v>393</v>
      </c>
    </row>
    <row r="285" spans="1:9" hidden="1" x14ac:dyDescent="0.2">
      <c r="A285">
        <v>12019199</v>
      </c>
      <c r="B285">
        <v>4010</v>
      </c>
      <c r="C285">
        <v>100</v>
      </c>
      <c r="D285" s="17">
        <v>1495.1</v>
      </c>
      <c r="E285" s="17"/>
      <c r="F285" s="18"/>
      <c r="I285" t="s">
        <v>393</v>
      </c>
    </row>
    <row r="286" spans="1:9" hidden="1" x14ac:dyDescent="0.2">
      <c r="A286">
        <v>12019199</v>
      </c>
      <c r="B286">
        <v>4010</v>
      </c>
      <c r="C286">
        <v>100</v>
      </c>
      <c r="D286" s="17">
        <v>166.73</v>
      </c>
      <c r="E286" s="17"/>
      <c r="F286" s="18"/>
      <c r="I286" t="s">
        <v>393</v>
      </c>
    </row>
    <row r="287" spans="1:9" hidden="1" x14ac:dyDescent="0.2">
      <c r="A287">
        <v>12019199</v>
      </c>
      <c r="B287">
        <v>4010</v>
      </c>
      <c r="C287">
        <v>100</v>
      </c>
      <c r="D287" s="17">
        <v>198.08</v>
      </c>
      <c r="E287" s="17"/>
      <c r="F287" s="18"/>
      <c r="I287" t="s">
        <v>393</v>
      </c>
    </row>
    <row r="288" spans="1:9" hidden="1" x14ac:dyDescent="0.2">
      <c r="A288">
        <v>12019199</v>
      </c>
      <c r="B288">
        <v>4010</v>
      </c>
      <c r="C288">
        <v>100</v>
      </c>
      <c r="D288" s="17">
        <v>1386.54</v>
      </c>
      <c r="E288" s="17"/>
      <c r="F288" s="18"/>
      <c r="I288" t="s">
        <v>393</v>
      </c>
    </row>
    <row r="289" spans="1:9" hidden="1" x14ac:dyDescent="0.2">
      <c r="A289">
        <v>12019199</v>
      </c>
      <c r="B289">
        <v>4010</v>
      </c>
      <c r="C289">
        <v>100</v>
      </c>
      <c r="D289" s="17">
        <v>2100.36</v>
      </c>
      <c r="E289" s="17"/>
      <c r="F289" s="18"/>
      <c r="I289" t="s">
        <v>393</v>
      </c>
    </row>
    <row r="290" spans="1:9" hidden="1" x14ac:dyDescent="0.2">
      <c r="A290">
        <v>12019199</v>
      </c>
      <c r="B290">
        <v>4010</v>
      </c>
      <c r="C290">
        <v>100</v>
      </c>
      <c r="D290" s="17">
        <v>211.54</v>
      </c>
      <c r="E290" s="17"/>
      <c r="F290" s="18"/>
      <c r="I290" t="s">
        <v>393</v>
      </c>
    </row>
    <row r="291" spans="1:9" hidden="1" x14ac:dyDescent="0.2">
      <c r="A291">
        <v>12019199</v>
      </c>
      <c r="B291">
        <v>4010</v>
      </c>
      <c r="C291">
        <v>100</v>
      </c>
      <c r="D291" s="17">
        <v>-196.51</v>
      </c>
      <c r="E291" s="17"/>
      <c r="F291" s="18"/>
      <c r="I291" t="s">
        <v>393</v>
      </c>
    </row>
    <row r="292" spans="1:9" hidden="1" x14ac:dyDescent="0.2">
      <c r="A292">
        <v>12019199</v>
      </c>
      <c r="B292">
        <v>4010</v>
      </c>
      <c r="C292">
        <v>300</v>
      </c>
      <c r="D292" s="17">
        <v>56.97</v>
      </c>
      <c r="I292" t="s">
        <v>392</v>
      </c>
    </row>
    <row r="293" spans="1:9" hidden="1" x14ac:dyDescent="0.2">
      <c r="A293">
        <v>12019199</v>
      </c>
      <c r="B293">
        <v>4010</v>
      </c>
      <c r="C293">
        <v>300</v>
      </c>
      <c r="D293" s="17">
        <v>16.45</v>
      </c>
      <c r="I293" t="s">
        <v>392</v>
      </c>
    </row>
    <row r="294" spans="1:9" hidden="1" x14ac:dyDescent="0.2">
      <c r="A294">
        <v>12019199</v>
      </c>
      <c r="B294">
        <v>4010</v>
      </c>
      <c r="C294">
        <v>300</v>
      </c>
      <c r="D294" s="17">
        <v>37.979999999999997</v>
      </c>
      <c r="E294" s="17"/>
      <c r="F294" s="18"/>
      <c r="I294" t="s">
        <v>393</v>
      </c>
    </row>
    <row r="295" spans="1:9" hidden="1" x14ac:dyDescent="0.2">
      <c r="A295">
        <v>12019199</v>
      </c>
      <c r="B295">
        <v>4010</v>
      </c>
      <c r="C295">
        <v>300</v>
      </c>
      <c r="D295" s="17">
        <v>49.36</v>
      </c>
      <c r="I295" t="s">
        <v>393</v>
      </c>
    </row>
    <row r="296" spans="1:9" hidden="1" x14ac:dyDescent="0.2">
      <c r="A296">
        <v>12019199</v>
      </c>
      <c r="B296">
        <v>4010</v>
      </c>
      <c r="C296">
        <v>400</v>
      </c>
      <c r="D296" s="17">
        <v>1668.47</v>
      </c>
      <c r="I296" t="s">
        <v>392</v>
      </c>
    </row>
    <row r="297" spans="1:9" hidden="1" x14ac:dyDescent="0.2">
      <c r="A297">
        <v>12019199</v>
      </c>
      <c r="B297">
        <v>4010</v>
      </c>
      <c r="C297">
        <v>400</v>
      </c>
      <c r="D297" s="17">
        <v>27.04</v>
      </c>
      <c r="I297" t="s">
        <v>392</v>
      </c>
    </row>
    <row r="298" spans="1:9" hidden="1" x14ac:dyDescent="0.2">
      <c r="A298">
        <v>12019199</v>
      </c>
      <c r="B298">
        <v>4010</v>
      </c>
      <c r="C298">
        <v>400</v>
      </c>
      <c r="D298" s="17">
        <v>13.52</v>
      </c>
      <c r="I298" t="s">
        <v>392</v>
      </c>
    </row>
    <row r="299" spans="1:9" hidden="1" x14ac:dyDescent="0.2">
      <c r="A299">
        <v>12019199</v>
      </c>
      <c r="B299">
        <v>4010</v>
      </c>
      <c r="C299">
        <v>400</v>
      </c>
      <c r="D299" s="17">
        <v>19.829999999999998</v>
      </c>
      <c r="I299" t="s">
        <v>392</v>
      </c>
    </row>
    <row r="300" spans="1:9" hidden="1" x14ac:dyDescent="0.2">
      <c r="A300">
        <v>12019199</v>
      </c>
      <c r="B300">
        <v>4010</v>
      </c>
      <c r="C300">
        <v>400</v>
      </c>
      <c r="D300" s="17">
        <v>1668.47</v>
      </c>
      <c r="I300" t="s">
        <v>393</v>
      </c>
    </row>
    <row r="301" spans="1:9" hidden="1" x14ac:dyDescent="0.2">
      <c r="A301">
        <v>12019199</v>
      </c>
      <c r="B301">
        <v>4010</v>
      </c>
      <c r="C301">
        <v>400</v>
      </c>
      <c r="D301" s="17">
        <v>19.829999999999998</v>
      </c>
      <c r="I301" t="s">
        <v>393</v>
      </c>
    </row>
    <row r="302" spans="1:9" hidden="1" x14ac:dyDescent="0.2">
      <c r="A302">
        <v>12019199</v>
      </c>
      <c r="B302">
        <v>4020</v>
      </c>
      <c r="C302">
        <v>100</v>
      </c>
      <c r="D302" s="17">
        <v>-133.38999999999999</v>
      </c>
      <c r="I302" t="s">
        <v>392</v>
      </c>
    </row>
    <row r="303" spans="1:9" hidden="1" x14ac:dyDescent="0.2">
      <c r="A303">
        <v>12019199</v>
      </c>
      <c r="B303">
        <v>4020</v>
      </c>
      <c r="C303">
        <v>100</v>
      </c>
      <c r="D303" s="17">
        <v>-133.38999999999999</v>
      </c>
      <c r="I303" t="s">
        <v>393</v>
      </c>
    </row>
    <row r="304" spans="1:9" hidden="1" x14ac:dyDescent="0.2">
      <c r="A304">
        <v>12019199</v>
      </c>
      <c r="B304">
        <v>4020</v>
      </c>
      <c r="C304">
        <v>400</v>
      </c>
      <c r="D304" s="17">
        <v>-419.73</v>
      </c>
      <c r="I304" t="s">
        <v>392</v>
      </c>
    </row>
    <row r="305" spans="1:9" hidden="1" x14ac:dyDescent="0.2">
      <c r="A305">
        <v>12019199</v>
      </c>
      <c r="B305">
        <v>4020</v>
      </c>
      <c r="C305">
        <v>400</v>
      </c>
      <c r="D305" s="17">
        <v>-419.73</v>
      </c>
      <c r="I305" t="s">
        <v>393</v>
      </c>
    </row>
    <row r="306" spans="1:9" hidden="1" x14ac:dyDescent="0.2">
      <c r="A306">
        <v>12019199</v>
      </c>
      <c r="B306">
        <v>4080</v>
      </c>
      <c r="C306">
        <v>100</v>
      </c>
      <c r="D306" s="17">
        <v>704.7</v>
      </c>
      <c r="I306" t="s">
        <v>392</v>
      </c>
    </row>
    <row r="307" spans="1:9" hidden="1" x14ac:dyDescent="0.2">
      <c r="A307">
        <v>12019199</v>
      </c>
      <c r="B307">
        <v>4080</v>
      </c>
      <c r="C307">
        <v>100</v>
      </c>
      <c r="D307" s="17">
        <v>313.74</v>
      </c>
      <c r="I307" t="s">
        <v>392</v>
      </c>
    </row>
    <row r="308" spans="1:9" hidden="1" x14ac:dyDescent="0.2">
      <c r="A308">
        <v>12019199</v>
      </c>
      <c r="B308">
        <v>4080</v>
      </c>
      <c r="C308">
        <v>100</v>
      </c>
      <c r="D308" s="17">
        <v>173.18</v>
      </c>
      <c r="I308" t="s">
        <v>392</v>
      </c>
    </row>
    <row r="309" spans="1:9" hidden="1" x14ac:dyDescent="0.2">
      <c r="A309">
        <v>12019199</v>
      </c>
      <c r="B309">
        <v>4080</v>
      </c>
      <c r="C309">
        <v>100</v>
      </c>
      <c r="D309" s="17">
        <v>148.38</v>
      </c>
      <c r="I309" t="s">
        <v>392</v>
      </c>
    </row>
    <row r="310" spans="1:9" hidden="1" x14ac:dyDescent="0.2">
      <c r="A310">
        <v>12019199</v>
      </c>
      <c r="B310">
        <v>4080</v>
      </c>
      <c r="C310">
        <v>100</v>
      </c>
      <c r="D310" s="17">
        <v>184.35</v>
      </c>
      <c r="I310" t="s">
        <v>392</v>
      </c>
    </row>
    <row r="311" spans="1:9" hidden="1" x14ac:dyDescent="0.2">
      <c r="A311">
        <v>12019199</v>
      </c>
      <c r="B311">
        <v>4080</v>
      </c>
      <c r="C311">
        <v>100</v>
      </c>
      <c r="D311" s="17">
        <v>150.06</v>
      </c>
      <c r="I311" t="s">
        <v>392</v>
      </c>
    </row>
    <row r="312" spans="1:9" hidden="1" x14ac:dyDescent="0.2">
      <c r="A312">
        <v>12019199</v>
      </c>
      <c r="B312">
        <v>4080</v>
      </c>
      <c r="C312">
        <v>100</v>
      </c>
      <c r="D312" s="17">
        <v>178.27</v>
      </c>
      <c r="I312" t="s">
        <v>392</v>
      </c>
    </row>
    <row r="313" spans="1:9" hidden="1" x14ac:dyDescent="0.2">
      <c r="A313">
        <v>12019199</v>
      </c>
      <c r="B313">
        <v>4080</v>
      </c>
      <c r="C313">
        <v>100</v>
      </c>
      <c r="D313">
        <v>190.39</v>
      </c>
      <c r="I313" t="s">
        <v>392</v>
      </c>
    </row>
    <row r="314" spans="1:9" hidden="1" x14ac:dyDescent="0.2">
      <c r="A314">
        <v>12019199</v>
      </c>
      <c r="B314">
        <v>4080</v>
      </c>
      <c r="C314">
        <v>100</v>
      </c>
      <c r="D314" s="17">
        <v>704.7</v>
      </c>
      <c r="I314" t="s">
        <v>393</v>
      </c>
    </row>
    <row r="315" spans="1:9" hidden="1" x14ac:dyDescent="0.2">
      <c r="A315">
        <v>12019199</v>
      </c>
      <c r="B315">
        <v>4080</v>
      </c>
      <c r="C315">
        <v>100</v>
      </c>
      <c r="D315" s="17">
        <v>313.74</v>
      </c>
      <c r="I315" t="s">
        <v>393</v>
      </c>
    </row>
    <row r="316" spans="1:9" hidden="1" x14ac:dyDescent="0.2">
      <c r="A316">
        <v>12019199</v>
      </c>
      <c r="B316">
        <v>4080</v>
      </c>
      <c r="C316">
        <v>100</v>
      </c>
      <c r="D316" s="17">
        <v>173.18</v>
      </c>
      <c r="I316" t="s">
        <v>393</v>
      </c>
    </row>
    <row r="317" spans="1:9" hidden="1" x14ac:dyDescent="0.2">
      <c r="A317">
        <v>12019199</v>
      </c>
      <c r="B317">
        <v>4080</v>
      </c>
      <c r="C317">
        <v>100</v>
      </c>
      <c r="D317" s="17">
        <v>148.38</v>
      </c>
      <c r="I317" t="s">
        <v>393</v>
      </c>
    </row>
    <row r="318" spans="1:9" hidden="1" x14ac:dyDescent="0.2">
      <c r="A318">
        <v>12019199</v>
      </c>
      <c r="B318">
        <v>4080</v>
      </c>
      <c r="C318">
        <v>100</v>
      </c>
      <c r="D318" s="17">
        <v>184.35</v>
      </c>
      <c r="I318" t="s">
        <v>393</v>
      </c>
    </row>
    <row r="319" spans="1:9" hidden="1" x14ac:dyDescent="0.2">
      <c r="A319">
        <v>12019199</v>
      </c>
      <c r="B319">
        <v>4080</v>
      </c>
      <c r="C319">
        <v>100</v>
      </c>
      <c r="D319" s="17">
        <v>149.56</v>
      </c>
      <c r="I319" t="s">
        <v>393</v>
      </c>
    </row>
    <row r="320" spans="1:9" hidden="1" x14ac:dyDescent="0.2">
      <c r="A320">
        <v>12019199</v>
      </c>
      <c r="B320">
        <v>4080</v>
      </c>
      <c r="C320">
        <v>100</v>
      </c>
      <c r="D320" s="17">
        <v>178.27</v>
      </c>
      <c r="I320" t="s">
        <v>393</v>
      </c>
    </row>
    <row r="321" spans="1:9" hidden="1" x14ac:dyDescent="0.2">
      <c r="A321">
        <v>12019199</v>
      </c>
      <c r="B321">
        <v>4080</v>
      </c>
      <c r="C321">
        <v>100</v>
      </c>
      <c r="D321" s="17">
        <v>190.39</v>
      </c>
      <c r="I321" t="s">
        <v>393</v>
      </c>
    </row>
    <row r="322" spans="1:9" hidden="1" x14ac:dyDescent="0.2">
      <c r="A322">
        <v>12020500</v>
      </c>
      <c r="B322">
        <v>4010</v>
      </c>
      <c r="C322">
        <v>100</v>
      </c>
      <c r="D322" s="17">
        <v>1432.39</v>
      </c>
      <c r="I322" t="s">
        <v>392</v>
      </c>
    </row>
    <row r="323" spans="1:9" hidden="1" x14ac:dyDescent="0.2">
      <c r="A323">
        <v>12020500</v>
      </c>
      <c r="B323">
        <v>4010</v>
      </c>
      <c r="C323">
        <v>100</v>
      </c>
      <c r="D323" s="17">
        <v>2148.58</v>
      </c>
      <c r="I323" t="s">
        <v>392</v>
      </c>
    </row>
    <row r="324" spans="1:9" hidden="1" x14ac:dyDescent="0.2">
      <c r="A324">
        <v>12020500</v>
      </c>
      <c r="B324">
        <v>4010</v>
      </c>
      <c r="C324">
        <v>100</v>
      </c>
      <c r="D324" s="17">
        <v>1707.52</v>
      </c>
      <c r="I324" t="s">
        <v>392</v>
      </c>
    </row>
    <row r="325" spans="1:9" hidden="1" x14ac:dyDescent="0.2">
      <c r="A325">
        <v>12020500</v>
      </c>
      <c r="B325">
        <v>4010</v>
      </c>
      <c r="C325">
        <v>100</v>
      </c>
      <c r="D325" s="17">
        <v>1595.88</v>
      </c>
      <c r="I325" t="s">
        <v>392</v>
      </c>
    </row>
    <row r="326" spans="1:9" hidden="1" x14ac:dyDescent="0.2">
      <c r="A326">
        <v>12020500</v>
      </c>
      <c r="B326">
        <v>4010</v>
      </c>
      <c r="C326">
        <v>100</v>
      </c>
      <c r="D326" s="17">
        <v>2328.4899999999998</v>
      </c>
      <c r="I326" t="s">
        <v>392</v>
      </c>
    </row>
    <row r="327" spans="1:9" hidden="1" x14ac:dyDescent="0.2">
      <c r="A327">
        <v>12020500</v>
      </c>
      <c r="B327">
        <v>4010</v>
      </c>
      <c r="C327">
        <v>100</v>
      </c>
      <c r="D327" s="17">
        <v>1517.2</v>
      </c>
      <c r="I327" t="s">
        <v>392</v>
      </c>
    </row>
    <row r="328" spans="1:9" hidden="1" x14ac:dyDescent="0.2">
      <c r="A328">
        <v>12020500</v>
      </c>
      <c r="B328">
        <v>4010</v>
      </c>
      <c r="C328">
        <v>100</v>
      </c>
      <c r="D328" s="17">
        <v>168.58</v>
      </c>
      <c r="I328" t="s">
        <v>392</v>
      </c>
    </row>
    <row r="329" spans="1:9" hidden="1" x14ac:dyDescent="0.2">
      <c r="A329">
        <v>12020500</v>
      </c>
      <c r="B329">
        <v>4010</v>
      </c>
      <c r="C329">
        <v>100</v>
      </c>
      <c r="D329" s="17">
        <v>1531.35</v>
      </c>
      <c r="I329" t="s">
        <v>392</v>
      </c>
    </row>
    <row r="330" spans="1:9" hidden="1" x14ac:dyDescent="0.2">
      <c r="A330">
        <v>12020500</v>
      </c>
      <c r="B330">
        <v>4010</v>
      </c>
      <c r="C330">
        <v>100</v>
      </c>
      <c r="D330" s="17">
        <v>1276.33</v>
      </c>
      <c r="I330" t="s">
        <v>392</v>
      </c>
    </row>
    <row r="331" spans="1:9" hidden="1" x14ac:dyDescent="0.2">
      <c r="A331">
        <v>12020500</v>
      </c>
      <c r="B331">
        <v>4010</v>
      </c>
      <c r="C331">
        <v>100</v>
      </c>
      <c r="D331" s="17">
        <v>1036.44</v>
      </c>
      <c r="I331" t="s">
        <v>392</v>
      </c>
    </row>
    <row r="332" spans="1:9" hidden="1" x14ac:dyDescent="0.2">
      <c r="A332">
        <v>12020500</v>
      </c>
      <c r="B332">
        <v>4010</v>
      </c>
      <c r="C332">
        <v>100</v>
      </c>
      <c r="D332" s="17">
        <v>3222.87</v>
      </c>
      <c r="E332" s="17"/>
      <c r="F332" s="18"/>
      <c r="I332" t="s">
        <v>393</v>
      </c>
    </row>
    <row r="333" spans="1:9" hidden="1" x14ac:dyDescent="0.2">
      <c r="A333">
        <v>12020500</v>
      </c>
      <c r="B333">
        <v>4010</v>
      </c>
      <c r="C333">
        <v>100</v>
      </c>
      <c r="D333" s="17">
        <v>1531.15</v>
      </c>
      <c r="E333" s="17"/>
      <c r="F333" s="18"/>
      <c r="I333" t="s">
        <v>393</v>
      </c>
    </row>
    <row r="334" spans="1:9" hidden="1" x14ac:dyDescent="0.2">
      <c r="A334">
        <v>12020500</v>
      </c>
      <c r="B334">
        <v>4010</v>
      </c>
      <c r="C334">
        <v>100</v>
      </c>
      <c r="D334" s="17">
        <v>1585.38</v>
      </c>
      <c r="E334" s="17"/>
      <c r="F334" s="18"/>
      <c r="I334" t="s">
        <v>393</v>
      </c>
    </row>
    <row r="335" spans="1:9" hidden="1" x14ac:dyDescent="0.2">
      <c r="A335" s="19">
        <v>12020500</v>
      </c>
      <c r="B335">
        <v>4010</v>
      </c>
      <c r="C335">
        <v>100</v>
      </c>
      <c r="D335" s="17">
        <v>2336.17</v>
      </c>
      <c r="E335" s="20"/>
      <c r="F335" s="21"/>
      <c r="G335" s="19"/>
      <c r="H335" s="19"/>
      <c r="I335" t="s">
        <v>393</v>
      </c>
    </row>
    <row r="336" spans="1:9" hidden="1" x14ac:dyDescent="0.2">
      <c r="A336" s="19">
        <v>12020500</v>
      </c>
      <c r="B336">
        <v>4010</v>
      </c>
      <c r="C336">
        <v>100</v>
      </c>
      <c r="D336" s="17">
        <v>1669.14</v>
      </c>
      <c r="E336" s="20"/>
      <c r="F336" s="21"/>
      <c r="G336" s="19"/>
      <c r="H336" s="19"/>
      <c r="I336" t="s">
        <v>393</v>
      </c>
    </row>
    <row r="337" spans="1:9" hidden="1" x14ac:dyDescent="0.2">
      <c r="A337">
        <v>12020500</v>
      </c>
      <c r="B337">
        <v>4010</v>
      </c>
      <c r="C337">
        <v>100</v>
      </c>
      <c r="D337" s="17">
        <v>1178.99</v>
      </c>
      <c r="E337" s="17"/>
      <c r="F337" s="18"/>
      <c r="I337" t="s">
        <v>393</v>
      </c>
    </row>
    <row r="338" spans="1:9" hidden="1" x14ac:dyDescent="0.2">
      <c r="A338">
        <v>12020500</v>
      </c>
      <c r="B338">
        <v>4010</v>
      </c>
      <c r="C338">
        <v>100</v>
      </c>
      <c r="D338" s="17">
        <v>155.69999999999999</v>
      </c>
      <c r="E338" s="17"/>
      <c r="F338" s="18"/>
      <c r="I338" t="s">
        <v>393</v>
      </c>
    </row>
    <row r="339" spans="1:9" hidden="1" x14ac:dyDescent="0.2">
      <c r="A339">
        <v>12020500</v>
      </c>
      <c r="B339">
        <v>4010</v>
      </c>
      <c r="C339">
        <v>100</v>
      </c>
      <c r="D339" s="17">
        <v>891.3</v>
      </c>
      <c r="E339" s="17"/>
      <c r="F339" s="18"/>
      <c r="I339" t="s">
        <v>393</v>
      </c>
    </row>
    <row r="340" spans="1:9" hidden="1" x14ac:dyDescent="0.2">
      <c r="A340">
        <v>12020500</v>
      </c>
      <c r="B340">
        <v>4010</v>
      </c>
      <c r="C340">
        <v>100</v>
      </c>
      <c r="D340" s="17">
        <v>1167.92</v>
      </c>
      <c r="E340" s="17"/>
      <c r="F340" s="18"/>
      <c r="I340" t="s">
        <v>393</v>
      </c>
    </row>
    <row r="341" spans="1:9" hidden="1" x14ac:dyDescent="0.2">
      <c r="A341">
        <v>12020500</v>
      </c>
      <c r="B341">
        <v>4010</v>
      </c>
      <c r="C341">
        <v>100</v>
      </c>
      <c r="D341" s="17">
        <v>54.47</v>
      </c>
      <c r="E341" s="17"/>
      <c r="F341" s="18"/>
      <c r="I341" t="s">
        <v>393</v>
      </c>
    </row>
    <row r="342" spans="1:9" hidden="1" x14ac:dyDescent="0.2">
      <c r="A342">
        <v>12020500</v>
      </c>
      <c r="B342">
        <v>4010</v>
      </c>
      <c r="C342">
        <v>300</v>
      </c>
      <c r="D342" s="17">
        <v>134.80000000000001</v>
      </c>
      <c r="I342" t="s">
        <v>392</v>
      </c>
    </row>
    <row r="343" spans="1:9" hidden="1" x14ac:dyDescent="0.2">
      <c r="A343">
        <v>12020500</v>
      </c>
      <c r="B343">
        <v>4010</v>
      </c>
      <c r="C343">
        <v>300</v>
      </c>
      <c r="D343" s="17">
        <v>507.2</v>
      </c>
      <c r="I343" t="s">
        <v>392</v>
      </c>
    </row>
    <row r="344" spans="1:9" hidden="1" x14ac:dyDescent="0.2">
      <c r="A344">
        <v>12020500</v>
      </c>
      <c r="B344">
        <v>4010</v>
      </c>
      <c r="C344">
        <v>300</v>
      </c>
      <c r="D344" s="17">
        <v>30.74</v>
      </c>
      <c r="I344" t="s">
        <v>392</v>
      </c>
    </row>
    <row r="345" spans="1:9" hidden="1" x14ac:dyDescent="0.2">
      <c r="A345">
        <v>12020500</v>
      </c>
      <c r="B345">
        <v>4010</v>
      </c>
      <c r="C345">
        <v>300</v>
      </c>
      <c r="D345" s="17">
        <v>24.95</v>
      </c>
      <c r="I345" t="s">
        <v>392</v>
      </c>
    </row>
    <row r="346" spans="1:9" hidden="1" x14ac:dyDescent="0.2">
      <c r="A346">
        <v>12020500</v>
      </c>
      <c r="B346">
        <v>4010</v>
      </c>
      <c r="C346">
        <v>300</v>
      </c>
      <c r="D346" s="17">
        <v>15.36</v>
      </c>
      <c r="I346" t="s">
        <v>392</v>
      </c>
    </row>
    <row r="347" spans="1:9" hidden="1" x14ac:dyDescent="0.2">
      <c r="A347">
        <v>12020500</v>
      </c>
      <c r="B347">
        <v>4010</v>
      </c>
      <c r="C347">
        <v>300</v>
      </c>
      <c r="D347" s="17">
        <v>44.82</v>
      </c>
      <c r="I347" t="s">
        <v>392</v>
      </c>
    </row>
    <row r="348" spans="1:9" hidden="1" x14ac:dyDescent="0.2">
      <c r="A348">
        <v>12020500</v>
      </c>
      <c r="B348">
        <v>4010</v>
      </c>
      <c r="C348">
        <v>300</v>
      </c>
      <c r="D348" s="17">
        <v>168.51</v>
      </c>
      <c r="E348" s="17"/>
      <c r="F348" s="18"/>
      <c r="I348" t="s">
        <v>393</v>
      </c>
    </row>
    <row r="349" spans="1:9" hidden="1" x14ac:dyDescent="0.2">
      <c r="A349">
        <v>12020500</v>
      </c>
      <c r="B349">
        <v>4010</v>
      </c>
      <c r="C349">
        <v>300</v>
      </c>
      <c r="D349" s="17">
        <v>63</v>
      </c>
      <c r="E349" s="17"/>
      <c r="F349" s="18"/>
      <c r="I349" t="s">
        <v>393</v>
      </c>
    </row>
    <row r="350" spans="1:9" hidden="1" x14ac:dyDescent="0.2">
      <c r="A350">
        <v>12020500</v>
      </c>
      <c r="B350">
        <v>4010</v>
      </c>
      <c r="C350">
        <v>300</v>
      </c>
      <c r="D350" s="17">
        <v>507.2</v>
      </c>
      <c r="E350" s="17"/>
      <c r="F350" s="18"/>
      <c r="I350" t="s">
        <v>393</v>
      </c>
    </row>
    <row r="351" spans="1:9" hidden="1" x14ac:dyDescent="0.2">
      <c r="A351">
        <v>12020500</v>
      </c>
      <c r="B351">
        <v>4010</v>
      </c>
      <c r="C351">
        <v>300</v>
      </c>
      <c r="D351" s="17">
        <v>153.69999999999999</v>
      </c>
      <c r="E351" s="17"/>
      <c r="F351" s="18"/>
      <c r="I351" t="s">
        <v>393</v>
      </c>
    </row>
    <row r="352" spans="1:9" hidden="1" x14ac:dyDescent="0.2">
      <c r="A352">
        <v>12020500</v>
      </c>
      <c r="B352">
        <v>4010</v>
      </c>
      <c r="C352">
        <v>300</v>
      </c>
      <c r="D352" s="17">
        <v>144.71</v>
      </c>
      <c r="I352" t="s">
        <v>393</v>
      </c>
    </row>
    <row r="353" spans="1:9" hidden="1" x14ac:dyDescent="0.2">
      <c r="A353">
        <v>12020500</v>
      </c>
      <c r="B353">
        <v>4010</v>
      </c>
      <c r="C353">
        <v>300</v>
      </c>
      <c r="D353" s="17">
        <v>25.61</v>
      </c>
      <c r="I353" t="s">
        <v>393</v>
      </c>
    </row>
    <row r="354" spans="1:9" hidden="1" x14ac:dyDescent="0.2">
      <c r="A354">
        <v>12020500</v>
      </c>
      <c r="B354">
        <v>4010</v>
      </c>
      <c r="C354">
        <v>400</v>
      </c>
      <c r="D354" s="17">
        <v>883.26</v>
      </c>
      <c r="I354" t="s">
        <v>392</v>
      </c>
    </row>
    <row r="355" spans="1:9" hidden="1" x14ac:dyDescent="0.2">
      <c r="A355">
        <v>12020500</v>
      </c>
      <c r="B355">
        <v>4010</v>
      </c>
      <c r="C355">
        <v>400</v>
      </c>
      <c r="D355" s="17">
        <v>66.849999999999994</v>
      </c>
      <c r="I355" t="s">
        <v>392</v>
      </c>
    </row>
    <row r="356" spans="1:9" hidden="1" x14ac:dyDescent="0.2">
      <c r="A356">
        <v>12020500</v>
      </c>
      <c r="B356">
        <v>4010</v>
      </c>
      <c r="C356">
        <v>400</v>
      </c>
      <c r="D356" s="17">
        <v>883.26</v>
      </c>
      <c r="I356" t="s">
        <v>393</v>
      </c>
    </row>
    <row r="357" spans="1:9" hidden="1" x14ac:dyDescent="0.2">
      <c r="A357">
        <v>12020500</v>
      </c>
      <c r="B357">
        <v>4010</v>
      </c>
      <c r="C357">
        <v>400</v>
      </c>
      <c r="D357" s="17">
        <v>13.37</v>
      </c>
      <c r="I357" t="s">
        <v>393</v>
      </c>
    </row>
    <row r="358" spans="1:9" hidden="1" x14ac:dyDescent="0.2">
      <c r="A358">
        <v>12020500</v>
      </c>
      <c r="B358">
        <v>4010</v>
      </c>
      <c r="C358">
        <v>400</v>
      </c>
      <c r="D358" s="17">
        <v>13.37</v>
      </c>
      <c r="I358" t="s">
        <v>393</v>
      </c>
    </row>
    <row r="359" spans="1:9" hidden="1" x14ac:dyDescent="0.2">
      <c r="A359">
        <v>12020500</v>
      </c>
      <c r="B359">
        <v>4010</v>
      </c>
      <c r="C359">
        <v>400</v>
      </c>
      <c r="D359" s="17">
        <v>53.48</v>
      </c>
      <c r="I359" t="s">
        <v>393</v>
      </c>
    </row>
    <row r="360" spans="1:9" hidden="1" x14ac:dyDescent="0.2">
      <c r="A360">
        <v>12020500</v>
      </c>
      <c r="B360">
        <v>4010</v>
      </c>
      <c r="C360">
        <v>400</v>
      </c>
      <c r="D360" s="17">
        <v>26.74</v>
      </c>
      <c r="I360" t="s">
        <v>393</v>
      </c>
    </row>
    <row r="361" spans="1:9" hidden="1" x14ac:dyDescent="0.2">
      <c r="A361">
        <v>12020500</v>
      </c>
      <c r="B361">
        <v>4080</v>
      </c>
      <c r="C361">
        <v>100</v>
      </c>
      <c r="D361" s="17">
        <v>322.29000000000002</v>
      </c>
      <c r="I361" t="s">
        <v>392</v>
      </c>
    </row>
    <row r="362" spans="1:9" hidden="1" x14ac:dyDescent="0.2">
      <c r="A362">
        <v>12020500</v>
      </c>
      <c r="B362">
        <v>4080</v>
      </c>
      <c r="C362">
        <v>100</v>
      </c>
      <c r="D362" s="17">
        <v>153.68</v>
      </c>
      <c r="I362" t="s">
        <v>392</v>
      </c>
    </row>
    <row r="363" spans="1:9" hidden="1" x14ac:dyDescent="0.2">
      <c r="A363">
        <v>12020500</v>
      </c>
      <c r="B363">
        <v>4080</v>
      </c>
      <c r="C363">
        <v>100</v>
      </c>
      <c r="D363" s="17">
        <v>143.63</v>
      </c>
      <c r="I363" t="s">
        <v>392</v>
      </c>
    </row>
    <row r="364" spans="1:9" hidden="1" x14ac:dyDescent="0.2">
      <c r="A364">
        <v>12020500</v>
      </c>
      <c r="B364">
        <v>4080</v>
      </c>
      <c r="C364">
        <v>100</v>
      </c>
      <c r="D364" s="17">
        <v>209.56</v>
      </c>
      <c r="I364" t="s">
        <v>392</v>
      </c>
    </row>
    <row r="365" spans="1:9" hidden="1" x14ac:dyDescent="0.2">
      <c r="A365">
        <v>12020500</v>
      </c>
      <c r="B365">
        <v>4080</v>
      </c>
      <c r="C365">
        <v>100</v>
      </c>
      <c r="D365" s="17">
        <v>151.72</v>
      </c>
      <c r="I365" t="s">
        <v>392</v>
      </c>
    </row>
    <row r="366" spans="1:9" hidden="1" x14ac:dyDescent="0.2">
      <c r="A366">
        <v>12020500</v>
      </c>
      <c r="B366">
        <v>4080</v>
      </c>
      <c r="C366">
        <v>100</v>
      </c>
      <c r="D366" s="17">
        <v>137.82</v>
      </c>
      <c r="I366" t="s">
        <v>392</v>
      </c>
    </row>
    <row r="367" spans="1:9" hidden="1" x14ac:dyDescent="0.2">
      <c r="A367">
        <v>12020500</v>
      </c>
      <c r="B367">
        <v>4080</v>
      </c>
      <c r="C367">
        <v>100</v>
      </c>
      <c r="D367" s="17">
        <v>114.87</v>
      </c>
      <c r="I367" t="s">
        <v>392</v>
      </c>
    </row>
    <row r="368" spans="1:9" hidden="1" x14ac:dyDescent="0.2">
      <c r="A368">
        <v>12020500</v>
      </c>
      <c r="B368">
        <v>4080</v>
      </c>
      <c r="C368">
        <v>100</v>
      </c>
      <c r="D368">
        <v>93.28</v>
      </c>
      <c r="I368" t="s">
        <v>392</v>
      </c>
    </row>
    <row r="369" spans="1:9" hidden="1" x14ac:dyDescent="0.2">
      <c r="A369">
        <v>12020500</v>
      </c>
      <c r="B369">
        <v>4080</v>
      </c>
      <c r="C369">
        <v>100</v>
      </c>
      <c r="D369" s="17">
        <v>322.29000000000002</v>
      </c>
      <c r="I369" t="s">
        <v>393</v>
      </c>
    </row>
    <row r="370" spans="1:9" hidden="1" x14ac:dyDescent="0.2">
      <c r="A370">
        <v>12020500</v>
      </c>
      <c r="B370">
        <v>4080</v>
      </c>
      <c r="C370">
        <v>100</v>
      </c>
      <c r="D370" s="17">
        <v>153.16999999999999</v>
      </c>
      <c r="I370" t="s">
        <v>393</v>
      </c>
    </row>
    <row r="371" spans="1:9" hidden="1" x14ac:dyDescent="0.2">
      <c r="A371">
        <v>12020500</v>
      </c>
      <c r="B371">
        <v>4080</v>
      </c>
      <c r="C371">
        <v>100</v>
      </c>
      <c r="D371" s="17">
        <v>142.68</v>
      </c>
      <c r="I371" t="s">
        <v>393</v>
      </c>
    </row>
    <row r="372" spans="1:9" hidden="1" x14ac:dyDescent="0.2">
      <c r="A372">
        <v>12020500</v>
      </c>
      <c r="B372">
        <v>4080</v>
      </c>
      <c r="C372">
        <v>100</v>
      </c>
      <c r="D372" s="17">
        <v>210.26</v>
      </c>
      <c r="I372" t="s">
        <v>393</v>
      </c>
    </row>
    <row r="373" spans="1:9" hidden="1" x14ac:dyDescent="0.2">
      <c r="A373">
        <v>12020500</v>
      </c>
      <c r="B373">
        <v>4080</v>
      </c>
      <c r="C373">
        <v>100</v>
      </c>
      <c r="D373" s="17">
        <v>150.22</v>
      </c>
      <c r="I373" t="s">
        <v>393</v>
      </c>
    </row>
    <row r="374" spans="1:9" hidden="1" x14ac:dyDescent="0.2">
      <c r="A374">
        <v>12020500</v>
      </c>
      <c r="B374">
        <v>4080</v>
      </c>
      <c r="C374">
        <v>100</v>
      </c>
      <c r="D374" s="17">
        <v>134.13999999999999</v>
      </c>
      <c r="I374" t="s">
        <v>393</v>
      </c>
    </row>
    <row r="375" spans="1:9" hidden="1" x14ac:dyDescent="0.2">
      <c r="A375">
        <v>12020500</v>
      </c>
      <c r="B375">
        <v>4080</v>
      </c>
      <c r="C375">
        <v>100</v>
      </c>
      <c r="D375" s="17">
        <v>103.58</v>
      </c>
      <c r="I375" t="s">
        <v>393</v>
      </c>
    </row>
    <row r="376" spans="1:9" hidden="1" x14ac:dyDescent="0.2">
      <c r="A376">
        <v>12020500</v>
      </c>
      <c r="B376">
        <v>4080</v>
      </c>
      <c r="C376">
        <v>100</v>
      </c>
      <c r="D376" s="17">
        <v>110.02</v>
      </c>
      <c r="I376" t="s">
        <v>393</v>
      </c>
    </row>
    <row r="377" spans="1:9" hidden="1" x14ac:dyDescent="0.2">
      <c r="A377">
        <v>12020611</v>
      </c>
      <c r="B377">
        <v>4010</v>
      </c>
      <c r="C377">
        <v>100</v>
      </c>
      <c r="D377" s="17">
        <v>1801.12</v>
      </c>
      <c r="I377" t="s">
        <v>392</v>
      </c>
    </row>
    <row r="378" spans="1:9" hidden="1" x14ac:dyDescent="0.2">
      <c r="A378">
        <v>12020611</v>
      </c>
      <c r="B378">
        <v>4010</v>
      </c>
      <c r="C378">
        <v>100</v>
      </c>
      <c r="D378" s="17">
        <v>86.95</v>
      </c>
      <c r="I378" t="s">
        <v>392</v>
      </c>
    </row>
    <row r="379" spans="1:9" hidden="1" x14ac:dyDescent="0.2">
      <c r="A379">
        <v>12020611</v>
      </c>
      <c r="B379">
        <v>4010</v>
      </c>
      <c r="C379">
        <v>100</v>
      </c>
      <c r="D379" s="17">
        <v>1770.08</v>
      </c>
      <c r="I379" t="s">
        <v>392</v>
      </c>
    </row>
    <row r="380" spans="1:9" hidden="1" x14ac:dyDescent="0.2">
      <c r="A380">
        <v>12020611</v>
      </c>
      <c r="B380">
        <v>4010</v>
      </c>
      <c r="C380">
        <v>100</v>
      </c>
      <c r="D380" s="17">
        <v>1538.29</v>
      </c>
      <c r="I380" t="s">
        <v>392</v>
      </c>
    </row>
    <row r="381" spans="1:9" hidden="1" x14ac:dyDescent="0.2">
      <c r="A381">
        <v>12020611</v>
      </c>
      <c r="B381">
        <v>4010</v>
      </c>
      <c r="C381">
        <v>100</v>
      </c>
      <c r="D381" s="17">
        <v>1701.24</v>
      </c>
      <c r="I381" t="s">
        <v>392</v>
      </c>
    </row>
    <row r="382" spans="1:9" hidden="1" x14ac:dyDescent="0.2">
      <c r="A382">
        <v>12020611</v>
      </c>
      <c r="B382">
        <v>4010</v>
      </c>
      <c r="C382">
        <v>100</v>
      </c>
      <c r="D382" s="17">
        <v>761.07</v>
      </c>
      <c r="I382" t="s">
        <v>392</v>
      </c>
    </row>
    <row r="383" spans="1:9" hidden="1" x14ac:dyDescent="0.2">
      <c r="A383">
        <v>12020611</v>
      </c>
      <c r="B383">
        <v>4010</v>
      </c>
      <c r="C383">
        <v>100</v>
      </c>
      <c r="D383" s="17">
        <v>850.6</v>
      </c>
      <c r="I383" t="s">
        <v>392</v>
      </c>
    </row>
    <row r="384" spans="1:9" hidden="1" x14ac:dyDescent="0.2">
      <c r="A384">
        <v>12020611</v>
      </c>
      <c r="B384">
        <v>4010</v>
      </c>
      <c r="C384">
        <v>100</v>
      </c>
      <c r="D384" s="17">
        <v>57.3</v>
      </c>
      <c r="I384" t="s">
        <v>392</v>
      </c>
    </row>
    <row r="385" spans="1:9" hidden="1" x14ac:dyDescent="0.2">
      <c r="A385">
        <v>12020611</v>
      </c>
      <c r="B385">
        <v>4010</v>
      </c>
      <c r="C385">
        <v>100</v>
      </c>
      <c r="D385" s="17">
        <v>1037.53</v>
      </c>
      <c r="I385" t="s">
        <v>392</v>
      </c>
    </row>
    <row r="386" spans="1:9" hidden="1" x14ac:dyDescent="0.2">
      <c r="A386">
        <v>12020611</v>
      </c>
      <c r="B386">
        <v>4010</v>
      </c>
      <c r="C386">
        <v>100</v>
      </c>
      <c r="D386" s="17">
        <v>444.65</v>
      </c>
      <c r="I386" t="s">
        <v>392</v>
      </c>
    </row>
    <row r="387" spans="1:9" hidden="1" x14ac:dyDescent="0.2">
      <c r="A387">
        <v>12020611</v>
      </c>
      <c r="B387">
        <v>4010</v>
      </c>
      <c r="C387">
        <v>100</v>
      </c>
      <c r="D387" s="17">
        <v>1199.0899999999999</v>
      </c>
      <c r="I387" t="s">
        <v>392</v>
      </c>
    </row>
    <row r="388" spans="1:9" hidden="1" x14ac:dyDescent="0.2">
      <c r="A388">
        <v>12020611</v>
      </c>
      <c r="B388">
        <v>4010</v>
      </c>
      <c r="C388">
        <v>100</v>
      </c>
      <c r="D388" s="17">
        <v>266.85000000000002</v>
      </c>
      <c r="I388" t="s">
        <v>392</v>
      </c>
    </row>
    <row r="389" spans="1:9" hidden="1" x14ac:dyDescent="0.2">
      <c r="A389">
        <v>12020611</v>
      </c>
      <c r="B389">
        <v>4010</v>
      </c>
      <c r="C389">
        <v>100</v>
      </c>
      <c r="D389" s="17">
        <v>1693.05</v>
      </c>
      <c r="E389" s="17"/>
      <c r="F389" s="18"/>
      <c r="I389" t="s">
        <v>393</v>
      </c>
    </row>
    <row r="390" spans="1:9" hidden="1" x14ac:dyDescent="0.2">
      <c r="A390" s="19">
        <v>12020611</v>
      </c>
      <c r="B390">
        <v>4010</v>
      </c>
      <c r="C390">
        <v>100</v>
      </c>
      <c r="D390" s="17">
        <v>1770.08</v>
      </c>
      <c r="E390" s="20"/>
      <c r="F390" s="21"/>
      <c r="G390" s="19"/>
      <c r="H390" s="19"/>
      <c r="I390" t="s">
        <v>393</v>
      </c>
    </row>
    <row r="391" spans="1:9" hidden="1" x14ac:dyDescent="0.2">
      <c r="A391">
        <v>12020611</v>
      </c>
      <c r="B391">
        <v>4010</v>
      </c>
      <c r="C391">
        <v>100</v>
      </c>
      <c r="D391" s="17">
        <v>1379.4</v>
      </c>
      <c r="E391" s="17"/>
      <c r="F391" s="18"/>
      <c r="I391" t="s">
        <v>393</v>
      </c>
    </row>
    <row r="392" spans="1:9" hidden="1" x14ac:dyDescent="0.2">
      <c r="A392">
        <v>12020611</v>
      </c>
      <c r="B392">
        <v>4010</v>
      </c>
      <c r="C392">
        <v>100</v>
      </c>
      <c r="D392" s="17">
        <v>153.83000000000001</v>
      </c>
      <c r="E392" s="17"/>
      <c r="F392" s="18"/>
      <c r="I392" t="s">
        <v>393</v>
      </c>
    </row>
    <row r="393" spans="1:9" hidden="1" x14ac:dyDescent="0.2">
      <c r="A393">
        <v>12020611</v>
      </c>
      <c r="B393">
        <v>4010</v>
      </c>
      <c r="C393">
        <v>100</v>
      </c>
      <c r="D393" s="17">
        <v>1003.95</v>
      </c>
      <c r="E393" s="17"/>
      <c r="F393" s="18"/>
      <c r="I393" t="s">
        <v>393</v>
      </c>
    </row>
    <row r="394" spans="1:9" hidden="1" x14ac:dyDescent="0.2">
      <c r="A394">
        <v>12020611</v>
      </c>
      <c r="B394">
        <v>4010</v>
      </c>
      <c r="C394">
        <v>100</v>
      </c>
      <c r="D394" s="17">
        <v>170.12</v>
      </c>
      <c r="E394" s="17"/>
      <c r="F394" s="18"/>
      <c r="I394" t="s">
        <v>393</v>
      </c>
    </row>
    <row r="395" spans="1:9" hidden="1" x14ac:dyDescent="0.2">
      <c r="A395">
        <v>12020611</v>
      </c>
      <c r="B395">
        <v>4010</v>
      </c>
      <c r="C395">
        <v>100</v>
      </c>
      <c r="D395" s="17">
        <v>220.27</v>
      </c>
      <c r="E395" s="17"/>
      <c r="F395" s="18"/>
      <c r="I395" t="s">
        <v>393</v>
      </c>
    </row>
    <row r="396" spans="1:9" hidden="1" x14ac:dyDescent="0.2">
      <c r="A396">
        <v>12020611</v>
      </c>
      <c r="B396">
        <v>4010</v>
      </c>
      <c r="C396">
        <v>100</v>
      </c>
      <c r="D396" s="17">
        <v>1701.21</v>
      </c>
      <c r="E396" s="17"/>
      <c r="F396" s="18"/>
      <c r="I396" t="s">
        <v>393</v>
      </c>
    </row>
    <row r="397" spans="1:9" hidden="1" x14ac:dyDescent="0.2">
      <c r="A397">
        <v>12020611</v>
      </c>
      <c r="B397">
        <v>4010</v>
      </c>
      <c r="C397">
        <v>100</v>
      </c>
      <c r="D397" s="17">
        <v>170.12</v>
      </c>
      <c r="E397" s="17"/>
      <c r="F397" s="18"/>
      <c r="I397" t="s">
        <v>393</v>
      </c>
    </row>
    <row r="398" spans="1:9" hidden="1" x14ac:dyDescent="0.2">
      <c r="A398">
        <v>12020611</v>
      </c>
      <c r="B398">
        <v>4010</v>
      </c>
      <c r="C398">
        <v>100</v>
      </c>
      <c r="D398" s="17">
        <v>1333.96</v>
      </c>
      <c r="E398" s="17"/>
      <c r="F398" s="18"/>
      <c r="I398" t="s">
        <v>393</v>
      </c>
    </row>
    <row r="399" spans="1:9" hidden="1" x14ac:dyDescent="0.2">
      <c r="A399">
        <v>12020611</v>
      </c>
      <c r="B399">
        <v>4010</v>
      </c>
      <c r="C399">
        <v>100</v>
      </c>
      <c r="D399" s="17">
        <v>498.48</v>
      </c>
      <c r="E399" s="17"/>
      <c r="F399" s="18"/>
      <c r="I399" t="s">
        <v>393</v>
      </c>
    </row>
    <row r="400" spans="1:9" hidden="1" x14ac:dyDescent="0.2">
      <c r="A400">
        <v>12020611</v>
      </c>
      <c r="B400">
        <v>4010</v>
      </c>
      <c r="C400">
        <v>100</v>
      </c>
      <c r="D400" s="17">
        <v>1329.88</v>
      </c>
      <c r="E400" s="17"/>
      <c r="F400" s="18"/>
      <c r="I400" t="s">
        <v>393</v>
      </c>
    </row>
    <row r="401" spans="1:9" x14ac:dyDescent="0.2">
      <c r="A401">
        <v>12020611</v>
      </c>
      <c r="B401">
        <v>4010</v>
      </c>
      <c r="C401">
        <v>300</v>
      </c>
      <c r="D401" s="17">
        <v>253.28</v>
      </c>
      <c r="I401" t="s">
        <v>392</v>
      </c>
    </row>
    <row r="402" spans="1:9" x14ac:dyDescent="0.2">
      <c r="A402">
        <v>12020611</v>
      </c>
      <c r="B402">
        <v>4010</v>
      </c>
      <c r="C402">
        <v>300</v>
      </c>
      <c r="D402" s="17">
        <v>58.23</v>
      </c>
      <c r="I402" t="s">
        <v>392</v>
      </c>
    </row>
    <row r="403" spans="1:9" x14ac:dyDescent="0.2">
      <c r="A403">
        <v>12020611</v>
      </c>
      <c r="B403">
        <v>4010</v>
      </c>
      <c r="C403">
        <v>300</v>
      </c>
      <c r="D403" s="17">
        <v>273.25</v>
      </c>
      <c r="I403" t="s">
        <v>392</v>
      </c>
    </row>
    <row r="404" spans="1:9" x14ac:dyDescent="0.2">
      <c r="A404">
        <v>12020611</v>
      </c>
      <c r="B404">
        <v>4010</v>
      </c>
      <c r="C404">
        <v>300</v>
      </c>
      <c r="D404" s="17">
        <v>30.36</v>
      </c>
      <c r="I404" t="s">
        <v>392</v>
      </c>
    </row>
    <row r="405" spans="1:9" x14ac:dyDescent="0.2">
      <c r="A405">
        <v>12020611</v>
      </c>
      <c r="B405">
        <v>4010</v>
      </c>
      <c r="C405">
        <v>300</v>
      </c>
      <c r="D405" s="17">
        <v>159.49</v>
      </c>
      <c r="I405" t="s">
        <v>392</v>
      </c>
    </row>
    <row r="406" spans="1:9" x14ac:dyDescent="0.2">
      <c r="A406">
        <v>12020611</v>
      </c>
      <c r="B406">
        <v>4010</v>
      </c>
      <c r="C406">
        <v>300</v>
      </c>
      <c r="D406" s="17">
        <v>134.31</v>
      </c>
      <c r="I406" t="s">
        <v>392</v>
      </c>
    </row>
    <row r="407" spans="1:9" x14ac:dyDescent="0.2">
      <c r="A407">
        <v>12020611</v>
      </c>
      <c r="B407">
        <v>4010</v>
      </c>
      <c r="C407">
        <v>300</v>
      </c>
      <c r="D407" s="17">
        <v>67.150000000000006</v>
      </c>
      <c r="I407" t="s">
        <v>392</v>
      </c>
    </row>
    <row r="408" spans="1:9" x14ac:dyDescent="0.2">
      <c r="A408">
        <v>12020611</v>
      </c>
      <c r="B408">
        <v>4010</v>
      </c>
      <c r="C408">
        <v>300</v>
      </c>
      <c r="D408" s="17">
        <v>33.58</v>
      </c>
      <c r="I408" t="s">
        <v>392</v>
      </c>
    </row>
    <row r="409" spans="1:9" x14ac:dyDescent="0.2">
      <c r="A409">
        <v>12020611</v>
      </c>
      <c r="B409">
        <v>4010</v>
      </c>
      <c r="C409">
        <v>300</v>
      </c>
      <c r="D409" s="17">
        <v>153.58000000000001</v>
      </c>
      <c r="I409" t="s">
        <v>392</v>
      </c>
    </row>
    <row r="410" spans="1:9" x14ac:dyDescent="0.2">
      <c r="A410">
        <v>12020611</v>
      </c>
      <c r="B410">
        <v>4010</v>
      </c>
      <c r="C410">
        <v>300</v>
      </c>
      <c r="D410" s="17">
        <v>39</v>
      </c>
      <c r="I410" t="s">
        <v>392</v>
      </c>
    </row>
    <row r="411" spans="1:9" x14ac:dyDescent="0.2">
      <c r="A411">
        <v>12020611</v>
      </c>
      <c r="B411">
        <v>4010</v>
      </c>
      <c r="C411">
        <v>300</v>
      </c>
      <c r="D411" s="17">
        <v>210.67</v>
      </c>
      <c r="I411" t="s">
        <v>392</v>
      </c>
    </row>
    <row r="412" spans="1:9" x14ac:dyDescent="0.2">
      <c r="A412">
        <v>12020611</v>
      </c>
      <c r="B412">
        <v>4010</v>
      </c>
      <c r="C412">
        <v>300</v>
      </c>
      <c r="D412" s="17">
        <v>43.89</v>
      </c>
      <c r="I412" t="s">
        <v>392</v>
      </c>
    </row>
    <row r="413" spans="1:9" x14ac:dyDescent="0.2">
      <c r="A413">
        <v>12020611</v>
      </c>
      <c r="B413">
        <v>4010</v>
      </c>
      <c r="C413">
        <v>300</v>
      </c>
      <c r="D413" s="17">
        <v>331.89</v>
      </c>
      <c r="E413" s="17"/>
      <c r="F413" s="18"/>
      <c r="I413" t="s">
        <v>393</v>
      </c>
    </row>
    <row r="414" spans="1:9" x14ac:dyDescent="0.2">
      <c r="A414">
        <v>12020611</v>
      </c>
      <c r="B414">
        <v>4010</v>
      </c>
      <c r="C414">
        <v>300</v>
      </c>
      <c r="D414" s="17">
        <v>116.45</v>
      </c>
      <c r="E414" s="17"/>
      <c r="F414" s="18"/>
      <c r="I414" t="s">
        <v>393</v>
      </c>
    </row>
    <row r="415" spans="1:9" x14ac:dyDescent="0.2">
      <c r="A415">
        <v>12020611</v>
      </c>
      <c r="B415">
        <v>4010</v>
      </c>
      <c r="C415">
        <v>300</v>
      </c>
      <c r="D415" s="17">
        <v>212.53</v>
      </c>
      <c r="I415" t="s">
        <v>393</v>
      </c>
    </row>
    <row r="416" spans="1:9" x14ac:dyDescent="0.2">
      <c r="A416">
        <v>12020611</v>
      </c>
      <c r="B416">
        <v>4010</v>
      </c>
      <c r="C416">
        <v>300</v>
      </c>
      <c r="D416" s="17">
        <v>192.29</v>
      </c>
      <c r="I416" t="s">
        <v>393</v>
      </c>
    </row>
    <row r="417" spans="1:9" x14ac:dyDescent="0.2">
      <c r="A417">
        <v>12020611</v>
      </c>
      <c r="B417">
        <v>4010</v>
      </c>
      <c r="C417">
        <v>300</v>
      </c>
      <c r="D417" s="17">
        <v>125.91</v>
      </c>
      <c r="I417" t="s">
        <v>393</v>
      </c>
    </row>
    <row r="418" spans="1:9" x14ac:dyDescent="0.2">
      <c r="A418">
        <v>12020611</v>
      </c>
      <c r="B418">
        <v>4010</v>
      </c>
      <c r="C418">
        <v>300</v>
      </c>
      <c r="D418" s="17">
        <v>11.19</v>
      </c>
      <c r="I418" t="s">
        <v>393</v>
      </c>
    </row>
    <row r="419" spans="1:9" x14ac:dyDescent="0.2">
      <c r="A419">
        <v>12020611</v>
      </c>
      <c r="B419">
        <v>4010</v>
      </c>
      <c r="C419">
        <v>300</v>
      </c>
      <c r="D419" s="17">
        <v>394.52</v>
      </c>
      <c r="I419" t="s">
        <v>393</v>
      </c>
    </row>
    <row r="420" spans="1:9" x14ac:dyDescent="0.2">
      <c r="A420">
        <v>12020611</v>
      </c>
      <c r="B420">
        <v>4010</v>
      </c>
      <c r="C420">
        <v>300</v>
      </c>
      <c r="D420" s="17">
        <v>123.11</v>
      </c>
      <c r="I420" t="s">
        <v>393</v>
      </c>
    </row>
    <row r="421" spans="1:9" x14ac:dyDescent="0.2">
      <c r="A421">
        <v>12020611</v>
      </c>
      <c r="B421">
        <v>4010</v>
      </c>
      <c r="C421">
        <v>300</v>
      </c>
      <c r="D421" s="17">
        <v>285.22000000000003</v>
      </c>
      <c r="I421" t="s">
        <v>393</v>
      </c>
    </row>
    <row r="422" spans="1:9" x14ac:dyDescent="0.2">
      <c r="A422">
        <v>12020611</v>
      </c>
      <c r="B422">
        <v>4010</v>
      </c>
      <c r="C422">
        <v>300</v>
      </c>
      <c r="D422" s="17">
        <v>29.25</v>
      </c>
      <c r="I422" t="s">
        <v>393</v>
      </c>
    </row>
    <row r="423" spans="1:9" x14ac:dyDescent="0.2">
      <c r="A423">
        <v>12020611</v>
      </c>
      <c r="B423">
        <v>4010</v>
      </c>
      <c r="C423">
        <v>300</v>
      </c>
      <c r="D423" s="17">
        <v>50.44</v>
      </c>
      <c r="I423" t="s">
        <v>393</v>
      </c>
    </row>
    <row r="424" spans="1:9" x14ac:dyDescent="0.2">
      <c r="A424">
        <v>12020611</v>
      </c>
      <c r="B424">
        <v>4010</v>
      </c>
      <c r="C424">
        <v>300</v>
      </c>
      <c r="D424" s="17">
        <v>98.75</v>
      </c>
      <c r="I424" t="s">
        <v>393</v>
      </c>
    </row>
    <row r="425" spans="1:9" hidden="1" x14ac:dyDescent="0.2">
      <c r="A425">
        <v>12020611</v>
      </c>
      <c r="B425">
        <v>4010</v>
      </c>
      <c r="C425">
        <v>400</v>
      </c>
      <c r="D425" s="17">
        <v>26.74</v>
      </c>
      <c r="I425" t="s">
        <v>392</v>
      </c>
    </row>
    <row r="426" spans="1:9" hidden="1" x14ac:dyDescent="0.2">
      <c r="A426">
        <v>12020611</v>
      </c>
      <c r="B426">
        <v>4010</v>
      </c>
      <c r="C426">
        <v>400</v>
      </c>
      <c r="D426" s="17">
        <v>40.11</v>
      </c>
      <c r="I426" t="s">
        <v>392</v>
      </c>
    </row>
    <row r="427" spans="1:9" hidden="1" x14ac:dyDescent="0.2">
      <c r="A427">
        <v>12020611</v>
      </c>
      <c r="B427">
        <v>4010</v>
      </c>
      <c r="C427">
        <v>400</v>
      </c>
      <c r="D427" s="17">
        <v>26.74</v>
      </c>
      <c r="I427" t="s">
        <v>392</v>
      </c>
    </row>
    <row r="428" spans="1:9" hidden="1" x14ac:dyDescent="0.2">
      <c r="A428">
        <v>12020611</v>
      </c>
      <c r="B428">
        <v>4010</v>
      </c>
      <c r="C428">
        <v>400</v>
      </c>
      <c r="D428" s="17">
        <v>13.37</v>
      </c>
      <c r="I428" t="s">
        <v>392</v>
      </c>
    </row>
    <row r="429" spans="1:9" hidden="1" x14ac:dyDescent="0.2">
      <c r="A429">
        <v>12020611</v>
      </c>
      <c r="B429">
        <v>4010</v>
      </c>
      <c r="C429">
        <v>400</v>
      </c>
      <c r="D429" s="17">
        <v>26.74</v>
      </c>
      <c r="I429" t="s">
        <v>392</v>
      </c>
    </row>
    <row r="430" spans="1:9" hidden="1" x14ac:dyDescent="0.2">
      <c r="A430">
        <v>12020611</v>
      </c>
      <c r="B430">
        <v>4010</v>
      </c>
      <c r="C430">
        <v>400</v>
      </c>
      <c r="D430" s="17">
        <v>40.11</v>
      </c>
      <c r="I430" t="s">
        <v>392</v>
      </c>
    </row>
    <row r="431" spans="1:9" hidden="1" x14ac:dyDescent="0.2">
      <c r="A431">
        <v>12020611</v>
      </c>
      <c r="B431">
        <v>4010</v>
      </c>
      <c r="C431">
        <v>400</v>
      </c>
      <c r="D431" s="17">
        <v>40.11</v>
      </c>
      <c r="I431" t="s">
        <v>393</v>
      </c>
    </row>
    <row r="432" spans="1:9" hidden="1" x14ac:dyDescent="0.2">
      <c r="A432">
        <v>12020611</v>
      </c>
      <c r="B432">
        <v>4010</v>
      </c>
      <c r="C432">
        <v>400</v>
      </c>
      <c r="D432" s="17">
        <v>40.11</v>
      </c>
      <c r="I432" t="s">
        <v>393</v>
      </c>
    </row>
    <row r="433" spans="1:9" hidden="1" x14ac:dyDescent="0.2">
      <c r="A433">
        <v>12020611</v>
      </c>
      <c r="B433">
        <v>4010</v>
      </c>
      <c r="C433">
        <v>400</v>
      </c>
      <c r="D433" s="17">
        <v>13.37</v>
      </c>
      <c r="I433" t="s">
        <v>393</v>
      </c>
    </row>
    <row r="434" spans="1:9" hidden="1" x14ac:dyDescent="0.2">
      <c r="A434">
        <v>12020611</v>
      </c>
      <c r="B434">
        <v>4010</v>
      </c>
      <c r="C434">
        <v>400</v>
      </c>
      <c r="D434" s="17">
        <v>40.11</v>
      </c>
      <c r="I434" t="s">
        <v>393</v>
      </c>
    </row>
    <row r="435" spans="1:9" hidden="1" x14ac:dyDescent="0.2">
      <c r="A435">
        <v>12020611</v>
      </c>
      <c r="B435">
        <v>4010</v>
      </c>
      <c r="C435">
        <v>400</v>
      </c>
      <c r="D435" s="17">
        <v>53.48</v>
      </c>
      <c r="I435" t="s">
        <v>393</v>
      </c>
    </row>
    <row r="436" spans="1:9" hidden="1" x14ac:dyDescent="0.2">
      <c r="A436">
        <v>12020611</v>
      </c>
      <c r="B436">
        <v>4010</v>
      </c>
      <c r="C436">
        <v>400</v>
      </c>
      <c r="D436" s="17">
        <v>13.37</v>
      </c>
      <c r="I436" t="s">
        <v>393</v>
      </c>
    </row>
    <row r="437" spans="1:9" hidden="1" x14ac:dyDescent="0.2">
      <c r="A437">
        <v>12020611</v>
      </c>
      <c r="B437">
        <v>4080</v>
      </c>
      <c r="C437">
        <v>100</v>
      </c>
      <c r="D437" s="17">
        <v>169.93</v>
      </c>
      <c r="I437" t="s">
        <v>392</v>
      </c>
    </row>
    <row r="438" spans="1:9" hidden="1" x14ac:dyDescent="0.2">
      <c r="A438">
        <v>12020611</v>
      </c>
      <c r="B438">
        <v>4080</v>
      </c>
      <c r="C438">
        <v>100</v>
      </c>
      <c r="D438" s="17">
        <v>159.31</v>
      </c>
      <c r="I438" t="s">
        <v>392</v>
      </c>
    </row>
    <row r="439" spans="1:9" hidden="1" x14ac:dyDescent="0.2">
      <c r="A439">
        <v>12020611</v>
      </c>
      <c r="B439">
        <v>4080</v>
      </c>
      <c r="C439">
        <v>100</v>
      </c>
      <c r="D439" s="17">
        <v>138.44999999999999</v>
      </c>
      <c r="I439" t="s">
        <v>392</v>
      </c>
    </row>
    <row r="440" spans="1:9" hidden="1" x14ac:dyDescent="0.2">
      <c r="A440">
        <v>12020611</v>
      </c>
      <c r="B440">
        <v>4080</v>
      </c>
      <c r="C440">
        <v>100</v>
      </c>
      <c r="D440" s="17">
        <v>153.11000000000001</v>
      </c>
      <c r="I440" t="s">
        <v>392</v>
      </c>
    </row>
    <row r="441" spans="1:9" hidden="1" x14ac:dyDescent="0.2">
      <c r="A441">
        <v>12020611</v>
      </c>
      <c r="B441">
        <v>4080</v>
      </c>
      <c r="C441">
        <v>100</v>
      </c>
      <c r="D441" s="17">
        <v>150.21</v>
      </c>
      <c r="I441" t="s">
        <v>392</v>
      </c>
    </row>
    <row r="442" spans="1:9" hidden="1" x14ac:dyDescent="0.2">
      <c r="A442">
        <v>12020611</v>
      </c>
      <c r="B442">
        <v>4080</v>
      </c>
      <c r="C442">
        <v>100</v>
      </c>
      <c r="D442">
        <v>133.4</v>
      </c>
      <c r="I442" t="s">
        <v>392</v>
      </c>
    </row>
    <row r="443" spans="1:9" hidden="1" x14ac:dyDescent="0.2">
      <c r="A443">
        <v>12020611</v>
      </c>
      <c r="B443">
        <v>4080</v>
      </c>
      <c r="C443">
        <v>100</v>
      </c>
      <c r="D443">
        <v>107.92</v>
      </c>
      <c r="I443" t="s">
        <v>392</v>
      </c>
    </row>
    <row r="444" spans="1:9" hidden="1" x14ac:dyDescent="0.2">
      <c r="A444">
        <v>12020611</v>
      </c>
      <c r="B444">
        <v>4080</v>
      </c>
      <c r="C444">
        <v>100</v>
      </c>
      <c r="D444">
        <v>24.02</v>
      </c>
      <c r="I444" t="s">
        <v>392</v>
      </c>
    </row>
    <row r="445" spans="1:9" hidden="1" x14ac:dyDescent="0.2">
      <c r="A445">
        <v>12020611</v>
      </c>
      <c r="B445">
        <v>4080</v>
      </c>
      <c r="C445">
        <v>100</v>
      </c>
      <c r="D445" s="17">
        <v>169.37</v>
      </c>
      <c r="I445" t="s">
        <v>393</v>
      </c>
    </row>
    <row r="446" spans="1:9" hidden="1" x14ac:dyDescent="0.2">
      <c r="A446">
        <v>12020611</v>
      </c>
      <c r="B446">
        <v>4080</v>
      </c>
      <c r="C446">
        <v>100</v>
      </c>
      <c r="D446" s="17">
        <v>159.31</v>
      </c>
      <c r="I446" t="s">
        <v>393</v>
      </c>
    </row>
    <row r="447" spans="1:9" hidden="1" x14ac:dyDescent="0.2">
      <c r="A447">
        <v>12020611</v>
      </c>
      <c r="B447">
        <v>4080</v>
      </c>
      <c r="C447">
        <v>100</v>
      </c>
      <c r="D447" s="17">
        <v>137.99</v>
      </c>
      <c r="I447" t="s">
        <v>393</v>
      </c>
    </row>
    <row r="448" spans="1:9" hidden="1" x14ac:dyDescent="0.2">
      <c r="A448">
        <v>12020611</v>
      </c>
      <c r="B448">
        <v>4080</v>
      </c>
      <c r="C448">
        <v>100</v>
      </c>
      <c r="D448" s="17">
        <v>140.80000000000001</v>
      </c>
      <c r="I448" t="s">
        <v>393</v>
      </c>
    </row>
    <row r="449" spans="1:9" hidden="1" x14ac:dyDescent="0.2">
      <c r="A449">
        <v>12020611</v>
      </c>
      <c r="B449">
        <v>4080</v>
      </c>
      <c r="C449">
        <v>100</v>
      </c>
      <c r="D449" s="17">
        <v>168.42</v>
      </c>
      <c r="I449" t="s">
        <v>393</v>
      </c>
    </row>
    <row r="450" spans="1:9" hidden="1" x14ac:dyDescent="0.2">
      <c r="A450">
        <v>12020611</v>
      </c>
      <c r="B450">
        <v>4080</v>
      </c>
      <c r="C450">
        <v>100</v>
      </c>
      <c r="D450" s="17">
        <v>120.06</v>
      </c>
      <c r="I450" t="s">
        <v>393</v>
      </c>
    </row>
    <row r="451" spans="1:9" hidden="1" x14ac:dyDescent="0.2">
      <c r="A451">
        <v>12020611</v>
      </c>
      <c r="B451">
        <v>4080</v>
      </c>
      <c r="C451">
        <v>100</v>
      </c>
      <c r="D451" s="17">
        <v>44.86</v>
      </c>
      <c r="I451" t="s">
        <v>393</v>
      </c>
    </row>
    <row r="452" spans="1:9" hidden="1" x14ac:dyDescent="0.2">
      <c r="A452">
        <v>12020611</v>
      </c>
      <c r="B452">
        <v>4080</v>
      </c>
      <c r="C452">
        <v>100</v>
      </c>
      <c r="D452" s="17">
        <v>119.69</v>
      </c>
      <c r="I452" t="s">
        <v>393</v>
      </c>
    </row>
    <row r="453" spans="1:9" hidden="1" x14ac:dyDescent="0.2">
      <c r="A453">
        <v>12020711</v>
      </c>
      <c r="B453">
        <v>4010</v>
      </c>
      <c r="C453">
        <v>100</v>
      </c>
      <c r="D453" s="17">
        <v>767.79</v>
      </c>
      <c r="I453" t="s">
        <v>392</v>
      </c>
    </row>
    <row r="454" spans="1:9" hidden="1" x14ac:dyDescent="0.2">
      <c r="A454">
        <v>12020711</v>
      </c>
      <c r="B454">
        <v>4010</v>
      </c>
      <c r="C454">
        <v>100</v>
      </c>
      <c r="D454" s="17">
        <v>1115.6199999999999</v>
      </c>
      <c r="I454" t="s">
        <v>392</v>
      </c>
    </row>
    <row r="455" spans="1:9" hidden="1" x14ac:dyDescent="0.2">
      <c r="A455">
        <v>12020711</v>
      </c>
      <c r="B455">
        <v>4010</v>
      </c>
      <c r="C455">
        <v>100</v>
      </c>
      <c r="D455" s="17">
        <v>1589.61</v>
      </c>
      <c r="I455" t="s">
        <v>392</v>
      </c>
    </row>
    <row r="456" spans="1:9" hidden="1" x14ac:dyDescent="0.2">
      <c r="A456">
        <v>12020711</v>
      </c>
      <c r="B456">
        <v>4010</v>
      </c>
      <c r="C456">
        <v>100</v>
      </c>
      <c r="D456" s="17">
        <v>111.94</v>
      </c>
      <c r="I456" t="s">
        <v>392</v>
      </c>
    </row>
    <row r="457" spans="1:9" hidden="1" x14ac:dyDescent="0.2">
      <c r="A457">
        <v>12020711</v>
      </c>
      <c r="B457">
        <v>4010</v>
      </c>
      <c r="C457">
        <v>100</v>
      </c>
      <c r="D457" s="17">
        <v>1816.43</v>
      </c>
      <c r="I457" t="s">
        <v>392</v>
      </c>
    </row>
    <row r="458" spans="1:9" hidden="1" x14ac:dyDescent="0.2">
      <c r="A458">
        <v>12020711</v>
      </c>
      <c r="B458">
        <v>4010</v>
      </c>
      <c r="C458">
        <v>100</v>
      </c>
      <c r="D458" s="17">
        <v>-1178.8</v>
      </c>
      <c r="I458" t="s">
        <v>392</v>
      </c>
    </row>
    <row r="459" spans="1:9" hidden="1" x14ac:dyDescent="0.2">
      <c r="A459">
        <v>12020711</v>
      </c>
      <c r="B459">
        <v>4010</v>
      </c>
      <c r="C459">
        <v>100</v>
      </c>
      <c r="D459" s="17">
        <v>-4715.2</v>
      </c>
      <c r="I459" t="s">
        <v>392</v>
      </c>
    </row>
    <row r="460" spans="1:9" hidden="1" x14ac:dyDescent="0.2">
      <c r="A460">
        <v>12020711</v>
      </c>
      <c r="B460">
        <v>4010</v>
      </c>
      <c r="C460">
        <v>100</v>
      </c>
      <c r="D460" s="17">
        <v>2158.88</v>
      </c>
      <c r="I460" t="s">
        <v>392</v>
      </c>
    </row>
    <row r="461" spans="1:9" hidden="1" x14ac:dyDescent="0.2">
      <c r="A461">
        <v>12020711</v>
      </c>
      <c r="B461">
        <v>4010</v>
      </c>
      <c r="C461">
        <v>100</v>
      </c>
      <c r="D461" s="17">
        <v>1162.5</v>
      </c>
      <c r="I461" t="s">
        <v>392</v>
      </c>
    </row>
    <row r="462" spans="1:9" hidden="1" x14ac:dyDescent="0.2">
      <c r="A462">
        <v>12020711</v>
      </c>
      <c r="B462">
        <v>4010</v>
      </c>
      <c r="C462">
        <v>100</v>
      </c>
      <c r="D462" s="17">
        <v>145.31</v>
      </c>
      <c r="I462" t="s">
        <v>392</v>
      </c>
    </row>
    <row r="463" spans="1:9" hidden="1" x14ac:dyDescent="0.2">
      <c r="A463">
        <v>12020711</v>
      </c>
      <c r="B463">
        <v>4010</v>
      </c>
      <c r="C463">
        <v>100</v>
      </c>
      <c r="D463" s="17">
        <v>1329.89</v>
      </c>
      <c r="I463" t="s">
        <v>392</v>
      </c>
    </row>
    <row r="464" spans="1:9" hidden="1" x14ac:dyDescent="0.2">
      <c r="A464">
        <v>12020711</v>
      </c>
      <c r="B464">
        <v>4010</v>
      </c>
      <c r="C464">
        <v>100</v>
      </c>
      <c r="D464" s="17">
        <v>1288.6300000000001</v>
      </c>
      <c r="I464" t="s">
        <v>392</v>
      </c>
    </row>
    <row r="465" spans="1:9" hidden="1" x14ac:dyDescent="0.2">
      <c r="A465">
        <v>12020711</v>
      </c>
      <c r="B465">
        <v>4010</v>
      </c>
      <c r="C465">
        <v>100</v>
      </c>
      <c r="D465" s="17">
        <v>396.86</v>
      </c>
      <c r="I465" t="s">
        <v>392</v>
      </c>
    </row>
    <row r="466" spans="1:9" hidden="1" x14ac:dyDescent="0.2">
      <c r="A466">
        <v>12020711</v>
      </c>
      <c r="B466">
        <v>4010</v>
      </c>
      <c r="C466">
        <v>100</v>
      </c>
      <c r="D466" s="17">
        <v>-400.37</v>
      </c>
      <c r="I466" t="s">
        <v>392</v>
      </c>
    </row>
    <row r="467" spans="1:9" hidden="1" x14ac:dyDescent="0.2">
      <c r="A467">
        <v>12020711</v>
      </c>
      <c r="B467">
        <v>4010</v>
      </c>
      <c r="C467">
        <v>100</v>
      </c>
      <c r="D467" s="17">
        <v>1032.47</v>
      </c>
      <c r="I467" t="s">
        <v>392</v>
      </c>
    </row>
    <row r="468" spans="1:9" hidden="1" x14ac:dyDescent="0.2">
      <c r="A468">
        <v>12020711</v>
      </c>
      <c r="B468">
        <v>4010</v>
      </c>
      <c r="C468">
        <v>100</v>
      </c>
      <c r="D468" s="17">
        <v>56.55</v>
      </c>
      <c r="I468" t="s">
        <v>392</v>
      </c>
    </row>
    <row r="469" spans="1:9" hidden="1" x14ac:dyDescent="0.2">
      <c r="A469">
        <v>12020711</v>
      </c>
      <c r="B469">
        <v>4010</v>
      </c>
      <c r="C469">
        <v>100</v>
      </c>
      <c r="D469" s="17">
        <v>2400.41</v>
      </c>
      <c r="E469" s="17"/>
      <c r="F469" s="18"/>
      <c r="I469" t="s">
        <v>393</v>
      </c>
    </row>
    <row r="470" spans="1:9" hidden="1" x14ac:dyDescent="0.2">
      <c r="A470" s="19">
        <v>12020711</v>
      </c>
      <c r="B470">
        <v>4010</v>
      </c>
      <c r="C470">
        <v>100</v>
      </c>
      <c r="D470" s="17">
        <v>748.96</v>
      </c>
      <c r="E470" s="20"/>
      <c r="F470" s="21"/>
      <c r="G470" s="19"/>
      <c r="H470" s="19"/>
      <c r="I470" t="s">
        <v>393</v>
      </c>
    </row>
    <row r="471" spans="1:9" hidden="1" x14ac:dyDescent="0.2">
      <c r="A471" s="19">
        <v>12020711</v>
      </c>
      <c r="B471">
        <v>4010</v>
      </c>
      <c r="C471">
        <v>100</v>
      </c>
      <c r="D471" s="17">
        <v>396.66</v>
      </c>
      <c r="E471" s="20"/>
      <c r="F471" s="21"/>
      <c r="G471" s="19"/>
      <c r="H471" s="19"/>
      <c r="I471" t="s">
        <v>393</v>
      </c>
    </row>
    <row r="472" spans="1:9" hidden="1" x14ac:dyDescent="0.2">
      <c r="A472">
        <v>12020711</v>
      </c>
      <c r="B472">
        <v>4010</v>
      </c>
      <c r="C472">
        <v>100</v>
      </c>
      <c r="D472" s="17">
        <v>1701.56</v>
      </c>
      <c r="E472" s="17"/>
      <c r="F472" s="18"/>
      <c r="I472" t="s">
        <v>393</v>
      </c>
    </row>
    <row r="473" spans="1:9" hidden="1" x14ac:dyDescent="0.2">
      <c r="A473">
        <v>12020711</v>
      </c>
      <c r="B473">
        <v>4010</v>
      </c>
      <c r="C473">
        <v>100</v>
      </c>
      <c r="D473" s="17">
        <v>1816.43</v>
      </c>
      <c r="E473" s="17"/>
      <c r="F473" s="18"/>
      <c r="I473" t="s">
        <v>393</v>
      </c>
    </row>
    <row r="474" spans="1:9" hidden="1" x14ac:dyDescent="0.2">
      <c r="A474">
        <v>12020711</v>
      </c>
      <c r="B474">
        <v>4010</v>
      </c>
      <c r="C474">
        <v>100</v>
      </c>
      <c r="D474" s="17">
        <v>2158.88</v>
      </c>
      <c r="E474" s="17"/>
      <c r="F474" s="18"/>
      <c r="I474" t="s">
        <v>393</v>
      </c>
    </row>
    <row r="475" spans="1:9" hidden="1" x14ac:dyDescent="0.2">
      <c r="A475">
        <v>12020711</v>
      </c>
      <c r="B475">
        <v>4010</v>
      </c>
      <c r="C475">
        <v>100</v>
      </c>
      <c r="D475" s="17">
        <v>1453.12</v>
      </c>
      <c r="E475" s="17"/>
      <c r="F475" s="18"/>
      <c r="I475" t="s">
        <v>393</v>
      </c>
    </row>
    <row r="476" spans="1:9" hidden="1" x14ac:dyDescent="0.2">
      <c r="A476">
        <v>12020711</v>
      </c>
      <c r="B476">
        <v>4010</v>
      </c>
      <c r="C476">
        <v>100</v>
      </c>
      <c r="D476" s="17">
        <v>133.43</v>
      </c>
      <c r="E476" s="17"/>
      <c r="F476" s="18"/>
      <c r="I476" t="s">
        <v>393</v>
      </c>
    </row>
    <row r="477" spans="1:9" hidden="1" x14ac:dyDescent="0.2">
      <c r="A477">
        <v>12020711</v>
      </c>
      <c r="B477">
        <v>4010</v>
      </c>
      <c r="C477">
        <v>100</v>
      </c>
      <c r="D477" s="17">
        <v>1277.21</v>
      </c>
      <c r="E477" s="17"/>
      <c r="F477" s="18"/>
      <c r="I477" t="s">
        <v>393</v>
      </c>
    </row>
    <row r="478" spans="1:9" hidden="1" x14ac:dyDescent="0.2">
      <c r="A478">
        <v>12020711</v>
      </c>
      <c r="B478">
        <v>4010</v>
      </c>
      <c r="C478">
        <v>100</v>
      </c>
      <c r="D478" s="17">
        <v>374.03</v>
      </c>
      <c r="E478" s="17"/>
      <c r="F478" s="18"/>
      <c r="I478" t="s">
        <v>393</v>
      </c>
    </row>
    <row r="479" spans="1:9" hidden="1" x14ac:dyDescent="0.2">
      <c r="A479">
        <v>12020711</v>
      </c>
      <c r="B479">
        <v>4010</v>
      </c>
      <c r="C479">
        <v>100</v>
      </c>
      <c r="D479" s="17">
        <v>758.59</v>
      </c>
      <c r="E479" s="17"/>
      <c r="F479" s="18"/>
      <c r="I479" t="s">
        <v>393</v>
      </c>
    </row>
    <row r="480" spans="1:9" hidden="1" x14ac:dyDescent="0.2">
      <c r="A480">
        <v>12020711</v>
      </c>
      <c r="B480">
        <v>4010</v>
      </c>
      <c r="C480">
        <v>100</v>
      </c>
      <c r="D480" s="17">
        <v>400.37</v>
      </c>
      <c r="E480" s="17"/>
      <c r="F480" s="18"/>
      <c r="I480" t="s">
        <v>393</v>
      </c>
    </row>
    <row r="481" spans="1:9" x14ac:dyDescent="0.2">
      <c r="A481">
        <v>12020711</v>
      </c>
      <c r="B481">
        <v>4010</v>
      </c>
      <c r="C481">
        <v>300</v>
      </c>
      <c r="D481" s="17">
        <v>114.91</v>
      </c>
      <c r="I481" t="s">
        <v>392</v>
      </c>
    </row>
    <row r="482" spans="1:9" x14ac:dyDescent="0.2">
      <c r="A482">
        <v>12020711</v>
      </c>
      <c r="B482">
        <v>4010</v>
      </c>
      <c r="C482">
        <v>300</v>
      </c>
      <c r="D482" s="17">
        <v>338.6</v>
      </c>
      <c r="I482" t="s">
        <v>392</v>
      </c>
    </row>
    <row r="483" spans="1:9" x14ac:dyDescent="0.2">
      <c r="A483">
        <v>12020711</v>
      </c>
      <c r="B483">
        <v>4010</v>
      </c>
      <c r="C483">
        <v>300</v>
      </c>
      <c r="D483" s="17">
        <v>221.82</v>
      </c>
      <c r="I483" t="s">
        <v>392</v>
      </c>
    </row>
    <row r="484" spans="1:9" x14ac:dyDescent="0.2">
      <c r="A484">
        <v>12020711</v>
      </c>
      <c r="B484">
        <v>4010</v>
      </c>
      <c r="C484">
        <v>300</v>
      </c>
      <c r="D484" s="17">
        <v>453.38</v>
      </c>
      <c r="I484" t="s">
        <v>392</v>
      </c>
    </row>
    <row r="485" spans="1:9" x14ac:dyDescent="0.2">
      <c r="A485">
        <v>12020711</v>
      </c>
      <c r="B485">
        <v>4010</v>
      </c>
      <c r="C485">
        <v>300</v>
      </c>
      <c r="D485" s="17">
        <v>671.67</v>
      </c>
      <c r="I485" t="s">
        <v>392</v>
      </c>
    </row>
    <row r="486" spans="1:9" x14ac:dyDescent="0.2">
      <c r="A486">
        <v>12020711</v>
      </c>
      <c r="B486">
        <v>4010</v>
      </c>
      <c r="C486">
        <v>300</v>
      </c>
      <c r="D486" s="17">
        <v>385.39</v>
      </c>
      <c r="I486" t="s">
        <v>392</v>
      </c>
    </row>
    <row r="487" spans="1:9" x14ac:dyDescent="0.2">
      <c r="A487">
        <v>12020711</v>
      </c>
      <c r="B487">
        <v>4010</v>
      </c>
      <c r="C487">
        <v>300</v>
      </c>
      <c r="D487" s="17">
        <v>788.27</v>
      </c>
      <c r="I487" t="s">
        <v>392</v>
      </c>
    </row>
    <row r="488" spans="1:9" x14ac:dyDescent="0.2">
      <c r="A488">
        <v>12020711</v>
      </c>
      <c r="B488">
        <v>4010</v>
      </c>
      <c r="C488">
        <v>300</v>
      </c>
      <c r="D488" s="17">
        <v>241.45</v>
      </c>
      <c r="I488" t="s">
        <v>392</v>
      </c>
    </row>
    <row r="489" spans="1:9" x14ac:dyDescent="0.2">
      <c r="A489">
        <v>12020711</v>
      </c>
      <c r="B489">
        <v>4010</v>
      </c>
      <c r="C489">
        <v>300</v>
      </c>
      <c r="D489" s="17">
        <v>43.02</v>
      </c>
      <c r="I489" t="s">
        <v>392</v>
      </c>
    </row>
    <row r="490" spans="1:9" x14ac:dyDescent="0.2">
      <c r="A490">
        <v>12020711</v>
      </c>
      <c r="B490">
        <v>4010</v>
      </c>
      <c r="C490">
        <v>300</v>
      </c>
      <c r="D490" s="17">
        <v>39.5</v>
      </c>
      <c r="I490" t="s">
        <v>392</v>
      </c>
    </row>
    <row r="491" spans="1:9" x14ac:dyDescent="0.2">
      <c r="A491">
        <v>12020711</v>
      </c>
      <c r="B491">
        <v>4010</v>
      </c>
      <c r="C491">
        <v>300</v>
      </c>
      <c r="D491" s="17">
        <v>59.25</v>
      </c>
      <c r="I491" t="s">
        <v>392</v>
      </c>
    </row>
    <row r="492" spans="1:9" x14ac:dyDescent="0.2">
      <c r="A492">
        <v>12020711</v>
      </c>
      <c r="B492">
        <v>4010</v>
      </c>
      <c r="C492">
        <v>300</v>
      </c>
      <c r="D492" s="17">
        <v>331.97</v>
      </c>
      <c r="E492" s="17"/>
      <c r="F492" s="18"/>
      <c r="I492" t="s">
        <v>393</v>
      </c>
    </row>
    <row r="493" spans="1:9" x14ac:dyDescent="0.2">
      <c r="A493">
        <v>12020711</v>
      </c>
      <c r="B493">
        <v>4010</v>
      </c>
      <c r="C493">
        <v>300</v>
      </c>
      <c r="D493" s="17">
        <v>156.58000000000001</v>
      </c>
      <c r="E493" s="17"/>
      <c r="F493" s="18"/>
      <c r="I493" t="s">
        <v>393</v>
      </c>
    </row>
    <row r="494" spans="1:9" x14ac:dyDescent="0.2">
      <c r="A494">
        <v>12020711</v>
      </c>
      <c r="B494">
        <v>4010</v>
      </c>
      <c r="C494">
        <v>300</v>
      </c>
      <c r="D494" s="17">
        <v>65.239999999999995</v>
      </c>
      <c r="E494" s="17"/>
      <c r="F494" s="18"/>
      <c r="I494" t="s">
        <v>393</v>
      </c>
    </row>
    <row r="495" spans="1:9" x14ac:dyDescent="0.2">
      <c r="A495">
        <v>12020711</v>
      </c>
      <c r="B495">
        <v>4010</v>
      </c>
      <c r="C495">
        <v>300</v>
      </c>
      <c r="D495" s="17">
        <v>503.75</v>
      </c>
      <c r="E495" s="17"/>
      <c r="F495" s="18"/>
      <c r="I495" t="s">
        <v>393</v>
      </c>
    </row>
    <row r="496" spans="1:9" x14ac:dyDescent="0.2">
      <c r="A496">
        <v>12020711</v>
      </c>
      <c r="B496">
        <v>4010</v>
      </c>
      <c r="C496">
        <v>300</v>
      </c>
      <c r="D496" s="17">
        <v>414.19</v>
      </c>
      <c r="E496" s="17"/>
      <c r="F496" s="18"/>
      <c r="I496" t="s">
        <v>393</v>
      </c>
    </row>
    <row r="497" spans="1:9" x14ac:dyDescent="0.2">
      <c r="A497">
        <v>12020711</v>
      </c>
      <c r="B497">
        <v>4010</v>
      </c>
      <c r="C497">
        <v>300</v>
      </c>
      <c r="D497" s="17">
        <v>672.2</v>
      </c>
      <c r="I497" t="s">
        <v>393</v>
      </c>
    </row>
    <row r="498" spans="1:9" x14ac:dyDescent="0.2">
      <c r="A498">
        <v>12020711</v>
      </c>
      <c r="B498">
        <v>4010</v>
      </c>
      <c r="C498">
        <v>300</v>
      </c>
      <c r="D498" s="17">
        <v>442.16</v>
      </c>
      <c r="I498" t="s">
        <v>393</v>
      </c>
    </row>
    <row r="499" spans="1:9" x14ac:dyDescent="0.2">
      <c r="A499">
        <v>12020711</v>
      </c>
      <c r="B499">
        <v>4010</v>
      </c>
      <c r="C499">
        <v>300</v>
      </c>
      <c r="D499" s="17">
        <v>809.58</v>
      </c>
      <c r="I499" t="s">
        <v>393</v>
      </c>
    </row>
    <row r="500" spans="1:9" x14ac:dyDescent="0.2">
      <c r="A500">
        <v>12020711</v>
      </c>
      <c r="B500">
        <v>4010</v>
      </c>
      <c r="C500">
        <v>300</v>
      </c>
      <c r="D500" s="17">
        <v>539.72</v>
      </c>
      <c r="I500" t="s">
        <v>393</v>
      </c>
    </row>
    <row r="501" spans="1:9" x14ac:dyDescent="0.2">
      <c r="A501">
        <v>12020711</v>
      </c>
      <c r="B501">
        <v>4010</v>
      </c>
      <c r="C501">
        <v>300</v>
      </c>
      <c r="D501" s="17">
        <v>129.06</v>
      </c>
      <c r="I501" t="s">
        <v>393</v>
      </c>
    </row>
    <row r="502" spans="1:9" x14ac:dyDescent="0.2">
      <c r="A502">
        <v>12020711</v>
      </c>
      <c r="B502">
        <v>4010</v>
      </c>
      <c r="C502">
        <v>300</v>
      </c>
      <c r="D502" s="17">
        <v>72.42</v>
      </c>
      <c r="I502" t="s">
        <v>393</v>
      </c>
    </row>
    <row r="503" spans="1:9" hidden="1" x14ac:dyDescent="0.2">
      <c r="A503">
        <v>12020711</v>
      </c>
      <c r="B503">
        <v>4010</v>
      </c>
      <c r="C503">
        <v>400</v>
      </c>
      <c r="D503" s="17">
        <v>13.37</v>
      </c>
      <c r="I503" t="s">
        <v>392</v>
      </c>
    </row>
    <row r="504" spans="1:9" hidden="1" x14ac:dyDescent="0.2">
      <c r="A504">
        <v>12020711</v>
      </c>
      <c r="B504">
        <v>4010</v>
      </c>
      <c r="C504">
        <v>400</v>
      </c>
      <c r="D504" s="17">
        <v>53.48</v>
      </c>
      <c r="I504" t="s">
        <v>392</v>
      </c>
    </row>
    <row r="505" spans="1:9" hidden="1" x14ac:dyDescent="0.2">
      <c r="A505">
        <v>12020711</v>
      </c>
      <c r="B505">
        <v>4010</v>
      </c>
      <c r="C505">
        <v>400</v>
      </c>
      <c r="D505" s="17">
        <v>80.22</v>
      </c>
      <c r="I505" t="s">
        <v>392</v>
      </c>
    </row>
    <row r="506" spans="1:9" hidden="1" x14ac:dyDescent="0.2">
      <c r="A506">
        <v>12020711</v>
      </c>
      <c r="B506">
        <v>4010</v>
      </c>
      <c r="C506">
        <v>400</v>
      </c>
      <c r="D506" s="17">
        <v>26.74</v>
      </c>
      <c r="I506" t="s">
        <v>392</v>
      </c>
    </row>
    <row r="507" spans="1:9" hidden="1" x14ac:dyDescent="0.2">
      <c r="A507">
        <v>12020711</v>
      </c>
      <c r="B507">
        <v>4010</v>
      </c>
      <c r="C507">
        <v>400</v>
      </c>
      <c r="D507" s="17">
        <v>19.829999999999998</v>
      </c>
      <c r="I507" t="s">
        <v>392</v>
      </c>
    </row>
    <row r="508" spans="1:9" hidden="1" x14ac:dyDescent="0.2">
      <c r="A508">
        <v>12020711</v>
      </c>
      <c r="B508">
        <v>4010</v>
      </c>
      <c r="C508">
        <v>400</v>
      </c>
      <c r="D508" s="17">
        <v>93.59</v>
      </c>
      <c r="I508" t="s">
        <v>392</v>
      </c>
    </row>
    <row r="509" spans="1:9" hidden="1" x14ac:dyDescent="0.2">
      <c r="A509">
        <v>12020711</v>
      </c>
      <c r="B509">
        <v>4010</v>
      </c>
      <c r="C509">
        <v>400</v>
      </c>
      <c r="D509" s="17">
        <v>40.11</v>
      </c>
      <c r="I509" t="s">
        <v>393</v>
      </c>
    </row>
    <row r="510" spans="1:9" hidden="1" x14ac:dyDescent="0.2">
      <c r="A510">
        <v>12020711</v>
      </c>
      <c r="B510">
        <v>4010</v>
      </c>
      <c r="C510">
        <v>400</v>
      </c>
      <c r="D510" s="17">
        <v>26.74</v>
      </c>
      <c r="I510" t="s">
        <v>393</v>
      </c>
    </row>
    <row r="511" spans="1:9" hidden="1" x14ac:dyDescent="0.2">
      <c r="A511">
        <v>12020711</v>
      </c>
      <c r="B511">
        <v>4010</v>
      </c>
      <c r="C511">
        <v>400</v>
      </c>
      <c r="D511" s="17">
        <v>93.59</v>
      </c>
      <c r="I511" t="s">
        <v>393</v>
      </c>
    </row>
    <row r="512" spans="1:9" hidden="1" x14ac:dyDescent="0.2">
      <c r="A512">
        <v>12020711</v>
      </c>
      <c r="B512">
        <v>4010</v>
      </c>
      <c r="C512">
        <v>400</v>
      </c>
      <c r="D512" s="17">
        <v>93.59</v>
      </c>
      <c r="I512" t="s">
        <v>393</v>
      </c>
    </row>
    <row r="513" spans="1:9" hidden="1" x14ac:dyDescent="0.2">
      <c r="A513">
        <v>12020711</v>
      </c>
      <c r="B513">
        <v>4010</v>
      </c>
      <c r="C513">
        <v>400</v>
      </c>
      <c r="D513" s="17">
        <v>19.829999999999998</v>
      </c>
      <c r="I513" t="s">
        <v>393</v>
      </c>
    </row>
    <row r="514" spans="1:9" hidden="1" x14ac:dyDescent="0.2">
      <c r="A514">
        <v>12020711</v>
      </c>
      <c r="B514">
        <v>4010</v>
      </c>
      <c r="C514">
        <v>400</v>
      </c>
      <c r="D514" s="17">
        <v>120.33</v>
      </c>
      <c r="I514" t="s">
        <v>393</v>
      </c>
    </row>
    <row r="515" spans="1:9" hidden="1" x14ac:dyDescent="0.2">
      <c r="A515">
        <v>12020711</v>
      </c>
      <c r="B515">
        <v>4010</v>
      </c>
      <c r="C515">
        <v>400</v>
      </c>
      <c r="D515" s="17">
        <v>13.37</v>
      </c>
      <c r="I515" t="s">
        <v>393</v>
      </c>
    </row>
    <row r="516" spans="1:9" hidden="1" x14ac:dyDescent="0.2">
      <c r="A516">
        <v>12020711</v>
      </c>
      <c r="B516">
        <v>4010</v>
      </c>
      <c r="C516">
        <v>400</v>
      </c>
      <c r="D516" s="17">
        <v>13.37</v>
      </c>
      <c r="I516" t="s">
        <v>393</v>
      </c>
    </row>
    <row r="517" spans="1:9" hidden="1" x14ac:dyDescent="0.2">
      <c r="A517">
        <v>12020711</v>
      </c>
      <c r="B517">
        <v>4080</v>
      </c>
      <c r="C517">
        <v>100</v>
      </c>
      <c r="D517" s="17">
        <v>69.099999999999994</v>
      </c>
      <c r="I517" t="s">
        <v>392</v>
      </c>
    </row>
    <row r="518" spans="1:9" hidden="1" x14ac:dyDescent="0.2">
      <c r="A518">
        <v>12020711</v>
      </c>
      <c r="B518">
        <v>4080</v>
      </c>
      <c r="C518">
        <v>100</v>
      </c>
      <c r="D518" s="17">
        <v>100.41</v>
      </c>
      <c r="I518" t="s">
        <v>392</v>
      </c>
    </row>
    <row r="519" spans="1:9" hidden="1" x14ac:dyDescent="0.2">
      <c r="A519">
        <v>12020711</v>
      </c>
      <c r="B519">
        <v>4080</v>
      </c>
      <c r="C519">
        <v>100</v>
      </c>
      <c r="D519" s="17">
        <v>153.13999999999999</v>
      </c>
      <c r="I519" t="s">
        <v>392</v>
      </c>
    </row>
    <row r="520" spans="1:9" hidden="1" x14ac:dyDescent="0.2">
      <c r="A520">
        <v>12020711</v>
      </c>
      <c r="B520">
        <v>4080</v>
      </c>
      <c r="C520">
        <v>100</v>
      </c>
      <c r="D520" s="17">
        <v>165.26</v>
      </c>
      <c r="I520" t="s">
        <v>392</v>
      </c>
    </row>
    <row r="521" spans="1:9" hidden="1" x14ac:dyDescent="0.2">
      <c r="A521">
        <v>12020711</v>
      </c>
      <c r="B521">
        <v>4080</v>
      </c>
      <c r="C521">
        <v>100</v>
      </c>
      <c r="D521" s="17">
        <v>194.3</v>
      </c>
      <c r="I521" t="s">
        <v>392</v>
      </c>
    </row>
    <row r="522" spans="1:9" hidden="1" x14ac:dyDescent="0.2">
      <c r="A522">
        <v>12020711</v>
      </c>
      <c r="B522">
        <v>4080</v>
      </c>
      <c r="C522">
        <v>100</v>
      </c>
      <c r="D522" s="17">
        <v>130.78</v>
      </c>
      <c r="I522" t="s">
        <v>392</v>
      </c>
    </row>
    <row r="523" spans="1:9" hidden="1" x14ac:dyDescent="0.2">
      <c r="A523">
        <v>12020711</v>
      </c>
      <c r="B523">
        <v>4080</v>
      </c>
      <c r="C523">
        <v>100</v>
      </c>
      <c r="D523">
        <v>119.69</v>
      </c>
      <c r="I523" t="s">
        <v>392</v>
      </c>
    </row>
    <row r="524" spans="1:9" hidden="1" x14ac:dyDescent="0.2">
      <c r="A524">
        <v>12020711</v>
      </c>
      <c r="B524">
        <v>4080</v>
      </c>
      <c r="C524">
        <v>100</v>
      </c>
      <c r="D524">
        <v>115.98</v>
      </c>
      <c r="I524" t="s">
        <v>392</v>
      </c>
    </row>
    <row r="525" spans="1:9" hidden="1" x14ac:dyDescent="0.2">
      <c r="A525">
        <v>12020711</v>
      </c>
      <c r="B525">
        <v>4080</v>
      </c>
      <c r="C525">
        <v>100</v>
      </c>
      <c r="D525">
        <v>5.97</v>
      </c>
      <c r="I525" t="s">
        <v>392</v>
      </c>
    </row>
    <row r="526" spans="1:9" hidden="1" x14ac:dyDescent="0.2">
      <c r="A526">
        <v>12020711</v>
      </c>
      <c r="B526">
        <v>4080</v>
      </c>
      <c r="C526">
        <v>100</v>
      </c>
      <c r="D526">
        <v>98.01</v>
      </c>
      <c r="I526" t="s">
        <v>392</v>
      </c>
    </row>
    <row r="527" spans="1:9" hidden="1" x14ac:dyDescent="0.2">
      <c r="A527">
        <v>12020711</v>
      </c>
      <c r="B527">
        <v>4080</v>
      </c>
      <c r="C527">
        <v>100</v>
      </c>
      <c r="D527" s="17">
        <v>216.04</v>
      </c>
      <c r="I527" t="s">
        <v>393</v>
      </c>
    </row>
    <row r="528" spans="1:9" hidden="1" x14ac:dyDescent="0.2">
      <c r="A528">
        <v>12020711</v>
      </c>
      <c r="B528">
        <v>4080</v>
      </c>
      <c r="C528">
        <v>100</v>
      </c>
      <c r="D528" s="17">
        <v>103.11</v>
      </c>
      <c r="I528" t="s">
        <v>393</v>
      </c>
    </row>
    <row r="529" spans="1:9" hidden="1" x14ac:dyDescent="0.2">
      <c r="A529">
        <v>12020711</v>
      </c>
      <c r="B529">
        <v>4080</v>
      </c>
      <c r="C529">
        <v>100</v>
      </c>
      <c r="D529" s="17">
        <v>153.13999999999999</v>
      </c>
      <c r="I529" t="s">
        <v>393</v>
      </c>
    </row>
    <row r="530" spans="1:9" hidden="1" x14ac:dyDescent="0.2">
      <c r="A530">
        <v>12020711</v>
      </c>
      <c r="B530">
        <v>4080</v>
      </c>
      <c r="C530">
        <v>100</v>
      </c>
      <c r="D530" s="17">
        <v>165.26</v>
      </c>
      <c r="I530" t="s">
        <v>393</v>
      </c>
    </row>
    <row r="531" spans="1:9" hidden="1" x14ac:dyDescent="0.2">
      <c r="A531">
        <v>12020711</v>
      </c>
      <c r="B531">
        <v>4080</v>
      </c>
      <c r="C531">
        <v>100</v>
      </c>
      <c r="D531" s="17">
        <v>194.3</v>
      </c>
      <c r="I531" t="s">
        <v>393</v>
      </c>
    </row>
    <row r="532" spans="1:9" hidden="1" x14ac:dyDescent="0.2">
      <c r="A532">
        <v>12020711</v>
      </c>
      <c r="B532">
        <v>4080</v>
      </c>
      <c r="C532">
        <v>100</v>
      </c>
      <c r="D532" s="17">
        <v>130.78</v>
      </c>
      <c r="I532" t="s">
        <v>393</v>
      </c>
    </row>
    <row r="533" spans="1:9" hidden="1" x14ac:dyDescent="0.2">
      <c r="A533">
        <v>12020711</v>
      </c>
      <c r="B533">
        <v>4080</v>
      </c>
      <c r="C533">
        <v>100</v>
      </c>
      <c r="D533" s="17">
        <v>120.09</v>
      </c>
      <c r="I533" t="s">
        <v>393</v>
      </c>
    </row>
    <row r="534" spans="1:9" hidden="1" x14ac:dyDescent="0.2">
      <c r="A534">
        <v>12020711</v>
      </c>
      <c r="B534">
        <v>4080</v>
      </c>
      <c r="C534">
        <v>100</v>
      </c>
      <c r="D534" s="17">
        <v>114.95</v>
      </c>
      <c r="I534" t="s">
        <v>393</v>
      </c>
    </row>
    <row r="535" spans="1:9" hidden="1" x14ac:dyDescent="0.2">
      <c r="A535">
        <v>12020711</v>
      </c>
      <c r="B535">
        <v>4080</v>
      </c>
      <c r="C535">
        <v>100</v>
      </c>
      <c r="D535" s="17">
        <v>101.94</v>
      </c>
      <c r="I535" t="s">
        <v>393</v>
      </c>
    </row>
    <row r="536" spans="1:9" hidden="1" x14ac:dyDescent="0.2">
      <c r="A536">
        <v>12020711</v>
      </c>
      <c r="B536">
        <v>4080</v>
      </c>
      <c r="C536">
        <v>100</v>
      </c>
      <c r="D536" s="17">
        <v>36.03</v>
      </c>
      <c r="I536" t="s">
        <v>393</v>
      </c>
    </row>
    <row r="537" spans="1:9" hidden="1" x14ac:dyDescent="0.2">
      <c r="A537">
        <v>12021021</v>
      </c>
      <c r="B537">
        <v>4010</v>
      </c>
      <c r="C537">
        <v>100</v>
      </c>
      <c r="D537" s="17">
        <v>1618.35</v>
      </c>
      <c r="I537" t="s">
        <v>392</v>
      </c>
    </row>
    <row r="538" spans="1:9" hidden="1" x14ac:dyDescent="0.2">
      <c r="A538">
        <v>12021021</v>
      </c>
      <c r="B538">
        <v>4010</v>
      </c>
      <c r="C538">
        <v>100</v>
      </c>
      <c r="D538" s="17">
        <v>1752.89</v>
      </c>
      <c r="I538" t="s">
        <v>392</v>
      </c>
    </row>
    <row r="539" spans="1:9" hidden="1" x14ac:dyDescent="0.2">
      <c r="A539">
        <v>12021021</v>
      </c>
      <c r="B539">
        <v>4010</v>
      </c>
      <c r="C539">
        <v>100</v>
      </c>
      <c r="D539" s="17">
        <v>222.78</v>
      </c>
      <c r="I539" t="s">
        <v>392</v>
      </c>
    </row>
    <row r="540" spans="1:9" hidden="1" x14ac:dyDescent="0.2">
      <c r="A540">
        <v>12021021</v>
      </c>
      <c r="B540">
        <v>4010</v>
      </c>
      <c r="C540">
        <v>100</v>
      </c>
      <c r="D540" s="17">
        <v>222.78</v>
      </c>
      <c r="I540" t="s">
        <v>392</v>
      </c>
    </row>
    <row r="541" spans="1:9" hidden="1" x14ac:dyDescent="0.2">
      <c r="A541">
        <v>12021021</v>
      </c>
      <c r="B541">
        <v>4010</v>
      </c>
      <c r="C541">
        <v>100</v>
      </c>
      <c r="D541" s="17">
        <v>411.19</v>
      </c>
      <c r="I541" t="s">
        <v>392</v>
      </c>
    </row>
    <row r="542" spans="1:9" hidden="1" x14ac:dyDescent="0.2">
      <c r="A542">
        <v>12021021</v>
      </c>
      <c r="B542">
        <v>4010</v>
      </c>
      <c r="C542">
        <v>100</v>
      </c>
      <c r="D542" s="17">
        <v>-8.3699999999999992</v>
      </c>
      <c r="I542" t="s">
        <v>392</v>
      </c>
    </row>
    <row r="543" spans="1:9" hidden="1" x14ac:dyDescent="0.2">
      <c r="A543">
        <v>12021021</v>
      </c>
      <c r="B543">
        <v>4010</v>
      </c>
      <c r="C543">
        <v>100</v>
      </c>
      <c r="D543" s="17">
        <v>277.75</v>
      </c>
      <c r="I543" t="s">
        <v>392</v>
      </c>
    </row>
    <row r="544" spans="1:9" hidden="1" x14ac:dyDescent="0.2">
      <c r="A544">
        <v>12021021</v>
      </c>
      <c r="B544">
        <v>4010</v>
      </c>
      <c r="C544">
        <v>100</v>
      </c>
      <c r="D544" s="17">
        <v>1476.66</v>
      </c>
      <c r="I544" t="s">
        <v>392</v>
      </c>
    </row>
    <row r="545" spans="1:9" hidden="1" x14ac:dyDescent="0.2">
      <c r="A545">
        <v>12021021</v>
      </c>
      <c r="B545">
        <v>4010</v>
      </c>
      <c r="C545">
        <v>100</v>
      </c>
      <c r="D545" s="17">
        <v>1319.13</v>
      </c>
      <c r="I545" t="s">
        <v>392</v>
      </c>
    </row>
    <row r="546" spans="1:9" hidden="1" x14ac:dyDescent="0.2">
      <c r="A546">
        <v>12021021</v>
      </c>
      <c r="B546">
        <v>4010</v>
      </c>
      <c r="C546">
        <v>100</v>
      </c>
      <c r="D546" s="17">
        <v>148.19</v>
      </c>
      <c r="I546" t="s">
        <v>392</v>
      </c>
    </row>
    <row r="547" spans="1:9" hidden="1" x14ac:dyDescent="0.2">
      <c r="A547">
        <v>12021021</v>
      </c>
      <c r="B547">
        <v>4010</v>
      </c>
      <c r="C547">
        <v>100</v>
      </c>
      <c r="D547" s="17">
        <v>1333.73</v>
      </c>
      <c r="I547" t="s">
        <v>392</v>
      </c>
    </row>
    <row r="548" spans="1:9" hidden="1" x14ac:dyDescent="0.2">
      <c r="A548">
        <v>12021021</v>
      </c>
      <c r="B548">
        <v>4010</v>
      </c>
      <c r="C548">
        <v>100</v>
      </c>
      <c r="D548" s="17">
        <v>3063.77</v>
      </c>
      <c r="I548" t="s">
        <v>392</v>
      </c>
    </row>
    <row r="549" spans="1:9" hidden="1" x14ac:dyDescent="0.2">
      <c r="A549">
        <v>12021021</v>
      </c>
      <c r="B549">
        <v>4010</v>
      </c>
      <c r="C549">
        <v>100</v>
      </c>
      <c r="D549" s="17">
        <v>-179.15</v>
      </c>
      <c r="I549" t="s">
        <v>392</v>
      </c>
    </row>
    <row r="550" spans="1:9" hidden="1" x14ac:dyDescent="0.2">
      <c r="A550">
        <v>12021021</v>
      </c>
      <c r="B550">
        <v>4010</v>
      </c>
      <c r="C550">
        <v>100</v>
      </c>
      <c r="D550" s="17">
        <v>1483.03</v>
      </c>
      <c r="I550" t="s">
        <v>392</v>
      </c>
    </row>
    <row r="551" spans="1:9" hidden="1" x14ac:dyDescent="0.2">
      <c r="A551">
        <v>12021021</v>
      </c>
      <c r="B551">
        <v>4010</v>
      </c>
      <c r="C551">
        <v>100</v>
      </c>
      <c r="D551" s="17">
        <v>1334.27</v>
      </c>
      <c r="I551" t="s">
        <v>392</v>
      </c>
    </row>
    <row r="552" spans="1:9" hidden="1" x14ac:dyDescent="0.2">
      <c r="A552">
        <v>12021021</v>
      </c>
      <c r="B552">
        <v>4010</v>
      </c>
      <c r="C552">
        <v>100</v>
      </c>
      <c r="D552" s="17">
        <v>1456.52</v>
      </c>
      <c r="E552" s="17"/>
      <c r="F552" s="18"/>
      <c r="I552" t="s">
        <v>393</v>
      </c>
    </row>
    <row r="553" spans="1:9" hidden="1" x14ac:dyDescent="0.2">
      <c r="A553">
        <v>12021021</v>
      </c>
      <c r="B553">
        <v>4010</v>
      </c>
      <c r="C553">
        <v>100</v>
      </c>
      <c r="D553" s="17">
        <v>1983</v>
      </c>
      <c r="E553" s="17"/>
      <c r="F553" s="18"/>
      <c r="I553" t="s">
        <v>393</v>
      </c>
    </row>
    <row r="554" spans="1:9" hidden="1" x14ac:dyDescent="0.2">
      <c r="A554" s="19">
        <v>12021021</v>
      </c>
      <c r="B554">
        <v>4010</v>
      </c>
      <c r="C554">
        <v>100</v>
      </c>
      <c r="D554" s="17">
        <v>317.43</v>
      </c>
      <c r="E554" s="20"/>
      <c r="F554" s="21"/>
      <c r="G554" s="19"/>
      <c r="H554" s="19"/>
      <c r="I554" t="s">
        <v>393</v>
      </c>
    </row>
    <row r="555" spans="1:9" hidden="1" x14ac:dyDescent="0.2">
      <c r="A555" s="19">
        <v>12021021</v>
      </c>
      <c r="B555">
        <v>4010</v>
      </c>
      <c r="C555">
        <v>100</v>
      </c>
      <c r="D555" s="17">
        <v>15.9</v>
      </c>
      <c r="E555" s="20"/>
      <c r="F555" s="21"/>
      <c r="G555" s="19"/>
      <c r="H555" s="19"/>
      <c r="I555" t="s">
        <v>393</v>
      </c>
    </row>
    <row r="556" spans="1:9" hidden="1" x14ac:dyDescent="0.2">
      <c r="A556" s="19">
        <v>12021021</v>
      </c>
      <c r="B556">
        <v>4010</v>
      </c>
      <c r="C556">
        <v>100</v>
      </c>
      <c r="D556" s="17">
        <v>-11.08</v>
      </c>
      <c r="E556" s="20"/>
      <c r="F556" s="21"/>
      <c r="G556" s="19"/>
      <c r="H556" s="19"/>
      <c r="I556" t="s">
        <v>393</v>
      </c>
    </row>
    <row r="557" spans="1:9" hidden="1" x14ac:dyDescent="0.2">
      <c r="A557" s="19">
        <v>12021021</v>
      </c>
      <c r="B557">
        <v>4010</v>
      </c>
      <c r="C557">
        <v>100</v>
      </c>
      <c r="D557" s="17">
        <v>246.93</v>
      </c>
      <c r="E557" s="20"/>
      <c r="F557" s="21"/>
      <c r="G557" s="19"/>
      <c r="H557" s="19"/>
      <c r="I557" t="s">
        <v>393</v>
      </c>
    </row>
    <row r="558" spans="1:9" hidden="1" x14ac:dyDescent="0.2">
      <c r="A558" s="19">
        <v>12021021</v>
      </c>
      <c r="B558">
        <v>4010</v>
      </c>
      <c r="C558">
        <v>100</v>
      </c>
      <c r="D558" s="17">
        <v>17.16</v>
      </c>
      <c r="E558" s="20"/>
      <c r="F558" s="21"/>
      <c r="G558" s="19"/>
      <c r="H558" s="19"/>
      <c r="I558" t="s">
        <v>393</v>
      </c>
    </row>
    <row r="559" spans="1:9" hidden="1" x14ac:dyDescent="0.2">
      <c r="A559">
        <v>12021021</v>
      </c>
      <c r="B559">
        <v>4010</v>
      </c>
      <c r="C559">
        <v>100</v>
      </c>
      <c r="D559" s="17">
        <v>1340.21</v>
      </c>
      <c r="E559" s="17"/>
      <c r="F559" s="18"/>
      <c r="I559" t="s">
        <v>393</v>
      </c>
    </row>
    <row r="560" spans="1:9" hidden="1" x14ac:dyDescent="0.2">
      <c r="A560">
        <v>12021021</v>
      </c>
      <c r="B560">
        <v>4010</v>
      </c>
      <c r="C560">
        <v>100</v>
      </c>
      <c r="D560" s="17">
        <v>131.58000000000001</v>
      </c>
      <c r="E560" s="17"/>
      <c r="F560" s="18"/>
      <c r="I560" t="s">
        <v>393</v>
      </c>
    </row>
    <row r="561" spans="1:9" hidden="1" x14ac:dyDescent="0.2">
      <c r="A561">
        <v>12021021</v>
      </c>
      <c r="B561">
        <v>4010</v>
      </c>
      <c r="C561">
        <v>100</v>
      </c>
      <c r="D561" s="17">
        <v>1379.58</v>
      </c>
      <c r="E561" s="17"/>
      <c r="F561" s="18"/>
      <c r="I561" t="s">
        <v>393</v>
      </c>
    </row>
    <row r="562" spans="1:9" hidden="1" x14ac:dyDescent="0.2">
      <c r="A562">
        <v>12021021</v>
      </c>
      <c r="B562">
        <v>4010</v>
      </c>
      <c r="C562">
        <v>100</v>
      </c>
      <c r="D562" s="17">
        <v>19.5</v>
      </c>
      <c r="E562" s="17"/>
      <c r="F562" s="18"/>
      <c r="I562" t="s">
        <v>393</v>
      </c>
    </row>
    <row r="563" spans="1:9" hidden="1" x14ac:dyDescent="0.2">
      <c r="A563">
        <v>12021021</v>
      </c>
      <c r="B563">
        <v>4010</v>
      </c>
      <c r="C563">
        <v>100</v>
      </c>
      <c r="D563" s="17">
        <v>39</v>
      </c>
      <c r="E563" s="17"/>
      <c r="F563" s="18"/>
      <c r="I563" t="s">
        <v>393</v>
      </c>
    </row>
    <row r="564" spans="1:9" hidden="1" x14ac:dyDescent="0.2">
      <c r="A564">
        <v>12021021</v>
      </c>
      <c r="B564">
        <v>4010</v>
      </c>
      <c r="C564">
        <v>100</v>
      </c>
      <c r="D564" s="17">
        <v>1333.73</v>
      </c>
      <c r="E564" s="17"/>
      <c r="F564" s="18"/>
      <c r="I564" t="s">
        <v>393</v>
      </c>
    </row>
    <row r="565" spans="1:9" hidden="1" x14ac:dyDescent="0.2">
      <c r="A565">
        <v>12021021</v>
      </c>
      <c r="B565">
        <v>4010</v>
      </c>
      <c r="C565">
        <v>100</v>
      </c>
      <c r="D565" s="17">
        <v>2715.72</v>
      </c>
      <c r="E565" s="17"/>
      <c r="F565" s="18"/>
      <c r="I565" t="s">
        <v>393</v>
      </c>
    </row>
    <row r="566" spans="1:9" hidden="1" x14ac:dyDescent="0.2">
      <c r="A566">
        <v>12021021</v>
      </c>
      <c r="B566">
        <v>4010</v>
      </c>
      <c r="C566">
        <v>100</v>
      </c>
      <c r="D566" s="17">
        <v>-159.41</v>
      </c>
      <c r="E566" s="17"/>
      <c r="F566" s="18"/>
      <c r="I566" t="s">
        <v>393</v>
      </c>
    </row>
    <row r="567" spans="1:9" hidden="1" x14ac:dyDescent="0.2">
      <c r="A567">
        <v>12021021</v>
      </c>
      <c r="B567">
        <v>4010</v>
      </c>
      <c r="C567">
        <v>100</v>
      </c>
      <c r="D567" s="17">
        <v>1632.09</v>
      </c>
      <c r="E567" s="17"/>
      <c r="F567" s="18"/>
      <c r="I567" t="s">
        <v>393</v>
      </c>
    </row>
    <row r="568" spans="1:9" hidden="1" x14ac:dyDescent="0.2">
      <c r="A568">
        <v>12021021</v>
      </c>
      <c r="B568">
        <v>4010</v>
      </c>
      <c r="C568">
        <v>100</v>
      </c>
      <c r="D568" s="17">
        <v>1196.46</v>
      </c>
      <c r="E568" s="17"/>
      <c r="F568" s="18"/>
      <c r="I568" t="s">
        <v>393</v>
      </c>
    </row>
    <row r="569" spans="1:9" hidden="1" x14ac:dyDescent="0.2">
      <c r="A569">
        <v>12021021</v>
      </c>
      <c r="B569">
        <v>4010</v>
      </c>
      <c r="C569">
        <v>300</v>
      </c>
      <c r="D569" s="17">
        <v>127.76</v>
      </c>
      <c r="I569" t="s">
        <v>392</v>
      </c>
    </row>
    <row r="570" spans="1:9" hidden="1" x14ac:dyDescent="0.2">
      <c r="A570">
        <v>12021021</v>
      </c>
      <c r="B570">
        <v>4010</v>
      </c>
      <c r="C570">
        <v>300</v>
      </c>
      <c r="D570" s="17">
        <v>21.98</v>
      </c>
      <c r="I570" t="s">
        <v>392</v>
      </c>
    </row>
    <row r="571" spans="1:9" hidden="1" x14ac:dyDescent="0.2">
      <c r="A571">
        <v>12021021</v>
      </c>
      <c r="B571">
        <v>4010</v>
      </c>
      <c r="C571">
        <v>300</v>
      </c>
      <c r="D571" s="17">
        <v>14.62</v>
      </c>
      <c r="I571" t="s">
        <v>392</v>
      </c>
    </row>
    <row r="572" spans="1:9" hidden="1" x14ac:dyDescent="0.2">
      <c r="A572">
        <v>12021021</v>
      </c>
      <c r="B572">
        <v>4010</v>
      </c>
      <c r="C572">
        <v>300</v>
      </c>
      <c r="D572" s="17">
        <v>43.87</v>
      </c>
      <c r="I572" t="s">
        <v>392</v>
      </c>
    </row>
    <row r="573" spans="1:9" hidden="1" x14ac:dyDescent="0.2">
      <c r="A573">
        <v>12021021</v>
      </c>
      <c r="B573">
        <v>4010</v>
      </c>
      <c r="C573">
        <v>300</v>
      </c>
      <c r="D573" s="17">
        <v>43.87</v>
      </c>
      <c r="I573" t="s">
        <v>392</v>
      </c>
    </row>
    <row r="574" spans="1:9" hidden="1" x14ac:dyDescent="0.2">
      <c r="A574">
        <v>12021021</v>
      </c>
      <c r="B574">
        <v>4010</v>
      </c>
      <c r="C574">
        <v>300</v>
      </c>
      <c r="D574" s="17">
        <v>71.87</v>
      </c>
      <c r="E574" s="17"/>
      <c r="F574" s="18"/>
      <c r="I574" t="s">
        <v>393</v>
      </c>
    </row>
    <row r="575" spans="1:9" hidden="1" x14ac:dyDescent="0.2">
      <c r="A575">
        <v>12021021</v>
      </c>
      <c r="B575">
        <v>4010</v>
      </c>
      <c r="C575">
        <v>300</v>
      </c>
      <c r="D575" s="17">
        <v>21.94</v>
      </c>
      <c r="I575" t="s">
        <v>393</v>
      </c>
    </row>
    <row r="576" spans="1:9" hidden="1" x14ac:dyDescent="0.2">
      <c r="A576">
        <v>12021021</v>
      </c>
      <c r="B576">
        <v>4010</v>
      </c>
      <c r="C576">
        <v>300</v>
      </c>
      <c r="D576" s="17">
        <v>14.62</v>
      </c>
      <c r="I576" t="s">
        <v>393</v>
      </c>
    </row>
    <row r="577" spans="1:9" hidden="1" x14ac:dyDescent="0.2">
      <c r="A577">
        <v>12021021</v>
      </c>
      <c r="B577">
        <v>4010</v>
      </c>
      <c r="C577">
        <v>300</v>
      </c>
      <c r="D577" s="17">
        <v>16.32</v>
      </c>
      <c r="I577" t="s">
        <v>393</v>
      </c>
    </row>
    <row r="578" spans="1:9" hidden="1" x14ac:dyDescent="0.2">
      <c r="A578">
        <v>12021021</v>
      </c>
      <c r="B578">
        <v>4010</v>
      </c>
      <c r="C578">
        <v>400</v>
      </c>
      <c r="D578" s="17">
        <v>13.37</v>
      </c>
      <c r="I578" t="s">
        <v>392</v>
      </c>
    </row>
    <row r="579" spans="1:9" hidden="1" x14ac:dyDescent="0.2">
      <c r="A579">
        <v>12021021</v>
      </c>
      <c r="B579">
        <v>4010</v>
      </c>
      <c r="C579">
        <v>400</v>
      </c>
      <c r="D579" s="17">
        <v>19.829999999999998</v>
      </c>
      <c r="I579" t="s">
        <v>392</v>
      </c>
    </row>
    <row r="580" spans="1:9" hidden="1" x14ac:dyDescent="0.2">
      <c r="A580">
        <v>12021021</v>
      </c>
      <c r="B580">
        <v>4010</v>
      </c>
      <c r="C580">
        <v>400</v>
      </c>
      <c r="D580" s="17">
        <v>19.829999999999998</v>
      </c>
      <c r="I580" t="s">
        <v>393</v>
      </c>
    </row>
    <row r="581" spans="1:9" hidden="1" x14ac:dyDescent="0.2">
      <c r="A581">
        <v>12021021</v>
      </c>
      <c r="B581">
        <v>4080</v>
      </c>
      <c r="C581">
        <v>100</v>
      </c>
      <c r="D581" s="17">
        <v>147.44</v>
      </c>
      <c r="I581" t="s">
        <v>392</v>
      </c>
    </row>
    <row r="582" spans="1:9" hidden="1" x14ac:dyDescent="0.2">
      <c r="A582">
        <v>12021021</v>
      </c>
      <c r="B582">
        <v>4080</v>
      </c>
      <c r="C582">
        <v>100</v>
      </c>
      <c r="D582" s="17">
        <v>197.86</v>
      </c>
      <c r="I582" t="s">
        <v>392</v>
      </c>
    </row>
    <row r="583" spans="1:9" hidden="1" x14ac:dyDescent="0.2">
      <c r="A583">
        <v>12021021</v>
      </c>
      <c r="B583">
        <v>4080</v>
      </c>
      <c r="C583">
        <v>100</v>
      </c>
      <c r="D583" s="17">
        <v>36.61</v>
      </c>
      <c r="I583" t="s">
        <v>392</v>
      </c>
    </row>
    <row r="584" spans="1:9" hidden="1" x14ac:dyDescent="0.2">
      <c r="A584">
        <v>12021021</v>
      </c>
      <c r="B584">
        <v>4080</v>
      </c>
      <c r="C584">
        <v>100</v>
      </c>
      <c r="D584" s="17">
        <v>25</v>
      </c>
      <c r="I584" t="s">
        <v>392</v>
      </c>
    </row>
    <row r="585" spans="1:9" hidden="1" x14ac:dyDescent="0.2">
      <c r="A585">
        <v>12021021</v>
      </c>
      <c r="B585">
        <v>4080</v>
      </c>
      <c r="C585">
        <v>100</v>
      </c>
      <c r="D585" s="17">
        <v>132.9</v>
      </c>
      <c r="I585" t="s">
        <v>392</v>
      </c>
    </row>
    <row r="586" spans="1:9" hidden="1" x14ac:dyDescent="0.2">
      <c r="A586">
        <v>12021021</v>
      </c>
      <c r="B586">
        <v>4080</v>
      </c>
      <c r="C586">
        <v>100</v>
      </c>
      <c r="D586" s="17">
        <v>132.06</v>
      </c>
      <c r="I586" t="s">
        <v>392</v>
      </c>
    </row>
    <row r="587" spans="1:9" hidden="1" x14ac:dyDescent="0.2">
      <c r="A587">
        <v>12021021</v>
      </c>
      <c r="B587">
        <v>4080</v>
      </c>
      <c r="C587">
        <v>100</v>
      </c>
      <c r="D587">
        <v>133.37</v>
      </c>
      <c r="I587" t="s">
        <v>392</v>
      </c>
    </row>
    <row r="588" spans="1:9" hidden="1" x14ac:dyDescent="0.2">
      <c r="A588">
        <v>12021021</v>
      </c>
      <c r="B588">
        <v>4080</v>
      </c>
      <c r="C588">
        <v>100</v>
      </c>
      <c r="D588">
        <v>259.62</v>
      </c>
      <c r="I588" t="s">
        <v>392</v>
      </c>
    </row>
    <row r="589" spans="1:9" hidden="1" x14ac:dyDescent="0.2">
      <c r="A589">
        <v>12021021</v>
      </c>
      <c r="B589">
        <v>4080</v>
      </c>
      <c r="C589">
        <v>100</v>
      </c>
      <c r="D589">
        <v>148.36000000000001</v>
      </c>
      <c r="I589" t="s">
        <v>392</v>
      </c>
    </row>
    <row r="590" spans="1:9" hidden="1" x14ac:dyDescent="0.2">
      <c r="A590">
        <v>12021021</v>
      </c>
      <c r="B590">
        <v>4080</v>
      </c>
      <c r="C590">
        <v>100</v>
      </c>
      <c r="D590">
        <v>120.08</v>
      </c>
      <c r="I590" t="s">
        <v>392</v>
      </c>
    </row>
    <row r="591" spans="1:9" hidden="1" x14ac:dyDescent="0.2">
      <c r="A591">
        <v>12021021</v>
      </c>
      <c r="B591">
        <v>4080</v>
      </c>
      <c r="C591">
        <v>100</v>
      </c>
      <c r="D591" s="17">
        <v>132.87</v>
      </c>
      <c r="I591" t="s">
        <v>393</v>
      </c>
    </row>
    <row r="592" spans="1:9" hidden="1" x14ac:dyDescent="0.2">
      <c r="A592">
        <v>12021021</v>
      </c>
      <c r="B592">
        <v>4080</v>
      </c>
      <c r="C592">
        <v>100</v>
      </c>
      <c r="D592" s="17">
        <v>198.52</v>
      </c>
      <c r="I592" t="s">
        <v>393</v>
      </c>
    </row>
    <row r="593" spans="1:9" hidden="1" x14ac:dyDescent="0.2">
      <c r="A593">
        <v>12021021</v>
      </c>
      <c r="B593">
        <v>4080</v>
      </c>
      <c r="C593">
        <v>100</v>
      </c>
      <c r="D593" s="17">
        <v>36.61</v>
      </c>
      <c r="I593" t="s">
        <v>393</v>
      </c>
    </row>
    <row r="594" spans="1:9" hidden="1" x14ac:dyDescent="0.2">
      <c r="A594">
        <v>12021021</v>
      </c>
      <c r="B594">
        <v>4080</v>
      </c>
      <c r="C594">
        <v>100</v>
      </c>
      <c r="D594" s="17">
        <v>23.77</v>
      </c>
      <c r="I594" t="s">
        <v>393</v>
      </c>
    </row>
    <row r="595" spans="1:9" hidden="1" x14ac:dyDescent="0.2">
      <c r="A595">
        <v>12021021</v>
      </c>
      <c r="B595">
        <v>4080</v>
      </c>
      <c r="C595">
        <v>100</v>
      </c>
      <c r="D595" s="17">
        <v>132.46</v>
      </c>
      <c r="I595" t="s">
        <v>393</v>
      </c>
    </row>
    <row r="596" spans="1:9" hidden="1" x14ac:dyDescent="0.2">
      <c r="A596">
        <v>12021021</v>
      </c>
      <c r="B596">
        <v>4080</v>
      </c>
      <c r="C596">
        <v>100</v>
      </c>
      <c r="D596" s="17">
        <v>133.38</v>
      </c>
      <c r="I596" t="s">
        <v>393</v>
      </c>
    </row>
    <row r="597" spans="1:9" hidden="1" x14ac:dyDescent="0.2">
      <c r="A597">
        <v>12021021</v>
      </c>
      <c r="B597">
        <v>4080</v>
      </c>
      <c r="C597">
        <v>100</v>
      </c>
      <c r="D597" s="17">
        <v>133.37</v>
      </c>
      <c r="I597" t="s">
        <v>393</v>
      </c>
    </row>
    <row r="598" spans="1:9" hidden="1" x14ac:dyDescent="0.2">
      <c r="A598">
        <v>12021021</v>
      </c>
      <c r="B598">
        <v>4080</v>
      </c>
      <c r="C598">
        <v>100</v>
      </c>
      <c r="D598" s="17">
        <v>259.62</v>
      </c>
      <c r="I598" t="s">
        <v>393</v>
      </c>
    </row>
    <row r="599" spans="1:9" hidden="1" x14ac:dyDescent="0.2">
      <c r="A599">
        <v>12021021</v>
      </c>
      <c r="B599">
        <v>4080</v>
      </c>
      <c r="C599">
        <v>100</v>
      </c>
      <c r="D599" s="17">
        <v>146.88999999999999</v>
      </c>
      <c r="I599" t="s">
        <v>393</v>
      </c>
    </row>
    <row r="600" spans="1:9" hidden="1" x14ac:dyDescent="0.2">
      <c r="A600">
        <v>12021021</v>
      </c>
      <c r="B600">
        <v>4080</v>
      </c>
      <c r="C600">
        <v>100</v>
      </c>
      <c r="D600" s="17">
        <v>119.69</v>
      </c>
      <c r="I600" t="s">
        <v>393</v>
      </c>
    </row>
    <row r="601" spans="1:9" hidden="1" x14ac:dyDescent="0.2">
      <c r="A601">
        <v>12022511</v>
      </c>
      <c r="B601">
        <v>4010</v>
      </c>
      <c r="C601">
        <v>100</v>
      </c>
      <c r="D601" s="17">
        <v>1052.8499999999999</v>
      </c>
      <c r="I601" t="s">
        <v>392</v>
      </c>
    </row>
    <row r="602" spans="1:9" hidden="1" x14ac:dyDescent="0.2">
      <c r="A602">
        <v>12022511</v>
      </c>
      <c r="B602">
        <v>4010</v>
      </c>
      <c r="C602">
        <v>100</v>
      </c>
      <c r="D602" s="17">
        <v>350.64</v>
      </c>
      <c r="I602" t="s">
        <v>392</v>
      </c>
    </row>
    <row r="603" spans="1:9" hidden="1" x14ac:dyDescent="0.2">
      <c r="A603">
        <v>12022511</v>
      </c>
      <c r="B603">
        <v>4010</v>
      </c>
      <c r="C603">
        <v>100</v>
      </c>
      <c r="D603" s="17">
        <v>616.02</v>
      </c>
      <c r="I603" t="s">
        <v>392</v>
      </c>
    </row>
    <row r="604" spans="1:9" hidden="1" x14ac:dyDescent="0.2">
      <c r="A604">
        <v>12022511</v>
      </c>
      <c r="B604">
        <v>4010</v>
      </c>
      <c r="C604">
        <v>100</v>
      </c>
      <c r="D604" s="17">
        <v>139.13</v>
      </c>
      <c r="I604" t="s">
        <v>392</v>
      </c>
    </row>
    <row r="605" spans="1:9" hidden="1" x14ac:dyDescent="0.2">
      <c r="A605">
        <v>12022511</v>
      </c>
      <c r="B605">
        <v>4010</v>
      </c>
      <c r="C605">
        <v>100</v>
      </c>
      <c r="D605" s="17">
        <v>1110.98</v>
      </c>
      <c r="I605" t="s">
        <v>392</v>
      </c>
    </row>
    <row r="606" spans="1:9" hidden="1" x14ac:dyDescent="0.2">
      <c r="A606">
        <v>12022511</v>
      </c>
      <c r="B606">
        <v>4010</v>
      </c>
      <c r="C606">
        <v>100</v>
      </c>
      <c r="D606" s="17">
        <v>1380.66</v>
      </c>
      <c r="I606" t="s">
        <v>392</v>
      </c>
    </row>
    <row r="607" spans="1:9" hidden="1" x14ac:dyDescent="0.2">
      <c r="A607">
        <v>12022511</v>
      </c>
      <c r="B607">
        <v>4010</v>
      </c>
      <c r="C607">
        <v>100</v>
      </c>
      <c r="D607" s="17">
        <v>1337.98</v>
      </c>
      <c r="E607" s="17"/>
      <c r="F607" s="18"/>
      <c r="I607" t="s">
        <v>393</v>
      </c>
    </row>
    <row r="608" spans="1:9" hidden="1" x14ac:dyDescent="0.2">
      <c r="A608">
        <v>12022511</v>
      </c>
      <c r="B608">
        <v>4010</v>
      </c>
      <c r="C608">
        <v>100</v>
      </c>
      <c r="D608" s="17">
        <v>64.59</v>
      </c>
      <c r="E608" s="17"/>
      <c r="F608" s="18"/>
      <c r="I608" t="s">
        <v>393</v>
      </c>
    </row>
    <row r="609" spans="1:9" hidden="1" x14ac:dyDescent="0.2">
      <c r="A609" s="19">
        <v>12022511</v>
      </c>
      <c r="B609">
        <v>4010</v>
      </c>
      <c r="C609">
        <v>100</v>
      </c>
      <c r="D609" s="17">
        <v>972.09</v>
      </c>
      <c r="E609" s="20"/>
      <c r="F609" s="21"/>
      <c r="G609" s="19"/>
      <c r="H609" s="19"/>
      <c r="I609" t="s">
        <v>393</v>
      </c>
    </row>
    <row r="610" spans="1:9" hidden="1" x14ac:dyDescent="0.2">
      <c r="A610" s="19">
        <v>12022511</v>
      </c>
      <c r="B610">
        <v>4010</v>
      </c>
      <c r="C610">
        <v>100</v>
      </c>
      <c r="D610" s="17">
        <v>987.7</v>
      </c>
      <c r="E610" s="20"/>
      <c r="F610" s="21"/>
      <c r="G610" s="19"/>
      <c r="H610" s="19"/>
      <c r="I610" t="s">
        <v>393</v>
      </c>
    </row>
    <row r="611" spans="1:9" hidden="1" x14ac:dyDescent="0.2">
      <c r="A611" s="19">
        <v>12022511</v>
      </c>
      <c r="B611">
        <v>4010</v>
      </c>
      <c r="C611">
        <v>100</v>
      </c>
      <c r="D611" s="17">
        <v>68.66</v>
      </c>
      <c r="E611" s="20"/>
      <c r="F611" s="21"/>
      <c r="G611" s="19"/>
      <c r="H611" s="19"/>
      <c r="I611" t="s">
        <v>393</v>
      </c>
    </row>
    <row r="612" spans="1:9" hidden="1" x14ac:dyDescent="0.2">
      <c r="A612" s="19">
        <v>12022511</v>
      </c>
      <c r="B612">
        <v>4010</v>
      </c>
      <c r="C612">
        <v>100</v>
      </c>
      <c r="D612" s="17">
        <v>354.25</v>
      </c>
      <c r="E612" s="20"/>
      <c r="F612" s="21"/>
      <c r="G612" s="19"/>
      <c r="H612" s="19"/>
      <c r="I612" t="s">
        <v>393</v>
      </c>
    </row>
    <row r="613" spans="1:9" hidden="1" x14ac:dyDescent="0.2">
      <c r="A613" s="19">
        <v>12022511</v>
      </c>
      <c r="B613">
        <v>4010</v>
      </c>
      <c r="C613">
        <v>100</v>
      </c>
      <c r="D613" s="17">
        <v>1179.82</v>
      </c>
      <c r="E613" s="20"/>
      <c r="F613" s="21"/>
      <c r="G613" s="19"/>
      <c r="H613" s="19"/>
      <c r="I613" t="s">
        <v>393</v>
      </c>
    </row>
    <row r="614" spans="1:9" x14ac:dyDescent="0.2">
      <c r="A614">
        <v>12022511</v>
      </c>
      <c r="B614">
        <v>4010</v>
      </c>
      <c r="C614">
        <v>300</v>
      </c>
      <c r="D614" s="17">
        <v>82.38</v>
      </c>
      <c r="I614" t="s">
        <v>392</v>
      </c>
    </row>
    <row r="615" spans="1:9" x14ac:dyDescent="0.2">
      <c r="A615">
        <v>12022511</v>
      </c>
      <c r="B615">
        <v>4010</v>
      </c>
      <c r="C615">
        <v>300</v>
      </c>
      <c r="D615" s="17">
        <v>27.46</v>
      </c>
      <c r="E615" s="17"/>
      <c r="F615" s="18"/>
      <c r="I615" t="s">
        <v>393</v>
      </c>
    </row>
    <row r="616" spans="1:9" hidden="1" x14ac:dyDescent="0.2">
      <c r="A616">
        <v>12022511</v>
      </c>
      <c r="B616">
        <v>4010</v>
      </c>
      <c r="C616">
        <v>400</v>
      </c>
      <c r="D616" s="17">
        <v>13.37</v>
      </c>
      <c r="I616" t="s">
        <v>392</v>
      </c>
    </row>
    <row r="617" spans="1:9" hidden="1" x14ac:dyDescent="0.2">
      <c r="A617">
        <v>12022511</v>
      </c>
      <c r="B617">
        <v>4080</v>
      </c>
      <c r="C617">
        <v>100</v>
      </c>
      <c r="D617" s="17">
        <v>126.31</v>
      </c>
      <c r="I617" t="s">
        <v>392</v>
      </c>
    </row>
    <row r="618" spans="1:9" hidden="1" x14ac:dyDescent="0.2">
      <c r="A618">
        <v>12022511</v>
      </c>
      <c r="B618">
        <v>4080</v>
      </c>
      <c r="C618">
        <v>100</v>
      </c>
      <c r="D618" s="17">
        <v>80.489999999999995</v>
      </c>
      <c r="I618" t="s">
        <v>392</v>
      </c>
    </row>
    <row r="619" spans="1:9" hidden="1" x14ac:dyDescent="0.2">
      <c r="A619">
        <v>12022511</v>
      </c>
      <c r="B619">
        <v>4080</v>
      </c>
      <c r="C619">
        <v>100</v>
      </c>
      <c r="D619" s="17">
        <v>99.99</v>
      </c>
      <c r="I619" t="s">
        <v>392</v>
      </c>
    </row>
    <row r="620" spans="1:9" hidden="1" x14ac:dyDescent="0.2">
      <c r="A620">
        <v>12022511</v>
      </c>
      <c r="B620">
        <v>4080</v>
      </c>
      <c r="C620">
        <v>100</v>
      </c>
      <c r="D620" s="17">
        <v>138.07</v>
      </c>
      <c r="I620" t="s">
        <v>392</v>
      </c>
    </row>
    <row r="621" spans="1:9" hidden="1" x14ac:dyDescent="0.2">
      <c r="A621">
        <v>12022511</v>
      </c>
      <c r="B621">
        <v>4080</v>
      </c>
      <c r="C621">
        <v>100</v>
      </c>
      <c r="D621" s="17">
        <v>126.23</v>
      </c>
      <c r="I621" t="s">
        <v>393</v>
      </c>
    </row>
    <row r="622" spans="1:9" hidden="1" x14ac:dyDescent="0.2">
      <c r="A622">
        <v>12022511</v>
      </c>
      <c r="B622">
        <v>4080</v>
      </c>
      <c r="C622">
        <v>100</v>
      </c>
      <c r="D622" s="17">
        <v>87.49</v>
      </c>
      <c r="I622" t="s">
        <v>393</v>
      </c>
    </row>
    <row r="623" spans="1:9" hidden="1" x14ac:dyDescent="0.2">
      <c r="A623">
        <v>12022511</v>
      </c>
      <c r="B623">
        <v>4080</v>
      </c>
      <c r="C623">
        <v>100</v>
      </c>
      <c r="D623" s="17">
        <v>95.07</v>
      </c>
      <c r="I623" t="s">
        <v>393</v>
      </c>
    </row>
    <row r="624" spans="1:9" hidden="1" x14ac:dyDescent="0.2">
      <c r="A624">
        <v>12022511</v>
      </c>
      <c r="B624">
        <v>4080</v>
      </c>
      <c r="C624">
        <v>100</v>
      </c>
      <c r="D624" s="17">
        <v>138.07</v>
      </c>
      <c r="I624" t="s">
        <v>393</v>
      </c>
    </row>
    <row r="625" spans="1:9" hidden="1" x14ac:dyDescent="0.2">
      <c r="A625">
        <v>12023011</v>
      </c>
      <c r="B625">
        <v>4010</v>
      </c>
      <c r="C625">
        <v>100</v>
      </c>
      <c r="D625" s="17">
        <v>4214.37</v>
      </c>
      <c r="I625" t="s">
        <v>392</v>
      </c>
    </row>
    <row r="626" spans="1:9" hidden="1" x14ac:dyDescent="0.2">
      <c r="A626">
        <v>12023011</v>
      </c>
      <c r="B626">
        <v>4010</v>
      </c>
      <c r="C626">
        <v>100</v>
      </c>
      <c r="D626" s="17">
        <v>-1232.1300000000001</v>
      </c>
      <c r="I626" t="s">
        <v>392</v>
      </c>
    </row>
    <row r="627" spans="1:9" hidden="1" x14ac:dyDescent="0.2">
      <c r="A627">
        <v>12023011</v>
      </c>
      <c r="B627">
        <v>4010</v>
      </c>
      <c r="C627">
        <v>100</v>
      </c>
      <c r="D627" s="17">
        <v>1644.77</v>
      </c>
      <c r="I627" t="s">
        <v>392</v>
      </c>
    </row>
    <row r="628" spans="1:9" hidden="1" x14ac:dyDescent="0.2">
      <c r="A628">
        <v>12023011</v>
      </c>
      <c r="B628">
        <v>4010</v>
      </c>
      <c r="C628">
        <v>100</v>
      </c>
      <c r="D628" s="17">
        <v>-33.5</v>
      </c>
      <c r="I628" t="s">
        <v>392</v>
      </c>
    </row>
    <row r="629" spans="1:9" hidden="1" x14ac:dyDescent="0.2">
      <c r="A629">
        <v>12023011</v>
      </c>
      <c r="B629">
        <v>4010</v>
      </c>
      <c r="C629">
        <v>100</v>
      </c>
      <c r="D629" s="17">
        <v>3971.86</v>
      </c>
      <c r="E629" s="17"/>
      <c r="F629" s="18"/>
      <c r="I629" t="s">
        <v>393</v>
      </c>
    </row>
    <row r="630" spans="1:9" hidden="1" x14ac:dyDescent="0.2">
      <c r="A630">
        <v>12023011</v>
      </c>
      <c r="B630">
        <v>4010</v>
      </c>
      <c r="C630">
        <v>100</v>
      </c>
      <c r="D630" s="17">
        <v>-989.63</v>
      </c>
      <c r="E630" s="17"/>
      <c r="F630" s="18"/>
      <c r="I630" t="s">
        <v>393</v>
      </c>
    </row>
    <row r="631" spans="1:9" hidden="1" x14ac:dyDescent="0.2">
      <c r="A631" s="19">
        <v>12023011</v>
      </c>
      <c r="B631">
        <v>4010</v>
      </c>
      <c r="C631">
        <v>100</v>
      </c>
      <c r="D631" s="17">
        <v>1269.72</v>
      </c>
      <c r="E631" s="20"/>
      <c r="F631" s="21"/>
      <c r="G631" s="19"/>
      <c r="H631" s="19"/>
      <c r="I631" t="s">
        <v>393</v>
      </c>
    </row>
    <row r="632" spans="1:9" hidden="1" x14ac:dyDescent="0.2">
      <c r="A632" s="19">
        <v>12023011</v>
      </c>
      <c r="B632">
        <v>4010</v>
      </c>
      <c r="C632">
        <v>100</v>
      </c>
      <c r="D632" s="17">
        <v>63.6</v>
      </c>
      <c r="E632" s="20"/>
      <c r="F632" s="21"/>
      <c r="G632" s="19"/>
      <c r="H632" s="19"/>
      <c r="I632" t="s">
        <v>393</v>
      </c>
    </row>
    <row r="633" spans="1:9" hidden="1" x14ac:dyDescent="0.2">
      <c r="A633" s="19">
        <v>12023011</v>
      </c>
      <c r="B633">
        <v>4010</v>
      </c>
      <c r="C633">
        <v>100</v>
      </c>
      <c r="D633" s="17">
        <v>-44.31</v>
      </c>
      <c r="E633" s="20"/>
      <c r="F633" s="21"/>
      <c r="G633" s="19"/>
      <c r="H633" s="19"/>
      <c r="I633" t="s">
        <v>393</v>
      </c>
    </row>
    <row r="634" spans="1:9" hidden="1" x14ac:dyDescent="0.2">
      <c r="A634">
        <v>12023011</v>
      </c>
      <c r="B634">
        <v>4010</v>
      </c>
      <c r="C634">
        <v>400</v>
      </c>
      <c r="D634" s="17">
        <v>19.829999999999998</v>
      </c>
      <c r="I634" t="s">
        <v>392</v>
      </c>
    </row>
    <row r="635" spans="1:9" hidden="1" x14ac:dyDescent="0.2">
      <c r="A635">
        <v>12023011</v>
      </c>
      <c r="B635">
        <v>4010</v>
      </c>
      <c r="C635">
        <v>400</v>
      </c>
      <c r="D635" s="17">
        <v>19.829999999999998</v>
      </c>
      <c r="I635" t="s">
        <v>393</v>
      </c>
    </row>
    <row r="636" spans="1:9" hidden="1" x14ac:dyDescent="0.2">
      <c r="A636">
        <v>12023011</v>
      </c>
      <c r="B636">
        <v>4080</v>
      </c>
      <c r="C636">
        <v>100</v>
      </c>
      <c r="D636" s="17">
        <v>268.39999999999998</v>
      </c>
      <c r="I636" t="s">
        <v>392</v>
      </c>
    </row>
    <row r="637" spans="1:9" hidden="1" x14ac:dyDescent="0.2">
      <c r="A637">
        <v>12023011</v>
      </c>
      <c r="B637">
        <v>4080</v>
      </c>
      <c r="C637">
        <v>100</v>
      </c>
      <c r="D637" s="17">
        <v>146.44</v>
      </c>
      <c r="I637" t="s">
        <v>392</v>
      </c>
    </row>
    <row r="638" spans="1:9" hidden="1" x14ac:dyDescent="0.2">
      <c r="A638">
        <v>12023011</v>
      </c>
      <c r="B638">
        <v>4080</v>
      </c>
      <c r="C638">
        <v>100</v>
      </c>
      <c r="D638" s="17">
        <v>268.39999999999998</v>
      </c>
      <c r="I638" t="s">
        <v>393</v>
      </c>
    </row>
    <row r="639" spans="1:9" hidden="1" x14ac:dyDescent="0.2">
      <c r="A639">
        <v>12023011</v>
      </c>
      <c r="B639">
        <v>4080</v>
      </c>
      <c r="C639">
        <v>100</v>
      </c>
      <c r="D639" s="17">
        <v>146.44</v>
      </c>
      <c r="I639" t="s">
        <v>393</v>
      </c>
    </row>
    <row r="640" spans="1:9" hidden="1" x14ac:dyDescent="0.2">
      <c r="A640">
        <v>12023021</v>
      </c>
      <c r="B640">
        <v>4010</v>
      </c>
      <c r="C640">
        <v>100</v>
      </c>
      <c r="D640" s="17">
        <v>2513.1999999999998</v>
      </c>
      <c r="I640" t="s">
        <v>392</v>
      </c>
    </row>
    <row r="641" spans="1:9" hidden="1" x14ac:dyDescent="0.2">
      <c r="A641">
        <v>12023021</v>
      </c>
      <c r="B641">
        <v>4010</v>
      </c>
      <c r="C641">
        <v>100</v>
      </c>
      <c r="D641" s="17">
        <v>53.36</v>
      </c>
      <c r="I641" t="s">
        <v>392</v>
      </c>
    </row>
    <row r="642" spans="1:9" hidden="1" x14ac:dyDescent="0.2">
      <c r="A642">
        <v>12023021</v>
      </c>
      <c r="B642">
        <v>4010</v>
      </c>
      <c r="C642">
        <v>100</v>
      </c>
      <c r="D642" s="17">
        <v>2053.25</v>
      </c>
      <c r="E642" s="17"/>
      <c r="F642" s="18"/>
      <c r="I642" t="s">
        <v>393</v>
      </c>
    </row>
    <row r="643" spans="1:9" hidden="1" x14ac:dyDescent="0.2">
      <c r="A643">
        <v>12023021</v>
      </c>
      <c r="B643">
        <v>4010</v>
      </c>
      <c r="C643">
        <v>100</v>
      </c>
      <c r="D643" s="17">
        <v>328.32</v>
      </c>
      <c r="E643" s="17"/>
      <c r="F643" s="18"/>
      <c r="I643" t="s">
        <v>393</v>
      </c>
    </row>
    <row r="644" spans="1:9" hidden="1" x14ac:dyDescent="0.2">
      <c r="A644">
        <v>12023021</v>
      </c>
      <c r="B644">
        <v>4010</v>
      </c>
      <c r="C644">
        <v>100</v>
      </c>
      <c r="D644" s="17">
        <v>133.43</v>
      </c>
      <c r="E644" s="17"/>
      <c r="F644" s="18"/>
      <c r="I644" t="s">
        <v>393</v>
      </c>
    </row>
    <row r="645" spans="1:9" hidden="1" x14ac:dyDescent="0.2">
      <c r="A645">
        <v>12023021</v>
      </c>
      <c r="B645">
        <v>4080</v>
      </c>
      <c r="C645">
        <v>100</v>
      </c>
      <c r="D645" s="17">
        <v>230.99</v>
      </c>
      <c r="I645" t="s">
        <v>392</v>
      </c>
    </row>
    <row r="646" spans="1:9" hidden="1" x14ac:dyDescent="0.2">
      <c r="A646">
        <v>12023021</v>
      </c>
      <c r="B646">
        <v>4080</v>
      </c>
      <c r="C646">
        <v>100</v>
      </c>
      <c r="D646" s="17">
        <v>230.99</v>
      </c>
      <c r="I646" t="s">
        <v>393</v>
      </c>
    </row>
    <row r="647" spans="1:9" hidden="1" x14ac:dyDescent="0.2">
      <c r="A647">
        <v>12028099</v>
      </c>
      <c r="B647">
        <v>4010</v>
      </c>
      <c r="C647">
        <v>100</v>
      </c>
      <c r="D647" s="17">
        <v>3201.93</v>
      </c>
      <c r="I647" t="s">
        <v>392</v>
      </c>
    </row>
    <row r="648" spans="1:9" hidden="1" x14ac:dyDescent="0.2">
      <c r="A648">
        <v>12028099</v>
      </c>
      <c r="B648">
        <v>4010</v>
      </c>
      <c r="C648">
        <v>100</v>
      </c>
      <c r="D648" s="17">
        <v>2153.85</v>
      </c>
      <c r="I648" t="s">
        <v>392</v>
      </c>
    </row>
    <row r="649" spans="1:9" hidden="1" x14ac:dyDescent="0.2">
      <c r="A649">
        <v>12028099</v>
      </c>
      <c r="B649">
        <v>4010</v>
      </c>
      <c r="C649">
        <v>100</v>
      </c>
      <c r="D649" s="17">
        <v>3557.7</v>
      </c>
      <c r="E649" s="17"/>
      <c r="F649" s="18"/>
      <c r="I649" t="s">
        <v>393</v>
      </c>
    </row>
    <row r="650" spans="1:9" hidden="1" x14ac:dyDescent="0.2">
      <c r="A650">
        <v>12028099</v>
      </c>
      <c r="B650">
        <v>4010</v>
      </c>
      <c r="C650">
        <v>100</v>
      </c>
      <c r="D650" s="17">
        <v>2756.43</v>
      </c>
      <c r="E650" s="17"/>
      <c r="F650" s="18"/>
      <c r="I650" t="s">
        <v>393</v>
      </c>
    </row>
    <row r="651" spans="1:9" hidden="1" x14ac:dyDescent="0.2">
      <c r="A651">
        <v>12028099</v>
      </c>
      <c r="B651">
        <v>4010</v>
      </c>
      <c r="C651">
        <v>100</v>
      </c>
      <c r="D651" s="17">
        <v>-64.12</v>
      </c>
      <c r="E651" s="17"/>
      <c r="F651" s="18"/>
      <c r="I651" t="s">
        <v>393</v>
      </c>
    </row>
    <row r="652" spans="1:9" hidden="1" x14ac:dyDescent="0.2">
      <c r="A652">
        <v>12028099</v>
      </c>
      <c r="B652">
        <v>4080</v>
      </c>
      <c r="C652">
        <v>100</v>
      </c>
      <c r="D652" s="17">
        <v>320.19</v>
      </c>
      <c r="I652" t="s">
        <v>392</v>
      </c>
    </row>
    <row r="653" spans="1:9" hidden="1" x14ac:dyDescent="0.2">
      <c r="A653">
        <v>12028099</v>
      </c>
      <c r="B653">
        <v>4080</v>
      </c>
      <c r="C653">
        <v>100</v>
      </c>
      <c r="D653">
        <v>242.31</v>
      </c>
      <c r="I653" t="s">
        <v>392</v>
      </c>
    </row>
    <row r="654" spans="1:9" hidden="1" x14ac:dyDescent="0.2">
      <c r="A654">
        <v>12028099</v>
      </c>
      <c r="B654">
        <v>4080</v>
      </c>
      <c r="C654">
        <v>100</v>
      </c>
      <c r="D654" s="17">
        <v>320.19</v>
      </c>
      <c r="I654" t="s">
        <v>393</v>
      </c>
    </row>
    <row r="655" spans="1:9" hidden="1" x14ac:dyDescent="0.2">
      <c r="A655">
        <v>12028099</v>
      </c>
      <c r="B655">
        <v>4080</v>
      </c>
      <c r="C655">
        <v>100</v>
      </c>
      <c r="D655" s="17">
        <v>242.31</v>
      </c>
      <c r="I655" t="s">
        <v>393</v>
      </c>
    </row>
    <row r="656" spans="1:9" hidden="1" x14ac:dyDescent="0.2">
      <c r="A656">
        <v>12030500</v>
      </c>
      <c r="B656">
        <v>4010</v>
      </c>
      <c r="C656">
        <v>100</v>
      </c>
      <c r="D656" s="17">
        <v>1919.27</v>
      </c>
      <c r="I656" t="s">
        <v>392</v>
      </c>
    </row>
    <row r="657" spans="1:9" hidden="1" x14ac:dyDescent="0.2">
      <c r="A657">
        <v>12030500</v>
      </c>
      <c r="B657">
        <v>4010</v>
      </c>
      <c r="C657">
        <v>100</v>
      </c>
      <c r="D657" s="17">
        <v>2724.4</v>
      </c>
      <c r="I657" t="s">
        <v>392</v>
      </c>
    </row>
    <row r="658" spans="1:9" hidden="1" x14ac:dyDescent="0.2">
      <c r="A658">
        <v>12030500</v>
      </c>
      <c r="B658">
        <v>4010</v>
      </c>
      <c r="C658">
        <v>100</v>
      </c>
      <c r="D658" s="17">
        <v>-268.24</v>
      </c>
      <c r="I658" t="s">
        <v>392</v>
      </c>
    </row>
    <row r="659" spans="1:9" hidden="1" x14ac:dyDescent="0.2">
      <c r="A659">
        <v>12030500</v>
      </c>
      <c r="B659">
        <v>4010</v>
      </c>
      <c r="C659">
        <v>100</v>
      </c>
      <c r="D659" s="17">
        <v>2009.01</v>
      </c>
      <c r="I659" t="s">
        <v>392</v>
      </c>
    </row>
    <row r="660" spans="1:9" hidden="1" x14ac:dyDescent="0.2">
      <c r="A660">
        <v>12030500</v>
      </c>
      <c r="B660">
        <v>4010</v>
      </c>
      <c r="C660">
        <v>100</v>
      </c>
      <c r="D660" s="17">
        <v>1610.33</v>
      </c>
      <c r="I660" t="s">
        <v>392</v>
      </c>
    </row>
    <row r="661" spans="1:9" hidden="1" x14ac:dyDescent="0.2">
      <c r="A661">
        <v>12030500</v>
      </c>
      <c r="B661">
        <v>4010</v>
      </c>
      <c r="C661">
        <v>100</v>
      </c>
      <c r="D661" s="17">
        <v>1297.68</v>
      </c>
      <c r="I661" t="s">
        <v>392</v>
      </c>
    </row>
    <row r="662" spans="1:9" hidden="1" x14ac:dyDescent="0.2">
      <c r="A662">
        <v>12030500</v>
      </c>
      <c r="B662">
        <v>4010</v>
      </c>
      <c r="C662">
        <v>100</v>
      </c>
      <c r="D662" s="17">
        <v>1615.39</v>
      </c>
      <c r="I662" t="s">
        <v>392</v>
      </c>
    </row>
    <row r="663" spans="1:9" hidden="1" x14ac:dyDescent="0.2">
      <c r="A663">
        <v>12030500</v>
      </c>
      <c r="B663">
        <v>4010</v>
      </c>
      <c r="C663">
        <v>100</v>
      </c>
      <c r="D663" s="17">
        <v>191.93</v>
      </c>
      <c r="E663" s="17"/>
      <c r="F663" s="18"/>
      <c r="I663" t="s">
        <v>393</v>
      </c>
    </row>
    <row r="664" spans="1:9" hidden="1" x14ac:dyDescent="0.2">
      <c r="A664">
        <v>12030500</v>
      </c>
      <c r="B664">
        <v>4010</v>
      </c>
      <c r="C664">
        <v>100</v>
      </c>
      <c r="D664" s="17">
        <v>1727.34</v>
      </c>
      <c r="E664" s="17"/>
      <c r="F664" s="18"/>
      <c r="I664" t="s">
        <v>393</v>
      </c>
    </row>
    <row r="665" spans="1:9" hidden="1" x14ac:dyDescent="0.2">
      <c r="A665">
        <v>12030500</v>
      </c>
      <c r="B665">
        <v>4010</v>
      </c>
      <c r="C665">
        <v>100</v>
      </c>
      <c r="D665" s="17">
        <v>1593.92</v>
      </c>
      <c r="E665" s="17"/>
      <c r="F665" s="18"/>
      <c r="I665" t="s">
        <v>393</v>
      </c>
    </row>
    <row r="666" spans="1:9" hidden="1" x14ac:dyDescent="0.2">
      <c r="A666">
        <v>12030500</v>
      </c>
      <c r="B666">
        <v>4010</v>
      </c>
      <c r="C666">
        <v>100</v>
      </c>
      <c r="D666" s="17">
        <v>164.82</v>
      </c>
      <c r="E666" s="17"/>
      <c r="F666" s="18"/>
      <c r="I666" t="s">
        <v>393</v>
      </c>
    </row>
    <row r="667" spans="1:9" hidden="1" x14ac:dyDescent="0.2">
      <c r="A667">
        <v>12030500</v>
      </c>
      <c r="B667">
        <v>4010</v>
      </c>
      <c r="C667">
        <v>100</v>
      </c>
      <c r="D667" s="17">
        <v>245.62</v>
      </c>
      <c r="E667" s="17"/>
      <c r="F667" s="18"/>
      <c r="I667" t="s">
        <v>393</v>
      </c>
    </row>
    <row r="668" spans="1:9" hidden="1" x14ac:dyDescent="0.2">
      <c r="A668">
        <v>12030500</v>
      </c>
      <c r="B668">
        <v>4010</v>
      </c>
      <c r="C668">
        <v>100</v>
      </c>
      <c r="D668" s="17">
        <v>451.8</v>
      </c>
      <c r="E668" s="17"/>
      <c r="F668" s="18"/>
      <c r="I668" t="s">
        <v>393</v>
      </c>
    </row>
    <row r="669" spans="1:9" hidden="1" x14ac:dyDescent="0.2">
      <c r="A669" s="19">
        <v>12030500</v>
      </c>
      <c r="B669">
        <v>4010</v>
      </c>
      <c r="C669">
        <v>100</v>
      </c>
      <c r="D669" s="17">
        <v>1814.08</v>
      </c>
      <c r="E669" s="20"/>
      <c r="F669" s="21"/>
      <c r="G669" s="19"/>
      <c r="H669" s="19"/>
      <c r="I669" t="s">
        <v>393</v>
      </c>
    </row>
    <row r="670" spans="1:9" hidden="1" x14ac:dyDescent="0.2">
      <c r="A670" s="19">
        <v>12030500</v>
      </c>
      <c r="B670">
        <v>4010</v>
      </c>
      <c r="C670">
        <v>100</v>
      </c>
      <c r="D670" s="17">
        <v>201.56</v>
      </c>
      <c r="E670" s="20"/>
      <c r="F670" s="21"/>
      <c r="G670" s="19"/>
      <c r="H670" s="19"/>
      <c r="I670" t="s">
        <v>393</v>
      </c>
    </row>
    <row r="671" spans="1:9" hidden="1" x14ac:dyDescent="0.2">
      <c r="A671">
        <v>12030500</v>
      </c>
      <c r="B671">
        <v>4010</v>
      </c>
      <c r="C671">
        <v>100</v>
      </c>
      <c r="D671" s="17">
        <v>1488.47</v>
      </c>
      <c r="E671" s="17"/>
      <c r="F671" s="18"/>
      <c r="I671" t="s">
        <v>393</v>
      </c>
    </row>
    <row r="672" spans="1:9" hidden="1" x14ac:dyDescent="0.2">
      <c r="A672">
        <v>12030500</v>
      </c>
      <c r="B672">
        <v>4010</v>
      </c>
      <c r="C672">
        <v>100</v>
      </c>
      <c r="D672" s="17">
        <v>165.39</v>
      </c>
      <c r="E672" s="17"/>
      <c r="F672" s="18"/>
      <c r="I672" t="s">
        <v>393</v>
      </c>
    </row>
    <row r="673" spans="1:9" hidden="1" x14ac:dyDescent="0.2">
      <c r="A673">
        <v>12030500</v>
      </c>
      <c r="B673">
        <v>4010</v>
      </c>
      <c r="C673">
        <v>100</v>
      </c>
      <c r="D673" s="17">
        <v>1167.9100000000001</v>
      </c>
      <c r="E673" s="17"/>
      <c r="F673" s="18"/>
      <c r="I673" t="s">
        <v>393</v>
      </c>
    </row>
    <row r="674" spans="1:9" hidden="1" x14ac:dyDescent="0.2">
      <c r="A674">
        <v>12030500</v>
      </c>
      <c r="B674">
        <v>4010</v>
      </c>
      <c r="C674">
        <v>100</v>
      </c>
      <c r="D674" s="17">
        <v>129.77000000000001</v>
      </c>
      <c r="E674" s="17"/>
      <c r="F674" s="18"/>
      <c r="I674" t="s">
        <v>393</v>
      </c>
    </row>
    <row r="675" spans="1:9" hidden="1" x14ac:dyDescent="0.2">
      <c r="A675">
        <v>12030500</v>
      </c>
      <c r="B675">
        <v>4010</v>
      </c>
      <c r="C675">
        <v>100</v>
      </c>
      <c r="D675" s="17">
        <v>1453.85</v>
      </c>
      <c r="E675" s="17"/>
      <c r="F675" s="18"/>
      <c r="I675" t="s">
        <v>393</v>
      </c>
    </row>
    <row r="676" spans="1:9" hidden="1" x14ac:dyDescent="0.2">
      <c r="A676">
        <v>12030500</v>
      </c>
      <c r="B676">
        <v>4010</v>
      </c>
      <c r="C676">
        <v>100</v>
      </c>
      <c r="D676" s="17">
        <v>161.54</v>
      </c>
      <c r="E676" s="17"/>
      <c r="F676" s="18"/>
      <c r="I676" t="s">
        <v>393</v>
      </c>
    </row>
    <row r="677" spans="1:9" hidden="1" x14ac:dyDescent="0.2">
      <c r="A677">
        <v>12030500</v>
      </c>
      <c r="B677">
        <v>4010</v>
      </c>
      <c r="C677">
        <v>200</v>
      </c>
      <c r="D677" s="17">
        <v>227.46</v>
      </c>
      <c r="I677" t="s">
        <v>392</v>
      </c>
    </row>
    <row r="678" spans="1:9" hidden="1" x14ac:dyDescent="0.2">
      <c r="A678">
        <v>12030500</v>
      </c>
      <c r="B678">
        <v>4010</v>
      </c>
      <c r="C678">
        <v>200</v>
      </c>
      <c r="D678" s="17">
        <v>341.18</v>
      </c>
      <c r="I678" t="s">
        <v>392</v>
      </c>
    </row>
    <row r="679" spans="1:9" hidden="1" x14ac:dyDescent="0.2">
      <c r="A679">
        <v>12030500</v>
      </c>
      <c r="B679">
        <v>4010</v>
      </c>
      <c r="C679">
        <v>200</v>
      </c>
      <c r="D679" s="17">
        <v>238.29</v>
      </c>
      <c r="I679" t="s">
        <v>392</v>
      </c>
    </row>
    <row r="680" spans="1:9" hidden="1" x14ac:dyDescent="0.2">
      <c r="A680">
        <v>12030500</v>
      </c>
      <c r="B680">
        <v>4010</v>
      </c>
      <c r="C680">
        <v>200</v>
      </c>
      <c r="D680" s="17">
        <v>157.05000000000001</v>
      </c>
      <c r="E680" s="17"/>
      <c r="F680" s="18"/>
      <c r="I680" t="s">
        <v>393</v>
      </c>
    </row>
    <row r="681" spans="1:9" hidden="1" x14ac:dyDescent="0.2">
      <c r="A681">
        <v>12030500</v>
      </c>
      <c r="B681">
        <v>4010</v>
      </c>
      <c r="C681">
        <v>200</v>
      </c>
      <c r="D681" s="17">
        <v>427.83</v>
      </c>
      <c r="E681" s="17"/>
      <c r="F681" s="18"/>
      <c r="I681" t="s">
        <v>393</v>
      </c>
    </row>
    <row r="682" spans="1:9" hidden="1" x14ac:dyDescent="0.2">
      <c r="A682">
        <v>12030500</v>
      </c>
      <c r="B682">
        <v>4010</v>
      </c>
      <c r="C682">
        <v>200</v>
      </c>
      <c r="D682" s="17">
        <v>243.7</v>
      </c>
      <c r="E682" s="17"/>
      <c r="F682" s="18"/>
      <c r="I682" t="s">
        <v>393</v>
      </c>
    </row>
    <row r="683" spans="1:9" hidden="1" x14ac:dyDescent="0.2">
      <c r="A683">
        <v>12030500</v>
      </c>
      <c r="B683">
        <v>4010</v>
      </c>
      <c r="C683">
        <v>300</v>
      </c>
      <c r="D683" s="17">
        <v>29.84</v>
      </c>
      <c r="I683" t="s">
        <v>392</v>
      </c>
    </row>
    <row r="684" spans="1:9" hidden="1" x14ac:dyDescent="0.2">
      <c r="A684">
        <v>12030500</v>
      </c>
      <c r="B684">
        <v>4010</v>
      </c>
      <c r="C684">
        <v>300</v>
      </c>
      <c r="D684" s="17">
        <v>51.22</v>
      </c>
      <c r="I684" t="s">
        <v>392</v>
      </c>
    </row>
    <row r="685" spans="1:9" hidden="1" x14ac:dyDescent="0.2">
      <c r="A685">
        <v>12030500</v>
      </c>
      <c r="B685">
        <v>4010</v>
      </c>
      <c r="C685">
        <v>300</v>
      </c>
      <c r="D685" s="17">
        <v>191.3</v>
      </c>
      <c r="I685" t="s">
        <v>392</v>
      </c>
    </row>
    <row r="686" spans="1:9" hidden="1" x14ac:dyDescent="0.2">
      <c r="A686">
        <v>12030500</v>
      </c>
      <c r="B686">
        <v>4010</v>
      </c>
      <c r="C686">
        <v>300</v>
      </c>
      <c r="D686" s="17">
        <v>10.63</v>
      </c>
      <c r="I686" t="s">
        <v>392</v>
      </c>
    </row>
    <row r="687" spans="1:9" hidden="1" x14ac:dyDescent="0.2">
      <c r="A687">
        <v>12030500</v>
      </c>
      <c r="B687">
        <v>4010</v>
      </c>
      <c r="C687">
        <v>300</v>
      </c>
      <c r="D687" s="17">
        <v>218.8</v>
      </c>
      <c r="E687" s="17"/>
      <c r="F687" s="18"/>
      <c r="I687" t="s">
        <v>393</v>
      </c>
    </row>
    <row r="688" spans="1:9" hidden="1" x14ac:dyDescent="0.2">
      <c r="A688">
        <v>12030500</v>
      </c>
      <c r="B688">
        <v>4010</v>
      </c>
      <c r="C688">
        <v>300</v>
      </c>
      <c r="D688" s="17">
        <v>48.96</v>
      </c>
      <c r="I688" t="s">
        <v>393</v>
      </c>
    </row>
    <row r="689" spans="1:9" hidden="1" x14ac:dyDescent="0.2">
      <c r="A689">
        <v>12030500</v>
      </c>
      <c r="B689">
        <v>4010</v>
      </c>
      <c r="C689">
        <v>300</v>
      </c>
      <c r="D689" s="17">
        <v>44.82</v>
      </c>
      <c r="I689" t="s">
        <v>393</v>
      </c>
    </row>
    <row r="690" spans="1:9" hidden="1" x14ac:dyDescent="0.2">
      <c r="A690">
        <v>12030500</v>
      </c>
      <c r="B690">
        <v>4010</v>
      </c>
      <c r="C690">
        <v>300</v>
      </c>
      <c r="D690" s="17">
        <v>350.71</v>
      </c>
      <c r="I690" t="s">
        <v>393</v>
      </c>
    </row>
    <row r="691" spans="1:9" hidden="1" x14ac:dyDescent="0.2">
      <c r="A691">
        <v>12030500</v>
      </c>
      <c r="B691">
        <v>4010</v>
      </c>
      <c r="C691">
        <v>400</v>
      </c>
      <c r="D691" s="17">
        <v>26.74</v>
      </c>
      <c r="I691" t="s">
        <v>392</v>
      </c>
    </row>
    <row r="692" spans="1:9" hidden="1" x14ac:dyDescent="0.2">
      <c r="A692">
        <v>12030500</v>
      </c>
      <c r="B692">
        <v>4010</v>
      </c>
      <c r="C692">
        <v>400</v>
      </c>
      <c r="D692" s="17">
        <v>80.22</v>
      </c>
      <c r="I692" t="s">
        <v>393</v>
      </c>
    </row>
    <row r="693" spans="1:9" hidden="1" x14ac:dyDescent="0.2">
      <c r="A693">
        <v>12030500</v>
      </c>
      <c r="B693">
        <v>4080</v>
      </c>
      <c r="C693">
        <v>100</v>
      </c>
      <c r="D693" s="17">
        <v>172.73</v>
      </c>
      <c r="I693" t="s">
        <v>392</v>
      </c>
    </row>
    <row r="694" spans="1:9" hidden="1" x14ac:dyDescent="0.2">
      <c r="A694">
        <v>12030500</v>
      </c>
      <c r="B694">
        <v>4080</v>
      </c>
      <c r="C694">
        <v>100</v>
      </c>
      <c r="D694" s="17">
        <v>221.05</v>
      </c>
      <c r="I694" t="s">
        <v>392</v>
      </c>
    </row>
    <row r="695" spans="1:9" hidden="1" x14ac:dyDescent="0.2">
      <c r="A695">
        <v>12030500</v>
      </c>
      <c r="B695">
        <v>4080</v>
      </c>
      <c r="C695">
        <v>100</v>
      </c>
      <c r="D695" s="17">
        <v>180.81</v>
      </c>
      <c r="I695" t="s">
        <v>392</v>
      </c>
    </row>
    <row r="696" spans="1:9" hidden="1" x14ac:dyDescent="0.2">
      <c r="A696">
        <v>12030500</v>
      </c>
      <c r="B696">
        <v>4080</v>
      </c>
      <c r="C696">
        <v>100</v>
      </c>
      <c r="D696" s="17">
        <v>20.47</v>
      </c>
      <c r="I696" t="s">
        <v>392</v>
      </c>
    </row>
    <row r="697" spans="1:9" hidden="1" x14ac:dyDescent="0.2">
      <c r="A697">
        <v>12030500</v>
      </c>
      <c r="B697">
        <v>4080</v>
      </c>
      <c r="C697">
        <v>100</v>
      </c>
      <c r="D697" s="17">
        <v>148.85</v>
      </c>
      <c r="I697" t="s">
        <v>392</v>
      </c>
    </row>
    <row r="698" spans="1:9" hidden="1" x14ac:dyDescent="0.2">
      <c r="A698">
        <v>12030500</v>
      </c>
      <c r="B698">
        <v>4080</v>
      </c>
      <c r="C698">
        <v>100</v>
      </c>
      <c r="D698" s="17">
        <v>30.71</v>
      </c>
      <c r="I698" t="s">
        <v>392</v>
      </c>
    </row>
    <row r="699" spans="1:9" hidden="1" x14ac:dyDescent="0.2">
      <c r="A699">
        <v>12030500</v>
      </c>
      <c r="B699">
        <v>4080</v>
      </c>
      <c r="C699">
        <v>100</v>
      </c>
      <c r="D699" s="17">
        <v>21.45</v>
      </c>
      <c r="I699" t="s">
        <v>392</v>
      </c>
    </row>
    <row r="700" spans="1:9" hidden="1" x14ac:dyDescent="0.2">
      <c r="A700">
        <v>12030500</v>
      </c>
      <c r="B700">
        <v>4080</v>
      </c>
      <c r="C700">
        <v>100</v>
      </c>
      <c r="D700">
        <v>116.79</v>
      </c>
      <c r="I700" t="s">
        <v>392</v>
      </c>
    </row>
    <row r="701" spans="1:9" hidden="1" x14ac:dyDescent="0.2">
      <c r="A701">
        <v>12030500</v>
      </c>
      <c r="B701">
        <v>4080</v>
      </c>
      <c r="C701">
        <v>100</v>
      </c>
      <c r="D701">
        <v>145.38999999999999</v>
      </c>
      <c r="I701" t="s">
        <v>392</v>
      </c>
    </row>
    <row r="702" spans="1:9" hidden="1" x14ac:dyDescent="0.2">
      <c r="A702">
        <v>12030500</v>
      </c>
      <c r="B702">
        <v>4080</v>
      </c>
      <c r="C702">
        <v>100</v>
      </c>
      <c r="D702" s="17">
        <v>172.73</v>
      </c>
      <c r="I702" t="s">
        <v>393</v>
      </c>
    </row>
    <row r="703" spans="1:9" hidden="1" x14ac:dyDescent="0.2">
      <c r="A703">
        <v>12030500</v>
      </c>
      <c r="B703">
        <v>4080</v>
      </c>
      <c r="C703">
        <v>100</v>
      </c>
      <c r="D703" s="17">
        <v>221.05</v>
      </c>
      <c r="I703" t="s">
        <v>393</v>
      </c>
    </row>
    <row r="704" spans="1:9" hidden="1" x14ac:dyDescent="0.2">
      <c r="A704">
        <v>12030500</v>
      </c>
      <c r="B704">
        <v>4080</v>
      </c>
      <c r="C704">
        <v>100</v>
      </c>
      <c r="D704" s="17">
        <v>181.41</v>
      </c>
      <c r="I704" t="s">
        <v>393</v>
      </c>
    </row>
    <row r="705" spans="1:9" hidden="1" x14ac:dyDescent="0.2">
      <c r="A705">
        <v>12030500</v>
      </c>
      <c r="B705">
        <v>4080</v>
      </c>
      <c r="C705">
        <v>100</v>
      </c>
      <c r="D705" s="17">
        <v>14.13</v>
      </c>
      <c r="I705" t="s">
        <v>393</v>
      </c>
    </row>
    <row r="706" spans="1:9" hidden="1" x14ac:dyDescent="0.2">
      <c r="A706">
        <v>12030500</v>
      </c>
      <c r="B706">
        <v>4080</v>
      </c>
      <c r="C706">
        <v>100</v>
      </c>
      <c r="D706" s="17">
        <v>148.85</v>
      </c>
      <c r="I706" t="s">
        <v>393</v>
      </c>
    </row>
    <row r="707" spans="1:9" hidden="1" x14ac:dyDescent="0.2">
      <c r="A707">
        <v>12030500</v>
      </c>
      <c r="B707">
        <v>4080</v>
      </c>
      <c r="C707">
        <v>100</v>
      </c>
      <c r="D707" s="17">
        <v>38.5</v>
      </c>
      <c r="I707" t="s">
        <v>393</v>
      </c>
    </row>
    <row r="708" spans="1:9" hidden="1" x14ac:dyDescent="0.2">
      <c r="A708">
        <v>12030500</v>
      </c>
      <c r="B708">
        <v>4080</v>
      </c>
      <c r="C708">
        <v>100</v>
      </c>
      <c r="D708" s="17">
        <v>21.93</v>
      </c>
      <c r="I708" t="s">
        <v>393</v>
      </c>
    </row>
    <row r="709" spans="1:9" hidden="1" x14ac:dyDescent="0.2">
      <c r="A709">
        <v>12030500</v>
      </c>
      <c r="B709">
        <v>4080</v>
      </c>
      <c r="C709">
        <v>100</v>
      </c>
      <c r="D709" s="17">
        <v>116.79</v>
      </c>
      <c r="I709" t="s">
        <v>393</v>
      </c>
    </row>
    <row r="710" spans="1:9" hidden="1" x14ac:dyDescent="0.2">
      <c r="A710">
        <v>12030500</v>
      </c>
      <c r="B710">
        <v>4080</v>
      </c>
      <c r="C710">
        <v>100</v>
      </c>
      <c r="D710" s="17">
        <v>145.38999999999999</v>
      </c>
      <c r="I710" t="s">
        <v>393</v>
      </c>
    </row>
    <row r="711" spans="1:9" hidden="1" x14ac:dyDescent="0.2">
      <c r="A711">
        <v>12030611</v>
      </c>
      <c r="B711">
        <v>4010</v>
      </c>
      <c r="C711">
        <v>100</v>
      </c>
      <c r="D711" s="17">
        <v>693.34</v>
      </c>
      <c r="I711" t="s">
        <v>392</v>
      </c>
    </row>
    <row r="712" spans="1:9" hidden="1" x14ac:dyDescent="0.2">
      <c r="A712">
        <v>12030611</v>
      </c>
      <c r="B712">
        <v>4010</v>
      </c>
      <c r="C712">
        <v>100</v>
      </c>
      <c r="D712" s="17">
        <v>1391.28</v>
      </c>
      <c r="I712" t="s">
        <v>392</v>
      </c>
    </row>
    <row r="713" spans="1:9" hidden="1" x14ac:dyDescent="0.2">
      <c r="A713">
        <v>12030611</v>
      </c>
      <c r="B713">
        <v>4010</v>
      </c>
      <c r="C713">
        <v>100</v>
      </c>
      <c r="D713" s="17">
        <v>1377.8</v>
      </c>
      <c r="I713" t="s">
        <v>392</v>
      </c>
    </row>
    <row r="714" spans="1:9" hidden="1" x14ac:dyDescent="0.2">
      <c r="A714">
        <v>12030611</v>
      </c>
      <c r="B714">
        <v>4010</v>
      </c>
      <c r="C714">
        <v>100</v>
      </c>
      <c r="D714" s="17">
        <v>-137.78</v>
      </c>
      <c r="I714" t="s">
        <v>392</v>
      </c>
    </row>
    <row r="715" spans="1:9" hidden="1" x14ac:dyDescent="0.2">
      <c r="A715">
        <v>12030611</v>
      </c>
      <c r="B715">
        <v>4010</v>
      </c>
      <c r="C715">
        <v>100</v>
      </c>
      <c r="D715" s="17">
        <v>1531.4</v>
      </c>
      <c r="I715" t="s">
        <v>392</v>
      </c>
    </row>
    <row r="716" spans="1:9" hidden="1" x14ac:dyDescent="0.2">
      <c r="A716">
        <v>12030611</v>
      </c>
      <c r="B716">
        <v>4010</v>
      </c>
      <c r="C716">
        <v>100</v>
      </c>
      <c r="D716" s="17">
        <v>170.16</v>
      </c>
      <c r="I716" t="s">
        <v>392</v>
      </c>
    </row>
    <row r="717" spans="1:9" hidden="1" x14ac:dyDescent="0.2">
      <c r="A717">
        <v>12030611</v>
      </c>
      <c r="B717">
        <v>4010</v>
      </c>
      <c r="C717">
        <v>100</v>
      </c>
      <c r="D717" s="17">
        <v>500.29</v>
      </c>
      <c r="I717" t="s">
        <v>392</v>
      </c>
    </row>
    <row r="718" spans="1:9" hidden="1" x14ac:dyDescent="0.2">
      <c r="A718">
        <v>12030611</v>
      </c>
      <c r="B718">
        <v>4010</v>
      </c>
      <c r="C718">
        <v>100</v>
      </c>
      <c r="D718" s="17">
        <v>1600.51</v>
      </c>
      <c r="I718" t="s">
        <v>392</v>
      </c>
    </row>
    <row r="719" spans="1:9" hidden="1" x14ac:dyDescent="0.2">
      <c r="A719">
        <v>12030611</v>
      </c>
      <c r="B719">
        <v>4010</v>
      </c>
      <c r="C719">
        <v>100</v>
      </c>
      <c r="D719" s="17">
        <v>100.73</v>
      </c>
      <c r="I719" t="s">
        <v>392</v>
      </c>
    </row>
    <row r="720" spans="1:9" hidden="1" x14ac:dyDescent="0.2">
      <c r="A720">
        <v>12030611</v>
      </c>
      <c r="B720">
        <v>4010</v>
      </c>
      <c r="C720">
        <v>100</v>
      </c>
      <c r="D720" s="17">
        <v>1481.92</v>
      </c>
      <c r="I720" t="s">
        <v>392</v>
      </c>
    </row>
    <row r="721" spans="1:9" hidden="1" x14ac:dyDescent="0.2">
      <c r="A721">
        <v>12030611</v>
      </c>
      <c r="B721">
        <v>4010</v>
      </c>
      <c r="C721">
        <v>100</v>
      </c>
      <c r="D721" s="17">
        <v>1281.6099999999999</v>
      </c>
      <c r="I721" t="s">
        <v>392</v>
      </c>
    </row>
    <row r="722" spans="1:9" hidden="1" x14ac:dyDescent="0.2">
      <c r="A722">
        <v>12030611</v>
      </c>
      <c r="B722">
        <v>4010</v>
      </c>
      <c r="C722">
        <v>100</v>
      </c>
      <c r="D722" s="17">
        <v>1334.12</v>
      </c>
      <c r="I722" t="s">
        <v>392</v>
      </c>
    </row>
    <row r="723" spans="1:9" hidden="1" x14ac:dyDescent="0.2">
      <c r="A723" s="19">
        <v>12030611</v>
      </c>
      <c r="B723">
        <v>4010</v>
      </c>
      <c r="C723">
        <v>100</v>
      </c>
      <c r="D723" s="17">
        <v>438.82</v>
      </c>
      <c r="E723" s="20"/>
      <c r="F723" s="21"/>
      <c r="G723" s="19"/>
      <c r="H723" s="19"/>
      <c r="I723" t="s">
        <v>393</v>
      </c>
    </row>
    <row r="724" spans="1:9" hidden="1" x14ac:dyDescent="0.2">
      <c r="A724" s="19">
        <v>12030611</v>
      </c>
      <c r="B724">
        <v>4010</v>
      </c>
      <c r="C724">
        <v>100</v>
      </c>
      <c r="D724" s="17">
        <v>139.16</v>
      </c>
      <c r="E724" s="20"/>
      <c r="F724" s="21"/>
      <c r="G724" s="19"/>
      <c r="H724" s="19"/>
      <c r="I724" t="s">
        <v>393</v>
      </c>
    </row>
    <row r="725" spans="1:9" hidden="1" x14ac:dyDescent="0.2">
      <c r="A725" s="19">
        <v>12030611</v>
      </c>
      <c r="B725">
        <v>4010</v>
      </c>
      <c r="C725">
        <v>100</v>
      </c>
      <c r="D725" s="17">
        <v>673.84</v>
      </c>
      <c r="E725" s="20"/>
      <c r="F725" s="21"/>
      <c r="G725" s="19"/>
      <c r="H725" s="19"/>
      <c r="I725" t="s">
        <v>393</v>
      </c>
    </row>
    <row r="726" spans="1:9" hidden="1" x14ac:dyDescent="0.2">
      <c r="A726" s="19">
        <v>12030611</v>
      </c>
      <c r="B726">
        <v>4010</v>
      </c>
      <c r="C726">
        <v>100</v>
      </c>
      <c r="D726" s="17">
        <v>139.16</v>
      </c>
      <c r="E726" s="20"/>
      <c r="F726" s="21"/>
      <c r="G726" s="19"/>
      <c r="H726" s="19"/>
      <c r="I726" t="s">
        <v>393</v>
      </c>
    </row>
    <row r="727" spans="1:9" hidden="1" x14ac:dyDescent="0.2">
      <c r="A727" s="19">
        <v>12030611</v>
      </c>
      <c r="B727">
        <v>4010</v>
      </c>
      <c r="C727">
        <v>100</v>
      </c>
      <c r="D727" s="17">
        <v>139.16</v>
      </c>
      <c r="E727" s="20"/>
      <c r="F727" s="21"/>
      <c r="G727" s="19"/>
      <c r="H727" s="19"/>
      <c r="I727" t="s">
        <v>393</v>
      </c>
    </row>
    <row r="728" spans="1:9" hidden="1" x14ac:dyDescent="0.2">
      <c r="A728">
        <v>12030611</v>
      </c>
      <c r="B728">
        <v>4010</v>
      </c>
      <c r="C728">
        <v>100</v>
      </c>
      <c r="D728" s="17">
        <v>834.77</v>
      </c>
      <c r="E728" s="17"/>
      <c r="F728" s="18"/>
      <c r="I728" t="s">
        <v>393</v>
      </c>
    </row>
    <row r="729" spans="1:9" hidden="1" x14ac:dyDescent="0.2">
      <c r="A729">
        <v>12030611</v>
      </c>
      <c r="B729">
        <v>4010</v>
      </c>
      <c r="C729">
        <v>100</v>
      </c>
      <c r="D729" s="17">
        <v>139.13</v>
      </c>
      <c r="E729" s="17"/>
      <c r="F729" s="18"/>
      <c r="I729" t="s">
        <v>393</v>
      </c>
    </row>
    <row r="730" spans="1:9" hidden="1" x14ac:dyDescent="0.2">
      <c r="A730">
        <v>12030611</v>
      </c>
      <c r="B730">
        <v>4010</v>
      </c>
      <c r="C730">
        <v>100</v>
      </c>
      <c r="D730" s="17">
        <v>1240.02</v>
      </c>
      <c r="E730" s="17"/>
      <c r="F730" s="18"/>
      <c r="I730" t="s">
        <v>393</v>
      </c>
    </row>
    <row r="731" spans="1:9" hidden="1" x14ac:dyDescent="0.2">
      <c r="A731">
        <v>12030611</v>
      </c>
      <c r="B731">
        <v>4010</v>
      </c>
      <c r="C731">
        <v>100</v>
      </c>
      <c r="D731" s="17">
        <v>137.78</v>
      </c>
      <c r="E731" s="17"/>
      <c r="F731" s="18"/>
      <c r="I731" t="s">
        <v>393</v>
      </c>
    </row>
    <row r="732" spans="1:9" hidden="1" x14ac:dyDescent="0.2">
      <c r="A732">
        <v>12030611</v>
      </c>
      <c r="B732">
        <v>4010</v>
      </c>
      <c r="C732">
        <v>100</v>
      </c>
      <c r="D732" s="17">
        <v>137.78</v>
      </c>
      <c r="E732" s="17"/>
      <c r="F732" s="18"/>
      <c r="I732" t="s">
        <v>393</v>
      </c>
    </row>
    <row r="733" spans="1:9" hidden="1" x14ac:dyDescent="0.2">
      <c r="A733">
        <v>12030611</v>
      </c>
      <c r="B733">
        <v>4010</v>
      </c>
      <c r="C733">
        <v>100</v>
      </c>
      <c r="D733" s="17">
        <v>1701.56</v>
      </c>
      <c r="E733" s="17"/>
      <c r="F733" s="18"/>
      <c r="I733" t="s">
        <v>393</v>
      </c>
    </row>
    <row r="734" spans="1:9" hidden="1" x14ac:dyDescent="0.2">
      <c r="A734">
        <v>12030611</v>
      </c>
      <c r="B734">
        <v>4010</v>
      </c>
      <c r="C734">
        <v>100</v>
      </c>
      <c r="D734" s="17">
        <v>255.85</v>
      </c>
      <c r="E734" s="17"/>
      <c r="F734" s="18"/>
      <c r="I734" t="s">
        <v>393</v>
      </c>
    </row>
    <row r="735" spans="1:9" hidden="1" x14ac:dyDescent="0.2">
      <c r="A735">
        <v>12030611</v>
      </c>
      <c r="B735">
        <v>4010</v>
      </c>
      <c r="C735">
        <v>100</v>
      </c>
      <c r="D735" s="17">
        <v>895.37</v>
      </c>
      <c r="E735" s="17"/>
      <c r="F735" s="18"/>
      <c r="I735" t="s">
        <v>393</v>
      </c>
    </row>
    <row r="736" spans="1:9" hidden="1" x14ac:dyDescent="0.2">
      <c r="A736">
        <v>12030611</v>
      </c>
      <c r="B736">
        <v>4010</v>
      </c>
      <c r="C736">
        <v>100</v>
      </c>
      <c r="D736" s="17">
        <v>1531.11</v>
      </c>
      <c r="E736" s="17"/>
      <c r="F736" s="18"/>
      <c r="I736" t="s">
        <v>393</v>
      </c>
    </row>
    <row r="737" spans="1:9" hidden="1" x14ac:dyDescent="0.2">
      <c r="A737">
        <v>12030611</v>
      </c>
      <c r="B737">
        <v>4010</v>
      </c>
      <c r="C737">
        <v>100</v>
      </c>
      <c r="D737" s="17">
        <v>170.12</v>
      </c>
      <c r="E737" s="17"/>
      <c r="F737" s="18"/>
      <c r="I737" t="s">
        <v>393</v>
      </c>
    </row>
    <row r="738" spans="1:9" hidden="1" x14ac:dyDescent="0.2">
      <c r="A738">
        <v>12030611</v>
      </c>
      <c r="B738">
        <v>4010</v>
      </c>
      <c r="C738">
        <v>100</v>
      </c>
      <c r="D738" s="17">
        <v>4.87</v>
      </c>
      <c r="E738" s="17"/>
      <c r="F738" s="18"/>
      <c r="I738" t="s">
        <v>393</v>
      </c>
    </row>
    <row r="739" spans="1:9" hidden="1" x14ac:dyDescent="0.2">
      <c r="A739">
        <v>12030611</v>
      </c>
      <c r="B739">
        <v>4010</v>
      </c>
      <c r="C739">
        <v>100</v>
      </c>
      <c r="D739" s="17">
        <v>1333.73</v>
      </c>
      <c r="E739" s="17"/>
      <c r="F739" s="18"/>
      <c r="I739" t="s">
        <v>393</v>
      </c>
    </row>
    <row r="740" spans="1:9" hidden="1" x14ac:dyDescent="0.2">
      <c r="A740">
        <v>12030611</v>
      </c>
      <c r="B740">
        <v>4010</v>
      </c>
      <c r="C740">
        <v>100</v>
      </c>
      <c r="D740" s="17">
        <v>148.19</v>
      </c>
      <c r="E740" s="17"/>
      <c r="F740" s="18"/>
      <c r="I740" t="s">
        <v>393</v>
      </c>
    </row>
    <row r="741" spans="1:9" hidden="1" x14ac:dyDescent="0.2">
      <c r="A741">
        <v>12030611</v>
      </c>
      <c r="B741">
        <v>4010</v>
      </c>
      <c r="C741">
        <v>100</v>
      </c>
      <c r="D741" s="17">
        <v>1299.17</v>
      </c>
      <c r="E741" s="17"/>
      <c r="F741" s="18"/>
      <c r="I741" t="s">
        <v>393</v>
      </c>
    </row>
    <row r="742" spans="1:9" hidden="1" x14ac:dyDescent="0.2">
      <c r="A742">
        <v>12030611</v>
      </c>
      <c r="B742">
        <v>4010</v>
      </c>
      <c r="C742">
        <v>100</v>
      </c>
      <c r="D742" s="17">
        <v>20.37</v>
      </c>
      <c r="E742" s="17"/>
      <c r="F742" s="18"/>
      <c r="I742" t="s">
        <v>393</v>
      </c>
    </row>
    <row r="743" spans="1:9" hidden="1" x14ac:dyDescent="0.2">
      <c r="A743">
        <v>12030611</v>
      </c>
      <c r="B743">
        <v>4010</v>
      </c>
      <c r="C743">
        <v>100</v>
      </c>
      <c r="D743" s="17">
        <v>1067.3</v>
      </c>
      <c r="E743" s="17"/>
      <c r="F743" s="18"/>
      <c r="I743" t="s">
        <v>393</v>
      </c>
    </row>
    <row r="744" spans="1:9" hidden="1" x14ac:dyDescent="0.2">
      <c r="A744">
        <v>12030611</v>
      </c>
      <c r="B744">
        <v>4010</v>
      </c>
      <c r="C744">
        <v>100</v>
      </c>
      <c r="D744" s="17">
        <v>133.41</v>
      </c>
      <c r="E744" s="17"/>
      <c r="F744" s="18"/>
      <c r="I744" t="s">
        <v>393</v>
      </c>
    </row>
    <row r="745" spans="1:9" hidden="1" x14ac:dyDescent="0.2">
      <c r="A745">
        <v>12030611</v>
      </c>
      <c r="B745">
        <v>4010</v>
      </c>
      <c r="C745">
        <v>200</v>
      </c>
      <c r="D745" s="17">
        <v>513.55999999999995</v>
      </c>
      <c r="I745" t="s">
        <v>392</v>
      </c>
    </row>
    <row r="746" spans="1:9" hidden="1" x14ac:dyDescent="0.2">
      <c r="A746">
        <v>12030611</v>
      </c>
      <c r="B746">
        <v>4010</v>
      </c>
      <c r="C746">
        <v>200</v>
      </c>
      <c r="D746" s="17">
        <v>601.75</v>
      </c>
      <c r="E746" s="17"/>
      <c r="F746" s="18"/>
      <c r="I746" t="s">
        <v>393</v>
      </c>
    </row>
    <row r="747" spans="1:9" hidden="1" x14ac:dyDescent="0.2">
      <c r="A747">
        <v>12030611</v>
      </c>
      <c r="B747">
        <v>4010</v>
      </c>
      <c r="C747">
        <v>200</v>
      </c>
      <c r="D747" s="17">
        <v>152.19999999999999</v>
      </c>
      <c r="E747" s="17"/>
      <c r="F747" s="18"/>
      <c r="I747" t="s">
        <v>393</v>
      </c>
    </row>
    <row r="748" spans="1:9" x14ac:dyDescent="0.2">
      <c r="A748">
        <v>12030611</v>
      </c>
      <c r="B748">
        <v>4010</v>
      </c>
      <c r="C748">
        <v>300</v>
      </c>
      <c r="D748" s="17">
        <v>89.24</v>
      </c>
      <c r="I748" t="s">
        <v>392</v>
      </c>
    </row>
    <row r="749" spans="1:9" x14ac:dyDescent="0.2">
      <c r="A749">
        <v>12030611</v>
      </c>
      <c r="B749">
        <v>4010</v>
      </c>
      <c r="C749">
        <v>300</v>
      </c>
      <c r="D749" s="17">
        <v>237.94</v>
      </c>
      <c r="I749" t="s">
        <v>392</v>
      </c>
    </row>
    <row r="750" spans="1:9" x14ac:dyDescent="0.2">
      <c r="A750">
        <v>12030611</v>
      </c>
      <c r="B750">
        <v>4010</v>
      </c>
      <c r="C750">
        <v>300</v>
      </c>
      <c r="D750" s="17">
        <v>126.9</v>
      </c>
      <c r="I750" t="s">
        <v>392</v>
      </c>
    </row>
    <row r="751" spans="1:9" x14ac:dyDescent="0.2">
      <c r="A751">
        <v>12030611</v>
      </c>
      <c r="B751">
        <v>4010</v>
      </c>
      <c r="C751">
        <v>300</v>
      </c>
      <c r="D751" s="17">
        <v>83.96</v>
      </c>
      <c r="I751" t="s">
        <v>392</v>
      </c>
    </row>
    <row r="752" spans="1:9" x14ac:dyDescent="0.2">
      <c r="A752">
        <v>12030611</v>
      </c>
      <c r="B752">
        <v>4010</v>
      </c>
      <c r="C752">
        <v>300</v>
      </c>
      <c r="D752" s="17">
        <v>89.56</v>
      </c>
      <c r="I752" t="s">
        <v>392</v>
      </c>
    </row>
    <row r="753" spans="1:9" x14ac:dyDescent="0.2">
      <c r="A753">
        <v>12030611</v>
      </c>
      <c r="B753">
        <v>4010</v>
      </c>
      <c r="C753">
        <v>300</v>
      </c>
      <c r="D753" s="17">
        <v>235.04</v>
      </c>
      <c r="I753" t="s">
        <v>392</v>
      </c>
    </row>
    <row r="754" spans="1:9" x14ac:dyDescent="0.2">
      <c r="A754">
        <v>12030611</v>
      </c>
      <c r="B754">
        <v>4010</v>
      </c>
      <c r="C754">
        <v>300</v>
      </c>
      <c r="D754" s="17">
        <v>168.18</v>
      </c>
      <c r="I754" t="s">
        <v>392</v>
      </c>
    </row>
    <row r="755" spans="1:9" x14ac:dyDescent="0.2">
      <c r="A755">
        <v>12030611</v>
      </c>
      <c r="B755">
        <v>4010</v>
      </c>
      <c r="C755">
        <v>300</v>
      </c>
      <c r="D755" s="17">
        <v>272.99</v>
      </c>
      <c r="I755" t="s">
        <v>392</v>
      </c>
    </row>
    <row r="756" spans="1:9" x14ac:dyDescent="0.2">
      <c r="A756">
        <v>12030611</v>
      </c>
      <c r="B756">
        <v>4010</v>
      </c>
      <c r="C756">
        <v>300</v>
      </c>
      <c r="D756" s="17">
        <v>52.67</v>
      </c>
      <c r="I756" t="s">
        <v>392</v>
      </c>
    </row>
    <row r="757" spans="1:9" x14ac:dyDescent="0.2">
      <c r="A757">
        <v>12030611</v>
      </c>
      <c r="B757">
        <v>4010</v>
      </c>
      <c r="C757">
        <v>300</v>
      </c>
      <c r="D757" s="17">
        <v>65.83</v>
      </c>
      <c r="I757" t="s">
        <v>392</v>
      </c>
    </row>
    <row r="758" spans="1:9" x14ac:dyDescent="0.2">
      <c r="A758">
        <v>12030611</v>
      </c>
      <c r="B758">
        <v>4010</v>
      </c>
      <c r="C758">
        <v>300</v>
      </c>
      <c r="D758" s="17">
        <v>17.12</v>
      </c>
      <c r="E758" s="17"/>
      <c r="F758" s="18"/>
      <c r="I758" t="s">
        <v>393</v>
      </c>
    </row>
    <row r="759" spans="1:9" x14ac:dyDescent="0.2">
      <c r="A759">
        <v>12030611</v>
      </c>
      <c r="B759">
        <v>4010</v>
      </c>
      <c r="C759">
        <v>300</v>
      </c>
      <c r="D759" s="17">
        <v>61.78</v>
      </c>
      <c r="E759" s="17"/>
      <c r="F759" s="18"/>
      <c r="I759" t="s">
        <v>393</v>
      </c>
    </row>
    <row r="760" spans="1:9" x14ac:dyDescent="0.2">
      <c r="A760">
        <v>12030611</v>
      </c>
      <c r="B760">
        <v>4010</v>
      </c>
      <c r="C760">
        <v>300</v>
      </c>
      <c r="D760" s="17">
        <v>312.73</v>
      </c>
      <c r="I760" t="s">
        <v>393</v>
      </c>
    </row>
    <row r="761" spans="1:9" x14ac:dyDescent="0.2">
      <c r="A761">
        <v>12030611</v>
      </c>
      <c r="B761">
        <v>4010</v>
      </c>
      <c r="C761">
        <v>300</v>
      </c>
      <c r="D761" s="17">
        <v>54.39</v>
      </c>
      <c r="I761" t="s">
        <v>393</v>
      </c>
    </row>
    <row r="762" spans="1:9" x14ac:dyDescent="0.2">
      <c r="A762">
        <v>12030611</v>
      </c>
      <c r="B762">
        <v>4010</v>
      </c>
      <c r="C762">
        <v>300</v>
      </c>
      <c r="D762" s="17">
        <v>117.54</v>
      </c>
      <c r="I762" t="s">
        <v>393</v>
      </c>
    </row>
    <row r="763" spans="1:9" x14ac:dyDescent="0.2">
      <c r="A763">
        <v>12030611</v>
      </c>
      <c r="B763">
        <v>4010</v>
      </c>
      <c r="C763">
        <v>300</v>
      </c>
      <c r="D763" s="17">
        <v>156.13</v>
      </c>
      <c r="I763" t="s">
        <v>393</v>
      </c>
    </row>
    <row r="764" spans="1:9" x14ac:dyDescent="0.2">
      <c r="A764">
        <v>12030611</v>
      </c>
      <c r="B764">
        <v>4010</v>
      </c>
      <c r="C764">
        <v>300</v>
      </c>
      <c r="D764" s="17">
        <v>29.1</v>
      </c>
      <c r="I764" t="s">
        <v>393</v>
      </c>
    </row>
    <row r="765" spans="1:9" x14ac:dyDescent="0.2">
      <c r="A765">
        <v>12030611</v>
      </c>
      <c r="B765">
        <v>4010</v>
      </c>
      <c r="C765">
        <v>300</v>
      </c>
      <c r="D765" s="17">
        <v>436.5</v>
      </c>
      <c r="I765" t="s">
        <v>393</v>
      </c>
    </row>
    <row r="766" spans="1:9" x14ac:dyDescent="0.2">
      <c r="A766">
        <v>12030611</v>
      </c>
      <c r="B766">
        <v>4010</v>
      </c>
      <c r="C766">
        <v>300</v>
      </c>
      <c r="D766" s="17">
        <v>217.13</v>
      </c>
      <c r="I766" t="s">
        <v>393</v>
      </c>
    </row>
    <row r="767" spans="1:9" x14ac:dyDescent="0.2">
      <c r="A767">
        <v>12030611</v>
      </c>
      <c r="B767">
        <v>4010</v>
      </c>
      <c r="C767">
        <v>300</v>
      </c>
      <c r="D767" s="17">
        <v>244.22</v>
      </c>
      <c r="I767" t="s">
        <v>393</v>
      </c>
    </row>
    <row r="768" spans="1:9" x14ac:dyDescent="0.2">
      <c r="A768">
        <v>12030611</v>
      </c>
      <c r="B768">
        <v>4010</v>
      </c>
      <c r="C768">
        <v>300</v>
      </c>
      <c r="D768" s="17">
        <v>65.84</v>
      </c>
      <c r="I768" t="s">
        <v>393</v>
      </c>
    </row>
    <row r="769" spans="1:9" x14ac:dyDescent="0.2">
      <c r="A769">
        <v>12030611</v>
      </c>
      <c r="B769">
        <v>4010</v>
      </c>
      <c r="C769">
        <v>300</v>
      </c>
      <c r="D769" s="17">
        <v>212.87</v>
      </c>
      <c r="I769" t="s">
        <v>393</v>
      </c>
    </row>
    <row r="770" spans="1:9" x14ac:dyDescent="0.2">
      <c r="A770">
        <v>12030611</v>
      </c>
      <c r="B770">
        <v>4010</v>
      </c>
      <c r="C770">
        <v>300</v>
      </c>
      <c r="D770" s="17">
        <v>129.02000000000001</v>
      </c>
      <c r="I770" t="s">
        <v>393</v>
      </c>
    </row>
    <row r="771" spans="1:9" hidden="1" x14ac:dyDescent="0.2">
      <c r="A771">
        <v>12030611</v>
      </c>
      <c r="B771">
        <v>4010</v>
      </c>
      <c r="C771">
        <v>400</v>
      </c>
      <c r="D771" s="17">
        <v>26.74</v>
      </c>
      <c r="I771" t="s">
        <v>392</v>
      </c>
    </row>
    <row r="772" spans="1:9" hidden="1" x14ac:dyDescent="0.2">
      <c r="A772">
        <v>12030611</v>
      </c>
      <c r="B772">
        <v>4010</v>
      </c>
      <c r="C772">
        <v>400</v>
      </c>
      <c r="D772" s="17">
        <v>13.37</v>
      </c>
      <c r="I772" t="s">
        <v>392</v>
      </c>
    </row>
    <row r="773" spans="1:9" hidden="1" x14ac:dyDescent="0.2">
      <c r="A773">
        <v>12030611</v>
      </c>
      <c r="B773">
        <v>4010</v>
      </c>
      <c r="C773">
        <v>400</v>
      </c>
      <c r="D773" s="17">
        <v>26.74</v>
      </c>
      <c r="I773" t="s">
        <v>392</v>
      </c>
    </row>
    <row r="774" spans="1:9" hidden="1" x14ac:dyDescent="0.2">
      <c r="A774">
        <v>12030611</v>
      </c>
      <c r="B774">
        <v>4010</v>
      </c>
      <c r="C774">
        <v>400</v>
      </c>
      <c r="D774" s="17">
        <v>40.11</v>
      </c>
      <c r="I774" t="s">
        <v>392</v>
      </c>
    </row>
    <row r="775" spans="1:9" hidden="1" x14ac:dyDescent="0.2">
      <c r="A775">
        <v>12030611</v>
      </c>
      <c r="B775">
        <v>4010</v>
      </c>
      <c r="C775">
        <v>400</v>
      </c>
      <c r="D775" s="17">
        <v>13.37</v>
      </c>
      <c r="I775" t="s">
        <v>392</v>
      </c>
    </row>
    <row r="776" spans="1:9" hidden="1" x14ac:dyDescent="0.2">
      <c r="A776">
        <v>12030611</v>
      </c>
      <c r="B776">
        <v>4010</v>
      </c>
      <c r="C776">
        <v>400</v>
      </c>
      <c r="D776" s="17">
        <v>40.11</v>
      </c>
      <c r="I776" t="s">
        <v>393</v>
      </c>
    </row>
    <row r="777" spans="1:9" hidden="1" x14ac:dyDescent="0.2">
      <c r="A777">
        <v>12030611</v>
      </c>
      <c r="B777">
        <v>4010</v>
      </c>
      <c r="C777">
        <v>400</v>
      </c>
      <c r="D777" s="17">
        <v>13.37</v>
      </c>
      <c r="I777" t="s">
        <v>393</v>
      </c>
    </row>
    <row r="778" spans="1:9" hidden="1" x14ac:dyDescent="0.2">
      <c r="A778">
        <v>12030611</v>
      </c>
      <c r="B778">
        <v>4010</v>
      </c>
      <c r="C778">
        <v>400</v>
      </c>
      <c r="D778" s="17">
        <v>26.74</v>
      </c>
      <c r="I778" t="s">
        <v>393</v>
      </c>
    </row>
    <row r="779" spans="1:9" hidden="1" x14ac:dyDescent="0.2">
      <c r="A779">
        <v>12030611</v>
      </c>
      <c r="B779">
        <v>4010</v>
      </c>
      <c r="C779">
        <v>400</v>
      </c>
      <c r="D779" s="17">
        <v>26.74</v>
      </c>
      <c r="I779" t="s">
        <v>393</v>
      </c>
    </row>
    <row r="780" spans="1:9" hidden="1" x14ac:dyDescent="0.2">
      <c r="A780">
        <v>12030611</v>
      </c>
      <c r="B780">
        <v>4010</v>
      </c>
      <c r="C780">
        <v>400</v>
      </c>
      <c r="D780" s="17">
        <v>40.11</v>
      </c>
      <c r="I780" t="s">
        <v>393</v>
      </c>
    </row>
    <row r="781" spans="1:9" hidden="1" x14ac:dyDescent="0.2">
      <c r="A781">
        <v>12030611</v>
      </c>
      <c r="B781">
        <v>4010</v>
      </c>
      <c r="C781">
        <v>400</v>
      </c>
      <c r="D781" s="17">
        <v>13.37</v>
      </c>
      <c r="I781" t="s">
        <v>393</v>
      </c>
    </row>
    <row r="782" spans="1:9" hidden="1" x14ac:dyDescent="0.2">
      <c r="A782">
        <v>12030611</v>
      </c>
      <c r="B782">
        <v>4010</v>
      </c>
      <c r="C782">
        <v>400</v>
      </c>
      <c r="D782" s="17">
        <v>26.74</v>
      </c>
      <c r="I782" t="s">
        <v>393</v>
      </c>
    </row>
    <row r="783" spans="1:9" hidden="1" x14ac:dyDescent="0.2">
      <c r="A783">
        <v>12030611</v>
      </c>
      <c r="B783">
        <v>4080</v>
      </c>
      <c r="C783">
        <v>100</v>
      </c>
      <c r="D783" s="17">
        <v>46.22</v>
      </c>
      <c r="I783" t="s">
        <v>392</v>
      </c>
    </row>
    <row r="784" spans="1:9" hidden="1" x14ac:dyDescent="0.2">
      <c r="A784">
        <v>12030611</v>
      </c>
      <c r="B784">
        <v>4080</v>
      </c>
      <c r="C784">
        <v>100</v>
      </c>
      <c r="D784" s="17">
        <v>62.4</v>
      </c>
      <c r="I784" t="s">
        <v>392</v>
      </c>
    </row>
    <row r="785" spans="1:9" hidden="1" x14ac:dyDescent="0.2">
      <c r="A785">
        <v>12030611</v>
      </c>
      <c r="B785">
        <v>4080</v>
      </c>
      <c r="C785">
        <v>100</v>
      </c>
      <c r="D785" s="17">
        <v>87.67</v>
      </c>
      <c r="I785" t="s">
        <v>392</v>
      </c>
    </row>
    <row r="786" spans="1:9" hidden="1" x14ac:dyDescent="0.2">
      <c r="A786">
        <v>12030611</v>
      </c>
      <c r="B786">
        <v>4080</v>
      </c>
      <c r="C786">
        <v>100</v>
      </c>
      <c r="D786" s="17">
        <v>125.22</v>
      </c>
      <c r="I786" t="s">
        <v>392</v>
      </c>
    </row>
    <row r="787" spans="1:9" hidden="1" x14ac:dyDescent="0.2">
      <c r="A787">
        <v>12030611</v>
      </c>
      <c r="B787">
        <v>4080</v>
      </c>
      <c r="C787">
        <v>100</v>
      </c>
      <c r="D787" s="17">
        <v>111.6</v>
      </c>
      <c r="I787" t="s">
        <v>392</v>
      </c>
    </row>
    <row r="788" spans="1:9" hidden="1" x14ac:dyDescent="0.2">
      <c r="A788">
        <v>12030611</v>
      </c>
      <c r="B788">
        <v>4080</v>
      </c>
      <c r="C788">
        <v>100</v>
      </c>
      <c r="D788" s="17">
        <v>153.13999999999999</v>
      </c>
      <c r="I788" t="s">
        <v>392</v>
      </c>
    </row>
    <row r="789" spans="1:9" hidden="1" x14ac:dyDescent="0.2">
      <c r="A789">
        <v>12030611</v>
      </c>
      <c r="B789">
        <v>4080</v>
      </c>
      <c r="C789">
        <v>100</v>
      </c>
      <c r="D789" s="17">
        <v>45.03</v>
      </c>
      <c r="I789" t="s">
        <v>392</v>
      </c>
    </row>
    <row r="790" spans="1:9" hidden="1" x14ac:dyDescent="0.2">
      <c r="A790">
        <v>12030611</v>
      </c>
      <c r="B790">
        <v>4080</v>
      </c>
      <c r="C790">
        <v>100</v>
      </c>
      <c r="D790" s="17">
        <v>153.11000000000001</v>
      </c>
      <c r="I790" t="s">
        <v>392</v>
      </c>
    </row>
    <row r="791" spans="1:9" hidden="1" x14ac:dyDescent="0.2">
      <c r="A791">
        <v>12030611</v>
      </c>
      <c r="B791">
        <v>4080</v>
      </c>
      <c r="C791">
        <v>100</v>
      </c>
      <c r="D791" s="17">
        <v>133.37</v>
      </c>
      <c r="I791" t="s">
        <v>392</v>
      </c>
    </row>
    <row r="792" spans="1:9" hidden="1" x14ac:dyDescent="0.2">
      <c r="A792">
        <v>12030611</v>
      </c>
      <c r="B792">
        <v>4080</v>
      </c>
      <c r="C792">
        <v>100</v>
      </c>
      <c r="D792" s="17">
        <v>115.34</v>
      </c>
      <c r="I792" t="s">
        <v>392</v>
      </c>
    </row>
    <row r="793" spans="1:9" hidden="1" x14ac:dyDescent="0.2">
      <c r="A793">
        <v>12030611</v>
      </c>
      <c r="B793">
        <v>4080</v>
      </c>
      <c r="C793">
        <v>100</v>
      </c>
      <c r="D793">
        <v>120.07</v>
      </c>
      <c r="I793" t="s">
        <v>392</v>
      </c>
    </row>
    <row r="794" spans="1:9" hidden="1" x14ac:dyDescent="0.2">
      <c r="A794">
        <v>12030611</v>
      </c>
      <c r="B794">
        <v>4080</v>
      </c>
      <c r="C794">
        <v>100</v>
      </c>
      <c r="D794" s="17">
        <v>54.16</v>
      </c>
      <c r="I794" t="s">
        <v>393</v>
      </c>
    </row>
    <row r="795" spans="1:9" hidden="1" x14ac:dyDescent="0.2">
      <c r="A795">
        <v>12030611</v>
      </c>
      <c r="B795">
        <v>4080</v>
      </c>
      <c r="C795">
        <v>100</v>
      </c>
      <c r="D795" s="17">
        <v>63.19</v>
      </c>
      <c r="I795" t="s">
        <v>393</v>
      </c>
    </row>
    <row r="796" spans="1:9" hidden="1" x14ac:dyDescent="0.2">
      <c r="A796">
        <v>12030611</v>
      </c>
      <c r="B796">
        <v>4080</v>
      </c>
      <c r="C796">
        <v>100</v>
      </c>
      <c r="D796" s="17">
        <v>98.22</v>
      </c>
      <c r="I796" t="s">
        <v>393</v>
      </c>
    </row>
    <row r="797" spans="1:9" hidden="1" x14ac:dyDescent="0.2">
      <c r="A797">
        <v>12030611</v>
      </c>
      <c r="B797">
        <v>4080</v>
      </c>
      <c r="C797">
        <v>100</v>
      </c>
      <c r="D797" s="17">
        <v>13.7</v>
      </c>
      <c r="I797" t="s">
        <v>393</v>
      </c>
    </row>
    <row r="798" spans="1:9" hidden="1" x14ac:dyDescent="0.2">
      <c r="A798">
        <v>12030611</v>
      </c>
      <c r="B798">
        <v>4080</v>
      </c>
      <c r="C798">
        <v>100</v>
      </c>
      <c r="D798" s="17">
        <v>125.22</v>
      </c>
      <c r="I798" t="s">
        <v>393</v>
      </c>
    </row>
    <row r="799" spans="1:9" hidden="1" x14ac:dyDescent="0.2">
      <c r="A799">
        <v>12030611</v>
      </c>
      <c r="B799">
        <v>4080</v>
      </c>
      <c r="C799">
        <v>100</v>
      </c>
      <c r="D799" s="17">
        <v>136.4</v>
      </c>
      <c r="I799" t="s">
        <v>393</v>
      </c>
    </row>
    <row r="800" spans="1:9" hidden="1" x14ac:dyDescent="0.2">
      <c r="A800">
        <v>12030611</v>
      </c>
      <c r="B800">
        <v>4080</v>
      </c>
      <c r="C800">
        <v>100</v>
      </c>
      <c r="D800" s="17">
        <v>153.13999999999999</v>
      </c>
      <c r="I800" t="s">
        <v>393</v>
      </c>
    </row>
    <row r="801" spans="1:9" hidden="1" x14ac:dyDescent="0.2">
      <c r="A801">
        <v>12030611</v>
      </c>
      <c r="B801">
        <v>4080</v>
      </c>
      <c r="C801">
        <v>100</v>
      </c>
      <c r="D801" s="17">
        <v>103.61</v>
      </c>
      <c r="I801" t="s">
        <v>393</v>
      </c>
    </row>
    <row r="802" spans="1:9" hidden="1" x14ac:dyDescent="0.2">
      <c r="A802">
        <v>12030611</v>
      </c>
      <c r="B802">
        <v>4080</v>
      </c>
      <c r="C802">
        <v>100</v>
      </c>
      <c r="D802" s="17">
        <v>153.11000000000001</v>
      </c>
      <c r="I802" t="s">
        <v>393</v>
      </c>
    </row>
    <row r="803" spans="1:9" hidden="1" x14ac:dyDescent="0.2">
      <c r="A803">
        <v>12030611</v>
      </c>
      <c r="B803">
        <v>4080</v>
      </c>
      <c r="C803">
        <v>100</v>
      </c>
      <c r="D803" s="17">
        <v>133.81</v>
      </c>
      <c r="I803" t="s">
        <v>393</v>
      </c>
    </row>
    <row r="804" spans="1:9" hidden="1" x14ac:dyDescent="0.2">
      <c r="A804">
        <v>12030611</v>
      </c>
      <c r="B804">
        <v>4080</v>
      </c>
      <c r="C804">
        <v>100</v>
      </c>
      <c r="D804" s="17">
        <v>118.76</v>
      </c>
      <c r="I804" t="s">
        <v>393</v>
      </c>
    </row>
    <row r="805" spans="1:9" hidden="1" x14ac:dyDescent="0.2">
      <c r="A805">
        <v>12030611</v>
      </c>
      <c r="B805">
        <v>4080</v>
      </c>
      <c r="C805">
        <v>100</v>
      </c>
      <c r="D805" s="17">
        <v>120.07</v>
      </c>
      <c r="I805" t="s">
        <v>393</v>
      </c>
    </row>
    <row r="806" spans="1:9" hidden="1" x14ac:dyDescent="0.2">
      <c r="A806">
        <v>12030711</v>
      </c>
      <c r="B806">
        <v>4010</v>
      </c>
      <c r="C806">
        <v>100</v>
      </c>
      <c r="D806" s="17">
        <v>219.61</v>
      </c>
      <c r="I806" t="s">
        <v>392</v>
      </c>
    </row>
    <row r="807" spans="1:9" hidden="1" x14ac:dyDescent="0.2">
      <c r="A807">
        <v>12030711</v>
      </c>
      <c r="B807">
        <v>4010</v>
      </c>
      <c r="C807">
        <v>100</v>
      </c>
      <c r="D807" s="17">
        <v>2159.23</v>
      </c>
      <c r="I807" t="s">
        <v>392</v>
      </c>
    </row>
    <row r="808" spans="1:9" hidden="1" x14ac:dyDescent="0.2">
      <c r="A808">
        <v>12030711</v>
      </c>
      <c r="B808">
        <v>4010</v>
      </c>
      <c r="C808">
        <v>100</v>
      </c>
      <c r="D808" s="17">
        <v>341.85</v>
      </c>
      <c r="I808" t="s">
        <v>392</v>
      </c>
    </row>
    <row r="809" spans="1:9" hidden="1" x14ac:dyDescent="0.2">
      <c r="A809">
        <v>12030711</v>
      </c>
      <c r="B809">
        <v>4010</v>
      </c>
      <c r="C809">
        <v>100</v>
      </c>
      <c r="D809" s="17">
        <v>1333.75</v>
      </c>
      <c r="I809" t="s">
        <v>392</v>
      </c>
    </row>
    <row r="810" spans="1:9" hidden="1" x14ac:dyDescent="0.2">
      <c r="A810">
        <v>12030711</v>
      </c>
      <c r="B810">
        <v>4010</v>
      </c>
      <c r="C810">
        <v>100</v>
      </c>
      <c r="D810" s="17">
        <v>148.19</v>
      </c>
      <c r="I810" t="s">
        <v>392</v>
      </c>
    </row>
    <row r="811" spans="1:9" hidden="1" x14ac:dyDescent="0.2">
      <c r="A811">
        <v>12030711</v>
      </c>
      <c r="B811">
        <v>4010</v>
      </c>
      <c r="C811">
        <v>100</v>
      </c>
      <c r="D811" s="17">
        <v>1360.97</v>
      </c>
      <c r="I811" t="s">
        <v>392</v>
      </c>
    </row>
    <row r="812" spans="1:9" hidden="1" x14ac:dyDescent="0.2">
      <c r="A812">
        <v>12030711</v>
      </c>
      <c r="B812">
        <v>4010</v>
      </c>
      <c r="C812">
        <v>100</v>
      </c>
      <c r="D812" s="17">
        <v>340.24</v>
      </c>
      <c r="I812" t="s">
        <v>392</v>
      </c>
    </row>
    <row r="813" spans="1:9" hidden="1" x14ac:dyDescent="0.2">
      <c r="A813">
        <v>12030711</v>
      </c>
      <c r="B813">
        <v>4010</v>
      </c>
      <c r="C813">
        <v>100</v>
      </c>
      <c r="D813" s="17">
        <v>1060.4000000000001</v>
      </c>
      <c r="I813" t="s">
        <v>392</v>
      </c>
    </row>
    <row r="814" spans="1:9" hidden="1" x14ac:dyDescent="0.2">
      <c r="A814">
        <v>12030711</v>
      </c>
      <c r="B814">
        <v>4010</v>
      </c>
      <c r="C814">
        <v>100</v>
      </c>
      <c r="D814" s="17">
        <v>1319.34</v>
      </c>
      <c r="I814" t="s">
        <v>392</v>
      </c>
    </row>
    <row r="815" spans="1:9" hidden="1" x14ac:dyDescent="0.2">
      <c r="A815">
        <v>12030711</v>
      </c>
      <c r="B815">
        <v>4010</v>
      </c>
      <c r="C815">
        <v>100</v>
      </c>
      <c r="D815" s="17">
        <v>153.83000000000001</v>
      </c>
      <c r="E815" s="17"/>
      <c r="F815" s="18"/>
      <c r="I815" t="s">
        <v>393</v>
      </c>
    </row>
    <row r="816" spans="1:9" hidden="1" x14ac:dyDescent="0.2">
      <c r="A816">
        <v>12030711</v>
      </c>
      <c r="B816">
        <v>4010</v>
      </c>
      <c r="C816">
        <v>100</v>
      </c>
      <c r="D816" s="17">
        <v>153.83000000000001</v>
      </c>
      <c r="E816" s="17"/>
      <c r="F816" s="18"/>
      <c r="I816" t="s">
        <v>393</v>
      </c>
    </row>
    <row r="817" spans="1:9" hidden="1" x14ac:dyDescent="0.2">
      <c r="A817">
        <v>12030711</v>
      </c>
      <c r="B817">
        <v>4010</v>
      </c>
      <c r="C817">
        <v>100</v>
      </c>
      <c r="D817" s="17">
        <v>1943.31</v>
      </c>
      <c r="E817" s="17"/>
      <c r="F817" s="18"/>
      <c r="I817" t="s">
        <v>393</v>
      </c>
    </row>
    <row r="818" spans="1:9" hidden="1" x14ac:dyDescent="0.2">
      <c r="A818">
        <v>12030711</v>
      </c>
      <c r="B818">
        <v>4010</v>
      </c>
      <c r="C818">
        <v>100</v>
      </c>
      <c r="D818" s="17">
        <v>215.92</v>
      </c>
      <c r="E818" s="17"/>
      <c r="F818" s="18"/>
      <c r="I818" t="s">
        <v>393</v>
      </c>
    </row>
    <row r="819" spans="1:9" hidden="1" x14ac:dyDescent="0.2">
      <c r="A819" s="19">
        <v>12030711</v>
      </c>
      <c r="B819">
        <v>4010</v>
      </c>
      <c r="C819">
        <v>100</v>
      </c>
      <c r="D819" s="17">
        <v>396.65</v>
      </c>
      <c r="E819" s="20"/>
      <c r="F819" s="21"/>
      <c r="G819" s="19"/>
      <c r="H819" s="19"/>
      <c r="I819" t="s">
        <v>393</v>
      </c>
    </row>
    <row r="820" spans="1:9" hidden="1" x14ac:dyDescent="0.2">
      <c r="A820" s="19">
        <v>12030711</v>
      </c>
      <c r="B820">
        <v>4010</v>
      </c>
      <c r="C820">
        <v>100</v>
      </c>
      <c r="D820" s="17">
        <v>1333.75</v>
      </c>
      <c r="E820" s="20"/>
      <c r="F820" s="21"/>
      <c r="G820" s="19"/>
      <c r="H820" s="19"/>
      <c r="I820" t="s">
        <v>393</v>
      </c>
    </row>
    <row r="821" spans="1:9" hidden="1" x14ac:dyDescent="0.2">
      <c r="A821" s="19">
        <v>12030711</v>
      </c>
      <c r="B821">
        <v>4010</v>
      </c>
      <c r="C821">
        <v>100</v>
      </c>
      <c r="D821" s="17">
        <v>148.19</v>
      </c>
      <c r="E821" s="20"/>
      <c r="F821" s="21"/>
      <c r="G821" s="19"/>
      <c r="H821" s="19"/>
      <c r="I821" t="s">
        <v>393</v>
      </c>
    </row>
    <row r="822" spans="1:9" hidden="1" x14ac:dyDescent="0.2">
      <c r="A822">
        <v>12030711</v>
      </c>
      <c r="B822">
        <v>4010</v>
      </c>
      <c r="C822">
        <v>100</v>
      </c>
      <c r="D822" s="17">
        <v>1519.89</v>
      </c>
      <c r="E822" s="17"/>
      <c r="F822" s="18"/>
      <c r="I822" t="s">
        <v>393</v>
      </c>
    </row>
    <row r="823" spans="1:9" hidden="1" x14ac:dyDescent="0.2">
      <c r="A823">
        <v>12030711</v>
      </c>
      <c r="B823">
        <v>4010</v>
      </c>
      <c r="C823">
        <v>100</v>
      </c>
      <c r="D823" s="17">
        <v>170.12</v>
      </c>
      <c r="E823" s="17"/>
      <c r="F823" s="18"/>
      <c r="I823" t="s">
        <v>393</v>
      </c>
    </row>
    <row r="824" spans="1:9" hidden="1" x14ac:dyDescent="0.2">
      <c r="A824">
        <v>12030711</v>
      </c>
      <c r="B824">
        <v>4010</v>
      </c>
      <c r="C824">
        <v>100</v>
      </c>
      <c r="D824" s="17">
        <v>800.57</v>
      </c>
      <c r="E824" s="17"/>
      <c r="F824" s="18"/>
      <c r="I824" t="s">
        <v>393</v>
      </c>
    </row>
    <row r="825" spans="1:9" hidden="1" x14ac:dyDescent="0.2">
      <c r="A825">
        <v>12030711</v>
      </c>
      <c r="B825">
        <v>4010</v>
      </c>
      <c r="C825">
        <v>100</v>
      </c>
      <c r="D825" s="17">
        <v>133.43</v>
      </c>
      <c r="E825" s="17"/>
      <c r="F825" s="18"/>
      <c r="I825" t="s">
        <v>393</v>
      </c>
    </row>
    <row r="826" spans="1:9" hidden="1" x14ac:dyDescent="0.2">
      <c r="A826">
        <v>12030711</v>
      </c>
      <c r="B826">
        <v>4010</v>
      </c>
      <c r="C826">
        <v>100</v>
      </c>
      <c r="D826" s="17">
        <v>266.86</v>
      </c>
      <c r="E826" s="17"/>
      <c r="F826" s="18"/>
      <c r="I826" t="s">
        <v>393</v>
      </c>
    </row>
    <row r="827" spans="1:9" hidden="1" x14ac:dyDescent="0.2">
      <c r="A827">
        <v>12030711</v>
      </c>
      <c r="B827">
        <v>4010</v>
      </c>
      <c r="C827">
        <v>100</v>
      </c>
      <c r="D827" s="17">
        <v>1482.18</v>
      </c>
      <c r="E827" s="17"/>
      <c r="F827" s="18"/>
      <c r="I827" t="s">
        <v>393</v>
      </c>
    </row>
    <row r="828" spans="1:9" hidden="1" x14ac:dyDescent="0.2">
      <c r="A828">
        <v>12030711</v>
      </c>
      <c r="B828">
        <v>4010</v>
      </c>
      <c r="C828">
        <v>200</v>
      </c>
      <c r="D828" s="17">
        <v>217.66</v>
      </c>
      <c r="I828" t="s">
        <v>392</v>
      </c>
    </row>
    <row r="829" spans="1:9" hidden="1" x14ac:dyDescent="0.2">
      <c r="A829">
        <v>12030711</v>
      </c>
      <c r="B829">
        <v>4010</v>
      </c>
      <c r="C829">
        <v>200</v>
      </c>
      <c r="D829" s="17">
        <v>1066.1600000000001</v>
      </c>
      <c r="I829" t="s">
        <v>392</v>
      </c>
    </row>
    <row r="830" spans="1:9" hidden="1" x14ac:dyDescent="0.2">
      <c r="A830">
        <v>12030711</v>
      </c>
      <c r="B830">
        <v>4010</v>
      </c>
      <c r="C830">
        <v>200</v>
      </c>
      <c r="D830" s="17">
        <v>435.33</v>
      </c>
      <c r="E830" s="17"/>
      <c r="F830" s="18"/>
      <c r="I830" t="s">
        <v>393</v>
      </c>
    </row>
    <row r="831" spans="1:9" hidden="1" x14ac:dyDescent="0.2">
      <c r="A831">
        <v>12030711</v>
      </c>
      <c r="B831">
        <v>4010</v>
      </c>
      <c r="C831">
        <v>200</v>
      </c>
      <c r="D831" s="17">
        <v>947.7</v>
      </c>
      <c r="E831" s="17"/>
      <c r="F831" s="18"/>
      <c r="I831" t="s">
        <v>393</v>
      </c>
    </row>
    <row r="832" spans="1:9" x14ac:dyDescent="0.2">
      <c r="A832">
        <v>12030711</v>
      </c>
      <c r="B832">
        <v>4010</v>
      </c>
      <c r="C832">
        <v>300</v>
      </c>
      <c r="D832" s="17">
        <v>234.39</v>
      </c>
      <c r="I832" t="s">
        <v>392</v>
      </c>
    </row>
    <row r="833" spans="1:9" x14ac:dyDescent="0.2">
      <c r="A833">
        <v>12030711</v>
      </c>
      <c r="B833">
        <v>4010</v>
      </c>
      <c r="C833">
        <v>300</v>
      </c>
      <c r="D833" s="17">
        <v>16.399999999999999</v>
      </c>
      <c r="I833" t="s">
        <v>392</v>
      </c>
    </row>
    <row r="834" spans="1:9" x14ac:dyDescent="0.2">
      <c r="A834">
        <v>12030711</v>
      </c>
      <c r="B834">
        <v>4010</v>
      </c>
      <c r="C834">
        <v>300</v>
      </c>
      <c r="D834" s="17">
        <v>168.18</v>
      </c>
      <c r="I834" t="s">
        <v>392</v>
      </c>
    </row>
    <row r="835" spans="1:9" x14ac:dyDescent="0.2">
      <c r="A835">
        <v>12030711</v>
      </c>
      <c r="B835">
        <v>4010</v>
      </c>
      <c r="C835">
        <v>300</v>
      </c>
      <c r="D835" s="17">
        <v>175.49</v>
      </c>
      <c r="I835" t="s">
        <v>392</v>
      </c>
    </row>
    <row r="836" spans="1:9" x14ac:dyDescent="0.2">
      <c r="A836">
        <v>12030711</v>
      </c>
      <c r="B836">
        <v>4010</v>
      </c>
      <c r="C836">
        <v>300</v>
      </c>
      <c r="D836" s="17">
        <v>117.52</v>
      </c>
      <c r="I836" t="s">
        <v>392</v>
      </c>
    </row>
    <row r="837" spans="1:9" x14ac:dyDescent="0.2">
      <c r="A837">
        <v>12030711</v>
      </c>
      <c r="B837">
        <v>4010</v>
      </c>
      <c r="C837">
        <v>300</v>
      </c>
      <c r="D837" s="17">
        <v>26.33</v>
      </c>
      <c r="I837" t="s">
        <v>392</v>
      </c>
    </row>
    <row r="838" spans="1:9" x14ac:dyDescent="0.2">
      <c r="A838">
        <v>12030711</v>
      </c>
      <c r="B838">
        <v>4010</v>
      </c>
      <c r="C838">
        <v>300</v>
      </c>
      <c r="D838" s="17">
        <v>65.819999999999993</v>
      </c>
      <c r="I838" t="s">
        <v>392</v>
      </c>
    </row>
    <row r="839" spans="1:9" x14ac:dyDescent="0.2">
      <c r="A839">
        <v>12030711</v>
      </c>
      <c r="B839">
        <v>4010</v>
      </c>
      <c r="C839">
        <v>300</v>
      </c>
      <c r="D839" s="17">
        <v>404.81</v>
      </c>
      <c r="E839" s="17"/>
      <c r="F839" s="18"/>
      <c r="I839" t="s">
        <v>393</v>
      </c>
    </row>
    <row r="840" spans="1:9" x14ac:dyDescent="0.2">
      <c r="A840">
        <v>12030711</v>
      </c>
      <c r="B840">
        <v>4010</v>
      </c>
      <c r="C840">
        <v>300</v>
      </c>
      <c r="D840" s="17">
        <v>383.55</v>
      </c>
      <c r="E840" s="17"/>
      <c r="F840" s="18"/>
      <c r="I840" t="s">
        <v>393</v>
      </c>
    </row>
    <row r="841" spans="1:9" x14ac:dyDescent="0.2">
      <c r="A841">
        <v>12030711</v>
      </c>
      <c r="B841">
        <v>4010</v>
      </c>
      <c r="C841">
        <v>300</v>
      </c>
      <c r="D841" s="17">
        <v>8.52</v>
      </c>
      <c r="E841" s="17"/>
      <c r="F841" s="18"/>
      <c r="I841" t="s">
        <v>393</v>
      </c>
    </row>
    <row r="842" spans="1:9" x14ac:dyDescent="0.2">
      <c r="A842">
        <v>12030711</v>
      </c>
      <c r="B842">
        <v>4010</v>
      </c>
      <c r="C842">
        <v>300</v>
      </c>
      <c r="D842" s="17">
        <v>17.809999999999999</v>
      </c>
      <c r="E842" s="17"/>
      <c r="F842" s="18"/>
      <c r="I842" t="s">
        <v>393</v>
      </c>
    </row>
    <row r="843" spans="1:9" x14ac:dyDescent="0.2">
      <c r="A843">
        <v>12030711</v>
      </c>
      <c r="B843">
        <v>4010</v>
      </c>
      <c r="C843">
        <v>300</v>
      </c>
      <c r="D843" s="17">
        <v>5.47</v>
      </c>
      <c r="E843" s="17"/>
      <c r="F843" s="18"/>
      <c r="I843" t="s">
        <v>393</v>
      </c>
    </row>
    <row r="844" spans="1:9" x14ac:dyDescent="0.2">
      <c r="A844">
        <v>12030711</v>
      </c>
      <c r="B844">
        <v>4010</v>
      </c>
      <c r="C844">
        <v>300</v>
      </c>
      <c r="D844" s="17">
        <v>51.19</v>
      </c>
      <c r="E844" s="17"/>
      <c r="F844" s="18"/>
      <c r="I844" t="s">
        <v>393</v>
      </c>
    </row>
    <row r="845" spans="1:9" x14ac:dyDescent="0.2">
      <c r="A845">
        <v>12030711</v>
      </c>
      <c r="B845">
        <v>4010</v>
      </c>
      <c r="C845">
        <v>300</v>
      </c>
      <c r="D845" s="17">
        <v>209.85</v>
      </c>
      <c r="E845" s="17"/>
      <c r="F845" s="18"/>
      <c r="I845" t="s">
        <v>393</v>
      </c>
    </row>
    <row r="846" spans="1:9" x14ac:dyDescent="0.2">
      <c r="A846">
        <v>12030711</v>
      </c>
      <c r="B846">
        <v>4010</v>
      </c>
      <c r="C846">
        <v>300</v>
      </c>
      <c r="D846" s="17">
        <v>85.59</v>
      </c>
      <c r="I846" t="s">
        <v>393</v>
      </c>
    </row>
    <row r="847" spans="1:9" x14ac:dyDescent="0.2">
      <c r="A847">
        <v>12030711</v>
      </c>
      <c r="B847">
        <v>4010</v>
      </c>
      <c r="C847">
        <v>300</v>
      </c>
      <c r="D847" s="17">
        <v>17.559999999999999</v>
      </c>
      <c r="I847" t="s">
        <v>393</v>
      </c>
    </row>
    <row r="848" spans="1:9" x14ac:dyDescent="0.2">
      <c r="A848">
        <v>12030711</v>
      </c>
      <c r="B848">
        <v>4010</v>
      </c>
      <c r="C848">
        <v>300</v>
      </c>
      <c r="D848" s="17">
        <v>29.25</v>
      </c>
      <c r="I848" t="s">
        <v>393</v>
      </c>
    </row>
    <row r="849" spans="1:9" x14ac:dyDescent="0.2">
      <c r="A849">
        <v>12030711</v>
      </c>
      <c r="B849">
        <v>4010</v>
      </c>
      <c r="C849">
        <v>300</v>
      </c>
      <c r="D849" s="17">
        <v>219.4</v>
      </c>
      <c r="I849" t="s">
        <v>393</v>
      </c>
    </row>
    <row r="850" spans="1:9" hidden="1" x14ac:dyDescent="0.2">
      <c r="A850">
        <v>12030711</v>
      </c>
      <c r="B850">
        <v>4010</v>
      </c>
      <c r="C850">
        <v>400</v>
      </c>
      <c r="D850" s="17">
        <v>19.829999999999998</v>
      </c>
      <c r="I850" t="s">
        <v>392</v>
      </c>
    </row>
    <row r="851" spans="1:9" hidden="1" x14ac:dyDescent="0.2">
      <c r="A851">
        <v>12030711</v>
      </c>
      <c r="B851">
        <v>4010</v>
      </c>
      <c r="C851">
        <v>400</v>
      </c>
      <c r="D851" s="17">
        <v>13.37</v>
      </c>
      <c r="I851" t="s">
        <v>392</v>
      </c>
    </row>
    <row r="852" spans="1:9" hidden="1" x14ac:dyDescent="0.2">
      <c r="A852">
        <v>12030711</v>
      </c>
      <c r="B852">
        <v>4010</v>
      </c>
      <c r="C852">
        <v>400</v>
      </c>
      <c r="D852" s="17">
        <v>19.829999999999998</v>
      </c>
      <c r="I852" t="s">
        <v>392</v>
      </c>
    </row>
    <row r="853" spans="1:9" hidden="1" x14ac:dyDescent="0.2">
      <c r="A853">
        <v>12030711</v>
      </c>
      <c r="B853">
        <v>4010</v>
      </c>
      <c r="C853">
        <v>400</v>
      </c>
      <c r="D853" s="17">
        <v>13.37</v>
      </c>
      <c r="I853" t="s">
        <v>392</v>
      </c>
    </row>
    <row r="854" spans="1:9" hidden="1" x14ac:dyDescent="0.2">
      <c r="A854">
        <v>12030711</v>
      </c>
      <c r="B854">
        <v>4010</v>
      </c>
      <c r="C854">
        <v>400</v>
      </c>
      <c r="D854" s="17">
        <v>13.37</v>
      </c>
      <c r="I854" t="s">
        <v>392</v>
      </c>
    </row>
    <row r="855" spans="1:9" hidden="1" x14ac:dyDescent="0.2">
      <c r="A855">
        <v>12030711</v>
      </c>
      <c r="B855">
        <v>4010</v>
      </c>
      <c r="C855">
        <v>400</v>
      </c>
      <c r="D855" s="17">
        <v>13.37</v>
      </c>
      <c r="I855" t="s">
        <v>392</v>
      </c>
    </row>
    <row r="856" spans="1:9" hidden="1" x14ac:dyDescent="0.2">
      <c r="A856">
        <v>12030711</v>
      </c>
      <c r="B856">
        <v>4010</v>
      </c>
      <c r="C856">
        <v>400</v>
      </c>
      <c r="D856" s="17">
        <v>13.37</v>
      </c>
      <c r="I856" t="s">
        <v>393</v>
      </c>
    </row>
    <row r="857" spans="1:9" hidden="1" x14ac:dyDescent="0.2">
      <c r="A857">
        <v>12030711</v>
      </c>
      <c r="B857">
        <v>4010</v>
      </c>
      <c r="C857">
        <v>400</v>
      </c>
      <c r="D857" s="17">
        <v>19.829999999999998</v>
      </c>
      <c r="I857" t="s">
        <v>393</v>
      </c>
    </row>
    <row r="858" spans="1:9" hidden="1" x14ac:dyDescent="0.2">
      <c r="A858">
        <v>12030711</v>
      </c>
      <c r="B858">
        <v>4010</v>
      </c>
      <c r="C858">
        <v>400</v>
      </c>
      <c r="D858" s="17">
        <v>26.74</v>
      </c>
      <c r="I858" t="s">
        <v>393</v>
      </c>
    </row>
    <row r="859" spans="1:9" hidden="1" x14ac:dyDescent="0.2">
      <c r="A859">
        <v>12030711</v>
      </c>
      <c r="B859">
        <v>4010</v>
      </c>
      <c r="C859">
        <v>400</v>
      </c>
      <c r="D859" s="17">
        <v>19.829999999999998</v>
      </c>
      <c r="I859" t="s">
        <v>393</v>
      </c>
    </row>
    <row r="860" spans="1:9" hidden="1" x14ac:dyDescent="0.2">
      <c r="A860">
        <v>12030711</v>
      </c>
      <c r="B860">
        <v>4010</v>
      </c>
      <c r="C860">
        <v>400</v>
      </c>
      <c r="D860" s="17">
        <v>13.37</v>
      </c>
      <c r="I860" t="s">
        <v>393</v>
      </c>
    </row>
    <row r="861" spans="1:9" hidden="1" x14ac:dyDescent="0.2">
      <c r="A861">
        <v>12030711</v>
      </c>
      <c r="B861">
        <v>4010</v>
      </c>
      <c r="C861">
        <v>400</v>
      </c>
      <c r="D861" s="17">
        <v>13.37</v>
      </c>
      <c r="I861" t="s">
        <v>393</v>
      </c>
    </row>
    <row r="862" spans="1:9" hidden="1" x14ac:dyDescent="0.2">
      <c r="A862">
        <v>12030711</v>
      </c>
      <c r="B862">
        <v>4010</v>
      </c>
      <c r="C862">
        <v>400</v>
      </c>
      <c r="D862" s="17">
        <v>13.37</v>
      </c>
      <c r="I862" t="s">
        <v>393</v>
      </c>
    </row>
    <row r="863" spans="1:9" hidden="1" x14ac:dyDescent="0.2">
      <c r="A863">
        <v>12030711</v>
      </c>
      <c r="B863">
        <v>4080</v>
      </c>
      <c r="C863">
        <v>100</v>
      </c>
      <c r="D863" s="17">
        <v>37.94</v>
      </c>
      <c r="I863" t="s">
        <v>392</v>
      </c>
    </row>
    <row r="864" spans="1:9" hidden="1" x14ac:dyDescent="0.2">
      <c r="A864">
        <v>12030711</v>
      </c>
      <c r="B864">
        <v>4080</v>
      </c>
      <c r="C864">
        <v>100</v>
      </c>
      <c r="D864" s="17">
        <v>194.33</v>
      </c>
      <c r="I864" t="s">
        <v>392</v>
      </c>
    </row>
    <row r="865" spans="1:9" hidden="1" x14ac:dyDescent="0.2">
      <c r="A865">
        <v>12030711</v>
      </c>
      <c r="B865">
        <v>4080</v>
      </c>
      <c r="C865">
        <v>100</v>
      </c>
      <c r="D865" s="17">
        <v>21.37</v>
      </c>
      <c r="I865" t="s">
        <v>392</v>
      </c>
    </row>
    <row r="866" spans="1:9" hidden="1" x14ac:dyDescent="0.2">
      <c r="A866">
        <v>12030711</v>
      </c>
      <c r="B866">
        <v>4080</v>
      </c>
      <c r="C866">
        <v>100</v>
      </c>
      <c r="D866" s="17">
        <v>95.95</v>
      </c>
      <c r="I866" t="s">
        <v>392</v>
      </c>
    </row>
    <row r="867" spans="1:9" hidden="1" x14ac:dyDescent="0.2">
      <c r="A867">
        <v>12030711</v>
      </c>
      <c r="B867">
        <v>4080</v>
      </c>
      <c r="C867">
        <v>100</v>
      </c>
      <c r="D867" s="17">
        <v>30.77</v>
      </c>
      <c r="I867" t="s">
        <v>392</v>
      </c>
    </row>
    <row r="868" spans="1:9" hidden="1" x14ac:dyDescent="0.2">
      <c r="A868">
        <v>12030711</v>
      </c>
      <c r="B868">
        <v>4080</v>
      </c>
      <c r="C868">
        <v>100</v>
      </c>
      <c r="D868" s="17">
        <v>133.37</v>
      </c>
      <c r="I868" t="s">
        <v>392</v>
      </c>
    </row>
    <row r="869" spans="1:9" hidden="1" x14ac:dyDescent="0.2">
      <c r="A869">
        <v>12030711</v>
      </c>
      <c r="B869">
        <v>4080</v>
      </c>
      <c r="C869">
        <v>100</v>
      </c>
      <c r="D869" s="17">
        <v>153.11000000000001</v>
      </c>
      <c r="I869" t="s">
        <v>392</v>
      </c>
    </row>
    <row r="870" spans="1:9" hidden="1" x14ac:dyDescent="0.2">
      <c r="A870">
        <v>12030711</v>
      </c>
      <c r="B870">
        <v>4080</v>
      </c>
      <c r="C870">
        <v>100</v>
      </c>
      <c r="D870" s="17">
        <v>120.09</v>
      </c>
      <c r="I870" t="s">
        <v>392</v>
      </c>
    </row>
    <row r="871" spans="1:9" hidden="1" x14ac:dyDescent="0.2">
      <c r="A871">
        <v>12030711</v>
      </c>
      <c r="B871">
        <v>4080</v>
      </c>
      <c r="C871">
        <v>100</v>
      </c>
      <c r="D871">
        <v>118.74</v>
      </c>
      <c r="I871" t="s">
        <v>392</v>
      </c>
    </row>
    <row r="872" spans="1:9" hidden="1" x14ac:dyDescent="0.2">
      <c r="A872">
        <v>12030711</v>
      </c>
      <c r="B872">
        <v>4080</v>
      </c>
      <c r="C872">
        <v>100</v>
      </c>
      <c r="D872" s="17">
        <v>38.58</v>
      </c>
      <c r="I872" t="s">
        <v>393</v>
      </c>
    </row>
    <row r="873" spans="1:9" hidden="1" x14ac:dyDescent="0.2">
      <c r="A873">
        <v>12030711</v>
      </c>
      <c r="B873">
        <v>4080</v>
      </c>
      <c r="C873">
        <v>100</v>
      </c>
      <c r="D873" s="17">
        <v>194.33</v>
      </c>
      <c r="I873" t="s">
        <v>393</v>
      </c>
    </row>
    <row r="874" spans="1:9" hidden="1" x14ac:dyDescent="0.2">
      <c r="A874">
        <v>12030711</v>
      </c>
      <c r="B874">
        <v>4080</v>
      </c>
      <c r="C874">
        <v>100</v>
      </c>
      <c r="D874" s="17">
        <v>40.96</v>
      </c>
      <c r="I874" t="s">
        <v>393</v>
      </c>
    </row>
    <row r="875" spans="1:9" hidden="1" x14ac:dyDescent="0.2">
      <c r="A875">
        <v>12030711</v>
      </c>
      <c r="B875">
        <v>4080</v>
      </c>
      <c r="C875">
        <v>100</v>
      </c>
      <c r="D875" s="17">
        <v>85.29</v>
      </c>
      <c r="I875" t="s">
        <v>393</v>
      </c>
    </row>
    <row r="876" spans="1:9" hidden="1" x14ac:dyDescent="0.2">
      <c r="A876">
        <v>12030711</v>
      </c>
      <c r="B876">
        <v>4080</v>
      </c>
      <c r="C876">
        <v>100</v>
      </c>
      <c r="D876" s="17">
        <v>35.700000000000003</v>
      </c>
      <c r="I876" t="s">
        <v>393</v>
      </c>
    </row>
    <row r="877" spans="1:9" hidden="1" x14ac:dyDescent="0.2">
      <c r="A877">
        <v>12030711</v>
      </c>
      <c r="B877">
        <v>4080</v>
      </c>
      <c r="C877">
        <v>100</v>
      </c>
      <c r="D877" s="17">
        <v>133.37</v>
      </c>
      <c r="I877" t="s">
        <v>393</v>
      </c>
    </row>
    <row r="878" spans="1:9" hidden="1" x14ac:dyDescent="0.2">
      <c r="A878">
        <v>12030711</v>
      </c>
      <c r="B878">
        <v>4080</v>
      </c>
      <c r="C878">
        <v>100</v>
      </c>
      <c r="D878" s="17">
        <v>152.1</v>
      </c>
      <c r="I878" t="s">
        <v>393</v>
      </c>
    </row>
    <row r="879" spans="1:9" hidden="1" x14ac:dyDescent="0.2">
      <c r="A879">
        <v>12030711</v>
      </c>
      <c r="B879">
        <v>4080</v>
      </c>
      <c r="C879">
        <v>100</v>
      </c>
      <c r="D879" s="17">
        <v>120.09</v>
      </c>
      <c r="I879" t="s">
        <v>393</v>
      </c>
    </row>
    <row r="880" spans="1:9" hidden="1" x14ac:dyDescent="0.2">
      <c r="A880">
        <v>12030711</v>
      </c>
      <c r="B880">
        <v>4080</v>
      </c>
      <c r="C880">
        <v>100</v>
      </c>
      <c r="D880" s="17">
        <v>133.4</v>
      </c>
      <c r="I880" t="s">
        <v>393</v>
      </c>
    </row>
    <row r="881" spans="1:9" hidden="1" x14ac:dyDescent="0.2">
      <c r="A881">
        <v>12030921</v>
      </c>
      <c r="B881">
        <v>4010</v>
      </c>
      <c r="C881">
        <v>100</v>
      </c>
      <c r="D881" s="17">
        <v>2796.47</v>
      </c>
      <c r="I881" t="s">
        <v>392</v>
      </c>
    </row>
    <row r="882" spans="1:9" hidden="1" x14ac:dyDescent="0.2">
      <c r="A882">
        <v>12030921</v>
      </c>
      <c r="B882">
        <v>4010</v>
      </c>
      <c r="C882">
        <v>100</v>
      </c>
      <c r="D882" s="17">
        <v>-104.15</v>
      </c>
      <c r="I882" t="s">
        <v>392</v>
      </c>
    </row>
    <row r="883" spans="1:9" hidden="1" x14ac:dyDescent="0.2">
      <c r="A883">
        <v>12030921</v>
      </c>
      <c r="B883">
        <v>4010</v>
      </c>
      <c r="C883">
        <v>100</v>
      </c>
      <c r="D883" s="17">
        <v>2533.96</v>
      </c>
      <c r="E883" s="17"/>
      <c r="F883" s="18"/>
      <c r="I883" t="s">
        <v>393</v>
      </c>
    </row>
    <row r="884" spans="1:9" hidden="1" x14ac:dyDescent="0.2">
      <c r="A884">
        <v>12030921</v>
      </c>
      <c r="B884">
        <v>4010</v>
      </c>
      <c r="C884">
        <v>100</v>
      </c>
      <c r="D884" s="17">
        <v>269.23</v>
      </c>
      <c r="E884" s="17"/>
      <c r="F884" s="18"/>
      <c r="I884" t="s">
        <v>393</v>
      </c>
    </row>
    <row r="885" spans="1:9" hidden="1" x14ac:dyDescent="0.2">
      <c r="A885">
        <v>12030921</v>
      </c>
      <c r="B885">
        <v>4010</v>
      </c>
      <c r="C885">
        <v>100</v>
      </c>
      <c r="D885" s="17">
        <v>-110.88</v>
      </c>
      <c r="E885" s="17"/>
      <c r="F885" s="18"/>
      <c r="I885" t="s">
        <v>393</v>
      </c>
    </row>
    <row r="886" spans="1:9" hidden="1" x14ac:dyDescent="0.2">
      <c r="A886">
        <v>12030921</v>
      </c>
      <c r="B886">
        <v>4080</v>
      </c>
      <c r="C886">
        <v>100</v>
      </c>
      <c r="D886">
        <v>242.31</v>
      </c>
      <c r="I886" t="s">
        <v>392</v>
      </c>
    </row>
    <row r="887" spans="1:9" hidden="1" x14ac:dyDescent="0.2">
      <c r="A887">
        <v>12030921</v>
      </c>
      <c r="B887">
        <v>4080</v>
      </c>
      <c r="C887">
        <v>100</v>
      </c>
      <c r="D887" s="17">
        <v>242.31</v>
      </c>
      <c r="I887" t="s">
        <v>393</v>
      </c>
    </row>
    <row r="888" spans="1:9" hidden="1" x14ac:dyDescent="0.2">
      <c r="A888">
        <v>12031021</v>
      </c>
      <c r="B888">
        <v>4010</v>
      </c>
      <c r="C888">
        <v>100</v>
      </c>
      <c r="D888" s="17">
        <v>1102.23</v>
      </c>
      <c r="I888" t="s">
        <v>392</v>
      </c>
    </row>
    <row r="889" spans="1:9" hidden="1" x14ac:dyDescent="0.2">
      <c r="A889">
        <v>12031021</v>
      </c>
      <c r="B889">
        <v>4010</v>
      </c>
      <c r="C889">
        <v>100</v>
      </c>
      <c r="D889" s="17">
        <v>1926.83</v>
      </c>
      <c r="I889" t="s">
        <v>392</v>
      </c>
    </row>
    <row r="890" spans="1:9" hidden="1" x14ac:dyDescent="0.2">
      <c r="A890">
        <v>12031021</v>
      </c>
      <c r="B890">
        <v>4010</v>
      </c>
      <c r="C890">
        <v>100</v>
      </c>
      <c r="D890" s="17">
        <v>1690.79</v>
      </c>
      <c r="I890" t="s">
        <v>392</v>
      </c>
    </row>
    <row r="891" spans="1:9" hidden="1" x14ac:dyDescent="0.2">
      <c r="A891">
        <v>12031021</v>
      </c>
      <c r="B891">
        <v>4010</v>
      </c>
      <c r="C891">
        <v>100</v>
      </c>
      <c r="D891" s="17">
        <v>188.56</v>
      </c>
      <c r="I891" t="s">
        <v>392</v>
      </c>
    </row>
    <row r="892" spans="1:9" hidden="1" x14ac:dyDescent="0.2">
      <c r="A892">
        <v>12031021</v>
      </c>
      <c r="B892">
        <v>4010</v>
      </c>
      <c r="C892">
        <v>100</v>
      </c>
      <c r="D892" s="17">
        <v>1555.4</v>
      </c>
      <c r="I892" t="s">
        <v>392</v>
      </c>
    </row>
    <row r="893" spans="1:9" hidden="1" x14ac:dyDescent="0.2">
      <c r="A893">
        <v>12031021</v>
      </c>
      <c r="B893">
        <v>4010</v>
      </c>
      <c r="C893">
        <v>100</v>
      </c>
      <c r="D893" s="17">
        <v>835.94</v>
      </c>
      <c r="E893" s="17"/>
      <c r="F893" s="18"/>
      <c r="I893" t="s">
        <v>393</v>
      </c>
    </row>
    <row r="894" spans="1:9" hidden="1" x14ac:dyDescent="0.2">
      <c r="A894">
        <v>12031021</v>
      </c>
      <c r="B894">
        <v>4010</v>
      </c>
      <c r="C894">
        <v>100</v>
      </c>
      <c r="D894" s="17">
        <v>136.56</v>
      </c>
      <c r="E894" s="17"/>
      <c r="F894" s="18"/>
      <c r="I894" t="s">
        <v>393</v>
      </c>
    </row>
    <row r="895" spans="1:9" hidden="1" x14ac:dyDescent="0.2">
      <c r="A895">
        <v>12031021</v>
      </c>
      <c r="B895">
        <v>4010</v>
      </c>
      <c r="C895">
        <v>100</v>
      </c>
      <c r="D895" s="17">
        <v>1734.15</v>
      </c>
      <c r="E895" s="17"/>
      <c r="F895" s="18"/>
      <c r="I895" t="s">
        <v>393</v>
      </c>
    </row>
    <row r="896" spans="1:9" hidden="1" x14ac:dyDescent="0.2">
      <c r="A896">
        <v>12031021</v>
      </c>
      <c r="B896">
        <v>4010</v>
      </c>
      <c r="C896">
        <v>100</v>
      </c>
      <c r="D896" s="17">
        <v>192.68</v>
      </c>
      <c r="E896" s="17"/>
      <c r="F896" s="18"/>
      <c r="I896" t="s">
        <v>393</v>
      </c>
    </row>
    <row r="897" spans="1:9" hidden="1" x14ac:dyDescent="0.2">
      <c r="A897">
        <v>12031021</v>
      </c>
      <c r="B897">
        <v>4010</v>
      </c>
      <c r="C897">
        <v>100</v>
      </c>
      <c r="D897" s="17">
        <v>1502.24</v>
      </c>
      <c r="E897" s="17"/>
      <c r="F897" s="18"/>
      <c r="I897" t="s">
        <v>393</v>
      </c>
    </row>
    <row r="898" spans="1:9" hidden="1" x14ac:dyDescent="0.2">
      <c r="A898">
        <v>12031021</v>
      </c>
      <c r="B898">
        <v>4010</v>
      </c>
      <c r="C898">
        <v>100</v>
      </c>
      <c r="D898" s="17">
        <v>188.56</v>
      </c>
      <c r="E898" s="17"/>
      <c r="F898" s="18"/>
      <c r="I898" t="s">
        <v>393</v>
      </c>
    </row>
    <row r="899" spans="1:9" hidden="1" x14ac:dyDescent="0.2">
      <c r="A899" s="19">
        <v>12031021</v>
      </c>
      <c r="B899">
        <v>4010</v>
      </c>
      <c r="C899">
        <v>100</v>
      </c>
      <c r="D899" s="17">
        <v>1762.17</v>
      </c>
      <c r="E899" s="20"/>
      <c r="F899" s="21"/>
      <c r="G899" s="19"/>
      <c r="H899" s="19"/>
      <c r="I899" t="s">
        <v>393</v>
      </c>
    </row>
    <row r="900" spans="1:9" hidden="1" x14ac:dyDescent="0.2">
      <c r="A900" s="19">
        <v>12031021</v>
      </c>
      <c r="B900">
        <v>4010</v>
      </c>
      <c r="C900">
        <v>100</v>
      </c>
      <c r="D900" s="17">
        <v>200.19</v>
      </c>
      <c r="E900" s="20"/>
      <c r="F900" s="21"/>
      <c r="G900" s="19"/>
      <c r="H900" s="19"/>
      <c r="I900" t="s">
        <v>393</v>
      </c>
    </row>
    <row r="901" spans="1:9" hidden="1" x14ac:dyDescent="0.2">
      <c r="A901">
        <v>12031021</v>
      </c>
      <c r="B901">
        <v>4010</v>
      </c>
      <c r="C901">
        <v>300</v>
      </c>
      <c r="D901" s="17">
        <v>332.76</v>
      </c>
      <c r="I901" t="s">
        <v>392</v>
      </c>
    </row>
    <row r="902" spans="1:9" hidden="1" x14ac:dyDescent="0.2">
      <c r="A902">
        <v>12031021</v>
      </c>
      <c r="B902">
        <v>4010</v>
      </c>
      <c r="C902">
        <v>300</v>
      </c>
      <c r="D902" s="17">
        <v>12.68</v>
      </c>
      <c r="I902" t="s">
        <v>392</v>
      </c>
    </row>
    <row r="903" spans="1:9" hidden="1" x14ac:dyDescent="0.2">
      <c r="A903">
        <v>12031021</v>
      </c>
      <c r="B903">
        <v>4010</v>
      </c>
      <c r="C903">
        <v>300</v>
      </c>
      <c r="D903" s="17">
        <v>37.21</v>
      </c>
      <c r="I903" t="s">
        <v>392</v>
      </c>
    </row>
    <row r="904" spans="1:9" hidden="1" x14ac:dyDescent="0.2">
      <c r="A904">
        <v>12031021</v>
      </c>
      <c r="B904">
        <v>4010</v>
      </c>
      <c r="C904">
        <v>300</v>
      </c>
      <c r="D904" s="17">
        <v>323.25</v>
      </c>
      <c r="E904" s="17"/>
      <c r="F904" s="18"/>
      <c r="I904" t="s">
        <v>393</v>
      </c>
    </row>
    <row r="905" spans="1:9" hidden="1" x14ac:dyDescent="0.2">
      <c r="A905">
        <v>12031021</v>
      </c>
      <c r="B905">
        <v>4010</v>
      </c>
      <c r="C905">
        <v>300</v>
      </c>
      <c r="D905" s="17">
        <v>50.71</v>
      </c>
      <c r="E905" s="17"/>
      <c r="F905" s="18"/>
      <c r="I905" t="s">
        <v>393</v>
      </c>
    </row>
    <row r="906" spans="1:9" hidden="1" x14ac:dyDescent="0.2">
      <c r="A906">
        <v>12031021</v>
      </c>
      <c r="B906">
        <v>4010</v>
      </c>
      <c r="C906">
        <v>300</v>
      </c>
      <c r="D906" s="17">
        <v>130.25</v>
      </c>
      <c r="E906" s="17"/>
      <c r="F906" s="18"/>
      <c r="I906" t="s">
        <v>393</v>
      </c>
    </row>
    <row r="907" spans="1:9" hidden="1" x14ac:dyDescent="0.2">
      <c r="A907">
        <v>12031021</v>
      </c>
      <c r="B907">
        <v>4010</v>
      </c>
      <c r="C907">
        <v>400</v>
      </c>
      <c r="D907" s="17">
        <v>40.11</v>
      </c>
      <c r="I907" t="s">
        <v>392</v>
      </c>
    </row>
    <row r="908" spans="1:9" hidden="1" x14ac:dyDescent="0.2">
      <c r="A908">
        <v>12031021</v>
      </c>
      <c r="B908">
        <v>4010</v>
      </c>
      <c r="C908">
        <v>400</v>
      </c>
      <c r="D908" s="17">
        <v>19.829999999999998</v>
      </c>
      <c r="I908" t="s">
        <v>392</v>
      </c>
    </row>
    <row r="909" spans="1:9" hidden="1" x14ac:dyDescent="0.2">
      <c r="A909">
        <v>12031021</v>
      </c>
      <c r="B909">
        <v>4010</v>
      </c>
      <c r="C909">
        <v>400</v>
      </c>
      <c r="D909" s="17">
        <v>13.37</v>
      </c>
      <c r="I909" t="s">
        <v>393</v>
      </c>
    </row>
    <row r="910" spans="1:9" hidden="1" x14ac:dyDescent="0.2">
      <c r="A910">
        <v>12031021</v>
      </c>
      <c r="B910">
        <v>4010</v>
      </c>
      <c r="C910">
        <v>400</v>
      </c>
      <c r="D910" s="17">
        <v>13.37</v>
      </c>
      <c r="I910" t="s">
        <v>393</v>
      </c>
    </row>
    <row r="911" spans="1:9" hidden="1" x14ac:dyDescent="0.2">
      <c r="A911">
        <v>12031021</v>
      </c>
      <c r="B911">
        <v>4010</v>
      </c>
      <c r="C911">
        <v>400</v>
      </c>
      <c r="D911" s="17">
        <v>19.829999999999998</v>
      </c>
      <c r="I911" t="s">
        <v>393</v>
      </c>
    </row>
    <row r="912" spans="1:9" hidden="1" x14ac:dyDescent="0.2">
      <c r="A912">
        <v>12031021</v>
      </c>
      <c r="B912">
        <v>4080</v>
      </c>
      <c r="C912">
        <v>100</v>
      </c>
      <c r="D912" s="17">
        <v>99.2</v>
      </c>
      <c r="I912" t="s">
        <v>392</v>
      </c>
    </row>
    <row r="913" spans="1:9" hidden="1" x14ac:dyDescent="0.2">
      <c r="A913">
        <v>12031021</v>
      </c>
      <c r="B913">
        <v>4080</v>
      </c>
      <c r="C913">
        <v>100</v>
      </c>
      <c r="D913" s="17">
        <v>173.41</v>
      </c>
      <c r="I913" t="s">
        <v>392</v>
      </c>
    </row>
    <row r="914" spans="1:9" hidden="1" x14ac:dyDescent="0.2">
      <c r="A914">
        <v>12031021</v>
      </c>
      <c r="B914">
        <v>4080</v>
      </c>
      <c r="C914">
        <v>100</v>
      </c>
      <c r="D914" s="17">
        <v>170.93</v>
      </c>
      <c r="I914" t="s">
        <v>392</v>
      </c>
    </row>
    <row r="915" spans="1:9" hidden="1" x14ac:dyDescent="0.2">
      <c r="A915">
        <v>12031021</v>
      </c>
      <c r="B915">
        <v>4080</v>
      </c>
      <c r="C915">
        <v>100</v>
      </c>
      <c r="D915" s="17">
        <v>176.02</v>
      </c>
      <c r="I915" t="s">
        <v>392</v>
      </c>
    </row>
    <row r="916" spans="1:9" hidden="1" x14ac:dyDescent="0.2">
      <c r="A916">
        <v>12031021</v>
      </c>
      <c r="B916">
        <v>4080</v>
      </c>
      <c r="C916">
        <v>100</v>
      </c>
      <c r="D916" s="17">
        <v>99.82</v>
      </c>
      <c r="I916" t="s">
        <v>393</v>
      </c>
    </row>
    <row r="917" spans="1:9" hidden="1" x14ac:dyDescent="0.2">
      <c r="A917">
        <v>12031021</v>
      </c>
      <c r="B917">
        <v>4080</v>
      </c>
      <c r="C917">
        <v>100</v>
      </c>
      <c r="D917" s="17">
        <v>173.41</v>
      </c>
      <c r="I917" t="s">
        <v>393</v>
      </c>
    </row>
    <row r="918" spans="1:9" hidden="1" x14ac:dyDescent="0.2">
      <c r="A918">
        <v>12031021</v>
      </c>
      <c r="B918">
        <v>4080</v>
      </c>
      <c r="C918">
        <v>100</v>
      </c>
      <c r="D918" s="17">
        <v>170.93</v>
      </c>
      <c r="I918" t="s">
        <v>393</v>
      </c>
    </row>
    <row r="919" spans="1:9" hidden="1" x14ac:dyDescent="0.2">
      <c r="A919">
        <v>12031021</v>
      </c>
      <c r="B919">
        <v>4080</v>
      </c>
      <c r="C919">
        <v>100</v>
      </c>
      <c r="D919" s="17">
        <v>176.61</v>
      </c>
      <c r="I919" t="s">
        <v>393</v>
      </c>
    </row>
    <row r="920" spans="1:9" hidden="1" x14ac:dyDescent="0.2">
      <c r="A920">
        <v>12031121</v>
      </c>
      <c r="B920">
        <v>4010</v>
      </c>
      <c r="C920">
        <v>100</v>
      </c>
      <c r="D920" s="17">
        <v>444.56</v>
      </c>
      <c r="I920" t="s">
        <v>392</v>
      </c>
    </row>
    <row r="921" spans="1:9" hidden="1" x14ac:dyDescent="0.2">
      <c r="A921">
        <v>12031121</v>
      </c>
      <c r="B921">
        <v>4010</v>
      </c>
      <c r="C921">
        <v>100</v>
      </c>
      <c r="D921" s="17">
        <v>1037.31</v>
      </c>
      <c r="I921" t="s">
        <v>392</v>
      </c>
    </row>
    <row r="922" spans="1:9" hidden="1" x14ac:dyDescent="0.2">
      <c r="A922">
        <v>12031121</v>
      </c>
      <c r="B922">
        <v>4010</v>
      </c>
      <c r="C922">
        <v>100</v>
      </c>
      <c r="D922" s="17">
        <v>1185.5</v>
      </c>
      <c r="E922" s="17"/>
      <c r="F922" s="18"/>
      <c r="I922" t="s">
        <v>393</v>
      </c>
    </row>
    <row r="923" spans="1:9" hidden="1" x14ac:dyDescent="0.2">
      <c r="A923">
        <v>12031121</v>
      </c>
      <c r="B923">
        <v>4010</v>
      </c>
      <c r="C923">
        <v>100</v>
      </c>
      <c r="D923" s="17">
        <v>148.19</v>
      </c>
      <c r="E923" s="17"/>
      <c r="F923" s="18"/>
      <c r="I923" t="s">
        <v>393</v>
      </c>
    </row>
    <row r="924" spans="1:9" hidden="1" x14ac:dyDescent="0.2">
      <c r="A924">
        <v>12031121</v>
      </c>
      <c r="B924">
        <v>4010</v>
      </c>
      <c r="C924">
        <v>100</v>
      </c>
      <c r="D924" s="17">
        <v>148.19</v>
      </c>
      <c r="E924" s="17"/>
      <c r="F924" s="18"/>
      <c r="I924" t="s">
        <v>393</v>
      </c>
    </row>
    <row r="925" spans="1:9" hidden="1" x14ac:dyDescent="0.2">
      <c r="A925">
        <v>12031121</v>
      </c>
      <c r="B925">
        <v>4010</v>
      </c>
      <c r="C925">
        <v>300</v>
      </c>
      <c r="D925" s="17">
        <v>124.3</v>
      </c>
      <c r="E925" s="17"/>
      <c r="F925" s="18"/>
      <c r="I925" t="s">
        <v>393</v>
      </c>
    </row>
    <row r="926" spans="1:9" hidden="1" x14ac:dyDescent="0.2">
      <c r="A926">
        <v>12031121</v>
      </c>
      <c r="B926">
        <v>4010</v>
      </c>
      <c r="C926">
        <v>400</v>
      </c>
      <c r="D926" s="17">
        <v>13.37</v>
      </c>
      <c r="I926" t="s">
        <v>393</v>
      </c>
    </row>
    <row r="927" spans="1:9" hidden="1" x14ac:dyDescent="0.2">
      <c r="A927">
        <v>12031121</v>
      </c>
      <c r="B927">
        <v>4080</v>
      </c>
      <c r="C927">
        <v>100</v>
      </c>
      <c r="D927" s="17">
        <v>133.37</v>
      </c>
      <c r="I927" t="s">
        <v>392</v>
      </c>
    </row>
    <row r="928" spans="1:9" hidden="1" x14ac:dyDescent="0.2">
      <c r="A928">
        <v>12031121</v>
      </c>
      <c r="B928">
        <v>4080</v>
      </c>
      <c r="C928">
        <v>100</v>
      </c>
      <c r="D928" s="17">
        <v>133.37</v>
      </c>
      <c r="I928" t="s">
        <v>393</v>
      </c>
    </row>
    <row r="929" spans="1:9" hidden="1" x14ac:dyDescent="0.2">
      <c r="A929">
        <v>12032511</v>
      </c>
      <c r="B929">
        <v>4010</v>
      </c>
      <c r="C929">
        <v>100</v>
      </c>
      <c r="D929" s="17">
        <v>1800.99</v>
      </c>
      <c r="I929" t="s">
        <v>392</v>
      </c>
    </row>
    <row r="930" spans="1:9" hidden="1" x14ac:dyDescent="0.2">
      <c r="A930">
        <v>12032511</v>
      </c>
      <c r="B930">
        <v>4010</v>
      </c>
      <c r="C930">
        <v>100</v>
      </c>
      <c r="D930" s="17">
        <v>86.94</v>
      </c>
      <c r="I930" t="s">
        <v>392</v>
      </c>
    </row>
    <row r="931" spans="1:9" hidden="1" x14ac:dyDescent="0.2">
      <c r="A931">
        <v>12032511</v>
      </c>
      <c r="B931">
        <v>4010</v>
      </c>
      <c r="C931">
        <v>100</v>
      </c>
      <c r="D931" s="17">
        <v>1111.32</v>
      </c>
      <c r="I931" t="s">
        <v>392</v>
      </c>
    </row>
    <row r="932" spans="1:9" hidden="1" x14ac:dyDescent="0.2">
      <c r="A932">
        <v>12032511</v>
      </c>
      <c r="B932">
        <v>4010</v>
      </c>
      <c r="C932">
        <v>100</v>
      </c>
      <c r="D932" s="17">
        <v>1334.28</v>
      </c>
      <c r="I932" t="s">
        <v>392</v>
      </c>
    </row>
    <row r="933" spans="1:9" hidden="1" x14ac:dyDescent="0.2">
      <c r="A933">
        <v>12032511</v>
      </c>
      <c r="B933">
        <v>4010</v>
      </c>
      <c r="C933">
        <v>100</v>
      </c>
      <c r="D933" s="17">
        <v>1200</v>
      </c>
      <c r="I933" t="s">
        <v>392</v>
      </c>
    </row>
    <row r="934" spans="1:9" hidden="1" x14ac:dyDescent="0.2">
      <c r="A934">
        <v>12032511</v>
      </c>
      <c r="B934">
        <v>4010</v>
      </c>
      <c r="C934">
        <v>100</v>
      </c>
      <c r="D934" s="17">
        <v>133.33000000000001</v>
      </c>
      <c r="I934" t="s">
        <v>392</v>
      </c>
    </row>
    <row r="935" spans="1:9" hidden="1" x14ac:dyDescent="0.2">
      <c r="A935">
        <v>12032511</v>
      </c>
      <c r="B935">
        <v>4010</v>
      </c>
      <c r="C935">
        <v>100</v>
      </c>
      <c r="D935" s="17">
        <v>1321.56</v>
      </c>
      <c r="E935" s="17"/>
      <c r="F935" s="18"/>
      <c r="I935" t="s">
        <v>393</v>
      </c>
    </row>
    <row r="936" spans="1:9" hidden="1" x14ac:dyDescent="0.2">
      <c r="A936">
        <v>12032511</v>
      </c>
      <c r="B936">
        <v>4010</v>
      </c>
      <c r="C936">
        <v>100</v>
      </c>
      <c r="D936" s="17">
        <v>188.79</v>
      </c>
      <c r="E936" s="17"/>
      <c r="F936" s="18"/>
      <c r="I936" t="s">
        <v>393</v>
      </c>
    </row>
    <row r="937" spans="1:9" hidden="1" x14ac:dyDescent="0.2">
      <c r="A937">
        <v>12032511</v>
      </c>
      <c r="B937">
        <v>4010</v>
      </c>
      <c r="C937">
        <v>100</v>
      </c>
      <c r="D937" s="17">
        <v>1162.3</v>
      </c>
      <c r="E937" s="17"/>
      <c r="F937" s="18"/>
      <c r="I937" t="s">
        <v>393</v>
      </c>
    </row>
    <row r="938" spans="1:9" hidden="1" x14ac:dyDescent="0.2">
      <c r="A938">
        <v>12032511</v>
      </c>
      <c r="B938">
        <v>4010</v>
      </c>
      <c r="C938">
        <v>100</v>
      </c>
      <c r="D938" s="17">
        <v>129.13999999999999</v>
      </c>
      <c r="E938" s="17"/>
      <c r="F938" s="18"/>
      <c r="I938" t="s">
        <v>393</v>
      </c>
    </row>
    <row r="939" spans="1:9" hidden="1" x14ac:dyDescent="0.2">
      <c r="A939">
        <v>12032511</v>
      </c>
      <c r="B939">
        <v>4010</v>
      </c>
      <c r="C939">
        <v>100</v>
      </c>
      <c r="D939" s="17">
        <v>1200.8499999999999</v>
      </c>
      <c r="E939" s="17"/>
      <c r="F939" s="18"/>
      <c r="I939" t="s">
        <v>393</v>
      </c>
    </row>
    <row r="940" spans="1:9" hidden="1" x14ac:dyDescent="0.2">
      <c r="A940">
        <v>12032511</v>
      </c>
      <c r="B940">
        <v>4010</v>
      </c>
      <c r="C940">
        <v>100</v>
      </c>
      <c r="D940" s="17">
        <v>133.43</v>
      </c>
      <c r="E940" s="17"/>
      <c r="F940" s="18"/>
      <c r="I940" t="s">
        <v>393</v>
      </c>
    </row>
    <row r="941" spans="1:9" hidden="1" x14ac:dyDescent="0.2">
      <c r="A941">
        <v>12032511</v>
      </c>
      <c r="B941">
        <v>4010</v>
      </c>
      <c r="C941">
        <v>100</v>
      </c>
      <c r="D941" s="17">
        <v>1200</v>
      </c>
      <c r="E941" s="17"/>
      <c r="F941" s="18"/>
      <c r="I941" t="s">
        <v>393</v>
      </c>
    </row>
    <row r="942" spans="1:9" hidden="1" x14ac:dyDescent="0.2">
      <c r="A942">
        <v>12032511</v>
      </c>
      <c r="B942">
        <v>4010</v>
      </c>
      <c r="C942">
        <v>100</v>
      </c>
      <c r="D942" s="17">
        <v>133.33000000000001</v>
      </c>
      <c r="E942" s="17"/>
      <c r="F942" s="18"/>
      <c r="I942" t="s">
        <v>393</v>
      </c>
    </row>
    <row r="943" spans="1:9" x14ac:dyDescent="0.2">
      <c r="A943">
        <v>12032511</v>
      </c>
      <c r="B943">
        <v>4010</v>
      </c>
      <c r="C943">
        <v>300</v>
      </c>
      <c r="D943" s="17">
        <v>18.63</v>
      </c>
      <c r="I943" t="s">
        <v>392</v>
      </c>
    </row>
    <row r="944" spans="1:9" x14ac:dyDescent="0.2">
      <c r="A944">
        <v>12032511</v>
      </c>
      <c r="B944">
        <v>4010</v>
      </c>
      <c r="C944">
        <v>300</v>
      </c>
      <c r="D944" s="17">
        <v>52.67</v>
      </c>
      <c r="I944" t="s">
        <v>392</v>
      </c>
    </row>
    <row r="945" spans="1:9" x14ac:dyDescent="0.2">
      <c r="A945">
        <v>12032511</v>
      </c>
      <c r="B945">
        <v>4010</v>
      </c>
      <c r="C945">
        <v>300</v>
      </c>
      <c r="D945" s="17">
        <v>46.05</v>
      </c>
      <c r="I945" t="s">
        <v>392</v>
      </c>
    </row>
    <row r="946" spans="1:9" x14ac:dyDescent="0.2">
      <c r="A946">
        <v>12032511</v>
      </c>
      <c r="B946">
        <v>4010</v>
      </c>
      <c r="C946">
        <v>300</v>
      </c>
      <c r="D946" s="17">
        <v>74.52</v>
      </c>
      <c r="E946" s="17"/>
      <c r="F946" s="18"/>
      <c r="I946" t="s">
        <v>393</v>
      </c>
    </row>
    <row r="947" spans="1:9" x14ac:dyDescent="0.2">
      <c r="A947">
        <v>12032511</v>
      </c>
      <c r="B947">
        <v>4010</v>
      </c>
      <c r="C947">
        <v>300</v>
      </c>
      <c r="D947" s="17">
        <v>26.33</v>
      </c>
      <c r="I947" t="s">
        <v>393</v>
      </c>
    </row>
    <row r="948" spans="1:9" hidden="1" x14ac:dyDescent="0.2">
      <c r="A948">
        <v>12032511</v>
      </c>
      <c r="B948">
        <v>4010</v>
      </c>
      <c r="C948">
        <v>400</v>
      </c>
      <c r="D948" s="17">
        <v>19.829999999999998</v>
      </c>
      <c r="I948" t="s">
        <v>392</v>
      </c>
    </row>
    <row r="949" spans="1:9" hidden="1" x14ac:dyDescent="0.2">
      <c r="A949">
        <v>12032511</v>
      </c>
      <c r="B949">
        <v>4010</v>
      </c>
      <c r="C949">
        <v>400</v>
      </c>
      <c r="D949" s="17">
        <v>19.829999999999998</v>
      </c>
      <c r="I949" t="s">
        <v>393</v>
      </c>
    </row>
    <row r="950" spans="1:9" hidden="1" x14ac:dyDescent="0.2">
      <c r="A950">
        <v>12032511</v>
      </c>
      <c r="B950">
        <v>4080</v>
      </c>
      <c r="C950">
        <v>100</v>
      </c>
      <c r="D950" s="17">
        <v>171.7</v>
      </c>
      <c r="I950" t="s">
        <v>392</v>
      </c>
    </row>
    <row r="951" spans="1:9" hidden="1" x14ac:dyDescent="0.2">
      <c r="A951">
        <v>12032511</v>
      </c>
      <c r="B951">
        <v>4080</v>
      </c>
      <c r="C951">
        <v>100</v>
      </c>
      <c r="D951" s="17">
        <v>111.64</v>
      </c>
      <c r="I951" t="s">
        <v>392</v>
      </c>
    </row>
    <row r="952" spans="1:9" hidden="1" x14ac:dyDescent="0.2">
      <c r="A952">
        <v>12032511</v>
      </c>
      <c r="B952">
        <v>4080</v>
      </c>
      <c r="C952">
        <v>100</v>
      </c>
      <c r="D952" s="17">
        <v>120.09</v>
      </c>
      <c r="I952" t="s">
        <v>392</v>
      </c>
    </row>
    <row r="953" spans="1:9" hidden="1" x14ac:dyDescent="0.2">
      <c r="A953">
        <v>12032511</v>
      </c>
      <c r="B953">
        <v>4080</v>
      </c>
      <c r="C953">
        <v>100</v>
      </c>
      <c r="D953">
        <v>120</v>
      </c>
      <c r="I953" t="s">
        <v>392</v>
      </c>
    </row>
    <row r="954" spans="1:9" hidden="1" x14ac:dyDescent="0.2">
      <c r="A954">
        <v>12032511</v>
      </c>
      <c r="B954">
        <v>4080</v>
      </c>
      <c r="C954">
        <v>100</v>
      </c>
      <c r="D954" s="17">
        <v>171.7</v>
      </c>
      <c r="I954" t="s">
        <v>393</v>
      </c>
    </row>
    <row r="955" spans="1:9" hidden="1" x14ac:dyDescent="0.2">
      <c r="A955">
        <v>12032511</v>
      </c>
      <c r="B955">
        <v>4080</v>
      </c>
      <c r="C955">
        <v>100</v>
      </c>
      <c r="D955" s="17">
        <v>116.23</v>
      </c>
      <c r="I955" t="s">
        <v>393</v>
      </c>
    </row>
    <row r="956" spans="1:9" hidden="1" x14ac:dyDescent="0.2">
      <c r="A956">
        <v>12032511</v>
      </c>
      <c r="B956">
        <v>4080</v>
      </c>
      <c r="C956">
        <v>100</v>
      </c>
      <c r="D956" s="17">
        <v>120.09</v>
      </c>
      <c r="I956" t="s">
        <v>393</v>
      </c>
    </row>
    <row r="957" spans="1:9" hidden="1" x14ac:dyDescent="0.2">
      <c r="A957">
        <v>12032511</v>
      </c>
      <c r="B957">
        <v>4080</v>
      </c>
      <c r="C957">
        <v>100</v>
      </c>
      <c r="D957" s="17">
        <v>120</v>
      </c>
      <c r="I957" t="s">
        <v>393</v>
      </c>
    </row>
    <row r="958" spans="1:9" hidden="1" x14ac:dyDescent="0.2">
      <c r="A958">
        <v>12033011</v>
      </c>
      <c r="B958">
        <v>4010</v>
      </c>
      <c r="C958">
        <v>100</v>
      </c>
      <c r="D958" s="17">
        <v>2117.44</v>
      </c>
      <c r="I958" t="s">
        <v>392</v>
      </c>
    </row>
    <row r="959" spans="1:9" hidden="1" x14ac:dyDescent="0.2">
      <c r="A959">
        <v>12033011</v>
      </c>
      <c r="B959">
        <v>4010</v>
      </c>
      <c r="C959">
        <v>100</v>
      </c>
      <c r="D959" s="17">
        <v>1926.92</v>
      </c>
      <c r="I959" t="s">
        <v>392</v>
      </c>
    </row>
    <row r="960" spans="1:9" hidden="1" x14ac:dyDescent="0.2">
      <c r="A960">
        <v>12033011</v>
      </c>
      <c r="B960">
        <v>4010</v>
      </c>
      <c r="C960">
        <v>100</v>
      </c>
      <c r="D960" s="17">
        <v>2125.21</v>
      </c>
      <c r="E960" s="17"/>
      <c r="F960" s="18"/>
      <c r="I960" t="s">
        <v>393</v>
      </c>
    </row>
    <row r="961" spans="1:9" hidden="1" x14ac:dyDescent="0.2">
      <c r="A961">
        <v>12033011</v>
      </c>
      <c r="B961">
        <v>4010</v>
      </c>
      <c r="C961">
        <v>100</v>
      </c>
      <c r="D961" s="17">
        <v>236.13</v>
      </c>
      <c r="E961" s="17"/>
      <c r="F961" s="18"/>
      <c r="I961" t="s">
        <v>393</v>
      </c>
    </row>
    <row r="962" spans="1:9" hidden="1" x14ac:dyDescent="0.2">
      <c r="A962" s="19">
        <v>12033011</v>
      </c>
      <c r="B962">
        <v>4010</v>
      </c>
      <c r="C962">
        <v>100</v>
      </c>
      <c r="D962" s="17">
        <v>321.14999999999998</v>
      </c>
      <c r="E962" s="20"/>
      <c r="F962" s="21"/>
      <c r="G962" s="19"/>
      <c r="H962" s="19"/>
      <c r="I962" t="s">
        <v>393</v>
      </c>
    </row>
    <row r="963" spans="1:9" hidden="1" x14ac:dyDescent="0.2">
      <c r="A963" s="19">
        <v>12033011</v>
      </c>
      <c r="B963">
        <v>4010</v>
      </c>
      <c r="C963">
        <v>100</v>
      </c>
      <c r="D963" s="17">
        <v>2890.39</v>
      </c>
      <c r="E963" s="20"/>
      <c r="F963" s="21"/>
      <c r="G963" s="19"/>
      <c r="H963" s="19"/>
      <c r="I963" t="s">
        <v>393</v>
      </c>
    </row>
    <row r="964" spans="1:9" x14ac:dyDescent="0.2">
      <c r="A964">
        <v>12033011</v>
      </c>
      <c r="B964">
        <v>4010</v>
      </c>
      <c r="C964">
        <v>300</v>
      </c>
      <c r="D964" s="17">
        <v>128.16</v>
      </c>
      <c r="I964" t="s">
        <v>392</v>
      </c>
    </row>
    <row r="965" spans="1:9" x14ac:dyDescent="0.2">
      <c r="A965">
        <v>12033011</v>
      </c>
      <c r="B965">
        <v>4010</v>
      </c>
      <c r="C965">
        <v>300</v>
      </c>
      <c r="D965" s="17">
        <v>174.77</v>
      </c>
      <c r="E965" s="17"/>
      <c r="F965" s="18"/>
      <c r="I965" t="s">
        <v>393</v>
      </c>
    </row>
    <row r="966" spans="1:9" hidden="1" x14ac:dyDescent="0.2">
      <c r="A966">
        <v>12033011</v>
      </c>
      <c r="B966">
        <v>4010</v>
      </c>
      <c r="C966">
        <v>400</v>
      </c>
      <c r="D966" s="17">
        <v>13.37</v>
      </c>
      <c r="I966" t="s">
        <v>393</v>
      </c>
    </row>
    <row r="967" spans="1:9" hidden="1" x14ac:dyDescent="0.2">
      <c r="A967">
        <v>12033011</v>
      </c>
      <c r="B967">
        <v>4080</v>
      </c>
      <c r="C967">
        <v>100</v>
      </c>
      <c r="D967" s="17">
        <v>190.57</v>
      </c>
      <c r="I967" t="s">
        <v>392</v>
      </c>
    </row>
    <row r="968" spans="1:9" hidden="1" x14ac:dyDescent="0.2">
      <c r="A968">
        <v>12033011</v>
      </c>
      <c r="B968">
        <v>4080</v>
      </c>
      <c r="C968">
        <v>100</v>
      </c>
      <c r="D968" s="17">
        <v>289.04000000000002</v>
      </c>
      <c r="I968" t="s">
        <v>392</v>
      </c>
    </row>
    <row r="969" spans="1:9" hidden="1" x14ac:dyDescent="0.2">
      <c r="A969">
        <v>12033011</v>
      </c>
      <c r="B969">
        <v>4080</v>
      </c>
      <c r="C969">
        <v>100</v>
      </c>
      <c r="D969" s="17">
        <v>212.52</v>
      </c>
      <c r="I969" t="s">
        <v>393</v>
      </c>
    </row>
    <row r="970" spans="1:9" hidden="1" x14ac:dyDescent="0.2">
      <c r="A970">
        <v>12033011</v>
      </c>
      <c r="B970">
        <v>4080</v>
      </c>
      <c r="C970">
        <v>100</v>
      </c>
      <c r="D970" s="17">
        <v>289.04000000000002</v>
      </c>
      <c r="I970" t="s">
        <v>393</v>
      </c>
    </row>
    <row r="971" spans="1:9" hidden="1" x14ac:dyDescent="0.2">
      <c r="A971">
        <v>12033021</v>
      </c>
      <c r="B971">
        <v>4010</v>
      </c>
      <c r="C971">
        <v>100</v>
      </c>
      <c r="D971" s="17">
        <v>2991.7</v>
      </c>
      <c r="I971" t="s">
        <v>392</v>
      </c>
    </row>
    <row r="972" spans="1:9" hidden="1" x14ac:dyDescent="0.2">
      <c r="A972">
        <v>12033021</v>
      </c>
      <c r="B972">
        <v>4010</v>
      </c>
      <c r="C972">
        <v>100</v>
      </c>
      <c r="D972" s="17">
        <v>-231.69</v>
      </c>
      <c r="I972" t="s">
        <v>392</v>
      </c>
    </row>
    <row r="973" spans="1:9" hidden="1" x14ac:dyDescent="0.2">
      <c r="A973" s="19">
        <v>12033021</v>
      </c>
      <c r="B973">
        <v>4010</v>
      </c>
      <c r="C973">
        <v>100</v>
      </c>
      <c r="D973" s="17">
        <v>2743.3</v>
      </c>
      <c r="E973" s="20"/>
      <c r="F973" s="21"/>
      <c r="G973" s="19"/>
      <c r="H973" s="19"/>
      <c r="I973" t="s">
        <v>393</v>
      </c>
    </row>
    <row r="974" spans="1:9" hidden="1" x14ac:dyDescent="0.2">
      <c r="A974" s="19">
        <v>12033021</v>
      </c>
      <c r="B974">
        <v>4010</v>
      </c>
      <c r="C974">
        <v>100</v>
      </c>
      <c r="D974" s="17">
        <v>276</v>
      </c>
      <c r="E974" s="20"/>
      <c r="F974" s="21"/>
      <c r="G974" s="19"/>
      <c r="H974" s="19"/>
      <c r="I974" t="s">
        <v>393</v>
      </c>
    </row>
    <row r="975" spans="1:9" hidden="1" x14ac:dyDescent="0.2">
      <c r="A975" s="19">
        <v>12033021</v>
      </c>
      <c r="B975">
        <v>4010</v>
      </c>
      <c r="C975">
        <v>100</v>
      </c>
      <c r="D975" s="17">
        <v>-259.29000000000002</v>
      </c>
      <c r="E975" s="20"/>
      <c r="F975" s="21"/>
      <c r="G975" s="19"/>
      <c r="H975" s="19"/>
      <c r="I975" t="s">
        <v>393</v>
      </c>
    </row>
    <row r="976" spans="1:9" hidden="1" x14ac:dyDescent="0.2">
      <c r="A976" s="19">
        <v>12033021</v>
      </c>
      <c r="B976">
        <v>4010</v>
      </c>
      <c r="C976">
        <v>100</v>
      </c>
      <c r="D976" s="17">
        <v>263.29000000000002</v>
      </c>
      <c r="E976" s="20"/>
      <c r="F976" s="21"/>
      <c r="G976" s="19"/>
      <c r="H976" s="19"/>
      <c r="I976" t="s">
        <v>393</v>
      </c>
    </row>
    <row r="977" spans="1:9" hidden="1" x14ac:dyDescent="0.2">
      <c r="A977">
        <v>12033021</v>
      </c>
      <c r="B977">
        <v>4080</v>
      </c>
      <c r="C977">
        <v>100</v>
      </c>
      <c r="D977" s="17">
        <v>248.4</v>
      </c>
      <c r="I977" t="s">
        <v>392</v>
      </c>
    </row>
    <row r="978" spans="1:9" hidden="1" x14ac:dyDescent="0.2">
      <c r="A978">
        <v>12033021</v>
      </c>
      <c r="B978">
        <v>4080</v>
      </c>
      <c r="C978">
        <v>100</v>
      </c>
      <c r="D978" s="17">
        <v>248.4</v>
      </c>
      <c r="I978" t="s">
        <v>393</v>
      </c>
    </row>
    <row r="979" spans="1:9" hidden="1" x14ac:dyDescent="0.2">
      <c r="A979">
        <v>12038099</v>
      </c>
      <c r="B979">
        <v>4010</v>
      </c>
      <c r="C979">
        <v>100</v>
      </c>
      <c r="D979" s="17">
        <v>3440.5</v>
      </c>
      <c r="I979" t="s">
        <v>392</v>
      </c>
    </row>
    <row r="980" spans="1:9" hidden="1" x14ac:dyDescent="0.2">
      <c r="A980">
        <v>12038099</v>
      </c>
      <c r="B980">
        <v>4010</v>
      </c>
      <c r="C980">
        <v>100</v>
      </c>
      <c r="D980" s="17">
        <v>-51.72</v>
      </c>
      <c r="I980" t="s">
        <v>392</v>
      </c>
    </row>
    <row r="981" spans="1:9" hidden="1" x14ac:dyDescent="0.2">
      <c r="A981">
        <v>12038099</v>
      </c>
      <c r="B981">
        <v>4010</v>
      </c>
      <c r="C981">
        <v>100</v>
      </c>
      <c r="D981" s="17">
        <v>2582.0500000000002</v>
      </c>
      <c r="I981" t="s">
        <v>392</v>
      </c>
    </row>
    <row r="982" spans="1:9" hidden="1" x14ac:dyDescent="0.2">
      <c r="A982">
        <v>12038099</v>
      </c>
      <c r="B982">
        <v>4010</v>
      </c>
      <c r="C982">
        <v>100</v>
      </c>
      <c r="D982" s="17">
        <v>85.65</v>
      </c>
      <c r="I982" t="s">
        <v>392</v>
      </c>
    </row>
    <row r="983" spans="1:9" hidden="1" x14ac:dyDescent="0.2">
      <c r="A983" s="19">
        <v>12038099</v>
      </c>
      <c r="B983">
        <v>4010</v>
      </c>
      <c r="C983">
        <v>100</v>
      </c>
      <c r="D983" s="17">
        <v>2986.14</v>
      </c>
      <c r="E983" s="20"/>
      <c r="F983" s="21"/>
      <c r="G983" s="19"/>
      <c r="H983" s="19"/>
      <c r="I983" t="s">
        <v>393</v>
      </c>
    </row>
    <row r="984" spans="1:9" hidden="1" x14ac:dyDescent="0.2">
      <c r="A984" s="19">
        <v>12038099</v>
      </c>
      <c r="B984">
        <v>4010</v>
      </c>
      <c r="C984">
        <v>100</v>
      </c>
      <c r="D984" s="17">
        <v>338.88</v>
      </c>
      <c r="E984" s="20"/>
      <c r="F984" s="21"/>
      <c r="G984" s="19"/>
      <c r="H984" s="19"/>
      <c r="I984" t="s">
        <v>393</v>
      </c>
    </row>
    <row r="985" spans="1:9" hidden="1" x14ac:dyDescent="0.2">
      <c r="A985" s="19">
        <v>12038099</v>
      </c>
      <c r="B985">
        <v>4010</v>
      </c>
      <c r="C985">
        <v>100</v>
      </c>
      <c r="D985" s="17">
        <v>63.76</v>
      </c>
      <c r="E985" s="20"/>
      <c r="F985" s="21"/>
      <c r="G985" s="19"/>
      <c r="H985" s="19"/>
      <c r="I985" t="s">
        <v>393</v>
      </c>
    </row>
    <row r="986" spans="1:9" hidden="1" x14ac:dyDescent="0.2">
      <c r="A986">
        <v>12038099</v>
      </c>
      <c r="B986">
        <v>4010</v>
      </c>
      <c r="C986">
        <v>100</v>
      </c>
      <c r="D986" s="17">
        <v>2411.46</v>
      </c>
      <c r="E986" s="17"/>
      <c r="F986" s="18"/>
      <c r="I986" t="s">
        <v>393</v>
      </c>
    </row>
    <row r="987" spans="1:9" hidden="1" x14ac:dyDescent="0.2">
      <c r="A987">
        <v>12038099</v>
      </c>
      <c r="B987">
        <v>4010</v>
      </c>
      <c r="C987">
        <v>100</v>
      </c>
      <c r="D987" s="17">
        <v>266.77</v>
      </c>
      <c r="E987" s="17"/>
      <c r="F987" s="18"/>
      <c r="I987" t="s">
        <v>393</v>
      </c>
    </row>
    <row r="988" spans="1:9" hidden="1" x14ac:dyDescent="0.2">
      <c r="A988">
        <v>12038099</v>
      </c>
      <c r="B988">
        <v>4010</v>
      </c>
      <c r="C988">
        <v>100</v>
      </c>
      <c r="D988" s="17">
        <v>-10.53</v>
      </c>
      <c r="E988" s="17"/>
      <c r="F988" s="18"/>
      <c r="I988" t="s">
        <v>393</v>
      </c>
    </row>
    <row r="989" spans="1:9" hidden="1" x14ac:dyDescent="0.2">
      <c r="A989">
        <v>12038099</v>
      </c>
      <c r="B989">
        <v>4010</v>
      </c>
      <c r="C989">
        <v>400</v>
      </c>
      <c r="D989" s="17">
        <v>812.07</v>
      </c>
      <c r="I989" t="s">
        <v>392</v>
      </c>
    </row>
    <row r="990" spans="1:9" hidden="1" x14ac:dyDescent="0.2">
      <c r="A990">
        <v>12038099</v>
      </c>
      <c r="B990">
        <v>4010</v>
      </c>
      <c r="C990">
        <v>400</v>
      </c>
      <c r="D990" s="17">
        <v>812.07</v>
      </c>
      <c r="I990" t="s">
        <v>393</v>
      </c>
    </row>
    <row r="991" spans="1:9" hidden="1" x14ac:dyDescent="0.2">
      <c r="A991">
        <v>12038099</v>
      </c>
      <c r="B991">
        <v>4080</v>
      </c>
      <c r="C991">
        <v>100</v>
      </c>
      <c r="D991" s="17">
        <v>304.99</v>
      </c>
      <c r="I991" t="s">
        <v>392</v>
      </c>
    </row>
    <row r="992" spans="1:9" hidden="1" x14ac:dyDescent="0.2">
      <c r="A992">
        <v>12038099</v>
      </c>
      <c r="B992">
        <v>4080</v>
      </c>
      <c r="C992">
        <v>100</v>
      </c>
      <c r="D992">
        <v>240.09</v>
      </c>
      <c r="I992" t="s">
        <v>392</v>
      </c>
    </row>
    <row r="993" spans="1:9" hidden="1" x14ac:dyDescent="0.2">
      <c r="A993">
        <v>12038099</v>
      </c>
      <c r="B993">
        <v>4080</v>
      </c>
      <c r="C993">
        <v>100</v>
      </c>
      <c r="D993" s="17">
        <v>304.99</v>
      </c>
      <c r="I993" t="s">
        <v>393</v>
      </c>
    </row>
    <row r="994" spans="1:9" hidden="1" x14ac:dyDescent="0.2">
      <c r="A994">
        <v>12038099</v>
      </c>
      <c r="B994">
        <v>4080</v>
      </c>
      <c r="C994">
        <v>100</v>
      </c>
      <c r="D994" s="17">
        <v>240.09</v>
      </c>
      <c r="I994" t="s">
        <v>393</v>
      </c>
    </row>
    <row r="995" spans="1:9" hidden="1" x14ac:dyDescent="0.2">
      <c r="A995">
        <v>12060500</v>
      </c>
      <c r="B995">
        <v>4010</v>
      </c>
      <c r="C995">
        <v>100</v>
      </c>
      <c r="D995" s="17">
        <v>3303.74</v>
      </c>
      <c r="I995" t="s">
        <v>392</v>
      </c>
    </row>
    <row r="996" spans="1:9" hidden="1" x14ac:dyDescent="0.2">
      <c r="A996">
        <v>12060500</v>
      </c>
      <c r="B996">
        <v>4010</v>
      </c>
      <c r="C996">
        <v>100</v>
      </c>
      <c r="D996" s="17">
        <v>1479.8</v>
      </c>
      <c r="I996" t="s">
        <v>392</v>
      </c>
    </row>
    <row r="997" spans="1:9" hidden="1" x14ac:dyDescent="0.2">
      <c r="A997">
        <v>12060500</v>
      </c>
      <c r="B997">
        <v>4010</v>
      </c>
      <c r="C997">
        <v>100</v>
      </c>
      <c r="D997" s="17">
        <v>166.86</v>
      </c>
      <c r="I997" t="s">
        <v>392</v>
      </c>
    </row>
    <row r="998" spans="1:9" hidden="1" x14ac:dyDescent="0.2">
      <c r="A998">
        <v>12060500</v>
      </c>
      <c r="B998">
        <v>4010</v>
      </c>
      <c r="C998">
        <v>100</v>
      </c>
      <c r="D998" s="17">
        <v>1214.8900000000001</v>
      </c>
      <c r="I998" t="s">
        <v>392</v>
      </c>
    </row>
    <row r="999" spans="1:9" hidden="1" x14ac:dyDescent="0.2">
      <c r="A999">
        <v>12060500</v>
      </c>
      <c r="B999">
        <v>4010</v>
      </c>
      <c r="C999">
        <v>100</v>
      </c>
      <c r="D999" s="17">
        <v>197.42</v>
      </c>
      <c r="I999" t="s">
        <v>392</v>
      </c>
    </row>
    <row r="1000" spans="1:9" hidden="1" x14ac:dyDescent="0.2">
      <c r="A1000">
        <v>12060500</v>
      </c>
      <c r="B1000">
        <v>4010</v>
      </c>
      <c r="C1000">
        <v>100</v>
      </c>
      <c r="D1000" s="17">
        <v>1401.26</v>
      </c>
      <c r="I1000" t="s">
        <v>392</v>
      </c>
    </row>
    <row r="1001" spans="1:9" hidden="1" x14ac:dyDescent="0.2">
      <c r="A1001">
        <v>12060500</v>
      </c>
      <c r="B1001">
        <v>4010</v>
      </c>
      <c r="C1001">
        <v>100</v>
      </c>
      <c r="D1001" s="17">
        <v>155.69999999999999</v>
      </c>
      <c r="I1001" t="s">
        <v>392</v>
      </c>
    </row>
    <row r="1002" spans="1:9" hidden="1" x14ac:dyDescent="0.2">
      <c r="A1002">
        <v>12060500</v>
      </c>
      <c r="B1002">
        <v>4010</v>
      </c>
      <c r="C1002">
        <v>100</v>
      </c>
      <c r="D1002" s="17">
        <v>1325.78</v>
      </c>
      <c r="I1002" t="s">
        <v>392</v>
      </c>
    </row>
    <row r="1003" spans="1:9" hidden="1" x14ac:dyDescent="0.2">
      <c r="A1003">
        <v>12060500</v>
      </c>
      <c r="B1003">
        <v>4010</v>
      </c>
      <c r="C1003">
        <v>100</v>
      </c>
      <c r="D1003" s="17">
        <v>330.37</v>
      </c>
      <c r="E1003" s="17"/>
      <c r="F1003" s="18"/>
      <c r="I1003" t="s">
        <v>393</v>
      </c>
    </row>
    <row r="1004" spans="1:9" hidden="1" x14ac:dyDescent="0.2">
      <c r="A1004">
        <v>12060500</v>
      </c>
      <c r="B1004">
        <v>4010</v>
      </c>
      <c r="C1004">
        <v>100</v>
      </c>
      <c r="D1004" s="17">
        <v>2973.36</v>
      </c>
      <c r="E1004" s="17"/>
      <c r="F1004" s="18"/>
      <c r="I1004" t="s">
        <v>393</v>
      </c>
    </row>
    <row r="1005" spans="1:9" hidden="1" x14ac:dyDescent="0.2">
      <c r="A1005">
        <v>12060500</v>
      </c>
      <c r="B1005">
        <v>4010</v>
      </c>
      <c r="C1005">
        <v>100</v>
      </c>
      <c r="D1005" s="17">
        <v>1501.76</v>
      </c>
      <c r="E1005" s="17"/>
      <c r="F1005" s="18"/>
      <c r="I1005" t="s">
        <v>393</v>
      </c>
    </row>
    <row r="1006" spans="1:9" hidden="1" x14ac:dyDescent="0.2">
      <c r="A1006">
        <v>12060500</v>
      </c>
      <c r="B1006">
        <v>4010</v>
      </c>
      <c r="C1006">
        <v>100</v>
      </c>
      <c r="D1006" s="17">
        <v>166.86</v>
      </c>
      <c r="E1006" s="17"/>
      <c r="F1006" s="18"/>
      <c r="I1006" t="s">
        <v>393</v>
      </c>
    </row>
    <row r="1007" spans="1:9" hidden="1" x14ac:dyDescent="0.2">
      <c r="A1007">
        <v>12060500</v>
      </c>
      <c r="B1007">
        <v>4010</v>
      </c>
      <c r="C1007">
        <v>100</v>
      </c>
      <c r="D1007" s="17">
        <v>1063.03</v>
      </c>
      <c r="E1007" s="17"/>
      <c r="F1007" s="18"/>
      <c r="I1007" t="s">
        <v>393</v>
      </c>
    </row>
    <row r="1008" spans="1:9" hidden="1" x14ac:dyDescent="0.2">
      <c r="A1008">
        <v>12060500</v>
      </c>
      <c r="B1008">
        <v>4010</v>
      </c>
      <c r="C1008">
        <v>100</v>
      </c>
      <c r="D1008" s="17">
        <v>151.86000000000001</v>
      </c>
      <c r="E1008" s="17"/>
      <c r="F1008" s="18"/>
      <c r="I1008" t="s">
        <v>393</v>
      </c>
    </row>
    <row r="1009" spans="1:9" hidden="1" x14ac:dyDescent="0.2">
      <c r="A1009">
        <v>12060500</v>
      </c>
      <c r="B1009">
        <v>4010</v>
      </c>
      <c r="C1009">
        <v>100</v>
      </c>
      <c r="D1009" s="17">
        <v>93.12</v>
      </c>
      <c r="E1009" s="17"/>
      <c r="F1009" s="18"/>
      <c r="I1009" t="s">
        <v>393</v>
      </c>
    </row>
    <row r="1010" spans="1:9" hidden="1" x14ac:dyDescent="0.2">
      <c r="A1010">
        <v>12060500</v>
      </c>
      <c r="B1010">
        <v>4010</v>
      </c>
      <c r="C1010">
        <v>100</v>
      </c>
      <c r="D1010" s="17">
        <v>1298.83</v>
      </c>
      <c r="E1010" s="17"/>
      <c r="F1010" s="18"/>
      <c r="I1010" t="s">
        <v>393</v>
      </c>
    </row>
    <row r="1011" spans="1:9" hidden="1" x14ac:dyDescent="0.2">
      <c r="A1011">
        <v>12060500</v>
      </c>
      <c r="B1011">
        <v>4010</v>
      </c>
      <c r="C1011">
        <v>100</v>
      </c>
      <c r="D1011" s="17">
        <v>155.69999999999999</v>
      </c>
      <c r="E1011" s="17"/>
      <c r="F1011" s="18"/>
      <c r="I1011" t="s">
        <v>393</v>
      </c>
    </row>
    <row r="1012" spans="1:9" hidden="1" x14ac:dyDescent="0.2">
      <c r="A1012">
        <v>12060500</v>
      </c>
      <c r="B1012">
        <v>4010</v>
      </c>
      <c r="C1012">
        <v>100</v>
      </c>
      <c r="D1012" s="17">
        <v>1063.26</v>
      </c>
      <c r="E1012" s="17"/>
      <c r="F1012" s="18"/>
      <c r="I1012" t="s">
        <v>393</v>
      </c>
    </row>
    <row r="1013" spans="1:9" hidden="1" x14ac:dyDescent="0.2">
      <c r="A1013">
        <v>12060500</v>
      </c>
      <c r="B1013">
        <v>4010</v>
      </c>
      <c r="C1013">
        <v>100</v>
      </c>
      <c r="D1013" s="17">
        <v>133.46</v>
      </c>
      <c r="E1013" s="17"/>
      <c r="F1013" s="18"/>
      <c r="I1013" t="s">
        <v>393</v>
      </c>
    </row>
    <row r="1014" spans="1:9" hidden="1" x14ac:dyDescent="0.2">
      <c r="A1014">
        <v>12060500</v>
      </c>
      <c r="B1014">
        <v>4010</v>
      </c>
      <c r="C1014">
        <v>300</v>
      </c>
      <c r="D1014" s="17">
        <v>41.17</v>
      </c>
      <c r="I1014" t="s">
        <v>392</v>
      </c>
    </row>
    <row r="1015" spans="1:9" hidden="1" x14ac:dyDescent="0.2">
      <c r="A1015">
        <v>12060500</v>
      </c>
      <c r="B1015">
        <v>4010</v>
      </c>
      <c r="C1015">
        <v>300</v>
      </c>
      <c r="D1015" s="17">
        <v>59.95</v>
      </c>
      <c r="I1015" t="s">
        <v>392</v>
      </c>
    </row>
    <row r="1016" spans="1:9" hidden="1" x14ac:dyDescent="0.2">
      <c r="A1016">
        <v>12060500</v>
      </c>
      <c r="B1016">
        <v>4010</v>
      </c>
      <c r="C1016">
        <v>300</v>
      </c>
      <c r="D1016" s="17">
        <v>65.849999999999994</v>
      </c>
      <c r="I1016" t="s">
        <v>392</v>
      </c>
    </row>
    <row r="1017" spans="1:9" hidden="1" x14ac:dyDescent="0.2">
      <c r="A1017">
        <v>12060500</v>
      </c>
      <c r="B1017">
        <v>4010</v>
      </c>
      <c r="C1017">
        <v>400</v>
      </c>
      <c r="D1017" s="17">
        <v>19.829999999999998</v>
      </c>
      <c r="I1017" t="s">
        <v>392</v>
      </c>
    </row>
    <row r="1018" spans="1:9" hidden="1" x14ac:dyDescent="0.2">
      <c r="A1018">
        <v>12060500</v>
      </c>
      <c r="B1018">
        <v>4010</v>
      </c>
      <c r="C1018">
        <v>400</v>
      </c>
      <c r="D1018" s="17">
        <v>19.829999999999998</v>
      </c>
      <c r="I1018" t="s">
        <v>393</v>
      </c>
    </row>
    <row r="1019" spans="1:9" hidden="1" x14ac:dyDescent="0.2">
      <c r="A1019">
        <v>12060500</v>
      </c>
      <c r="B1019">
        <v>4080</v>
      </c>
      <c r="C1019">
        <v>100</v>
      </c>
      <c r="D1019" s="17">
        <v>297.33999999999997</v>
      </c>
      <c r="I1019" t="s">
        <v>392</v>
      </c>
    </row>
    <row r="1020" spans="1:9" hidden="1" x14ac:dyDescent="0.2">
      <c r="A1020">
        <v>12060500</v>
      </c>
      <c r="B1020">
        <v>4080</v>
      </c>
      <c r="C1020">
        <v>100</v>
      </c>
      <c r="D1020" s="17">
        <v>149.97999999999999</v>
      </c>
      <c r="I1020" t="s">
        <v>392</v>
      </c>
    </row>
    <row r="1021" spans="1:9" hidden="1" x14ac:dyDescent="0.2">
      <c r="A1021">
        <v>12060500</v>
      </c>
      <c r="B1021">
        <v>4080</v>
      </c>
      <c r="C1021">
        <v>100</v>
      </c>
      <c r="D1021" s="17">
        <v>127.11</v>
      </c>
      <c r="I1021" t="s">
        <v>392</v>
      </c>
    </row>
    <row r="1022" spans="1:9" hidden="1" x14ac:dyDescent="0.2">
      <c r="A1022">
        <v>12060500</v>
      </c>
      <c r="B1022">
        <v>4080</v>
      </c>
      <c r="C1022">
        <v>100</v>
      </c>
      <c r="D1022" s="17">
        <v>140.13</v>
      </c>
      <c r="I1022" t="s">
        <v>392</v>
      </c>
    </row>
    <row r="1023" spans="1:9" hidden="1" x14ac:dyDescent="0.2">
      <c r="A1023">
        <v>12060500</v>
      </c>
      <c r="B1023">
        <v>4080</v>
      </c>
      <c r="C1023">
        <v>100</v>
      </c>
      <c r="D1023">
        <v>119.32</v>
      </c>
      <c r="I1023" t="s">
        <v>392</v>
      </c>
    </row>
    <row r="1024" spans="1:9" hidden="1" x14ac:dyDescent="0.2">
      <c r="A1024">
        <v>12060500</v>
      </c>
      <c r="B1024">
        <v>4080</v>
      </c>
      <c r="C1024">
        <v>100</v>
      </c>
      <c r="D1024" s="17">
        <v>297.33999999999997</v>
      </c>
      <c r="I1024" t="s">
        <v>393</v>
      </c>
    </row>
    <row r="1025" spans="1:9" hidden="1" x14ac:dyDescent="0.2">
      <c r="A1025">
        <v>12060500</v>
      </c>
      <c r="B1025">
        <v>4080</v>
      </c>
      <c r="C1025">
        <v>100</v>
      </c>
      <c r="D1025" s="17">
        <v>151.96</v>
      </c>
      <c r="I1025" t="s">
        <v>393</v>
      </c>
    </row>
    <row r="1026" spans="1:9" hidden="1" x14ac:dyDescent="0.2">
      <c r="A1026">
        <v>12060500</v>
      </c>
      <c r="B1026">
        <v>4080</v>
      </c>
      <c r="C1026">
        <v>100</v>
      </c>
      <c r="D1026" s="17">
        <v>131.38999999999999</v>
      </c>
      <c r="I1026" t="s">
        <v>393</v>
      </c>
    </row>
    <row r="1027" spans="1:9" hidden="1" x14ac:dyDescent="0.2">
      <c r="A1027">
        <v>12060500</v>
      </c>
      <c r="B1027">
        <v>4080</v>
      </c>
      <c r="C1027">
        <v>100</v>
      </c>
      <c r="D1027" s="17">
        <v>130.91</v>
      </c>
      <c r="I1027" t="s">
        <v>393</v>
      </c>
    </row>
    <row r="1028" spans="1:9" hidden="1" x14ac:dyDescent="0.2">
      <c r="A1028">
        <v>12060500</v>
      </c>
      <c r="B1028">
        <v>4080</v>
      </c>
      <c r="C1028">
        <v>100</v>
      </c>
      <c r="D1028" s="17">
        <v>119.72</v>
      </c>
      <c r="I1028" t="s">
        <v>393</v>
      </c>
    </row>
    <row r="1029" spans="1:9" hidden="1" x14ac:dyDescent="0.2">
      <c r="A1029">
        <v>12060611</v>
      </c>
      <c r="B1029">
        <v>4010</v>
      </c>
      <c r="C1029">
        <v>100</v>
      </c>
      <c r="D1029" s="17">
        <v>1489.55</v>
      </c>
      <c r="I1029" t="s">
        <v>392</v>
      </c>
    </row>
    <row r="1030" spans="1:9" hidden="1" x14ac:dyDescent="0.2">
      <c r="A1030">
        <v>12060611</v>
      </c>
      <c r="B1030">
        <v>4010</v>
      </c>
      <c r="C1030">
        <v>100</v>
      </c>
      <c r="D1030" s="17">
        <v>1481.89</v>
      </c>
      <c r="I1030" t="s">
        <v>392</v>
      </c>
    </row>
    <row r="1031" spans="1:9" hidden="1" x14ac:dyDescent="0.2">
      <c r="A1031">
        <v>12060611</v>
      </c>
      <c r="B1031">
        <v>4010</v>
      </c>
      <c r="C1031">
        <v>100</v>
      </c>
      <c r="D1031" s="17">
        <v>148.19</v>
      </c>
      <c r="I1031" t="s">
        <v>392</v>
      </c>
    </row>
    <row r="1032" spans="1:9" hidden="1" x14ac:dyDescent="0.2">
      <c r="A1032">
        <v>12060611</v>
      </c>
      <c r="B1032">
        <v>4010</v>
      </c>
      <c r="C1032">
        <v>100</v>
      </c>
      <c r="D1032" s="17">
        <v>1481.95</v>
      </c>
      <c r="I1032" t="s">
        <v>392</v>
      </c>
    </row>
    <row r="1033" spans="1:9" hidden="1" x14ac:dyDescent="0.2">
      <c r="A1033">
        <v>12060611</v>
      </c>
      <c r="B1033">
        <v>4010</v>
      </c>
      <c r="C1033">
        <v>100</v>
      </c>
      <c r="D1033" s="17">
        <v>796.08</v>
      </c>
      <c r="I1033" t="s">
        <v>392</v>
      </c>
    </row>
    <row r="1034" spans="1:9" hidden="1" x14ac:dyDescent="0.2">
      <c r="A1034">
        <v>12060611</v>
      </c>
      <c r="B1034">
        <v>4010</v>
      </c>
      <c r="C1034">
        <v>100</v>
      </c>
      <c r="D1034" s="17">
        <v>978.65</v>
      </c>
      <c r="I1034" t="s">
        <v>392</v>
      </c>
    </row>
    <row r="1035" spans="1:9" hidden="1" x14ac:dyDescent="0.2">
      <c r="A1035">
        <v>12060611</v>
      </c>
      <c r="B1035">
        <v>4010</v>
      </c>
      <c r="C1035">
        <v>100</v>
      </c>
      <c r="D1035" s="17">
        <v>1580.67</v>
      </c>
      <c r="I1035" t="s">
        <v>392</v>
      </c>
    </row>
    <row r="1036" spans="1:9" hidden="1" x14ac:dyDescent="0.2">
      <c r="A1036">
        <v>12060611</v>
      </c>
      <c r="B1036">
        <v>4010</v>
      </c>
      <c r="C1036">
        <v>100</v>
      </c>
      <c r="D1036" s="17">
        <v>1206.71</v>
      </c>
      <c r="E1036" s="17"/>
      <c r="F1036" s="18"/>
      <c r="I1036" t="s">
        <v>393</v>
      </c>
    </row>
    <row r="1037" spans="1:9" hidden="1" x14ac:dyDescent="0.2">
      <c r="A1037">
        <v>12060611</v>
      </c>
      <c r="B1037">
        <v>4010</v>
      </c>
      <c r="C1037">
        <v>100</v>
      </c>
      <c r="D1037" s="17">
        <v>156.9</v>
      </c>
      <c r="E1037" s="17"/>
      <c r="F1037" s="18"/>
      <c r="I1037" t="s">
        <v>393</v>
      </c>
    </row>
    <row r="1038" spans="1:9" hidden="1" x14ac:dyDescent="0.2">
      <c r="A1038">
        <v>12060611</v>
      </c>
      <c r="B1038">
        <v>4010</v>
      </c>
      <c r="C1038">
        <v>100</v>
      </c>
      <c r="D1038" s="17">
        <v>156.9</v>
      </c>
      <c r="E1038" s="17"/>
      <c r="F1038" s="18"/>
      <c r="I1038" t="s">
        <v>393</v>
      </c>
    </row>
    <row r="1039" spans="1:9" hidden="1" x14ac:dyDescent="0.2">
      <c r="A1039">
        <v>12060611</v>
      </c>
      <c r="B1039">
        <v>4010</v>
      </c>
      <c r="C1039">
        <v>100</v>
      </c>
      <c r="D1039" s="17">
        <v>1328.83</v>
      </c>
      <c r="E1039" s="17"/>
      <c r="F1039" s="18"/>
      <c r="I1039" t="s">
        <v>393</v>
      </c>
    </row>
    <row r="1040" spans="1:9" hidden="1" x14ac:dyDescent="0.2">
      <c r="A1040">
        <v>12060611</v>
      </c>
      <c r="B1040">
        <v>4010</v>
      </c>
      <c r="C1040">
        <v>100</v>
      </c>
      <c r="D1040" s="17">
        <v>1328.88</v>
      </c>
      <c r="E1040" s="17"/>
      <c r="F1040" s="18"/>
      <c r="I1040" t="s">
        <v>393</v>
      </c>
    </row>
    <row r="1041" spans="1:9" hidden="1" x14ac:dyDescent="0.2">
      <c r="A1041">
        <v>12060611</v>
      </c>
      <c r="B1041">
        <v>4010</v>
      </c>
      <c r="C1041">
        <v>100</v>
      </c>
      <c r="D1041" s="17">
        <v>148.19</v>
      </c>
      <c r="E1041" s="17"/>
      <c r="F1041" s="18"/>
      <c r="I1041" t="s">
        <v>393</v>
      </c>
    </row>
    <row r="1042" spans="1:9" hidden="1" x14ac:dyDescent="0.2">
      <c r="A1042">
        <v>12060611</v>
      </c>
      <c r="B1042">
        <v>4010</v>
      </c>
      <c r="C1042">
        <v>100</v>
      </c>
      <c r="D1042" s="17">
        <v>667.06</v>
      </c>
      <c r="E1042" s="17"/>
      <c r="F1042" s="18"/>
      <c r="I1042" t="s">
        <v>393</v>
      </c>
    </row>
    <row r="1043" spans="1:9" hidden="1" x14ac:dyDescent="0.2">
      <c r="A1043">
        <v>12060611</v>
      </c>
      <c r="B1043">
        <v>4010</v>
      </c>
      <c r="C1043">
        <v>100</v>
      </c>
      <c r="D1043" s="17">
        <v>133.41</v>
      </c>
      <c r="E1043" s="17"/>
      <c r="F1043" s="18"/>
      <c r="I1043" t="s">
        <v>393</v>
      </c>
    </row>
    <row r="1044" spans="1:9" hidden="1" x14ac:dyDescent="0.2">
      <c r="A1044">
        <v>12060611</v>
      </c>
      <c r="B1044">
        <v>4010</v>
      </c>
      <c r="C1044">
        <v>100</v>
      </c>
      <c r="D1044" s="17">
        <v>911.06</v>
      </c>
      <c r="E1044" s="17"/>
      <c r="F1044" s="18"/>
      <c r="I1044" t="s">
        <v>393</v>
      </c>
    </row>
    <row r="1045" spans="1:9" hidden="1" x14ac:dyDescent="0.2">
      <c r="A1045">
        <v>12060611</v>
      </c>
      <c r="B1045">
        <v>4010</v>
      </c>
      <c r="C1045">
        <v>100</v>
      </c>
      <c r="D1045" s="17">
        <v>1557.39</v>
      </c>
      <c r="E1045" s="17"/>
      <c r="F1045" s="18"/>
      <c r="I1045" t="s">
        <v>393</v>
      </c>
    </row>
    <row r="1046" spans="1:9" hidden="1" x14ac:dyDescent="0.2">
      <c r="A1046">
        <v>12060611</v>
      </c>
      <c r="B1046">
        <v>4010</v>
      </c>
      <c r="C1046">
        <v>100</v>
      </c>
      <c r="D1046" s="17">
        <v>176.92</v>
      </c>
      <c r="E1046" s="17"/>
      <c r="F1046" s="18"/>
      <c r="I1046" t="s">
        <v>393</v>
      </c>
    </row>
    <row r="1047" spans="1:9" x14ac:dyDescent="0.2">
      <c r="A1047">
        <v>12060611</v>
      </c>
      <c r="B1047">
        <v>4010</v>
      </c>
      <c r="C1047">
        <v>300</v>
      </c>
      <c r="D1047" s="17">
        <v>85.16</v>
      </c>
      <c r="I1047" t="s">
        <v>392</v>
      </c>
    </row>
    <row r="1048" spans="1:9" x14ac:dyDescent="0.2">
      <c r="A1048">
        <v>12060611</v>
      </c>
      <c r="B1048">
        <v>4010</v>
      </c>
      <c r="C1048">
        <v>300</v>
      </c>
      <c r="D1048" s="17">
        <v>131.62</v>
      </c>
      <c r="I1048" t="s">
        <v>392</v>
      </c>
    </row>
    <row r="1049" spans="1:9" x14ac:dyDescent="0.2">
      <c r="A1049">
        <v>12060611</v>
      </c>
      <c r="B1049">
        <v>4010</v>
      </c>
      <c r="C1049">
        <v>300</v>
      </c>
      <c r="D1049" s="17">
        <v>138.93</v>
      </c>
      <c r="I1049" t="s">
        <v>392</v>
      </c>
    </row>
    <row r="1050" spans="1:9" x14ac:dyDescent="0.2">
      <c r="A1050">
        <v>12060611</v>
      </c>
      <c r="B1050">
        <v>4010</v>
      </c>
      <c r="C1050">
        <v>300</v>
      </c>
      <c r="D1050" s="17">
        <v>5.85</v>
      </c>
      <c r="I1050" t="s">
        <v>392</v>
      </c>
    </row>
    <row r="1051" spans="1:9" x14ac:dyDescent="0.2">
      <c r="A1051">
        <v>12060611</v>
      </c>
      <c r="B1051">
        <v>4010</v>
      </c>
      <c r="C1051">
        <v>300</v>
      </c>
      <c r="D1051" s="17">
        <v>39.5</v>
      </c>
      <c r="I1051" t="s">
        <v>392</v>
      </c>
    </row>
    <row r="1052" spans="1:9" x14ac:dyDescent="0.2">
      <c r="A1052">
        <v>12060611</v>
      </c>
      <c r="B1052">
        <v>4010</v>
      </c>
      <c r="C1052">
        <v>300</v>
      </c>
      <c r="D1052" s="17">
        <v>57.62</v>
      </c>
      <c r="I1052" t="s">
        <v>392</v>
      </c>
    </row>
    <row r="1053" spans="1:9" x14ac:dyDescent="0.2">
      <c r="A1053">
        <v>12060611</v>
      </c>
      <c r="B1053">
        <v>4010</v>
      </c>
      <c r="C1053">
        <v>300</v>
      </c>
      <c r="D1053" s="17">
        <v>15.48</v>
      </c>
      <c r="I1053" t="s">
        <v>393</v>
      </c>
    </row>
    <row r="1054" spans="1:9" x14ac:dyDescent="0.2">
      <c r="A1054">
        <v>12060611</v>
      </c>
      <c r="B1054">
        <v>4010</v>
      </c>
      <c r="C1054">
        <v>300</v>
      </c>
      <c r="D1054" s="17">
        <v>65.81</v>
      </c>
      <c r="I1054" t="s">
        <v>393</v>
      </c>
    </row>
    <row r="1055" spans="1:9" x14ac:dyDescent="0.2">
      <c r="A1055">
        <v>12060611</v>
      </c>
      <c r="B1055">
        <v>4010</v>
      </c>
      <c r="C1055">
        <v>300</v>
      </c>
      <c r="D1055" s="17">
        <v>80.430000000000007</v>
      </c>
      <c r="I1055" t="s">
        <v>393</v>
      </c>
    </row>
    <row r="1056" spans="1:9" x14ac:dyDescent="0.2">
      <c r="A1056">
        <v>12060611</v>
      </c>
      <c r="B1056">
        <v>4010</v>
      </c>
      <c r="C1056">
        <v>300</v>
      </c>
      <c r="D1056" s="17">
        <v>25.35</v>
      </c>
      <c r="I1056" t="s">
        <v>393</v>
      </c>
    </row>
    <row r="1057" spans="1:9" x14ac:dyDescent="0.2">
      <c r="A1057">
        <v>12060611</v>
      </c>
      <c r="B1057">
        <v>4010</v>
      </c>
      <c r="C1057">
        <v>300</v>
      </c>
      <c r="D1057" s="17">
        <v>13.17</v>
      </c>
      <c r="I1057" t="s">
        <v>393</v>
      </c>
    </row>
    <row r="1058" spans="1:9" x14ac:dyDescent="0.2">
      <c r="A1058">
        <v>12060611</v>
      </c>
      <c r="B1058">
        <v>4010</v>
      </c>
      <c r="C1058">
        <v>300</v>
      </c>
      <c r="D1058" s="17">
        <v>239.2</v>
      </c>
      <c r="I1058" t="s">
        <v>393</v>
      </c>
    </row>
    <row r="1059" spans="1:9" hidden="1" x14ac:dyDescent="0.2">
      <c r="A1059">
        <v>12060611</v>
      </c>
      <c r="B1059">
        <v>4010</v>
      </c>
      <c r="C1059">
        <v>400</v>
      </c>
      <c r="D1059" s="17">
        <v>19.829999999999998</v>
      </c>
      <c r="I1059" t="s">
        <v>392</v>
      </c>
    </row>
    <row r="1060" spans="1:9" hidden="1" x14ac:dyDescent="0.2">
      <c r="A1060">
        <v>12060611</v>
      </c>
      <c r="B1060">
        <v>4010</v>
      </c>
      <c r="C1060">
        <v>400</v>
      </c>
      <c r="D1060" s="17">
        <v>13.37</v>
      </c>
      <c r="I1060" t="s">
        <v>392</v>
      </c>
    </row>
    <row r="1061" spans="1:9" hidden="1" x14ac:dyDescent="0.2">
      <c r="A1061">
        <v>12060611</v>
      </c>
      <c r="B1061">
        <v>4010</v>
      </c>
      <c r="C1061">
        <v>400</v>
      </c>
      <c r="D1061" s="17">
        <v>13.37</v>
      </c>
      <c r="I1061" t="s">
        <v>392</v>
      </c>
    </row>
    <row r="1062" spans="1:9" hidden="1" x14ac:dyDescent="0.2">
      <c r="A1062">
        <v>12060611</v>
      </c>
      <c r="B1062">
        <v>4010</v>
      </c>
      <c r="C1062">
        <v>400</v>
      </c>
      <c r="D1062" s="17">
        <v>19.829999999999998</v>
      </c>
      <c r="I1062" t="s">
        <v>393</v>
      </c>
    </row>
    <row r="1063" spans="1:9" hidden="1" x14ac:dyDescent="0.2">
      <c r="A1063">
        <v>12060611</v>
      </c>
      <c r="B1063">
        <v>4010</v>
      </c>
      <c r="C1063">
        <v>400</v>
      </c>
      <c r="D1063" s="17">
        <v>13.37</v>
      </c>
      <c r="I1063" t="s">
        <v>393</v>
      </c>
    </row>
    <row r="1064" spans="1:9" hidden="1" x14ac:dyDescent="0.2">
      <c r="A1064">
        <v>12060611</v>
      </c>
      <c r="B1064">
        <v>4010</v>
      </c>
      <c r="C1064">
        <v>400</v>
      </c>
      <c r="D1064" s="17">
        <v>13.37</v>
      </c>
      <c r="I1064" t="s">
        <v>393</v>
      </c>
    </row>
    <row r="1065" spans="1:9" hidden="1" x14ac:dyDescent="0.2">
      <c r="A1065">
        <v>12060611</v>
      </c>
      <c r="B1065">
        <v>4010</v>
      </c>
      <c r="C1065">
        <v>400</v>
      </c>
      <c r="D1065" s="17">
        <v>13.37</v>
      </c>
      <c r="I1065" t="s">
        <v>393</v>
      </c>
    </row>
    <row r="1066" spans="1:9" hidden="1" x14ac:dyDescent="0.2">
      <c r="A1066">
        <v>12060611</v>
      </c>
      <c r="B1066">
        <v>4080</v>
      </c>
      <c r="C1066">
        <v>100</v>
      </c>
      <c r="D1066" s="17">
        <v>135.84</v>
      </c>
      <c r="I1066" t="s">
        <v>392</v>
      </c>
    </row>
    <row r="1067" spans="1:9" hidden="1" x14ac:dyDescent="0.2">
      <c r="A1067">
        <v>12060611</v>
      </c>
      <c r="B1067">
        <v>4080</v>
      </c>
      <c r="C1067">
        <v>100</v>
      </c>
      <c r="D1067" s="17">
        <v>146.71</v>
      </c>
      <c r="I1067" t="s">
        <v>392</v>
      </c>
    </row>
    <row r="1068" spans="1:9" hidden="1" x14ac:dyDescent="0.2">
      <c r="A1068">
        <v>12060611</v>
      </c>
      <c r="B1068">
        <v>4080</v>
      </c>
      <c r="C1068">
        <v>100</v>
      </c>
      <c r="D1068" s="17">
        <v>133.38</v>
      </c>
      <c r="I1068" t="s">
        <v>392</v>
      </c>
    </row>
    <row r="1069" spans="1:9" hidden="1" x14ac:dyDescent="0.2">
      <c r="A1069">
        <v>12060611</v>
      </c>
      <c r="B1069">
        <v>4080</v>
      </c>
      <c r="C1069">
        <v>100</v>
      </c>
      <c r="D1069" s="17">
        <v>71.650000000000006</v>
      </c>
      <c r="I1069" t="s">
        <v>392</v>
      </c>
    </row>
    <row r="1070" spans="1:9" hidden="1" x14ac:dyDescent="0.2">
      <c r="A1070">
        <v>12060611</v>
      </c>
      <c r="B1070">
        <v>4080</v>
      </c>
      <c r="C1070">
        <v>100</v>
      </c>
      <c r="D1070">
        <v>88.08</v>
      </c>
      <c r="I1070" t="s">
        <v>392</v>
      </c>
    </row>
    <row r="1071" spans="1:9" hidden="1" x14ac:dyDescent="0.2">
      <c r="A1071">
        <v>12060611</v>
      </c>
      <c r="B1071">
        <v>4080</v>
      </c>
      <c r="C1071">
        <v>100</v>
      </c>
      <c r="D1071">
        <v>159.02000000000001</v>
      </c>
      <c r="I1071" t="s">
        <v>392</v>
      </c>
    </row>
    <row r="1072" spans="1:9" hidden="1" x14ac:dyDescent="0.2">
      <c r="A1072">
        <v>12060611</v>
      </c>
      <c r="B1072">
        <v>4080</v>
      </c>
      <c r="C1072">
        <v>100</v>
      </c>
      <c r="D1072" s="17">
        <v>138.63</v>
      </c>
      <c r="I1072" t="s">
        <v>393</v>
      </c>
    </row>
    <row r="1073" spans="1:9" hidden="1" x14ac:dyDescent="0.2">
      <c r="A1073">
        <v>12060611</v>
      </c>
      <c r="B1073">
        <v>4080</v>
      </c>
      <c r="C1073">
        <v>100</v>
      </c>
      <c r="D1073" s="17">
        <v>119.59</v>
      </c>
      <c r="I1073" t="s">
        <v>393</v>
      </c>
    </row>
    <row r="1074" spans="1:9" hidden="1" x14ac:dyDescent="0.2">
      <c r="A1074">
        <v>12060611</v>
      </c>
      <c r="B1074">
        <v>4080</v>
      </c>
      <c r="C1074">
        <v>100</v>
      </c>
      <c r="D1074" s="17">
        <v>132.94</v>
      </c>
      <c r="I1074" t="s">
        <v>393</v>
      </c>
    </row>
    <row r="1075" spans="1:9" hidden="1" x14ac:dyDescent="0.2">
      <c r="A1075">
        <v>12060611</v>
      </c>
      <c r="B1075">
        <v>4080</v>
      </c>
      <c r="C1075">
        <v>100</v>
      </c>
      <c r="D1075" s="17">
        <v>72.040000000000006</v>
      </c>
      <c r="I1075" t="s">
        <v>393</v>
      </c>
    </row>
    <row r="1076" spans="1:9" hidden="1" x14ac:dyDescent="0.2">
      <c r="A1076">
        <v>12060611</v>
      </c>
      <c r="B1076">
        <v>4080</v>
      </c>
      <c r="C1076">
        <v>100</v>
      </c>
      <c r="D1076" s="17">
        <v>82</v>
      </c>
      <c r="I1076" t="s">
        <v>393</v>
      </c>
    </row>
    <row r="1077" spans="1:9" hidden="1" x14ac:dyDescent="0.2">
      <c r="A1077">
        <v>12060611</v>
      </c>
      <c r="B1077">
        <v>4080</v>
      </c>
      <c r="C1077">
        <v>100</v>
      </c>
      <c r="D1077" s="17">
        <v>156.09</v>
      </c>
      <c r="I1077" t="s">
        <v>393</v>
      </c>
    </row>
    <row r="1078" spans="1:9" hidden="1" x14ac:dyDescent="0.2">
      <c r="A1078">
        <v>12060711</v>
      </c>
      <c r="B1078">
        <v>4010</v>
      </c>
      <c r="C1078">
        <v>100</v>
      </c>
      <c r="D1078" s="17">
        <v>1541.83</v>
      </c>
      <c r="I1078" t="s">
        <v>392</v>
      </c>
    </row>
    <row r="1079" spans="1:9" hidden="1" x14ac:dyDescent="0.2">
      <c r="A1079">
        <v>12060711</v>
      </c>
      <c r="B1079">
        <v>4010</v>
      </c>
      <c r="C1079">
        <v>100</v>
      </c>
      <c r="D1079" s="17">
        <v>1334.12</v>
      </c>
      <c r="I1079" t="s">
        <v>392</v>
      </c>
    </row>
    <row r="1080" spans="1:9" hidden="1" x14ac:dyDescent="0.2">
      <c r="A1080" s="19">
        <v>12060711</v>
      </c>
      <c r="B1080">
        <v>4010</v>
      </c>
      <c r="C1080">
        <v>100</v>
      </c>
      <c r="D1080" s="17">
        <v>1349.1</v>
      </c>
      <c r="E1080" s="20"/>
      <c r="F1080" s="21"/>
      <c r="G1080" s="19"/>
      <c r="H1080" s="19"/>
      <c r="I1080" t="s">
        <v>393</v>
      </c>
    </row>
    <row r="1081" spans="1:9" hidden="1" x14ac:dyDescent="0.2">
      <c r="A1081">
        <v>12060711</v>
      </c>
      <c r="B1081">
        <v>4010</v>
      </c>
      <c r="C1081">
        <v>100</v>
      </c>
      <c r="D1081" s="17">
        <v>1200.71</v>
      </c>
      <c r="E1081" s="17"/>
      <c r="F1081" s="18"/>
      <c r="I1081" t="s">
        <v>393</v>
      </c>
    </row>
    <row r="1082" spans="1:9" hidden="1" x14ac:dyDescent="0.2">
      <c r="A1082">
        <v>12060711</v>
      </c>
      <c r="B1082">
        <v>4010</v>
      </c>
      <c r="C1082">
        <v>100</v>
      </c>
      <c r="D1082" s="17">
        <v>133.41</v>
      </c>
      <c r="E1082" s="17"/>
      <c r="F1082" s="18"/>
      <c r="I1082" t="s">
        <v>393</v>
      </c>
    </row>
    <row r="1083" spans="1:9" x14ac:dyDescent="0.2">
      <c r="A1083">
        <v>12060711</v>
      </c>
      <c r="B1083">
        <v>4010</v>
      </c>
      <c r="C1083">
        <v>300</v>
      </c>
      <c r="D1083" s="17">
        <v>237.74</v>
      </c>
      <c r="I1083" t="s">
        <v>392</v>
      </c>
    </row>
    <row r="1084" spans="1:9" x14ac:dyDescent="0.2">
      <c r="A1084">
        <v>12060711</v>
      </c>
      <c r="B1084">
        <v>4010</v>
      </c>
      <c r="C1084">
        <v>300</v>
      </c>
      <c r="D1084" s="17">
        <v>20.29</v>
      </c>
      <c r="I1084" t="s">
        <v>392</v>
      </c>
    </row>
    <row r="1085" spans="1:9" x14ac:dyDescent="0.2">
      <c r="A1085">
        <v>12060711</v>
      </c>
      <c r="B1085">
        <v>4010</v>
      </c>
      <c r="C1085">
        <v>300</v>
      </c>
      <c r="D1085" s="17">
        <v>52.66</v>
      </c>
      <c r="I1085" t="s">
        <v>392</v>
      </c>
    </row>
    <row r="1086" spans="1:9" x14ac:dyDescent="0.2">
      <c r="A1086">
        <v>12060711</v>
      </c>
      <c r="B1086">
        <v>4010</v>
      </c>
      <c r="C1086">
        <v>300</v>
      </c>
      <c r="D1086" s="17">
        <v>190.19</v>
      </c>
      <c r="E1086" s="17"/>
      <c r="F1086" s="18"/>
      <c r="I1086" t="s">
        <v>393</v>
      </c>
    </row>
    <row r="1087" spans="1:9" x14ac:dyDescent="0.2">
      <c r="A1087">
        <v>12060711</v>
      </c>
      <c r="B1087">
        <v>4010</v>
      </c>
      <c r="C1087">
        <v>300</v>
      </c>
      <c r="D1087" s="17">
        <v>45.65</v>
      </c>
      <c r="E1087" s="17"/>
      <c r="F1087" s="18"/>
      <c r="I1087" t="s">
        <v>393</v>
      </c>
    </row>
    <row r="1088" spans="1:9" x14ac:dyDescent="0.2">
      <c r="A1088">
        <v>12060711</v>
      </c>
      <c r="B1088">
        <v>4010</v>
      </c>
      <c r="C1088">
        <v>300</v>
      </c>
      <c r="D1088" s="17">
        <v>13.17</v>
      </c>
      <c r="I1088" t="s">
        <v>393</v>
      </c>
    </row>
    <row r="1089" spans="1:9" hidden="1" x14ac:dyDescent="0.2">
      <c r="A1089">
        <v>12060711</v>
      </c>
      <c r="B1089">
        <v>4010</v>
      </c>
      <c r="C1089">
        <v>400</v>
      </c>
      <c r="D1089" s="17">
        <v>26.74</v>
      </c>
      <c r="I1089" t="s">
        <v>392</v>
      </c>
    </row>
    <row r="1090" spans="1:9" hidden="1" x14ac:dyDescent="0.2">
      <c r="A1090">
        <v>12060711</v>
      </c>
      <c r="B1090">
        <v>4010</v>
      </c>
      <c r="C1090">
        <v>400</v>
      </c>
      <c r="D1090" s="17">
        <v>26.74</v>
      </c>
      <c r="I1090" t="s">
        <v>393</v>
      </c>
    </row>
    <row r="1091" spans="1:9" hidden="1" x14ac:dyDescent="0.2">
      <c r="A1091">
        <v>12060711</v>
      </c>
      <c r="B1091">
        <v>4080</v>
      </c>
      <c r="C1091">
        <v>100</v>
      </c>
      <c r="D1091" s="17">
        <v>138.76</v>
      </c>
      <c r="I1091" t="s">
        <v>392</v>
      </c>
    </row>
    <row r="1092" spans="1:9" hidden="1" x14ac:dyDescent="0.2">
      <c r="A1092">
        <v>12060711</v>
      </c>
      <c r="B1092">
        <v>4080</v>
      </c>
      <c r="C1092">
        <v>100</v>
      </c>
      <c r="D1092">
        <v>120.07</v>
      </c>
      <c r="I1092" t="s">
        <v>392</v>
      </c>
    </row>
    <row r="1093" spans="1:9" hidden="1" x14ac:dyDescent="0.2">
      <c r="A1093">
        <v>12060711</v>
      </c>
      <c r="B1093">
        <v>4080</v>
      </c>
      <c r="C1093">
        <v>100</v>
      </c>
      <c r="D1093" s="17">
        <v>138.76</v>
      </c>
      <c r="I1093" t="s">
        <v>393</v>
      </c>
    </row>
    <row r="1094" spans="1:9" hidden="1" x14ac:dyDescent="0.2">
      <c r="A1094">
        <v>12060711</v>
      </c>
      <c r="B1094">
        <v>4080</v>
      </c>
      <c r="C1094">
        <v>100</v>
      </c>
      <c r="D1094" s="17">
        <v>120.07</v>
      </c>
      <c r="I1094" t="s">
        <v>393</v>
      </c>
    </row>
    <row r="1095" spans="1:9" hidden="1" x14ac:dyDescent="0.2">
      <c r="A1095">
        <v>12062511</v>
      </c>
      <c r="B1095">
        <v>4010</v>
      </c>
      <c r="C1095">
        <v>100</v>
      </c>
      <c r="D1095" s="17">
        <v>424.62</v>
      </c>
      <c r="I1095" t="s">
        <v>392</v>
      </c>
    </row>
    <row r="1096" spans="1:9" hidden="1" x14ac:dyDescent="0.2">
      <c r="A1096">
        <v>12062511</v>
      </c>
      <c r="B1096">
        <v>4010</v>
      </c>
      <c r="C1096">
        <v>100</v>
      </c>
      <c r="D1096" s="17">
        <v>1132.45</v>
      </c>
      <c r="I1096" t="s">
        <v>392</v>
      </c>
    </row>
    <row r="1097" spans="1:9" hidden="1" x14ac:dyDescent="0.2">
      <c r="A1097">
        <v>12062511</v>
      </c>
      <c r="B1097">
        <v>4010</v>
      </c>
      <c r="C1097">
        <v>100</v>
      </c>
      <c r="D1097" s="17">
        <v>1287.47</v>
      </c>
      <c r="I1097" t="s">
        <v>392</v>
      </c>
    </row>
    <row r="1098" spans="1:9" hidden="1" x14ac:dyDescent="0.2">
      <c r="A1098">
        <v>12062511</v>
      </c>
      <c r="B1098">
        <v>4010</v>
      </c>
      <c r="C1098">
        <v>100</v>
      </c>
      <c r="D1098" s="17">
        <v>30.37</v>
      </c>
      <c r="I1098" t="s">
        <v>392</v>
      </c>
    </row>
    <row r="1099" spans="1:9" hidden="1" x14ac:dyDescent="0.2">
      <c r="A1099" s="19">
        <v>12062511</v>
      </c>
      <c r="B1099">
        <v>4010</v>
      </c>
      <c r="C1099">
        <v>100</v>
      </c>
      <c r="D1099" s="17">
        <v>416.21</v>
      </c>
      <c r="E1099" s="20"/>
      <c r="F1099" s="21"/>
      <c r="G1099" s="19"/>
      <c r="H1099" s="19"/>
      <c r="I1099" t="s">
        <v>393</v>
      </c>
    </row>
    <row r="1100" spans="1:9" hidden="1" x14ac:dyDescent="0.2">
      <c r="A1100" s="19">
        <v>12062511</v>
      </c>
      <c r="B1100">
        <v>4010</v>
      </c>
      <c r="C1100">
        <v>100</v>
      </c>
      <c r="D1100" s="17">
        <v>1078.57</v>
      </c>
      <c r="E1100" s="20"/>
      <c r="F1100" s="21"/>
      <c r="G1100" s="19"/>
      <c r="H1100" s="19"/>
      <c r="I1100" t="s">
        <v>393</v>
      </c>
    </row>
    <row r="1101" spans="1:9" hidden="1" x14ac:dyDescent="0.2">
      <c r="A1101" s="19">
        <v>12062511</v>
      </c>
      <c r="B1101">
        <v>4010</v>
      </c>
      <c r="C1101">
        <v>100</v>
      </c>
      <c r="D1101" s="17">
        <v>148.9</v>
      </c>
      <c r="E1101" s="20"/>
      <c r="F1101" s="21"/>
      <c r="G1101" s="19"/>
      <c r="H1101" s="19"/>
      <c r="I1101" t="s">
        <v>393</v>
      </c>
    </row>
    <row r="1102" spans="1:9" hidden="1" x14ac:dyDescent="0.2">
      <c r="A1102" s="19">
        <v>12062511</v>
      </c>
      <c r="B1102">
        <v>4010</v>
      </c>
      <c r="C1102">
        <v>100</v>
      </c>
      <c r="D1102" s="17">
        <v>19.59</v>
      </c>
      <c r="E1102" s="20"/>
      <c r="F1102" s="21"/>
      <c r="G1102" s="19"/>
      <c r="H1102" s="19"/>
      <c r="I1102" t="s">
        <v>393</v>
      </c>
    </row>
    <row r="1103" spans="1:9" hidden="1" x14ac:dyDescent="0.2">
      <c r="A1103">
        <v>12062511</v>
      </c>
      <c r="B1103">
        <v>4010</v>
      </c>
      <c r="C1103">
        <v>100</v>
      </c>
      <c r="D1103" s="17">
        <v>944.74</v>
      </c>
      <c r="E1103" s="17"/>
      <c r="F1103" s="18"/>
      <c r="I1103" t="s">
        <v>393</v>
      </c>
    </row>
    <row r="1104" spans="1:9" hidden="1" x14ac:dyDescent="0.2">
      <c r="A1104">
        <v>12062511</v>
      </c>
      <c r="B1104">
        <v>4010</v>
      </c>
      <c r="C1104">
        <v>100</v>
      </c>
      <c r="D1104" s="17">
        <v>134.96</v>
      </c>
      <c r="E1104" s="17"/>
      <c r="F1104" s="18"/>
      <c r="I1104" t="s">
        <v>393</v>
      </c>
    </row>
    <row r="1105" spans="1:9" hidden="1" x14ac:dyDescent="0.2">
      <c r="A1105">
        <v>12062511</v>
      </c>
      <c r="B1105">
        <v>4010</v>
      </c>
      <c r="C1105">
        <v>100</v>
      </c>
      <c r="D1105" s="17">
        <v>134.96</v>
      </c>
      <c r="E1105" s="17"/>
      <c r="F1105" s="18"/>
      <c r="I1105" t="s">
        <v>393</v>
      </c>
    </row>
    <row r="1106" spans="1:9" x14ac:dyDescent="0.2">
      <c r="A1106">
        <v>12062511</v>
      </c>
      <c r="B1106">
        <v>4010</v>
      </c>
      <c r="C1106">
        <v>300</v>
      </c>
      <c r="D1106" s="17">
        <v>51.43</v>
      </c>
      <c r="I1106" t="s">
        <v>392</v>
      </c>
    </row>
    <row r="1107" spans="1:9" x14ac:dyDescent="0.2">
      <c r="A1107">
        <v>12062511</v>
      </c>
      <c r="B1107">
        <v>4010</v>
      </c>
      <c r="C1107">
        <v>300</v>
      </c>
      <c r="D1107" s="17">
        <v>22.04</v>
      </c>
      <c r="E1107" s="17"/>
      <c r="F1107" s="18"/>
      <c r="I1107" t="s">
        <v>393</v>
      </c>
    </row>
    <row r="1108" spans="1:9" hidden="1" x14ac:dyDescent="0.2">
      <c r="A1108">
        <v>12062511</v>
      </c>
      <c r="B1108">
        <v>4080</v>
      </c>
      <c r="C1108">
        <v>100</v>
      </c>
      <c r="D1108" s="17">
        <v>38.22</v>
      </c>
      <c r="I1108" t="s">
        <v>392</v>
      </c>
    </row>
    <row r="1109" spans="1:9" hidden="1" x14ac:dyDescent="0.2">
      <c r="A1109">
        <v>12062511</v>
      </c>
      <c r="B1109">
        <v>4080</v>
      </c>
      <c r="C1109">
        <v>100</v>
      </c>
      <c r="D1109" s="17">
        <v>101.92</v>
      </c>
      <c r="I1109" t="s">
        <v>392</v>
      </c>
    </row>
    <row r="1110" spans="1:9" hidden="1" x14ac:dyDescent="0.2">
      <c r="A1110">
        <v>12062511</v>
      </c>
      <c r="B1110">
        <v>4080</v>
      </c>
      <c r="C1110">
        <v>100</v>
      </c>
      <c r="D1110">
        <v>118.61</v>
      </c>
      <c r="I1110" t="s">
        <v>392</v>
      </c>
    </row>
    <row r="1111" spans="1:9" hidden="1" x14ac:dyDescent="0.2">
      <c r="A1111">
        <v>12062511</v>
      </c>
      <c r="B1111">
        <v>4080</v>
      </c>
      <c r="C1111">
        <v>100</v>
      </c>
      <c r="D1111" s="17">
        <v>37.46</v>
      </c>
      <c r="I1111" t="s">
        <v>393</v>
      </c>
    </row>
    <row r="1112" spans="1:9" hidden="1" x14ac:dyDescent="0.2">
      <c r="A1112">
        <v>12062511</v>
      </c>
      <c r="B1112">
        <v>4080</v>
      </c>
      <c r="C1112">
        <v>100</v>
      </c>
      <c r="D1112" s="17">
        <v>112.24</v>
      </c>
      <c r="I1112" t="s">
        <v>393</v>
      </c>
    </row>
    <row r="1113" spans="1:9" hidden="1" x14ac:dyDescent="0.2">
      <c r="A1113">
        <v>12062511</v>
      </c>
      <c r="B1113">
        <v>4080</v>
      </c>
      <c r="C1113">
        <v>100</v>
      </c>
      <c r="D1113" s="17">
        <v>109.32</v>
      </c>
      <c r="I1113" t="s">
        <v>393</v>
      </c>
    </row>
    <row r="1114" spans="1:9" hidden="1" x14ac:dyDescent="0.2">
      <c r="A1114">
        <v>12063011</v>
      </c>
      <c r="B1114">
        <v>4010</v>
      </c>
      <c r="C1114">
        <v>100</v>
      </c>
      <c r="D1114" s="17">
        <v>1709.4</v>
      </c>
      <c r="I1114" t="s">
        <v>392</v>
      </c>
    </row>
    <row r="1115" spans="1:9" hidden="1" x14ac:dyDescent="0.2">
      <c r="A1115">
        <v>12063011</v>
      </c>
      <c r="B1115">
        <v>4010</v>
      </c>
      <c r="C1115">
        <v>100</v>
      </c>
      <c r="D1115" s="17">
        <v>188.94</v>
      </c>
      <c r="I1115" t="s">
        <v>392</v>
      </c>
    </row>
    <row r="1116" spans="1:9" hidden="1" x14ac:dyDescent="0.2">
      <c r="A1116">
        <v>12063011</v>
      </c>
      <c r="B1116">
        <v>4010</v>
      </c>
      <c r="C1116">
        <v>100</v>
      </c>
      <c r="D1116" s="17">
        <v>-8.9499999999999993</v>
      </c>
      <c r="I1116" t="s">
        <v>392</v>
      </c>
    </row>
    <row r="1117" spans="1:9" hidden="1" x14ac:dyDescent="0.2">
      <c r="A1117" s="22">
        <v>12063011</v>
      </c>
      <c r="B1117">
        <v>4010</v>
      </c>
      <c r="C1117">
        <v>100</v>
      </c>
      <c r="D1117" s="17">
        <v>188.94</v>
      </c>
      <c r="E1117" s="23"/>
      <c r="F1117" s="24"/>
      <c r="G1117" s="22"/>
      <c r="H1117" s="22"/>
      <c r="I1117" t="s">
        <v>393</v>
      </c>
    </row>
    <row r="1118" spans="1:9" hidden="1" x14ac:dyDescent="0.2">
      <c r="A1118">
        <v>12063011</v>
      </c>
      <c r="B1118">
        <v>4010</v>
      </c>
      <c r="C1118">
        <v>100</v>
      </c>
      <c r="D1118" s="17">
        <v>1133.6300000000001</v>
      </c>
      <c r="E1118" s="17"/>
      <c r="F1118" s="18"/>
      <c r="I1118" t="s">
        <v>393</v>
      </c>
    </row>
    <row r="1119" spans="1:9" hidden="1" x14ac:dyDescent="0.2">
      <c r="A1119">
        <v>12063011</v>
      </c>
      <c r="B1119">
        <v>4080</v>
      </c>
      <c r="C1119">
        <v>100</v>
      </c>
      <c r="D1119">
        <v>170.05</v>
      </c>
      <c r="I1119" t="s">
        <v>392</v>
      </c>
    </row>
    <row r="1120" spans="1:9" hidden="1" x14ac:dyDescent="0.2">
      <c r="A1120">
        <v>12063011</v>
      </c>
      <c r="B1120">
        <v>4080</v>
      </c>
      <c r="C1120">
        <v>100</v>
      </c>
      <c r="D1120" s="17">
        <v>136.30000000000001</v>
      </c>
      <c r="I1120" t="s">
        <v>393</v>
      </c>
    </row>
    <row r="1121" spans="4:4" hidden="1" x14ac:dyDescent="0.2">
      <c r="D1121" s="17"/>
    </row>
    <row r="1122" spans="4:4" hidden="1" x14ac:dyDescent="0.2">
      <c r="D1122" s="17"/>
    </row>
    <row r="1123" spans="4:4" hidden="1" x14ac:dyDescent="0.2">
      <c r="D1123" s="17"/>
    </row>
    <row r="1124" spans="4:4" hidden="1" x14ac:dyDescent="0.2">
      <c r="D1124" s="17"/>
    </row>
    <row r="1125" spans="4:4" hidden="1" x14ac:dyDescent="0.2">
      <c r="D1125" s="17"/>
    </row>
    <row r="1126" spans="4:4" hidden="1" x14ac:dyDescent="0.2">
      <c r="D1126" s="17"/>
    </row>
    <row r="1127" spans="4:4" hidden="1" x14ac:dyDescent="0.2">
      <c r="D1127" s="17"/>
    </row>
    <row r="1128" spans="4:4" hidden="1" x14ac:dyDescent="0.2">
      <c r="D1128" s="17"/>
    </row>
    <row r="1129" spans="4:4" hidden="1" x14ac:dyDescent="0.2">
      <c r="D1129" s="17"/>
    </row>
    <row r="1130" spans="4:4" hidden="1" x14ac:dyDescent="0.2">
      <c r="D1130" s="17"/>
    </row>
    <row r="1131" spans="4:4" hidden="1" x14ac:dyDescent="0.2">
      <c r="D1131" s="17"/>
    </row>
    <row r="1132" spans="4:4" hidden="1" x14ac:dyDescent="0.2">
      <c r="D1132" s="17"/>
    </row>
    <row r="1133" spans="4:4" hidden="1" x14ac:dyDescent="0.2">
      <c r="D1133" s="17"/>
    </row>
    <row r="1134" spans="4:4" hidden="1" x14ac:dyDescent="0.2">
      <c r="D1134" s="17"/>
    </row>
    <row r="1135" spans="4:4" hidden="1" x14ac:dyDescent="0.2">
      <c r="D1135" s="17"/>
    </row>
    <row r="1136" spans="4:4" hidden="1" x14ac:dyDescent="0.2">
      <c r="D1136" s="17"/>
    </row>
    <row r="1137" spans="4:4" hidden="1" x14ac:dyDescent="0.2">
      <c r="D1137" s="17"/>
    </row>
    <row r="1138" spans="4:4" hidden="1" x14ac:dyDescent="0.2">
      <c r="D1138" s="17"/>
    </row>
    <row r="1139" spans="4:4" hidden="1" x14ac:dyDescent="0.2">
      <c r="D1139" s="17"/>
    </row>
    <row r="1140" spans="4:4" hidden="1" x14ac:dyDescent="0.2">
      <c r="D1140" s="17"/>
    </row>
    <row r="1141" spans="4:4" hidden="1" x14ac:dyDescent="0.2">
      <c r="D1141" s="17"/>
    </row>
    <row r="1142" spans="4:4" hidden="1" x14ac:dyDescent="0.2">
      <c r="D1142" s="17"/>
    </row>
    <row r="1143" spans="4:4" hidden="1" x14ac:dyDescent="0.2">
      <c r="D1143" s="17"/>
    </row>
    <row r="1144" spans="4:4" hidden="1" x14ac:dyDescent="0.2">
      <c r="D1144" s="17"/>
    </row>
    <row r="1145" spans="4:4" hidden="1" x14ac:dyDescent="0.2">
      <c r="D1145" s="17"/>
    </row>
    <row r="1146" spans="4:4" hidden="1" x14ac:dyDescent="0.2">
      <c r="D1146" s="17"/>
    </row>
    <row r="1147" spans="4:4" hidden="1" x14ac:dyDescent="0.2">
      <c r="D1147" s="17"/>
    </row>
    <row r="1148" spans="4:4" hidden="1" x14ac:dyDescent="0.2">
      <c r="D1148" s="17"/>
    </row>
    <row r="1149" spans="4:4" hidden="1" x14ac:dyDescent="0.2">
      <c r="D1149" s="17"/>
    </row>
    <row r="1150" spans="4:4" hidden="1" x14ac:dyDescent="0.2">
      <c r="D1150" s="17"/>
    </row>
    <row r="1151" spans="4:4" hidden="1" x14ac:dyDescent="0.2">
      <c r="D1151" s="17"/>
    </row>
    <row r="1152" spans="4:4" hidden="1" x14ac:dyDescent="0.2">
      <c r="D1152" s="17"/>
    </row>
    <row r="1153" spans="4:4" hidden="1" x14ac:dyDescent="0.2">
      <c r="D1153" s="17"/>
    </row>
    <row r="1154" spans="4:4" hidden="1" x14ac:dyDescent="0.2">
      <c r="D1154" s="17"/>
    </row>
    <row r="1155" spans="4:4" hidden="1" x14ac:dyDescent="0.2">
      <c r="D1155" s="17"/>
    </row>
    <row r="1156" spans="4:4" hidden="1" x14ac:dyDescent="0.2">
      <c r="D1156" s="17"/>
    </row>
    <row r="1157" spans="4:4" hidden="1" x14ac:dyDescent="0.2">
      <c r="D1157" s="17"/>
    </row>
    <row r="1158" spans="4:4" hidden="1" x14ac:dyDescent="0.2">
      <c r="D1158" s="17"/>
    </row>
    <row r="1159" spans="4:4" hidden="1" x14ac:dyDescent="0.2">
      <c r="D1159" s="17"/>
    </row>
    <row r="1160" spans="4:4" hidden="1" x14ac:dyDescent="0.2">
      <c r="D1160" s="17"/>
    </row>
    <row r="1161" spans="4:4" hidden="1" x14ac:dyDescent="0.2">
      <c r="D1161" s="17"/>
    </row>
    <row r="1162" spans="4:4" hidden="1" x14ac:dyDescent="0.2">
      <c r="D1162" s="17"/>
    </row>
    <row r="1163" spans="4:4" hidden="1" x14ac:dyDescent="0.2">
      <c r="D1163" s="17"/>
    </row>
    <row r="1164" spans="4:4" hidden="1" x14ac:dyDescent="0.2">
      <c r="D1164" s="17"/>
    </row>
    <row r="1165" spans="4:4" hidden="1" x14ac:dyDescent="0.2">
      <c r="D1165" s="17"/>
    </row>
    <row r="1166" spans="4:4" hidden="1" x14ac:dyDescent="0.2">
      <c r="D1166" s="17"/>
    </row>
    <row r="1167" spans="4:4" hidden="1" x14ac:dyDescent="0.2">
      <c r="D1167" s="17"/>
    </row>
    <row r="1168" spans="4:4" hidden="1" x14ac:dyDescent="0.2">
      <c r="D1168" s="17"/>
    </row>
    <row r="1169" spans="4:4" hidden="1" x14ac:dyDescent="0.2">
      <c r="D1169" s="17"/>
    </row>
    <row r="1170" spans="4:4" hidden="1" x14ac:dyDescent="0.2">
      <c r="D1170" s="17"/>
    </row>
    <row r="1171" spans="4:4" hidden="1" x14ac:dyDescent="0.2">
      <c r="D1171" s="17"/>
    </row>
    <row r="1172" spans="4:4" hidden="1" x14ac:dyDescent="0.2">
      <c r="D1172" s="17"/>
    </row>
    <row r="1173" spans="4:4" hidden="1" x14ac:dyDescent="0.2">
      <c r="D1173" s="17"/>
    </row>
    <row r="1174" spans="4:4" hidden="1" x14ac:dyDescent="0.2">
      <c r="D1174" s="17"/>
    </row>
    <row r="1175" spans="4:4" hidden="1" x14ac:dyDescent="0.2">
      <c r="D1175" s="17"/>
    </row>
    <row r="1176" spans="4:4" hidden="1" x14ac:dyDescent="0.2">
      <c r="D1176" s="17"/>
    </row>
    <row r="1177" spans="4:4" hidden="1" x14ac:dyDescent="0.2">
      <c r="D1177" s="17"/>
    </row>
    <row r="1178" spans="4:4" hidden="1" x14ac:dyDescent="0.2">
      <c r="D1178" s="17"/>
    </row>
    <row r="1179" spans="4:4" hidden="1" x14ac:dyDescent="0.2">
      <c r="D1179" s="17"/>
    </row>
    <row r="1180" spans="4:4" hidden="1" x14ac:dyDescent="0.2">
      <c r="D1180" s="17"/>
    </row>
    <row r="1181" spans="4:4" hidden="1" x14ac:dyDescent="0.2">
      <c r="D1181" s="17"/>
    </row>
    <row r="1182" spans="4:4" hidden="1" x14ac:dyDescent="0.2">
      <c r="D1182" s="17"/>
    </row>
    <row r="1183" spans="4:4" hidden="1" x14ac:dyDescent="0.2">
      <c r="D1183" s="17"/>
    </row>
    <row r="1184" spans="4:4" hidden="1" x14ac:dyDescent="0.2">
      <c r="D1184" s="17"/>
    </row>
    <row r="1185" spans="4:4" hidden="1" x14ac:dyDescent="0.2">
      <c r="D1185" s="17"/>
    </row>
    <row r="1186" spans="4:4" hidden="1" x14ac:dyDescent="0.2">
      <c r="D1186" s="17"/>
    </row>
    <row r="1187" spans="4:4" hidden="1" x14ac:dyDescent="0.2">
      <c r="D1187" s="17"/>
    </row>
    <row r="1188" spans="4:4" hidden="1" x14ac:dyDescent="0.2">
      <c r="D1188" s="17"/>
    </row>
    <row r="1189" spans="4:4" hidden="1" x14ac:dyDescent="0.2">
      <c r="D1189" s="17"/>
    </row>
    <row r="1190" spans="4:4" hidden="1" x14ac:dyDescent="0.2">
      <c r="D1190" s="17"/>
    </row>
    <row r="1191" spans="4:4" hidden="1" x14ac:dyDescent="0.2">
      <c r="D1191" s="17"/>
    </row>
    <row r="1192" spans="4:4" hidden="1" x14ac:dyDescent="0.2">
      <c r="D1192" s="17"/>
    </row>
    <row r="1193" spans="4:4" hidden="1" x14ac:dyDescent="0.2">
      <c r="D1193" s="17"/>
    </row>
    <row r="1194" spans="4:4" hidden="1" x14ac:dyDescent="0.2">
      <c r="D1194" s="17"/>
    </row>
    <row r="1195" spans="4:4" hidden="1" x14ac:dyDescent="0.2">
      <c r="D1195" s="17"/>
    </row>
    <row r="1196" spans="4:4" hidden="1" x14ac:dyDescent="0.2">
      <c r="D1196" s="17"/>
    </row>
    <row r="1197" spans="4:4" hidden="1" x14ac:dyDescent="0.2">
      <c r="D1197" s="17"/>
    </row>
    <row r="1198" spans="4:4" hidden="1" x14ac:dyDescent="0.2">
      <c r="D1198" s="17"/>
    </row>
    <row r="1199" spans="4:4" hidden="1" x14ac:dyDescent="0.2">
      <c r="D1199" s="17"/>
    </row>
    <row r="1200" spans="4:4" hidden="1" x14ac:dyDescent="0.2">
      <c r="D1200" s="17"/>
    </row>
    <row r="1201" spans="4:4" hidden="1" x14ac:dyDescent="0.2">
      <c r="D1201" s="17"/>
    </row>
    <row r="1202" spans="4:4" hidden="1" x14ac:dyDescent="0.2">
      <c r="D1202" s="17"/>
    </row>
    <row r="1203" spans="4:4" hidden="1" x14ac:dyDescent="0.2">
      <c r="D1203" s="17"/>
    </row>
    <row r="1204" spans="4:4" hidden="1" x14ac:dyDescent="0.2">
      <c r="D1204" s="17"/>
    </row>
    <row r="1205" spans="4:4" hidden="1" x14ac:dyDescent="0.2">
      <c r="D1205" s="17"/>
    </row>
    <row r="1206" spans="4:4" hidden="1" x14ac:dyDescent="0.2">
      <c r="D1206" s="17"/>
    </row>
    <row r="1207" spans="4:4" hidden="1" x14ac:dyDescent="0.2">
      <c r="D1207" s="17"/>
    </row>
    <row r="1208" spans="4:4" hidden="1" x14ac:dyDescent="0.2">
      <c r="D1208" s="17"/>
    </row>
    <row r="1209" spans="4:4" hidden="1" x14ac:dyDescent="0.2">
      <c r="D1209" s="17"/>
    </row>
    <row r="1210" spans="4:4" hidden="1" x14ac:dyDescent="0.2">
      <c r="D1210" s="17"/>
    </row>
    <row r="1211" spans="4:4" hidden="1" x14ac:dyDescent="0.2">
      <c r="D1211" s="17"/>
    </row>
    <row r="1212" spans="4:4" hidden="1" x14ac:dyDescent="0.2">
      <c r="D1212" s="17"/>
    </row>
    <row r="1213" spans="4:4" hidden="1" x14ac:dyDescent="0.2">
      <c r="D1213" s="17"/>
    </row>
    <row r="1214" spans="4:4" hidden="1" x14ac:dyDescent="0.2">
      <c r="D1214" s="17"/>
    </row>
    <row r="1215" spans="4:4" hidden="1" x14ac:dyDescent="0.2">
      <c r="D1215" s="17"/>
    </row>
    <row r="1216" spans="4:4" hidden="1" x14ac:dyDescent="0.2">
      <c r="D1216" s="17"/>
    </row>
    <row r="1217" spans="4:4" hidden="1" x14ac:dyDescent="0.2">
      <c r="D1217" s="17"/>
    </row>
    <row r="1218" spans="4:4" hidden="1" x14ac:dyDescent="0.2">
      <c r="D1218" s="17"/>
    </row>
    <row r="1219" spans="4:4" hidden="1" x14ac:dyDescent="0.2">
      <c r="D1219" s="17"/>
    </row>
    <row r="1220" spans="4:4" hidden="1" x14ac:dyDescent="0.2">
      <c r="D1220" s="17"/>
    </row>
    <row r="1221" spans="4:4" hidden="1" x14ac:dyDescent="0.2">
      <c r="D1221" s="17"/>
    </row>
    <row r="1222" spans="4:4" hidden="1" x14ac:dyDescent="0.2">
      <c r="D1222" s="17"/>
    </row>
    <row r="1223" spans="4:4" hidden="1" x14ac:dyDescent="0.2">
      <c r="D1223" s="17"/>
    </row>
    <row r="1224" spans="4:4" hidden="1" x14ac:dyDescent="0.2">
      <c r="D1224" s="17"/>
    </row>
    <row r="1225" spans="4:4" hidden="1" x14ac:dyDescent="0.2">
      <c r="D1225" s="17"/>
    </row>
    <row r="1226" spans="4:4" hidden="1" x14ac:dyDescent="0.2">
      <c r="D1226" s="17"/>
    </row>
    <row r="1227" spans="4:4" hidden="1" x14ac:dyDescent="0.2">
      <c r="D1227" s="17"/>
    </row>
    <row r="1228" spans="4:4" hidden="1" x14ac:dyDescent="0.2">
      <c r="D1228" s="17"/>
    </row>
    <row r="1229" spans="4:4" hidden="1" x14ac:dyDescent="0.2">
      <c r="D1229" s="17"/>
    </row>
    <row r="1230" spans="4:4" hidden="1" x14ac:dyDescent="0.2">
      <c r="D1230" s="17"/>
    </row>
    <row r="1231" spans="4:4" hidden="1" x14ac:dyDescent="0.2">
      <c r="D1231" s="17"/>
    </row>
    <row r="1232" spans="4:4" hidden="1" x14ac:dyDescent="0.2">
      <c r="D1232" s="17"/>
    </row>
    <row r="1233" spans="4:4" hidden="1" x14ac:dyDescent="0.2">
      <c r="D1233" s="17"/>
    </row>
    <row r="1234" spans="4:4" hidden="1" x14ac:dyDescent="0.2">
      <c r="D1234" s="17"/>
    </row>
    <row r="1235" spans="4:4" hidden="1" x14ac:dyDescent="0.2">
      <c r="D1235" s="17"/>
    </row>
    <row r="1236" spans="4:4" hidden="1" x14ac:dyDescent="0.2">
      <c r="D1236" s="17"/>
    </row>
    <row r="1237" spans="4:4" hidden="1" x14ac:dyDescent="0.2">
      <c r="D1237" s="17"/>
    </row>
    <row r="1238" spans="4:4" hidden="1" x14ac:dyDescent="0.2">
      <c r="D1238" s="17"/>
    </row>
    <row r="1239" spans="4:4" hidden="1" x14ac:dyDescent="0.2">
      <c r="D1239" s="17"/>
    </row>
    <row r="1240" spans="4:4" hidden="1" x14ac:dyDescent="0.2">
      <c r="D1240" s="17"/>
    </row>
    <row r="1241" spans="4:4" hidden="1" x14ac:dyDescent="0.2">
      <c r="D1241" s="17"/>
    </row>
    <row r="1242" spans="4:4" hidden="1" x14ac:dyDescent="0.2">
      <c r="D1242" s="17"/>
    </row>
    <row r="1243" spans="4:4" hidden="1" x14ac:dyDescent="0.2">
      <c r="D1243" s="17"/>
    </row>
    <row r="1244" spans="4:4" hidden="1" x14ac:dyDescent="0.2">
      <c r="D1244" s="17"/>
    </row>
    <row r="1245" spans="4:4" hidden="1" x14ac:dyDescent="0.2">
      <c r="D1245" s="17"/>
    </row>
    <row r="1246" spans="4:4" hidden="1" x14ac:dyDescent="0.2">
      <c r="D1246" s="17"/>
    </row>
    <row r="1247" spans="4:4" hidden="1" x14ac:dyDescent="0.2">
      <c r="D1247" s="17"/>
    </row>
    <row r="1248" spans="4:4" hidden="1" x14ac:dyDescent="0.2">
      <c r="D1248" s="17"/>
    </row>
    <row r="1249" spans="4:4" hidden="1" x14ac:dyDescent="0.2">
      <c r="D1249" s="17"/>
    </row>
    <row r="1250" spans="4:4" hidden="1" x14ac:dyDescent="0.2">
      <c r="D1250" s="17"/>
    </row>
    <row r="1251" spans="4:4" hidden="1" x14ac:dyDescent="0.2">
      <c r="D1251" s="17"/>
    </row>
    <row r="1252" spans="4:4" hidden="1" x14ac:dyDescent="0.2">
      <c r="D1252" s="17"/>
    </row>
    <row r="1253" spans="4:4" hidden="1" x14ac:dyDescent="0.2">
      <c r="D1253" s="17"/>
    </row>
    <row r="1254" spans="4:4" hidden="1" x14ac:dyDescent="0.2">
      <c r="D1254" s="17"/>
    </row>
    <row r="1255" spans="4:4" hidden="1" x14ac:dyDescent="0.2">
      <c r="D1255" s="17"/>
    </row>
    <row r="1256" spans="4:4" hidden="1" x14ac:dyDescent="0.2">
      <c r="D1256" s="17"/>
    </row>
    <row r="1257" spans="4:4" hidden="1" x14ac:dyDescent="0.2">
      <c r="D1257" s="17"/>
    </row>
    <row r="1258" spans="4:4" hidden="1" x14ac:dyDescent="0.2">
      <c r="D1258" s="17"/>
    </row>
    <row r="1259" spans="4:4" hidden="1" x14ac:dyDescent="0.2">
      <c r="D1259" s="17"/>
    </row>
    <row r="1260" spans="4:4" hidden="1" x14ac:dyDescent="0.2">
      <c r="D1260" s="17"/>
    </row>
    <row r="1261" spans="4:4" hidden="1" x14ac:dyDescent="0.2">
      <c r="D1261" s="17"/>
    </row>
    <row r="1262" spans="4:4" hidden="1" x14ac:dyDescent="0.2">
      <c r="D1262" s="17"/>
    </row>
    <row r="1263" spans="4:4" hidden="1" x14ac:dyDescent="0.2">
      <c r="D1263" s="17"/>
    </row>
    <row r="1264" spans="4:4" hidden="1" x14ac:dyDescent="0.2">
      <c r="D1264" s="17"/>
    </row>
    <row r="1265" spans="4:4" hidden="1" x14ac:dyDescent="0.2">
      <c r="D1265" s="17"/>
    </row>
    <row r="1266" spans="4:4" hidden="1" x14ac:dyDescent="0.2">
      <c r="D1266" s="17"/>
    </row>
    <row r="1267" spans="4:4" hidden="1" x14ac:dyDescent="0.2">
      <c r="D1267" s="17"/>
    </row>
    <row r="1268" spans="4:4" hidden="1" x14ac:dyDescent="0.2">
      <c r="D1268" s="17"/>
    </row>
    <row r="1269" spans="4:4" hidden="1" x14ac:dyDescent="0.2">
      <c r="D1269" s="17"/>
    </row>
    <row r="1270" spans="4:4" hidden="1" x14ac:dyDescent="0.2">
      <c r="D1270" s="17"/>
    </row>
    <row r="1271" spans="4:4" hidden="1" x14ac:dyDescent="0.2">
      <c r="D1271" s="17"/>
    </row>
    <row r="1272" spans="4:4" hidden="1" x14ac:dyDescent="0.2">
      <c r="D1272" s="17"/>
    </row>
    <row r="1273" spans="4:4" hidden="1" x14ac:dyDescent="0.2">
      <c r="D1273" s="17"/>
    </row>
    <row r="1274" spans="4:4" hidden="1" x14ac:dyDescent="0.2">
      <c r="D1274" s="17"/>
    </row>
    <row r="1275" spans="4:4" hidden="1" x14ac:dyDescent="0.2">
      <c r="D1275" s="17"/>
    </row>
    <row r="1276" spans="4:4" hidden="1" x14ac:dyDescent="0.2">
      <c r="D1276" s="17"/>
    </row>
    <row r="1277" spans="4:4" hidden="1" x14ac:dyDescent="0.2">
      <c r="D1277" s="17"/>
    </row>
    <row r="1278" spans="4:4" hidden="1" x14ac:dyDescent="0.2">
      <c r="D1278" s="17"/>
    </row>
    <row r="1279" spans="4:4" hidden="1" x14ac:dyDescent="0.2">
      <c r="D1279" s="17"/>
    </row>
    <row r="1280" spans="4:4" hidden="1" x14ac:dyDescent="0.2">
      <c r="D1280" s="17"/>
    </row>
    <row r="1281" spans="4:4" hidden="1" x14ac:dyDescent="0.2">
      <c r="D1281" s="17"/>
    </row>
    <row r="1282" spans="4:4" hidden="1" x14ac:dyDescent="0.2">
      <c r="D1282" s="17"/>
    </row>
    <row r="1283" spans="4:4" hidden="1" x14ac:dyDescent="0.2">
      <c r="D1283" s="17"/>
    </row>
    <row r="1284" spans="4:4" hidden="1" x14ac:dyDescent="0.2">
      <c r="D1284" s="17"/>
    </row>
    <row r="1285" spans="4:4" hidden="1" x14ac:dyDescent="0.2">
      <c r="D1285" s="17"/>
    </row>
    <row r="1286" spans="4:4" hidden="1" x14ac:dyDescent="0.2">
      <c r="D1286" s="17"/>
    </row>
    <row r="1287" spans="4:4" hidden="1" x14ac:dyDescent="0.2">
      <c r="D1287" s="17"/>
    </row>
    <row r="1288" spans="4:4" hidden="1" x14ac:dyDescent="0.2">
      <c r="D1288" s="17"/>
    </row>
    <row r="1289" spans="4:4" hidden="1" x14ac:dyDescent="0.2">
      <c r="D1289" s="17"/>
    </row>
    <row r="1290" spans="4:4" hidden="1" x14ac:dyDescent="0.2">
      <c r="D1290" s="17"/>
    </row>
    <row r="1291" spans="4:4" hidden="1" x14ac:dyDescent="0.2">
      <c r="D1291" s="17"/>
    </row>
    <row r="1292" spans="4:4" hidden="1" x14ac:dyDescent="0.2">
      <c r="D1292" s="17"/>
    </row>
    <row r="1293" spans="4:4" hidden="1" x14ac:dyDescent="0.2">
      <c r="D1293" s="17"/>
    </row>
    <row r="1294" spans="4:4" hidden="1" x14ac:dyDescent="0.2">
      <c r="D1294" s="17"/>
    </row>
    <row r="1295" spans="4:4" hidden="1" x14ac:dyDescent="0.2">
      <c r="D1295" s="17"/>
    </row>
    <row r="1296" spans="4:4" hidden="1" x14ac:dyDescent="0.2">
      <c r="D1296" s="17"/>
    </row>
    <row r="1297" spans="4:4" hidden="1" x14ac:dyDescent="0.2">
      <c r="D1297" s="17"/>
    </row>
    <row r="1298" spans="4:4" hidden="1" x14ac:dyDescent="0.2">
      <c r="D1298" s="17"/>
    </row>
    <row r="1299" spans="4:4" hidden="1" x14ac:dyDescent="0.2">
      <c r="D1299" s="17"/>
    </row>
    <row r="1300" spans="4:4" hidden="1" x14ac:dyDescent="0.2">
      <c r="D1300" s="17"/>
    </row>
    <row r="1301" spans="4:4" hidden="1" x14ac:dyDescent="0.2">
      <c r="D1301" s="17"/>
    </row>
    <row r="1302" spans="4:4" hidden="1" x14ac:dyDescent="0.2">
      <c r="D1302" s="17"/>
    </row>
    <row r="1303" spans="4:4" hidden="1" x14ac:dyDescent="0.2">
      <c r="D1303" s="17"/>
    </row>
    <row r="1304" spans="4:4" hidden="1" x14ac:dyDescent="0.2">
      <c r="D1304" s="17"/>
    </row>
    <row r="1305" spans="4:4" hidden="1" x14ac:dyDescent="0.2">
      <c r="D1305" s="17"/>
    </row>
    <row r="1306" spans="4:4" hidden="1" x14ac:dyDescent="0.2">
      <c r="D1306" s="17"/>
    </row>
    <row r="1307" spans="4:4" hidden="1" x14ac:dyDescent="0.2">
      <c r="D1307" s="17"/>
    </row>
    <row r="1308" spans="4:4" hidden="1" x14ac:dyDescent="0.2">
      <c r="D1308" s="17"/>
    </row>
    <row r="1309" spans="4:4" hidden="1" x14ac:dyDescent="0.2">
      <c r="D1309" s="17"/>
    </row>
    <row r="1310" spans="4:4" hidden="1" x14ac:dyDescent="0.2">
      <c r="D1310" s="17"/>
    </row>
    <row r="1311" spans="4:4" hidden="1" x14ac:dyDescent="0.2">
      <c r="D1311" s="17"/>
    </row>
    <row r="1312" spans="4:4" hidden="1" x14ac:dyDescent="0.2">
      <c r="D1312" s="17"/>
    </row>
    <row r="1313" spans="4:4" hidden="1" x14ac:dyDescent="0.2">
      <c r="D1313" s="17"/>
    </row>
    <row r="1314" spans="4:4" hidden="1" x14ac:dyDescent="0.2">
      <c r="D1314" s="17"/>
    </row>
    <row r="1315" spans="4:4" hidden="1" x14ac:dyDescent="0.2">
      <c r="D1315" s="17"/>
    </row>
    <row r="1316" spans="4:4" hidden="1" x14ac:dyDescent="0.2">
      <c r="D1316" s="17"/>
    </row>
    <row r="1317" spans="4:4" hidden="1" x14ac:dyDescent="0.2">
      <c r="D1317" s="17"/>
    </row>
    <row r="1318" spans="4:4" hidden="1" x14ac:dyDescent="0.2">
      <c r="D1318" s="17"/>
    </row>
    <row r="1319" spans="4:4" hidden="1" x14ac:dyDescent="0.2">
      <c r="D1319" s="17"/>
    </row>
    <row r="1320" spans="4:4" hidden="1" x14ac:dyDescent="0.2">
      <c r="D1320" s="17"/>
    </row>
    <row r="1321" spans="4:4" hidden="1" x14ac:dyDescent="0.2">
      <c r="D1321" s="17"/>
    </row>
    <row r="1322" spans="4:4" hidden="1" x14ac:dyDescent="0.2">
      <c r="D1322" s="17"/>
    </row>
    <row r="1323" spans="4:4" hidden="1" x14ac:dyDescent="0.2">
      <c r="D1323" s="17"/>
    </row>
    <row r="1324" spans="4:4" hidden="1" x14ac:dyDescent="0.2">
      <c r="D1324" s="17"/>
    </row>
    <row r="1325" spans="4:4" hidden="1" x14ac:dyDescent="0.2">
      <c r="D1325" s="17"/>
    </row>
    <row r="1326" spans="4:4" hidden="1" x14ac:dyDescent="0.2">
      <c r="D1326" s="17"/>
    </row>
    <row r="1327" spans="4:4" hidden="1" x14ac:dyDescent="0.2">
      <c r="D1327" s="17"/>
    </row>
    <row r="1328" spans="4:4" hidden="1" x14ac:dyDescent="0.2">
      <c r="D1328" s="17"/>
    </row>
    <row r="1329" spans="4:4" hidden="1" x14ac:dyDescent="0.2">
      <c r="D1329" s="17"/>
    </row>
    <row r="1330" spans="4:4" hidden="1" x14ac:dyDescent="0.2">
      <c r="D1330" s="17"/>
    </row>
    <row r="1331" spans="4:4" hidden="1" x14ac:dyDescent="0.2">
      <c r="D1331" s="17"/>
    </row>
    <row r="1332" spans="4:4" hidden="1" x14ac:dyDescent="0.2">
      <c r="D1332" s="17"/>
    </row>
    <row r="1333" spans="4:4" hidden="1" x14ac:dyDescent="0.2">
      <c r="D1333" s="17"/>
    </row>
    <row r="1334" spans="4:4" hidden="1" x14ac:dyDescent="0.2">
      <c r="D1334" s="17"/>
    </row>
    <row r="1335" spans="4:4" hidden="1" x14ac:dyDescent="0.2">
      <c r="D1335" s="17"/>
    </row>
    <row r="1336" spans="4:4" hidden="1" x14ac:dyDescent="0.2">
      <c r="D1336" s="17"/>
    </row>
    <row r="1337" spans="4:4" hidden="1" x14ac:dyDescent="0.2">
      <c r="D1337" s="17"/>
    </row>
    <row r="1338" spans="4:4" hidden="1" x14ac:dyDescent="0.2">
      <c r="D1338" s="17"/>
    </row>
    <row r="1339" spans="4:4" hidden="1" x14ac:dyDescent="0.2">
      <c r="D1339" s="17"/>
    </row>
    <row r="1340" spans="4:4" hidden="1" x14ac:dyDescent="0.2">
      <c r="D1340" s="17"/>
    </row>
    <row r="1341" spans="4:4" hidden="1" x14ac:dyDescent="0.2">
      <c r="D1341" s="17"/>
    </row>
    <row r="1342" spans="4:4" hidden="1" x14ac:dyDescent="0.2">
      <c r="D1342" s="17"/>
    </row>
    <row r="1343" spans="4:4" hidden="1" x14ac:dyDescent="0.2">
      <c r="D1343" s="17"/>
    </row>
    <row r="1344" spans="4:4" hidden="1" x14ac:dyDescent="0.2">
      <c r="D1344" s="17"/>
    </row>
    <row r="1345" spans="4:4" hidden="1" x14ac:dyDescent="0.2">
      <c r="D1345" s="17"/>
    </row>
    <row r="1346" spans="4:4" hidden="1" x14ac:dyDescent="0.2">
      <c r="D1346" s="17"/>
    </row>
    <row r="1347" spans="4:4" hidden="1" x14ac:dyDescent="0.2">
      <c r="D1347" s="17"/>
    </row>
    <row r="1348" spans="4:4" hidden="1" x14ac:dyDescent="0.2">
      <c r="D1348" s="17"/>
    </row>
    <row r="1349" spans="4:4" hidden="1" x14ac:dyDescent="0.2">
      <c r="D1349" s="17"/>
    </row>
    <row r="1350" spans="4:4" hidden="1" x14ac:dyDescent="0.2">
      <c r="D1350" s="17"/>
    </row>
    <row r="1351" spans="4:4" hidden="1" x14ac:dyDescent="0.2">
      <c r="D1351" s="17"/>
    </row>
    <row r="1352" spans="4:4" hidden="1" x14ac:dyDescent="0.2">
      <c r="D1352" s="17"/>
    </row>
    <row r="1353" spans="4:4" hidden="1" x14ac:dyDescent="0.2">
      <c r="D1353" s="17"/>
    </row>
    <row r="1354" spans="4:4" hidden="1" x14ac:dyDescent="0.2">
      <c r="D1354" s="17"/>
    </row>
    <row r="1355" spans="4:4" hidden="1" x14ac:dyDescent="0.2">
      <c r="D1355" s="17"/>
    </row>
    <row r="1356" spans="4:4" hidden="1" x14ac:dyDescent="0.2">
      <c r="D1356" s="17"/>
    </row>
    <row r="1357" spans="4:4" hidden="1" x14ac:dyDescent="0.2">
      <c r="D1357" s="17"/>
    </row>
    <row r="1358" spans="4:4" hidden="1" x14ac:dyDescent="0.2">
      <c r="D1358" s="17"/>
    </row>
    <row r="1359" spans="4:4" hidden="1" x14ac:dyDescent="0.2">
      <c r="D1359" s="17"/>
    </row>
    <row r="1360" spans="4:4" hidden="1" x14ac:dyDescent="0.2">
      <c r="D1360" s="17"/>
    </row>
    <row r="1361" spans="4:4" hidden="1" x14ac:dyDescent="0.2">
      <c r="D1361" s="17"/>
    </row>
    <row r="1362" spans="4:4" hidden="1" x14ac:dyDescent="0.2">
      <c r="D1362" s="17"/>
    </row>
    <row r="1363" spans="4:4" hidden="1" x14ac:dyDescent="0.2">
      <c r="D1363" s="17"/>
    </row>
    <row r="1364" spans="4:4" hidden="1" x14ac:dyDescent="0.2">
      <c r="D1364" s="17"/>
    </row>
    <row r="1365" spans="4:4" hidden="1" x14ac:dyDescent="0.2">
      <c r="D1365" s="17"/>
    </row>
    <row r="1366" spans="4:4" hidden="1" x14ac:dyDescent="0.2">
      <c r="D1366" s="17"/>
    </row>
    <row r="1367" spans="4:4" hidden="1" x14ac:dyDescent="0.2">
      <c r="D1367" s="17"/>
    </row>
    <row r="1368" spans="4:4" hidden="1" x14ac:dyDescent="0.2">
      <c r="D1368" s="17"/>
    </row>
    <row r="1369" spans="4:4" hidden="1" x14ac:dyDescent="0.2">
      <c r="D1369" s="17"/>
    </row>
    <row r="1370" spans="4:4" hidden="1" x14ac:dyDescent="0.2">
      <c r="D1370" s="17"/>
    </row>
    <row r="1371" spans="4:4" hidden="1" x14ac:dyDescent="0.2">
      <c r="D1371" s="17"/>
    </row>
    <row r="1372" spans="4:4" hidden="1" x14ac:dyDescent="0.2">
      <c r="D1372" s="17"/>
    </row>
    <row r="1373" spans="4:4" hidden="1" x14ac:dyDescent="0.2">
      <c r="D1373" s="17"/>
    </row>
    <row r="1374" spans="4:4" hidden="1" x14ac:dyDescent="0.2">
      <c r="D1374" s="17"/>
    </row>
    <row r="1375" spans="4:4" hidden="1" x14ac:dyDescent="0.2">
      <c r="D1375" s="17"/>
    </row>
    <row r="1376" spans="4:4" hidden="1" x14ac:dyDescent="0.2">
      <c r="D1376" s="17"/>
    </row>
    <row r="1377" spans="4:4" hidden="1" x14ac:dyDescent="0.2">
      <c r="D1377" s="17"/>
    </row>
    <row r="1378" spans="4:4" hidden="1" x14ac:dyDescent="0.2">
      <c r="D1378" s="17"/>
    </row>
    <row r="1379" spans="4:4" hidden="1" x14ac:dyDescent="0.2">
      <c r="D1379" s="17"/>
    </row>
    <row r="1380" spans="4:4" hidden="1" x14ac:dyDescent="0.2">
      <c r="D1380" s="17"/>
    </row>
    <row r="1381" spans="4:4" hidden="1" x14ac:dyDescent="0.2">
      <c r="D1381" s="17"/>
    </row>
    <row r="1382" spans="4:4" hidden="1" x14ac:dyDescent="0.2">
      <c r="D1382" s="17"/>
    </row>
    <row r="1383" spans="4:4" hidden="1" x14ac:dyDescent="0.2">
      <c r="D1383" s="17"/>
    </row>
    <row r="1384" spans="4:4" hidden="1" x14ac:dyDescent="0.2">
      <c r="D1384" s="17"/>
    </row>
    <row r="1385" spans="4:4" hidden="1" x14ac:dyDescent="0.2">
      <c r="D1385" s="17"/>
    </row>
    <row r="1386" spans="4:4" hidden="1" x14ac:dyDescent="0.2">
      <c r="D1386" s="17"/>
    </row>
    <row r="1387" spans="4:4" hidden="1" x14ac:dyDescent="0.2">
      <c r="D1387" s="17"/>
    </row>
    <row r="1388" spans="4:4" hidden="1" x14ac:dyDescent="0.2">
      <c r="D1388" s="17"/>
    </row>
    <row r="1389" spans="4:4" hidden="1" x14ac:dyDescent="0.2">
      <c r="D1389" s="17"/>
    </row>
    <row r="1390" spans="4:4" hidden="1" x14ac:dyDescent="0.2">
      <c r="D1390" s="17"/>
    </row>
    <row r="1391" spans="4:4" hidden="1" x14ac:dyDescent="0.2">
      <c r="D1391"/>
    </row>
    <row r="1392" spans="4:4" hidden="1" x14ac:dyDescent="0.2">
      <c r="D1392"/>
    </row>
    <row r="1393" spans="4:4" hidden="1" x14ac:dyDescent="0.2">
      <c r="D1393"/>
    </row>
    <row r="1394" spans="4:4" hidden="1" x14ac:dyDescent="0.2">
      <c r="D1394"/>
    </row>
    <row r="1395" spans="4:4" hidden="1" x14ac:dyDescent="0.2">
      <c r="D1395"/>
    </row>
    <row r="1396" spans="4:4" hidden="1" x14ac:dyDescent="0.2">
      <c r="D1396"/>
    </row>
    <row r="1397" spans="4:4" hidden="1" x14ac:dyDescent="0.2">
      <c r="D1397"/>
    </row>
    <row r="1398" spans="4:4" hidden="1" x14ac:dyDescent="0.2">
      <c r="D1398"/>
    </row>
    <row r="1399" spans="4:4" hidden="1" x14ac:dyDescent="0.2">
      <c r="D1399"/>
    </row>
    <row r="1400" spans="4:4" hidden="1" x14ac:dyDescent="0.2">
      <c r="D1400"/>
    </row>
    <row r="1401" spans="4:4" hidden="1" x14ac:dyDescent="0.2">
      <c r="D1401"/>
    </row>
    <row r="1402" spans="4:4" hidden="1" x14ac:dyDescent="0.2">
      <c r="D1402"/>
    </row>
    <row r="1403" spans="4:4" hidden="1" x14ac:dyDescent="0.2">
      <c r="D1403"/>
    </row>
    <row r="1404" spans="4:4" hidden="1" x14ac:dyDescent="0.2">
      <c r="D1404"/>
    </row>
    <row r="1405" spans="4:4" hidden="1" x14ac:dyDescent="0.2">
      <c r="D1405"/>
    </row>
    <row r="1406" spans="4:4" hidden="1" x14ac:dyDescent="0.2">
      <c r="D1406"/>
    </row>
    <row r="1407" spans="4:4" hidden="1" x14ac:dyDescent="0.2">
      <c r="D1407"/>
    </row>
    <row r="1408" spans="4:4" hidden="1" x14ac:dyDescent="0.2">
      <c r="D1408"/>
    </row>
    <row r="1409" spans="4:4" hidden="1" x14ac:dyDescent="0.2">
      <c r="D1409"/>
    </row>
    <row r="1410" spans="4:4" hidden="1" x14ac:dyDescent="0.2">
      <c r="D1410"/>
    </row>
    <row r="1411" spans="4:4" hidden="1" x14ac:dyDescent="0.2">
      <c r="D1411"/>
    </row>
    <row r="1412" spans="4:4" hidden="1" x14ac:dyDescent="0.2">
      <c r="D1412"/>
    </row>
    <row r="1413" spans="4:4" hidden="1" x14ac:dyDescent="0.2">
      <c r="D1413"/>
    </row>
    <row r="1414" spans="4:4" hidden="1" x14ac:dyDescent="0.2">
      <c r="D1414"/>
    </row>
    <row r="1415" spans="4:4" hidden="1" x14ac:dyDescent="0.2">
      <c r="D1415"/>
    </row>
    <row r="1416" spans="4:4" hidden="1" x14ac:dyDescent="0.2">
      <c r="D1416"/>
    </row>
    <row r="1417" spans="4:4" hidden="1" x14ac:dyDescent="0.2">
      <c r="D1417"/>
    </row>
    <row r="1418" spans="4:4" hidden="1" x14ac:dyDescent="0.2">
      <c r="D1418"/>
    </row>
    <row r="1419" spans="4:4" hidden="1" x14ac:dyDescent="0.2">
      <c r="D1419"/>
    </row>
    <row r="1420" spans="4:4" hidden="1" x14ac:dyDescent="0.2">
      <c r="D1420"/>
    </row>
    <row r="1421" spans="4:4" hidden="1" x14ac:dyDescent="0.2">
      <c r="D1421"/>
    </row>
    <row r="1422" spans="4:4" hidden="1" x14ac:dyDescent="0.2">
      <c r="D1422"/>
    </row>
    <row r="1423" spans="4:4" hidden="1" x14ac:dyDescent="0.2">
      <c r="D1423"/>
    </row>
    <row r="1424" spans="4:4" hidden="1" x14ac:dyDescent="0.2">
      <c r="D1424"/>
    </row>
    <row r="1425" spans="4:4" hidden="1" x14ac:dyDescent="0.2">
      <c r="D1425"/>
    </row>
    <row r="1426" spans="4:4" hidden="1" x14ac:dyDescent="0.2">
      <c r="D1426"/>
    </row>
    <row r="1427" spans="4:4" hidden="1" x14ac:dyDescent="0.2">
      <c r="D1427"/>
    </row>
    <row r="1428" spans="4:4" hidden="1" x14ac:dyDescent="0.2">
      <c r="D1428"/>
    </row>
    <row r="1429" spans="4:4" hidden="1" x14ac:dyDescent="0.2">
      <c r="D1429"/>
    </row>
    <row r="1430" spans="4:4" hidden="1" x14ac:dyDescent="0.2">
      <c r="D1430"/>
    </row>
    <row r="1431" spans="4:4" hidden="1" x14ac:dyDescent="0.2">
      <c r="D1431"/>
    </row>
    <row r="1432" spans="4:4" hidden="1" x14ac:dyDescent="0.2">
      <c r="D1432"/>
    </row>
    <row r="1433" spans="4:4" hidden="1" x14ac:dyDescent="0.2">
      <c r="D1433"/>
    </row>
    <row r="1434" spans="4:4" hidden="1" x14ac:dyDescent="0.2">
      <c r="D1434"/>
    </row>
    <row r="1435" spans="4:4" hidden="1" x14ac:dyDescent="0.2">
      <c r="D1435"/>
    </row>
    <row r="1436" spans="4:4" hidden="1" x14ac:dyDescent="0.2">
      <c r="D1436"/>
    </row>
    <row r="1437" spans="4:4" hidden="1" x14ac:dyDescent="0.2">
      <c r="D1437"/>
    </row>
    <row r="1438" spans="4:4" hidden="1" x14ac:dyDescent="0.2">
      <c r="D1438"/>
    </row>
    <row r="1439" spans="4:4" hidden="1" x14ac:dyDescent="0.2">
      <c r="D1439"/>
    </row>
    <row r="1440" spans="4:4" hidden="1" x14ac:dyDescent="0.2">
      <c r="D1440"/>
    </row>
    <row r="1441" spans="4:4" hidden="1" x14ac:dyDescent="0.2">
      <c r="D1441"/>
    </row>
    <row r="1442" spans="4:4" hidden="1" x14ac:dyDescent="0.2">
      <c r="D1442"/>
    </row>
    <row r="1443" spans="4:4" hidden="1" x14ac:dyDescent="0.2">
      <c r="D1443"/>
    </row>
    <row r="1444" spans="4:4" hidden="1" x14ac:dyDescent="0.2">
      <c r="D1444"/>
    </row>
    <row r="1445" spans="4:4" hidden="1" x14ac:dyDescent="0.2">
      <c r="D1445"/>
    </row>
    <row r="1446" spans="4:4" hidden="1" x14ac:dyDescent="0.2">
      <c r="D1446"/>
    </row>
    <row r="1447" spans="4:4" hidden="1" x14ac:dyDescent="0.2">
      <c r="D1447"/>
    </row>
    <row r="1448" spans="4:4" hidden="1" x14ac:dyDescent="0.2">
      <c r="D1448"/>
    </row>
    <row r="1449" spans="4:4" hidden="1" x14ac:dyDescent="0.2">
      <c r="D1449"/>
    </row>
    <row r="1450" spans="4:4" hidden="1" x14ac:dyDescent="0.2">
      <c r="D1450"/>
    </row>
    <row r="1451" spans="4:4" hidden="1" x14ac:dyDescent="0.2">
      <c r="D1451"/>
    </row>
    <row r="1452" spans="4:4" hidden="1" x14ac:dyDescent="0.2">
      <c r="D1452"/>
    </row>
    <row r="1453" spans="4:4" hidden="1" x14ac:dyDescent="0.2">
      <c r="D1453"/>
    </row>
    <row r="1454" spans="4:4" hidden="1" x14ac:dyDescent="0.2">
      <c r="D1454"/>
    </row>
    <row r="1455" spans="4:4" hidden="1" x14ac:dyDescent="0.2">
      <c r="D1455"/>
    </row>
    <row r="1456" spans="4:4" hidden="1" x14ac:dyDescent="0.2">
      <c r="D1456"/>
    </row>
    <row r="1457" spans="4:4" hidden="1" x14ac:dyDescent="0.2">
      <c r="D1457"/>
    </row>
    <row r="1458" spans="4:4" hidden="1" x14ac:dyDescent="0.2">
      <c r="D1458"/>
    </row>
    <row r="1459" spans="4:4" hidden="1" x14ac:dyDescent="0.2">
      <c r="D1459"/>
    </row>
    <row r="1460" spans="4:4" hidden="1" x14ac:dyDescent="0.2">
      <c r="D1460"/>
    </row>
    <row r="1461" spans="4:4" hidden="1" x14ac:dyDescent="0.2">
      <c r="D1461"/>
    </row>
    <row r="1462" spans="4:4" hidden="1" x14ac:dyDescent="0.2">
      <c r="D1462"/>
    </row>
    <row r="1463" spans="4:4" hidden="1" x14ac:dyDescent="0.2">
      <c r="D1463"/>
    </row>
    <row r="1464" spans="4:4" hidden="1" x14ac:dyDescent="0.2">
      <c r="D1464"/>
    </row>
    <row r="1465" spans="4:4" hidden="1" x14ac:dyDescent="0.2">
      <c r="D1465"/>
    </row>
    <row r="1466" spans="4:4" hidden="1" x14ac:dyDescent="0.2">
      <c r="D1466"/>
    </row>
    <row r="1467" spans="4:4" hidden="1" x14ac:dyDescent="0.2">
      <c r="D1467"/>
    </row>
    <row r="1468" spans="4:4" hidden="1" x14ac:dyDescent="0.2">
      <c r="D1468"/>
    </row>
    <row r="1469" spans="4:4" hidden="1" x14ac:dyDescent="0.2">
      <c r="D1469"/>
    </row>
    <row r="1470" spans="4:4" hidden="1" x14ac:dyDescent="0.2">
      <c r="D1470"/>
    </row>
    <row r="1471" spans="4:4" hidden="1" x14ac:dyDescent="0.2">
      <c r="D1471"/>
    </row>
    <row r="1472" spans="4:4" hidden="1" x14ac:dyDescent="0.2">
      <c r="D1472"/>
    </row>
    <row r="1473" spans="4:4" hidden="1" x14ac:dyDescent="0.2">
      <c r="D1473"/>
    </row>
    <row r="1474" spans="4:4" hidden="1" x14ac:dyDescent="0.2">
      <c r="D1474"/>
    </row>
    <row r="1475" spans="4:4" hidden="1" x14ac:dyDescent="0.2">
      <c r="D1475"/>
    </row>
    <row r="1476" spans="4:4" hidden="1" x14ac:dyDescent="0.2">
      <c r="D1476"/>
    </row>
    <row r="1477" spans="4:4" hidden="1" x14ac:dyDescent="0.2">
      <c r="D1477"/>
    </row>
    <row r="1478" spans="4:4" hidden="1" x14ac:dyDescent="0.2">
      <c r="D1478"/>
    </row>
    <row r="1479" spans="4:4" hidden="1" x14ac:dyDescent="0.2">
      <c r="D1479"/>
    </row>
    <row r="1480" spans="4:4" hidden="1" x14ac:dyDescent="0.2">
      <c r="D1480"/>
    </row>
    <row r="1481" spans="4:4" hidden="1" x14ac:dyDescent="0.2">
      <c r="D1481"/>
    </row>
    <row r="1482" spans="4:4" hidden="1" x14ac:dyDescent="0.2">
      <c r="D1482"/>
    </row>
    <row r="1483" spans="4:4" hidden="1" x14ac:dyDescent="0.2">
      <c r="D1483"/>
    </row>
    <row r="1484" spans="4:4" hidden="1" x14ac:dyDescent="0.2">
      <c r="D1484"/>
    </row>
    <row r="1485" spans="4:4" hidden="1" x14ac:dyDescent="0.2">
      <c r="D1485"/>
    </row>
    <row r="1486" spans="4:4" hidden="1" x14ac:dyDescent="0.2">
      <c r="D1486"/>
    </row>
    <row r="1487" spans="4:4" hidden="1" x14ac:dyDescent="0.2">
      <c r="D1487"/>
    </row>
    <row r="1488" spans="4:4" hidden="1" x14ac:dyDescent="0.2">
      <c r="D1488"/>
    </row>
    <row r="1489" spans="4:4" hidden="1" x14ac:dyDescent="0.2">
      <c r="D1489"/>
    </row>
    <row r="1490" spans="4:4" hidden="1" x14ac:dyDescent="0.2">
      <c r="D1490"/>
    </row>
    <row r="1491" spans="4:4" hidden="1" x14ac:dyDescent="0.2">
      <c r="D1491"/>
    </row>
    <row r="1492" spans="4:4" hidden="1" x14ac:dyDescent="0.2"/>
    <row r="1493" spans="4:4" hidden="1" x14ac:dyDescent="0.2"/>
    <row r="1494" spans="4:4" hidden="1" x14ac:dyDescent="0.2"/>
    <row r="1495" spans="4:4" hidden="1" x14ac:dyDescent="0.2"/>
    <row r="1496" spans="4:4" hidden="1" x14ac:dyDescent="0.2"/>
    <row r="1497" spans="4:4" hidden="1" x14ac:dyDescent="0.2"/>
    <row r="1498" spans="4:4" hidden="1" x14ac:dyDescent="0.2"/>
    <row r="1499" spans="4:4" hidden="1" x14ac:dyDescent="0.2"/>
    <row r="1500" spans="4:4" hidden="1" x14ac:dyDescent="0.2"/>
    <row r="1501" spans="4:4" hidden="1" x14ac:dyDescent="0.2"/>
    <row r="1502" spans="4:4" hidden="1" x14ac:dyDescent="0.2"/>
    <row r="1503" spans="4:4" hidden="1" x14ac:dyDescent="0.2"/>
    <row r="1504" spans="4: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724" spans="2:4" x14ac:dyDescent="0.2">
      <c r="B1724" s="16"/>
      <c r="C1724" s="16"/>
      <c r="D1724"/>
    </row>
    <row r="1725" spans="2:4" x14ac:dyDescent="0.2">
      <c r="B1725" s="16"/>
      <c r="C1725" s="16"/>
      <c r="D1725"/>
    </row>
    <row r="1726" spans="2:4" x14ac:dyDescent="0.2">
      <c r="B1726" s="16"/>
      <c r="C1726" s="16"/>
      <c r="D1726"/>
    </row>
    <row r="1727" spans="2:4" x14ac:dyDescent="0.2">
      <c r="B1727" s="16"/>
      <c r="C1727" s="16"/>
      <c r="D1727"/>
    </row>
    <row r="1728" spans="2:4" x14ac:dyDescent="0.2">
      <c r="B1728" s="16"/>
      <c r="C1728" s="16"/>
      <c r="D1728"/>
    </row>
    <row r="1729" spans="2:4" x14ac:dyDescent="0.2">
      <c r="B1729" s="16"/>
      <c r="C1729" s="16"/>
      <c r="D1729"/>
    </row>
    <row r="1730" spans="2:4" x14ac:dyDescent="0.2">
      <c r="B1730" s="16"/>
      <c r="C1730" s="16"/>
      <c r="D1730"/>
    </row>
    <row r="1731" spans="2:4" x14ac:dyDescent="0.2">
      <c r="B1731" s="16"/>
      <c r="C1731" s="16"/>
      <c r="D1731"/>
    </row>
    <row r="1732" spans="2:4" x14ac:dyDescent="0.2">
      <c r="B1732" s="16"/>
      <c r="C1732" s="16"/>
      <c r="D1732"/>
    </row>
    <row r="1733" spans="2:4" x14ac:dyDescent="0.2">
      <c r="B1733" s="16"/>
      <c r="C1733" s="16"/>
      <c r="D1733"/>
    </row>
    <row r="1734" spans="2:4" x14ac:dyDescent="0.2">
      <c r="B1734" s="16"/>
      <c r="C1734" s="16"/>
      <c r="D1734"/>
    </row>
    <row r="1735" spans="2:4" x14ac:dyDescent="0.2">
      <c r="B1735" s="16"/>
      <c r="C1735" s="16"/>
      <c r="D1735"/>
    </row>
    <row r="1736" spans="2:4" x14ac:dyDescent="0.2">
      <c r="B1736" s="16"/>
      <c r="C1736" s="16"/>
      <c r="D1736"/>
    </row>
    <row r="1737" spans="2:4" x14ac:dyDescent="0.2">
      <c r="B1737" s="16"/>
      <c r="C1737" s="16"/>
      <c r="D1737"/>
    </row>
    <row r="1738" spans="2:4" x14ac:dyDescent="0.2">
      <c r="B1738" s="16"/>
      <c r="C1738" s="16"/>
      <c r="D1738"/>
    </row>
    <row r="1739" spans="2:4" x14ac:dyDescent="0.2">
      <c r="B1739" s="16"/>
      <c r="C1739" s="16"/>
      <c r="D1739"/>
    </row>
    <row r="1740" spans="2:4" x14ac:dyDescent="0.2">
      <c r="B1740" s="16"/>
      <c r="C1740" s="16"/>
      <c r="D1740"/>
    </row>
    <row r="1741" spans="2:4" x14ac:dyDescent="0.2">
      <c r="B1741" s="16"/>
      <c r="C1741" s="16"/>
      <c r="D1741"/>
    </row>
    <row r="1742" spans="2:4" x14ac:dyDescent="0.2">
      <c r="B1742" s="16"/>
      <c r="C1742" s="16"/>
      <c r="D1742"/>
    </row>
    <row r="1743" spans="2:4" x14ac:dyDescent="0.2">
      <c r="B1743" s="16"/>
      <c r="C1743" s="16"/>
      <c r="D1743"/>
    </row>
    <row r="1744" spans="2:4" x14ac:dyDescent="0.2">
      <c r="B1744" s="16"/>
      <c r="C1744" s="16"/>
      <c r="D1744"/>
    </row>
    <row r="1745" spans="2:4" x14ac:dyDescent="0.2">
      <c r="B1745" s="16"/>
      <c r="C1745" s="16"/>
      <c r="D1745"/>
    </row>
    <row r="1746" spans="2:4" x14ac:dyDescent="0.2">
      <c r="B1746" s="16"/>
      <c r="C1746" s="16"/>
      <c r="D1746"/>
    </row>
    <row r="1747" spans="2:4" x14ac:dyDescent="0.2">
      <c r="B1747" s="16"/>
      <c r="C1747" s="16"/>
      <c r="D1747"/>
    </row>
    <row r="1748" spans="2:4" x14ac:dyDescent="0.2">
      <c r="B1748" s="16"/>
      <c r="C1748" s="16"/>
      <c r="D1748"/>
    </row>
    <row r="1749" spans="2:4" x14ac:dyDescent="0.2">
      <c r="B1749" s="16"/>
      <c r="C1749" s="16"/>
      <c r="D1749"/>
    </row>
    <row r="1750" spans="2:4" x14ac:dyDescent="0.2">
      <c r="B1750" s="16"/>
      <c r="C1750" s="16"/>
      <c r="D1750"/>
    </row>
    <row r="1751" spans="2:4" x14ac:dyDescent="0.2">
      <c r="B1751" s="16"/>
      <c r="C1751" s="16"/>
      <c r="D1751"/>
    </row>
    <row r="1752" spans="2:4" x14ac:dyDescent="0.2">
      <c r="B1752" s="16"/>
      <c r="C1752" s="16"/>
      <c r="D1752"/>
    </row>
    <row r="1753" spans="2:4" x14ac:dyDescent="0.2">
      <c r="B1753" s="16"/>
      <c r="C1753" s="16"/>
      <c r="D1753"/>
    </row>
    <row r="1754" spans="2:4" x14ac:dyDescent="0.2">
      <c r="B1754" s="16"/>
      <c r="C1754" s="16"/>
      <c r="D1754"/>
    </row>
    <row r="1755" spans="2:4" x14ac:dyDescent="0.2">
      <c r="B1755" s="16"/>
      <c r="C1755" s="16"/>
      <c r="D1755"/>
    </row>
    <row r="1756" spans="2:4" x14ac:dyDescent="0.2">
      <c r="B1756" s="16"/>
      <c r="C1756" s="16"/>
      <c r="D1756"/>
    </row>
    <row r="1757" spans="2:4" x14ac:dyDescent="0.2">
      <c r="B1757" s="16"/>
      <c r="C1757" s="16"/>
      <c r="D1757"/>
    </row>
    <row r="1758" spans="2:4" x14ac:dyDescent="0.2">
      <c r="B1758" s="16"/>
      <c r="C1758" s="16"/>
      <c r="D1758"/>
    </row>
    <row r="1759" spans="2:4" x14ac:dyDescent="0.2">
      <c r="B1759" s="16"/>
      <c r="C1759" s="16"/>
      <c r="D1759"/>
    </row>
    <row r="1760" spans="2:4" x14ac:dyDescent="0.2">
      <c r="B1760" s="16"/>
      <c r="C1760" s="16"/>
      <c r="D1760"/>
    </row>
    <row r="1761" spans="2:4" x14ac:dyDescent="0.2">
      <c r="B1761" s="16"/>
      <c r="C1761" s="16"/>
      <c r="D1761"/>
    </row>
    <row r="1762" spans="2:4" x14ac:dyDescent="0.2">
      <c r="B1762" s="16"/>
      <c r="C1762" s="16"/>
      <c r="D1762"/>
    </row>
    <row r="1763" spans="2:4" x14ac:dyDescent="0.2">
      <c r="B1763" s="16"/>
      <c r="C1763" s="16"/>
      <c r="D1763"/>
    </row>
    <row r="1764" spans="2:4" x14ac:dyDescent="0.2">
      <c r="B1764" s="16"/>
      <c r="C1764" s="16"/>
      <c r="D1764"/>
    </row>
    <row r="1765" spans="2:4" x14ac:dyDescent="0.2">
      <c r="B1765" s="16"/>
      <c r="C1765" s="16"/>
      <c r="D1765"/>
    </row>
    <row r="1766" spans="2:4" x14ac:dyDescent="0.2">
      <c r="B1766" s="16"/>
      <c r="C1766" s="16"/>
      <c r="D1766"/>
    </row>
    <row r="1767" spans="2:4" x14ac:dyDescent="0.2">
      <c r="B1767" s="16"/>
      <c r="C1767" s="16"/>
      <c r="D1767"/>
    </row>
    <row r="1768" spans="2:4" x14ac:dyDescent="0.2">
      <c r="B1768" s="16"/>
      <c r="C1768" s="16"/>
      <c r="D1768"/>
    </row>
    <row r="1769" spans="2:4" x14ac:dyDescent="0.2">
      <c r="B1769" s="16"/>
      <c r="C1769" s="16"/>
      <c r="D1769"/>
    </row>
    <row r="1770" spans="2:4" x14ac:dyDescent="0.2">
      <c r="B1770" s="16"/>
      <c r="C1770" s="16"/>
      <c r="D1770"/>
    </row>
    <row r="1771" spans="2:4" x14ac:dyDescent="0.2">
      <c r="B1771" s="16"/>
      <c r="C1771" s="16"/>
      <c r="D1771"/>
    </row>
    <row r="1772" spans="2:4" x14ac:dyDescent="0.2">
      <c r="B1772" s="16"/>
      <c r="C1772" s="16"/>
      <c r="D1772"/>
    </row>
    <row r="1773" spans="2:4" x14ac:dyDescent="0.2">
      <c r="B1773" s="16"/>
      <c r="C1773" s="16"/>
      <c r="D1773"/>
    </row>
    <row r="1774" spans="2:4" x14ac:dyDescent="0.2">
      <c r="B1774" s="16"/>
      <c r="C1774" s="16"/>
      <c r="D1774"/>
    </row>
    <row r="1775" spans="2:4" x14ac:dyDescent="0.2">
      <c r="B1775" s="16"/>
      <c r="C1775" s="16"/>
      <c r="D1775"/>
    </row>
    <row r="1776" spans="2:4" x14ac:dyDescent="0.2">
      <c r="B1776" s="16"/>
      <c r="C1776" s="16"/>
      <c r="D1776"/>
    </row>
    <row r="1777" spans="2:4" x14ac:dyDescent="0.2">
      <c r="B1777" s="16"/>
      <c r="C1777" s="16"/>
      <c r="D1777"/>
    </row>
    <row r="1778" spans="2:4" x14ac:dyDescent="0.2">
      <c r="B1778" s="16"/>
      <c r="C1778" s="16"/>
      <c r="D1778"/>
    </row>
    <row r="1779" spans="2:4" x14ac:dyDescent="0.2">
      <c r="B1779" s="16"/>
      <c r="C1779" s="16"/>
      <c r="D1779"/>
    </row>
    <row r="1780" spans="2:4" x14ac:dyDescent="0.2">
      <c r="B1780" s="16"/>
      <c r="C1780" s="16"/>
      <c r="D1780"/>
    </row>
    <row r="1781" spans="2:4" x14ac:dyDescent="0.2">
      <c r="B1781" s="16"/>
      <c r="C1781" s="16"/>
      <c r="D1781"/>
    </row>
    <row r="1782" spans="2:4" x14ac:dyDescent="0.2">
      <c r="B1782" s="16"/>
      <c r="C1782" s="16"/>
      <c r="D1782"/>
    </row>
    <row r="1783" spans="2:4" x14ac:dyDescent="0.2">
      <c r="B1783" s="16"/>
      <c r="C1783" s="16"/>
      <c r="D1783"/>
    </row>
    <row r="1784" spans="2:4" x14ac:dyDescent="0.2">
      <c r="B1784" s="16"/>
      <c r="C1784" s="16"/>
      <c r="D1784"/>
    </row>
    <row r="1785" spans="2:4" x14ac:dyDescent="0.2">
      <c r="B1785" s="16"/>
      <c r="C1785" s="16"/>
      <c r="D1785"/>
    </row>
    <row r="1786" spans="2:4" x14ac:dyDescent="0.2">
      <c r="B1786" s="16"/>
      <c r="C1786" s="16"/>
      <c r="D1786"/>
    </row>
    <row r="1787" spans="2:4" x14ac:dyDescent="0.2">
      <c r="B1787" s="16"/>
      <c r="C1787" s="16"/>
      <c r="D1787"/>
    </row>
    <row r="1788" spans="2:4" x14ac:dyDescent="0.2">
      <c r="B1788" s="16"/>
      <c r="C1788" s="16"/>
      <c r="D1788"/>
    </row>
    <row r="1789" spans="2:4" x14ac:dyDescent="0.2">
      <c r="B1789" s="16"/>
      <c r="C1789" s="16"/>
      <c r="D1789"/>
    </row>
    <row r="1790" spans="2:4" x14ac:dyDescent="0.2">
      <c r="B1790" s="16"/>
      <c r="C1790" s="16"/>
      <c r="D1790"/>
    </row>
    <row r="1791" spans="2:4" x14ac:dyDescent="0.2">
      <c r="B1791" s="16"/>
      <c r="C1791" s="16"/>
      <c r="D1791"/>
    </row>
    <row r="1792" spans="2:4" x14ac:dyDescent="0.2">
      <c r="B1792" s="16"/>
      <c r="C1792" s="16"/>
      <c r="D1792"/>
    </row>
    <row r="1793" spans="2:4" x14ac:dyDescent="0.2">
      <c r="B1793" s="16"/>
      <c r="C1793" s="16"/>
      <c r="D1793"/>
    </row>
    <row r="1794" spans="2:4" x14ac:dyDescent="0.2">
      <c r="B1794" s="16"/>
      <c r="C1794" s="16"/>
      <c r="D1794"/>
    </row>
    <row r="1795" spans="2:4" x14ac:dyDescent="0.2">
      <c r="B1795" s="16"/>
      <c r="C1795" s="16"/>
      <c r="D1795"/>
    </row>
    <row r="1796" spans="2:4" x14ac:dyDescent="0.2">
      <c r="B1796" s="16"/>
      <c r="C1796" s="16"/>
      <c r="D1796"/>
    </row>
    <row r="1797" spans="2:4" x14ac:dyDescent="0.2">
      <c r="B1797" s="16"/>
      <c r="C1797" s="16"/>
      <c r="D1797"/>
    </row>
    <row r="1798" spans="2:4" x14ac:dyDescent="0.2">
      <c r="B1798" s="16"/>
      <c r="C1798" s="16"/>
      <c r="D1798"/>
    </row>
    <row r="1799" spans="2:4" x14ac:dyDescent="0.2">
      <c r="B1799" s="16"/>
      <c r="C1799" s="16"/>
      <c r="D1799"/>
    </row>
    <row r="1800" spans="2:4" x14ac:dyDescent="0.2">
      <c r="B1800" s="16"/>
      <c r="C1800" s="16"/>
      <c r="D1800"/>
    </row>
    <row r="1801" spans="2:4" x14ac:dyDescent="0.2">
      <c r="B1801" s="16"/>
      <c r="C1801" s="16"/>
      <c r="D1801"/>
    </row>
    <row r="1802" spans="2:4" x14ac:dyDescent="0.2">
      <c r="B1802" s="16"/>
      <c r="C1802" s="16"/>
      <c r="D1802"/>
    </row>
    <row r="1803" spans="2:4" x14ac:dyDescent="0.2">
      <c r="B1803" s="16"/>
      <c r="C1803" s="16"/>
      <c r="D1803"/>
    </row>
    <row r="1804" spans="2:4" x14ac:dyDescent="0.2">
      <c r="B1804" s="16"/>
      <c r="C1804" s="16"/>
      <c r="D1804"/>
    </row>
    <row r="1805" spans="2:4" x14ac:dyDescent="0.2">
      <c r="B1805" s="16"/>
      <c r="C1805" s="16"/>
      <c r="D1805"/>
    </row>
    <row r="1806" spans="2:4" x14ac:dyDescent="0.2">
      <c r="B1806" s="16"/>
      <c r="C1806" s="16"/>
      <c r="D1806"/>
    </row>
    <row r="1807" spans="2:4" x14ac:dyDescent="0.2">
      <c r="B1807" s="16"/>
      <c r="C1807" s="16"/>
      <c r="D1807"/>
    </row>
    <row r="1808" spans="2:4" x14ac:dyDescent="0.2">
      <c r="B1808" s="16"/>
      <c r="C1808" s="16"/>
      <c r="D1808"/>
    </row>
    <row r="1809" spans="2:4" x14ac:dyDescent="0.2">
      <c r="B1809" s="16"/>
      <c r="C1809" s="16"/>
      <c r="D1809"/>
    </row>
    <row r="1810" spans="2:4" x14ac:dyDescent="0.2">
      <c r="B1810" s="16"/>
      <c r="C1810" s="16"/>
      <c r="D1810"/>
    </row>
    <row r="1811" spans="2:4" x14ac:dyDescent="0.2">
      <c r="B1811" s="16"/>
      <c r="C1811" s="16"/>
      <c r="D1811"/>
    </row>
    <row r="1812" spans="2:4" x14ac:dyDescent="0.2">
      <c r="B1812" s="16"/>
      <c r="C1812" s="16"/>
      <c r="D1812"/>
    </row>
    <row r="1813" spans="2:4" x14ac:dyDescent="0.2">
      <c r="B1813" s="16"/>
      <c r="C1813" s="16"/>
      <c r="D1813"/>
    </row>
    <row r="1814" spans="2:4" x14ac:dyDescent="0.2">
      <c r="B1814" s="16"/>
      <c r="C1814" s="16"/>
      <c r="D1814"/>
    </row>
    <row r="1815" spans="2:4" x14ac:dyDescent="0.2">
      <c r="B1815" s="16"/>
      <c r="C1815" s="16"/>
      <c r="D1815"/>
    </row>
    <row r="1816" spans="2:4" x14ac:dyDescent="0.2">
      <c r="B1816" s="16"/>
      <c r="C1816" s="16"/>
      <c r="D1816"/>
    </row>
    <row r="1817" spans="2:4" x14ac:dyDescent="0.2">
      <c r="B1817" s="16"/>
      <c r="C1817" s="16"/>
      <c r="D1817"/>
    </row>
    <row r="1818" spans="2:4" x14ac:dyDescent="0.2">
      <c r="B1818" s="16"/>
      <c r="C1818" s="16"/>
      <c r="D1818"/>
    </row>
    <row r="1819" spans="2:4" x14ac:dyDescent="0.2">
      <c r="B1819" s="16"/>
      <c r="C1819" s="16"/>
      <c r="D1819"/>
    </row>
    <row r="1820" spans="2:4" x14ac:dyDescent="0.2">
      <c r="B1820" s="16"/>
      <c r="C1820" s="16"/>
      <c r="D1820"/>
    </row>
    <row r="1821" spans="2:4" x14ac:dyDescent="0.2">
      <c r="B1821" s="16"/>
      <c r="C1821" s="16"/>
      <c r="D1821"/>
    </row>
    <row r="1822" spans="2:4" x14ac:dyDescent="0.2">
      <c r="B1822" s="16"/>
      <c r="C1822" s="16"/>
      <c r="D1822"/>
    </row>
    <row r="1823" spans="2:4" x14ac:dyDescent="0.2">
      <c r="B1823" s="16"/>
      <c r="C1823" s="16"/>
      <c r="D1823"/>
    </row>
    <row r="1824" spans="2:4" x14ac:dyDescent="0.2">
      <c r="B1824" s="16"/>
      <c r="C1824" s="16"/>
      <c r="D1824"/>
    </row>
    <row r="1825" spans="2:4" x14ac:dyDescent="0.2">
      <c r="B1825" s="16"/>
      <c r="C1825" s="16"/>
      <c r="D1825"/>
    </row>
    <row r="1826" spans="2:4" x14ac:dyDescent="0.2">
      <c r="B1826" s="16"/>
      <c r="C1826" s="16"/>
      <c r="D1826"/>
    </row>
    <row r="1827" spans="2:4" x14ac:dyDescent="0.2">
      <c r="B1827" s="16"/>
      <c r="C1827" s="16"/>
      <c r="D1827"/>
    </row>
    <row r="1828" spans="2:4" x14ac:dyDescent="0.2">
      <c r="B1828" s="16"/>
      <c r="C1828" s="16"/>
      <c r="D1828"/>
    </row>
    <row r="1829" spans="2:4" x14ac:dyDescent="0.2">
      <c r="B1829" s="16"/>
      <c r="C1829" s="16"/>
      <c r="D1829"/>
    </row>
    <row r="1830" spans="2:4" x14ac:dyDescent="0.2">
      <c r="B1830" s="16"/>
      <c r="C1830" s="16"/>
      <c r="D1830"/>
    </row>
    <row r="1831" spans="2:4" x14ac:dyDescent="0.2">
      <c r="B1831" s="16"/>
      <c r="C1831" s="16"/>
      <c r="D1831"/>
    </row>
    <row r="1832" spans="2:4" x14ac:dyDescent="0.2">
      <c r="B1832" s="16"/>
      <c r="C1832" s="16"/>
      <c r="D1832"/>
    </row>
    <row r="1833" spans="2:4" x14ac:dyDescent="0.2">
      <c r="B1833" s="16"/>
      <c r="C1833" s="16"/>
      <c r="D1833"/>
    </row>
    <row r="1834" spans="2:4" x14ac:dyDescent="0.2">
      <c r="B1834" s="16"/>
      <c r="C1834" s="16"/>
      <c r="D1834"/>
    </row>
    <row r="1835" spans="2:4" x14ac:dyDescent="0.2">
      <c r="B1835" s="16"/>
      <c r="C1835" s="16"/>
      <c r="D1835"/>
    </row>
    <row r="1836" spans="2:4" x14ac:dyDescent="0.2">
      <c r="B1836" s="16"/>
      <c r="C1836" s="16"/>
      <c r="D1836"/>
    </row>
    <row r="1837" spans="2:4" x14ac:dyDescent="0.2">
      <c r="B1837" s="16"/>
      <c r="C1837" s="16"/>
      <c r="D1837"/>
    </row>
    <row r="1838" spans="2:4" x14ac:dyDescent="0.2">
      <c r="B1838" s="16"/>
      <c r="C1838" s="16"/>
      <c r="D1838"/>
    </row>
    <row r="1839" spans="2:4" x14ac:dyDescent="0.2">
      <c r="B1839" s="16"/>
      <c r="C1839" s="16"/>
      <c r="D1839"/>
    </row>
    <row r="1840" spans="2:4" x14ac:dyDescent="0.2">
      <c r="B1840" s="16"/>
      <c r="C1840" s="16"/>
      <c r="D1840"/>
    </row>
    <row r="1841" spans="2:4" x14ac:dyDescent="0.2">
      <c r="B1841" s="16"/>
      <c r="C1841" s="16"/>
      <c r="D1841"/>
    </row>
    <row r="1842" spans="2:4" x14ac:dyDescent="0.2">
      <c r="B1842" s="16"/>
      <c r="C1842" s="16"/>
      <c r="D1842"/>
    </row>
    <row r="1843" spans="2:4" x14ac:dyDescent="0.2">
      <c r="B1843" s="16"/>
      <c r="C1843" s="16"/>
      <c r="D1843"/>
    </row>
    <row r="1844" spans="2:4" x14ac:dyDescent="0.2">
      <c r="B1844" s="16"/>
      <c r="C1844" s="16"/>
      <c r="D1844"/>
    </row>
    <row r="1845" spans="2:4" x14ac:dyDescent="0.2">
      <c r="B1845" s="16"/>
      <c r="C1845" s="16"/>
      <c r="D1845"/>
    </row>
    <row r="1846" spans="2:4" x14ac:dyDescent="0.2">
      <c r="B1846" s="16"/>
      <c r="C1846" s="16"/>
      <c r="D1846"/>
    </row>
    <row r="1847" spans="2:4" x14ac:dyDescent="0.2">
      <c r="B1847" s="16"/>
      <c r="C1847" s="16"/>
      <c r="D1847"/>
    </row>
    <row r="1848" spans="2:4" x14ac:dyDescent="0.2">
      <c r="B1848" s="16"/>
      <c r="C1848" s="16"/>
      <c r="D1848"/>
    </row>
    <row r="1849" spans="2:4" x14ac:dyDescent="0.2">
      <c r="B1849" s="16"/>
      <c r="C1849" s="16"/>
      <c r="D1849"/>
    </row>
    <row r="1850" spans="2:4" x14ac:dyDescent="0.2">
      <c r="B1850" s="16"/>
      <c r="C1850" s="16"/>
      <c r="D1850"/>
    </row>
    <row r="1851" spans="2:4" x14ac:dyDescent="0.2">
      <c r="B1851" s="16"/>
      <c r="C1851" s="16"/>
      <c r="D1851"/>
    </row>
    <row r="1852" spans="2:4" x14ac:dyDescent="0.2">
      <c r="B1852" s="16"/>
      <c r="C1852" s="16"/>
      <c r="D1852"/>
    </row>
    <row r="1853" spans="2:4" x14ac:dyDescent="0.2">
      <c r="B1853" s="16"/>
      <c r="C1853" s="16"/>
      <c r="D1853"/>
    </row>
    <row r="1854" spans="2:4" x14ac:dyDescent="0.2">
      <c r="B1854" s="16"/>
      <c r="C1854" s="16"/>
      <c r="D1854"/>
    </row>
    <row r="1855" spans="2:4" x14ac:dyDescent="0.2">
      <c r="B1855" s="16"/>
      <c r="C1855" s="16"/>
      <c r="D1855"/>
    </row>
    <row r="1856" spans="2:4" x14ac:dyDescent="0.2">
      <c r="B1856" s="16"/>
      <c r="C1856" s="16"/>
      <c r="D1856"/>
    </row>
    <row r="1857" spans="2:4" x14ac:dyDescent="0.2">
      <c r="B1857" s="16"/>
      <c r="C1857" s="16"/>
      <c r="D1857"/>
    </row>
    <row r="1858" spans="2:4" x14ac:dyDescent="0.2">
      <c r="B1858" s="16"/>
      <c r="C1858" s="16"/>
      <c r="D1858"/>
    </row>
    <row r="1859" spans="2:4" x14ac:dyDescent="0.2">
      <c r="B1859" s="16"/>
      <c r="C1859" s="16"/>
      <c r="D1859"/>
    </row>
    <row r="1860" spans="2:4" x14ac:dyDescent="0.2">
      <c r="B1860" s="16"/>
      <c r="C1860" s="16"/>
      <c r="D1860"/>
    </row>
    <row r="1861" spans="2:4" x14ac:dyDescent="0.2">
      <c r="B1861" s="16"/>
      <c r="C1861" s="16"/>
      <c r="D1861"/>
    </row>
    <row r="1862" spans="2:4" x14ac:dyDescent="0.2">
      <c r="B1862" s="16"/>
      <c r="C1862" s="16"/>
      <c r="D1862"/>
    </row>
    <row r="1863" spans="2:4" x14ac:dyDescent="0.2">
      <c r="B1863" s="16"/>
      <c r="C1863" s="16"/>
      <c r="D1863"/>
    </row>
    <row r="1864" spans="2:4" x14ac:dyDescent="0.2">
      <c r="B1864" s="16"/>
      <c r="C1864" s="16"/>
      <c r="D1864"/>
    </row>
    <row r="1865" spans="2:4" x14ac:dyDescent="0.2">
      <c r="B1865" s="16"/>
      <c r="C1865" s="16"/>
      <c r="D1865"/>
    </row>
    <row r="1866" spans="2:4" x14ac:dyDescent="0.2">
      <c r="B1866" s="16"/>
      <c r="C1866" s="16"/>
      <c r="D1866"/>
    </row>
    <row r="1867" spans="2:4" x14ac:dyDescent="0.2">
      <c r="B1867" s="16"/>
      <c r="C1867" s="16"/>
      <c r="D1867"/>
    </row>
    <row r="1868" spans="2:4" x14ac:dyDescent="0.2">
      <c r="B1868" s="16"/>
      <c r="C1868" s="16"/>
      <c r="D1868"/>
    </row>
    <row r="1869" spans="2:4" x14ac:dyDescent="0.2">
      <c r="B1869" s="16"/>
      <c r="C1869" s="16"/>
      <c r="D1869"/>
    </row>
    <row r="1870" spans="2:4" x14ac:dyDescent="0.2">
      <c r="B1870" s="16"/>
      <c r="C1870" s="16"/>
      <c r="D1870"/>
    </row>
    <row r="1871" spans="2:4" x14ac:dyDescent="0.2">
      <c r="B1871" s="16"/>
      <c r="C1871" s="16"/>
      <c r="D1871"/>
    </row>
    <row r="1872" spans="2:4" x14ac:dyDescent="0.2">
      <c r="B1872" s="16"/>
      <c r="C1872" s="16"/>
      <c r="D1872"/>
    </row>
    <row r="1873" spans="2:4" x14ac:dyDescent="0.2">
      <c r="B1873" s="16"/>
      <c r="C1873" s="16"/>
      <c r="D1873"/>
    </row>
    <row r="1874" spans="2:4" x14ac:dyDescent="0.2">
      <c r="B1874" s="16"/>
      <c r="C1874" s="16"/>
      <c r="D1874"/>
    </row>
    <row r="1875" spans="2:4" x14ac:dyDescent="0.2">
      <c r="B1875" s="16"/>
      <c r="C1875" s="16"/>
      <c r="D1875"/>
    </row>
    <row r="1876" spans="2:4" x14ac:dyDescent="0.2">
      <c r="B1876" s="16"/>
      <c r="C1876" s="16"/>
      <c r="D1876"/>
    </row>
    <row r="1877" spans="2:4" x14ac:dyDescent="0.2">
      <c r="B1877" s="16"/>
      <c r="C1877" s="16"/>
      <c r="D1877"/>
    </row>
    <row r="1878" spans="2:4" x14ac:dyDescent="0.2">
      <c r="B1878" s="16"/>
      <c r="C1878" s="16"/>
      <c r="D1878"/>
    </row>
    <row r="1879" spans="2:4" x14ac:dyDescent="0.2">
      <c r="B1879" s="16"/>
      <c r="C1879" s="16"/>
      <c r="D1879"/>
    </row>
    <row r="1880" spans="2:4" x14ac:dyDescent="0.2">
      <c r="B1880" s="16"/>
      <c r="C1880" s="16"/>
      <c r="D1880"/>
    </row>
    <row r="1881" spans="2:4" x14ac:dyDescent="0.2">
      <c r="B1881" s="16"/>
      <c r="C1881" s="16"/>
      <c r="D1881"/>
    </row>
    <row r="1882" spans="2:4" x14ac:dyDescent="0.2">
      <c r="B1882" s="16"/>
      <c r="C1882" s="16"/>
      <c r="D1882"/>
    </row>
    <row r="1883" spans="2:4" x14ac:dyDescent="0.2">
      <c r="B1883" s="16"/>
      <c r="C1883" s="16"/>
      <c r="D1883"/>
    </row>
    <row r="1884" spans="2:4" x14ac:dyDescent="0.2">
      <c r="B1884" s="16"/>
      <c r="C1884" s="16"/>
      <c r="D1884"/>
    </row>
    <row r="1885" spans="2:4" x14ac:dyDescent="0.2">
      <c r="B1885" s="16"/>
      <c r="C1885" s="16"/>
      <c r="D1885"/>
    </row>
    <row r="1886" spans="2:4" x14ac:dyDescent="0.2">
      <c r="B1886" s="16"/>
      <c r="C1886" s="16"/>
      <c r="D1886"/>
    </row>
    <row r="1887" spans="2:4" x14ac:dyDescent="0.2">
      <c r="B1887" s="16"/>
      <c r="C1887" s="16"/>
      <c r="D1887"/>
    </row>
    <row r="1888" spans="2:4" x14ac:dyDescent="0.2">
      <c r="B1888" s="16"/>
      <c r="C1888" s="16"/>
      <c r="D1888"/>
    </row>
    <row r="1889" spans="2:4" x14ac:dyDescent="0.2">
      <c r="B1889" s="16"/>
      <c r="C1889" s="16"/>
      <c r="D1889"/>
    </row>
    <row r="1890" spans="2:4" x14ac:dyDescent="0.2">
      <c r="B1890" s="16"/>
      <c r="C1890" s="16"/>
      <c r="D1890"/>
    </row>
    <row r="1891" spans="2:4" x14ac:dyDescent="0.2">
      <c r="B1891" s="16"/>
      <c r="C1891" s="16"/>
      <c r="D1891"/>
    </row>
    <row r="1892" spans="2:4" x14ac:dyDescent="0.2">
      <c r="B1892" s="16"/>
      <c r="C1892" s="16"/>
      <c r="D1892"/>
    </row>
    <row r="1893" spans="2:4" x14ac:dyDescent="0.2">
      <c r="B1893" s="16"/>
      <c r="C1893" s="16"/>
      <c r="D1893"/>
    </row>
    <row r="1894" spans="2:4" x14ac:dyDescent="0.2">
      <c r="B1894" s="16"/>
      <c r="C1894" s="16"/>
      <c r="D1894"/>
    </row>
    <row r="1895" spans="2:4" x14ac:dyDescent="0.2">
      <c r="B1895" s="16"/>
      <c r="C1895" s="16"/>
      <c r="D1895"/>
    </row>
    <row r="1896" spans="2:4" x14ac:dyDescent="0.2">
      <c r="B1896" s="16"/>
      <c r="C1896" s="16"/>
      <c r="D1896"/>
    </row>
    <row r="1897" spans="2:4" x14ac:dyDescent="0.2">
      <c r="B1897" s="16"/>
      <c r="C1897" s="16"/>
      <c r="D1897"/>
    </row>
    <row r="1898" spans="2:4" x14ac:dyDescent="0.2">
      <c r="B1898" s="16"/>
      <c r="C1898" s="16"/>
      <c r="D1898"/>
    </row>
    <row r="1899" spans="2:4" x14ac:dyDescent="0.2">
      <c r="B1899" s="16"/>
      <c r="C1899" s="16"/>
      <c r="D1899"/>
    </row>
    <row r="1900" spans="2:4" x14ac:dyDescent="0.2">
      <c r="B1900" s="16"/>
      <c r="C1900" s="16"/>
      <c r="D1900"/>
    </row>
    <row r="1901" spans="2:4" x14ac:dyDescent="0.2">
      <c r="B1901" s="16"/>
      <c r="C1901" s="16"/>
      <c r="D1901"/>
    </row>
    <row r="1902" spans="2:4" x14ac:dyDescent="0.2">
      <c r="B1902" s="16"/>
      <c r="C1902" s="16"/>
      <c r="D1902"/>
    </row>
    <row r="1903" spans="2:4" x14ac:dyDescent="0.2">
      <c r="B1903" s="16"/>
      <c r="C1903" s="16"/>
      <c r="D1903"/>
    </row>
    <row r="1904" spans="2:4" x14ac:dyDescent="0.2">
      <c r="B1904" s="16"/>
      <c r="C1904" s="16"/>
      <c r="D1904"/>
    </row>
    <row r="1905" spans="2:4" x14ac:dyDescent="0.2">
      <c r="B1905" s="16"/>
      <c r="C1905" s="16"/>
      <c r="D1905"/>
    </row>
    <row r="1906" spans="2:4" x14ac:dyDescent="0.2">
      <c r="B1906" s="16"/>
      <c r="C1906" s="16"/>
      <c r="D1906"/>
    </row>
    <row r="1907" spans="2:4" x14ac:dyDescent="0.2">
      <c r="B1907" s="16"/>
      <c r="C1907" s="16"/>
      <c r="D1907"/>
    </row>
    <row r="1908" spans="2:4" x14ac:dyDescent="0.2">
      <c r="B1908" s="16"/>
      <c r="C1908" s="16"/>
      <c r="D1908"/>
    </row>
    <row r="1909" spans="2:4" x14ac:dyDescent="0.2">
      <c r="B1909" s="16"/>
      <c r="C1909" s="16"/>
      <c r="D1909"/>
    </row>
    <row r="1910" spans="2:4" x14ac:dyDescent="0.2">
      <c r="B1910" s="16"/>
      <c r="C1910" s="16"/>
      <c r="D1910"/>
    </row>
    <row r="1911" spans="2:4" x14ac:dyDescent="0.2">
      <c r="B1911" s="16"/>
      <c r="C1911" s="16"/>
      <c r="D1911"/>
    </row>
    <row r="1912" spans="2:4" x14ac:dyDescent="0.2">
      <c r="B1912" s="16"/>
      <c r="C1912" s="16"/>
      <c r="D1912"/>
    </row>
    <row r="1913" spans="2:4" x14ac:dyDescent="0.2">
      <c r="B1913" s="16"/>
      <c r="C1913" s="16"/>
      <c r="D1913"/>
    </row>
    <row r="1914" spans="2:4" x14ac:dyDescent="0.2">
      <c r="B1914" s="16"/>
      <c r="C1914" s="16"/>
      <c r="D1914"/>
    </row>
    <row r="1915" spans="2:4" x14ac:dyDescent="0.2">
      <c r="B1915" s="16"/>
      <c r="C1915" s="16"/>
      <c r="D1915"/>
    </row>
    <row r="1916" spans="2:4" x14ac:dyDescent="0.2">
      <c r="B1916" s="16"/>
      <c r="C1916" s="16"/>
      <c r="D1916"/>
    </row>
    <row r="1917" spans="2:4" x14ac:dyDescent="0.2">
      <c r="B1917" s="16"/>
      <c r="C1917" s="16"/>
      <c r="D1917"/>
    </row>
    <row r="1918" spans="2:4" x14ac:dyDescent="0.2">
      <c r="B1918" s="16"/>
      <c r="C1918" s="16"/>
      <c r="D1918"/>
    </row>
    <row r="1919" spans="2:4" x14ac:dyDescent="0.2">
      <c r="B1919" s="16"/>
      <c r="C1919" s="16"/>
      <c r="D1919"/>
    </row>
    <row r="1920" spans="2:4" x14ac:dyDescent="0.2">
      <c r="B1920" s="16"/>
      <c r="C1920" s="16"/>
      <c r="D1920"/>
    </row>
    <row r="1921" spans="2:4" x14ac:dyDescent="0.2">
      <c r="B1921" s="16"/>
      <c r="C1921" s="16"/>
      <c r="D1921"/>
    </row>
    <row r="1922" spans="2:4" x14ac:dyDescent="0.2">
      <c r="B1922" s="16"/>
      <c r="C1922" s="16"/>
      <c r="D1922"/>
    </row>
    <row r="1923" spans="2:4" x14ac:dyDescent="0.2">
      <c r="B1923" s="16"/>
      <c r="C1923" s="16"/>
      <c r="D1923"/>
    </row>
    <row r="1924" spans="2:4" x14ac:dyDescent="0.2">
      <c r="B1924" s="16"/>
      <c r="C1924" s="16"/>
      <c r="D1924"/>
    </row>
    <row r="1925" spans="2:4" x14ac:dyDescent="0.2">
      <c r="B1925" s="16"/>
      <c r="C1925" s="16"/>
      <c r="D1925"/>
    </row>
    <row r="1926" spans="2:4" x14ac:dyDescent="0.2">
      <c r="B1926" s="16"/>
      <c r="C1926" s="16"/>
      <c r="D1926"/>
    </row>
    <row r="1927" spans="2:4" x14ac:dyDescent="0.2">
      <c r="B1927" s="16"/>
      <c r="C1927" s="16"/>
      <c r="D1927"/>
    </row>
    <row r="1928" spans="2:4" x14ac:dyDescent="0.2">
      <c r="B1928" s="16"/>
      <c r="C1928" s="16"/>
      <c r="D1928"/>
    </row>
    <row r="1929" spans="2:4" x14ac:dyDescent="0.2">
      <c r="B1929" s="16"/>
      <c r="C1929" s="16"/>
      <c r="D1929"/>
    </row>
    <row r="1930" spans="2:4" x14ac:dyDescent="0.2">
      <c r="B1930" s="16"/>
      <c r="C1930" s="16"/>
      <c r="D1930"/>
    </row>
    <row r="1931" spans="2:4" x14ac:dyDescent="0.2">
      <c r="B1931" s="16"/>
      <c r="C1931" s="16"/>
      <c r="D1931"/>
    </row>
    <row r="1932" spans="2:4" x14ac:dyDescent="0.2">
      <c r="B1932" s="16"/>
      <c r="C1932" s="16"/>
      <c r="D1932"/>
    </row>
    <row r="1933" spans="2:4" x14ac:dyDescent="0.2">
      <c r="B1933" s="16"/>
      <c r="C1933" s="16"/>
      <c r="D1933"/>
    </row>
    <row r="1934" spans="2:4" x14ac:dyDescent="0.2">
      <c r="B1934" s="16"/>
      <c r="C1934" s="16"/>
      <c r="D1934"/>
    </row>
    <row r="1935" spans="2:4" x14ac:dyDescent="0.2">
      <c r="B1935" s="16"/>
      <c r="C1935" s="16"/>
      <c r="D1935"/>
    </row>
    <row r="1936" spans="2:4" x14ac:dyDescent="0.2">
      <c r="B1936" s="16"/>
      <c r="C1936" s="16"/>
      <c r="D1936"/>
    </row>
    <row r="1937" spans="2:4" x14ac:dyDescent="0.2">
      <c r="B1937" s="16"/>
      <c r="C1937" s="16"/>
      <c r="D1937"/>
    </row>
    <row r="1938" spans="2:4" x14ac:dyDescent="0.2">
      <c r="B1938" s="16"/>
      <c r="C1938" s="16"/>
      <c r="D1938"/>
    </row>
    <row r="1939" spans="2:4" x14ac:dyDescent="0.2">
      <c r="B1939" s="16"/>
      <c r="C1939" s="16"/>
      <c r="D1939"/>
    </row>
    <row r="1940" spans="2:4" x14ac:dyDescent="0.2">
      <c r="B1940" s="16"/>
      <c r="C1940" s="16"/>
      <c r="D1940"/>
    </row>
    <row r="1941" spans="2:4" x14ac:dyDescent="0.2">
      <c r="B1941" s="16"/>
      <c r="C1941" s="16"/>
      <c r="D1941"/>
    </row>
    <row r="1942" spans="2:4" x14ac:dyDescent="0.2">
      <c r="B1942" s="16"/>
      <c r="C1942" s="16"/>
      <c r="D1942"/>
    </row>
    <row r="1943" spans="2:4" x14ac:dyDescent="0.2">
      <c r="B1943" s="16"/>
      <c r="C1943" s="16"/>
      <c r="D1943"/>
    </row>
    <row r="1944" spans="2:4" x14ac:dyDescent="0.2">
      <c r="B1944" s="16"/>
      <c r="C1944" s="16"/>
      <c r="D1944"/>
    </row>
    <row r="1945" spans="2:4" x14ac:dyDescent="0.2">
      <c r="B1945" s="16"/>
      <c r="C1945" s="16"/>
      <c r="D1945"/>
    </row>
    <row r="1946" spans="2:4" x14ac:dyDescent="0.2">
      <c r="B1946" s="16"/>
      <c r="C1946" s="16"/>
      <c r="D1946"/>
    </row>
    <row r="1947" spans="2:4" x14ac:dyDescent="0.2">
      <c r="B1947" s="16"/>
      <c r="C1947" s="16"/>
      <c r="D1947"/>
    </row>
    <row r="1948" spans="2:4" x14ac:dyDescent="0.2">
      <c r="B1948" s="16"/>
      <c r="C1948" s="16"/>
      <c r="D1948"/>
    </row>
    <row r="1949" spans="2:4" x14ac:dyDescent="0.2">
      <c r="B1949" s="16"/>
      <c r="C1949" s="16"/>
      <c r="D1949"/>
    </row>
    <row r="1950" spans="2:4" x14ac:dyDescent="0.2">
      <c r="B1950" s="16"/>
      <c r="C1950" s="16"/>
      <c r="D1950"/>
    </row>
    <row r="1951" spans="2:4" x14ac:dyDescent="0.2">
      <c r="B1951" s="16"/>
      <c r="C1951" s="16"/>
      <c r="D1951"/>
    </row>
    <row r="1952" spans="2:4" x14ac:dyDescent="0.2">
      <c r="B1952" s="16"/>
      <c r="C1952" s="16"/>
      <c r="D1952"/>
    </row>
    <row r="1953" spans="2:4" x14ac:dyDescent="0.2">
      <c r="B1953" s="16"/>
      <c r="C1953" s="16"/>
      <c r="D1953"/>
    </row>
    <row r="1954" spans="2:4" x14ac:dyDescent="0.2">
      <c r="B1954" s="16"/>
      <c r="C1954" s="16"/>
      <c r="D1954"/>
    </row>
    <row r="1955" spans="2:4" x14ac:dyDescent="0.2">
      <c r="B1955" s="16"/>
      <c r="C1955" s="16"/>
      <c r="D1955"/>
    </row>
    <row r="1956" spans="2:4" x14ac:dyDescent="0.2">
      <c r="B1956" s="16"/>
      <c r="C1956" s="16"/>
      <c r="D1956"/>
    </row>
    <row r="1957" spans="2:4" x14ac:dyDescent="0.2">
      <c r="B1957" s="16"/>
      <c r="C1957" s="16"/>
      <c r="D1957"/>
    </row>
    <row r="1958" spans="2:4" x14ac:dyDescent="0.2">
      <c r="B1958" s="16"/>
      <c r="C1958" s="16"/>
      <c r="D1958"/>
    </row>
    <row r="1959" spans="2:4" x14ac:dyDescent="0.2">
      <c r="B1959" s="16"/>
      <c r="C1959" s="16"/>
      <c r="D1959"/>
    </row>
    <row r="1960" spans="2:4" x14ac:dyDescent="0.2">
      <c r="B1960" s="16"/>
      <c r="C1960" s="16"/>
      <c r="D1960"/>
    </row>
    <row r="1961" spans="2:4" x14ac:dyDescent="0.2">
      <c r="B1961" s="16"/>
      <c r="C1961" s="16"/>
      <c r="D1961"/>
    </row>
    <row r="1962" spans="2:4" x14ac:dyDescent="0.2">
      <c r="B1962" s="16"/>
      <c r="C1962" s="16"/>
      <c r="D1962"/>
    </row>
    <row r="1963" spans="2:4" x14ac:dyDescent="0.2">
      <c r="B1963" s="16"/>
      <c r="C1963" s="16"/>
      <c r="D1963"/>
    </row>
  </sheetData>
  <autoFilter ref="A1:I1585">
    <filterColumn colId="0">
      <filters>
        <filter val="12020611"/>
        <filter val="12020711"/>
        <filter val="12022511"/>
        <filter val="12030611"/>
        <filter val="12030711"/>
        <filter val="12032511"/>
        <filter val="12033011"/>
        <filter val="12060611"/>
        <filter val="12060711"/>
        <filter val="12062511"/>
      </filters>
    </filterColumn>
    <filterColumn colId="2">
      <filters>
        <filter val="300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U99"/>
  <sheetViews>
    <sheetView workbookViewId="0">
      <selection activeCell="Y14" sqref="Y14"/>
    </sheetView>
  </sheetViews>
  <sheetFormatPr defaultColWidth="9" defaultRowHeight="12.75" x14ac:dyDescent="0.2"/>
  <cols>
    <col min="1" max="1" width="17.42578125" customWidth="1"/>
    <col min="2" max="2" width="10.85546875" style="2" customWidth="1"/>
    <col min="3" max="3" width="10.42578125" style="2" customWidth="1"/>
    <col min="10" max="10" width="19.140625" customWidth="1"/>
    <col min="14" max="15" width="10.5703125" customWidth="1"/>
  </cols>
  <sheetData>
    <row r="1" spans="1:21" x14ac:dyDescent="0.2">
      <c r="U1" s="14"/>
    </row>
    <row r="2" spans="1:21" ht="15" x14ac:dyDescent="0.25">
      <c r="B2" s="3">
        <v>43781</v>
      </c>
      <c r="C2" s="4"/>
      <c r="D2" s="5"/>
      <c r="E2" s="5"/>
      <c r="F2" s="5"/>
      <c r="G2" s="5"/>
      <c r="H2" s="5"/>
      <c r="I2" s="5"/>
      <c r="J2" s="5"/>
      <c r="K2" s="7"/>
      <c r="L2" s="7"/>
      <c r="M2" s="7"/>
      <c r="N2" s="3">
        <v>43795</v>
      </c>
      <c r="O2" s="5"/>
      <c r="P2" s="5"/>
      <c r="Q2" s="5"/>
      <c r="R2" s="5"/>
      <c r="S2" s="5"/>
      <c r="T2" s="5"/>
    </row>
    <row r="3" spans="1:21" ht="15" x14ac:dyDescent="0.25">
      <c r="B3" s="4"/>
      <c r="C3" s="4"/>
      <c r="D3" s="5"/>
      <c r="E3" s="5"/>
      <c r="F3" s="5"/>
      <c r="G3" s="5" t="s">
        <v>394</v>
      </c>
      <c r="H3" s="5" t="s">
        <v>395</v>
      </c>
      <c r="I3" s="5" t="s">
        <v>396</v>
      </c>
      <c r="J3" s="5"/>
      <c r="K3" s="7"/>
      <c r="L3" s="7"/>
      <c r="M3" s="7"/>
      <c r="N3" s="5"/>
      <c r="O3" s="5"/>
      <c r="P3" s="5"/>
      <c r="Q3" s="5"/>
      <c r="R3" s="5" t="s">
        <v>394</v>
      </c>
      <c r="S3" s="5" t="s">
        <v>395</v>
      </c>
      <c r="T3" s="5" t="s">
        <v>396</v>
      </c>
    </row>
    <row r="4" spans="1:21" ht="15" x14ac:dyDescent="0.25">
      <c r="A4">
        <f>VLOOKUP(B4,'1st Pay Period'!A:C,3,FALSE)</f>
        <v>12021021</v>
      </c>
      <c r="B4">
        <v>18559</v>
      </c>
      <c r="C4" s="6" t="s">
        <v>397</v>
      </c>
      <c r="D4" s="7"/>
      <c r="E4" s="7"/>
      <c r="F4" s="7">
        <v>1</v>
      </c>
      <c r="G4" s="7">
        <v>499.28</v>
      </c>
      <c r="H4" s="7">
        <f>G4/249.64*15.8</f>
        <v>31.6</v>
      </c>
      <c r="I4" s="7">
        <f>G4-H4</f>
        <v>467.67999999999995</v>
      </c>
      <c r="J4" s="7" t="str">
        <f>A4&amp;".4010.100"</f>
        <v>12021021.4010.100</v>
      </c>
      <c r="K4" s="7"/>
      <c r="L4" s="7"/>
      <c r="M4" s="7" t="e">
        <f>VLOOKUP(N4,'2ndPayPeriod'!A:C,3,FALSE)</f>
        <v>#N/A</v>
      </c>
      <c r="N4" s="7">
        <v>11229</v>
      </c>
      <c r="O4" s="7" t="s">
        <v>398</v>
      </c>
      <c r="P4" s="7"/>
      <c r="Q4" s="7"/>
      <c r="R4" s="7">
        <v>249.64</v>
      </c>
      <c r="S4" s="7">
        <f t="shared" ref="S4:S18" si="0">R4/249.64*15.8</f>
        <v>15.8</v>
      </c>
      <c r="T4" s="7">
        <f t="shared" ref="T4:T18" si="1">R4-S4</f>
        <v>233.83999999999997</v>
      </c>
      <c r="U4" s="7" t="e">
        <f>M4&amp;".4010.100"</f>
        <v>#N/A</v>
      </c>
    </row>
    <row r="5" spans="1:21" ht="15" x14ac:dyDescent="0.25">
      <c r="A5">
        <f>VLOOKUP(B5,'1st Pay Period'!A:C,3,FALSE)</f>
        <v>12020611</v>
      </c>
      <c r="B5">
        <v>18589</v>
      </c>
      <c r="C5" s="6" t="s">
        <v>399</v>
      </c>
      <c r="D5" s="7"/>
      <c r="E5" s="7"/>
      <c r="F5" s="7">
        <v>1</v>
      </c>
      <c r="G5" s="7">
        <v>249.64</v>
      </c>
      <c r="H5" s="7">
        <f t="shared" ref="H5:H22" si="2">G5/249.64*15.8</f>
        <v>15.8</v>
      </c>
      <c r="I5" s="7">
        <f t="shared" ref="I5:I22" si="3">G5-H5</f>
        <v>233.83999999999997</v>
      </c>
      <c r="J5" s="7" t="str">
        <f>A5&amp;".4010.100"</f>
        <v>12020611.4010.100</v>
      </c>
      <c r="K5" s="7"/>
      <c r="L5" s="7"/>
      <c r="M5" s="7" t="e">
        <f>VLOOKUP(N5,'2ndPayPeriod'!A:C,3,FALSE)</f>
        <v>#N/A</v>
      </c>
      <c r="N5" s="7">
        <v>18430</v>
      </c>
      <c r="O5" s="7" t="s">
        <v>400</v>
      </c>
      <c r="P5" s="7"/>
      <c r="Q5" s="7"/>
      <c r="R5" s="7">
        <v>249.64</v>
      </c>
      <c r="S5" s="7">
        <f t="shared" si="0"/>
        <v>15.8</v>
      </c>
      <c r="T5" s="7">
        <f t="shared" si="1"/>
        <v>233.83999999999997</v>
      </c>
      <c r="U5" s="7" t="e">
        <f t="shared" ref="U5:U18" si="4">M5&amp;".4010.100"</f>
        <v>#N/A</v>
      </c>
    </row>
    <row r="6" spans="1:21" ht="15" x14ac:dyDescent="0.25">
      <c r="A6">
        <f>VLOOKUP(B6,'1st Pay Period'!A:C,3,FALSE)</f>
        <v>12030611</v>
      </c>
      <c r="B6">
        <v>18626</v>
      </c>
      <c r="C6" s="6" t="s">
        <v>401</v>
      </c>
      <c r="D6" s="7"/>
      <c r="E6" s="7"/>
      <c r="F6" s="7">
        <v>1</v>
      </c>
      <c r="G6" s="7">
        <v>748.92</v>
      </c>
      <c r="H6" s="7">
        <f t="shared" si="2"/>
        <v>47.400000000000006</v>
      </c>
      <c r="I6" s="7">
        <f t="shared" si="3"/>
        <v>701.52</v>
      </c>
      <c r="J6" s="7" t="str">
        <f t="shared" ref="J6:J22" si="5">A6&amp;".4010.100"</f>
        <v>12030611.4010.100</v>
      </c>
      <c r="K6" s="7"/>
      <c r="L6" s="7"/>
      <c r="M6" s="7">
        <f>VLOOKUP(N6,'2ndPayPeriod'!A:C,3,FALSE)</f>
        <v>12030611</v>
      </c>
      <c r="N6" s="7">
        <v>18626</v>
      </c>
      <c r="O6" s="7" t="s">
        <v>401</v>
      </c>
      <c r="P6" s="7"/>
      <c r="Q6" s="7"/>
      <c r="R6" s="7">
        <v>998.56</v>
      </c>
      <c r="S6" s="7">
        <f t="shared" si="0"/>
        <v>63.2</v>
      </c>
      <c r="T6" s="7">
        <f t="shared" si="1"/>
        <v>935.3599999999999</v>
      </c>
      <c r="U6" s="7" t="str">
        <f t="shared" si="4"/>
        <v>12030611.4010.100</v>
      </c>
    </row>
    <row r="7" spans="1:21" ht="15" x14ac:dyDescent="0.25">
      <c r="A7">
        <f>VLOOKUP(B7,'1st Pay Period'!A:C,3,FALSE)</f>
        <v>12043011</v>
      </c>
      <c r="B7">
        <v>18646</v>
      </c>
      <c r="C7" s="6" t="s">
        <v>402</v>
      </c>
      <c r="D7" s="7"/>
      <c r="E7" s="7"/>
      <c r="F7" s="7">
        <v>1</v>
      </c>
      <c r="G7" s="7">
        <v>249.64</v>
      </c>
      <c r="H7" s="7">
        <f t="shared" si="2"/>
        <v>15.8</v>
      </c>
      <c r="I7" s="7">
        <f t="shared" si="3"/>
        <v>233.83999999999997</v>
      </c>
      <c r="J7" s="7" t="str">
        <f t="shared" si="5"/>
        <v>12043011.4010.100</v>
      </c>
      <c r="K7" s="7"/>
      <c r="L7" s="7"/>
      <c r="M7" s="7">
        <f>VLOOKUP(N7,'2ndPayPeriod'!A:C,3,FALSE)</f>
        <v>12021021</v>
      </c>
      <c r="N7" s="7">
        <v>18687</v>
      </c>
      <c r="O7" s="7" t="s">
        <v>403</v>
      </c>
      <c r="P7" s="7"/>
      <c r="Q7" s="7"/>
      <c r="R7" s="7">
        <v>249.64</v>
      </c>
      <c r="S7" s="7">
        <f t="shared" si="0"/>
        <v>15.8</v>
      </c>
      <c r="T7" s="7">
        <f t="shared" si="1"/>
        <v>233.83999999999997</v>
      </c>
      <c r="U7" s="7" t="str">
        <f t="shared" si="4"/>
        <v>12021021.4010.100</v>
      </c>
    </row>
    <row r="8" spans="1:21" ht="15" x14ac:dyDescent="0.25">
      <c r="A8" t="e">
        <f>VLOOKUP(B8,'1st Pay Period'!A:C,3,FALSE)</f>
        <v>#N/A</v>
      </c>
      <c r="B8">
        <v>18700</v>
      </c>
      <c r="C8" s="6" t="s">
        <v>404</v>
      </c>
      <c r="D8" s="7"/>
      <c r="E8" s="7"/>
      <c r="F8" s="7">
        <v>1</v>
      </c>
      <c r="G8" s="7">
        <v>249.64</v>
      </c>
      <c r="H8" s="7">
        <f t="shared" si="2"/>
        <v>15.8</v>
      </c>
      <c r="I8" s="7">
        <f t="shared" si="3"/>
        <v>233.83999999999997</v>
      </c>
      <c r="J8" s="7" t="e">
        <f t="shared" si="5"/>
        <v>#N/A</v>
      </c>
      <c r="K8" s="7"/>
      <c r="L8" s="7"/>
      <c r="M8" s="7" t="e">
        <f>VLOOKUP(N8,'2ndPayPeriod'!A:C,3,FALSE)</f>
        <v>#N/A</v>
      </c>
      <c r="N8" s="7">
        <v>18700</v>
      </c>
      <c r="O8" s="7" t="s">
        <v>404</v>
      </c>
      <c r="P8" s="7"/>
      <c r="Q8" s="7"/>
      <c r="R8" s="7">
        <v>499.28</v>
      </c>
      <c r="S8" s="7">
        <f t="shared" si="0"/>
        <v>31.6</v>
      </c>
      <c r="T8" s="7">
        <f t="shared" si="1"/>
        <v>467.67999999999995</v>
      </c>
      <c r="U8" s="7" t="e">
        <f t="shared" si="4"/>
        <v>#N/A</v>
      </c>
    </row>
    <row r="9" spans="1:21" ht="15" x14ac:dyDescent="0.25">
      <c r="A9">
        <f>VLOOKUP(B9,'1st Pay Period'!A:C,3,FALSE)</f>
        <v>12043011</v>
      </c>
      <c r="B9">
        <v>18703</v>
      </c>
      <c r="C9" s="6" t="s">
        <v>405</v>
      </c>
      <c r="D9" s="7"/>
      <c r="E9" s="7"/>
      <c r="F9" s="7">
        <v>1</v>
      </c>
      <c r="G9" s="7">
        <v>249.64</v>
      </c>
      <c r="H9" s="7">
        <f t="shared" si="2"/>
        <v>15.8</v>
      </c>
      <c r="I9" s="7">
        <f t="shared" si="3"/>
        <v>233.83999999999997</v>
      </c>
      <c r="J9" s="7" t="str">
        <f t="shared" si="5"/>
        <v>12043011.4010.100</v>
      </c>
      <c r="K9" s="7"/>
      <c r="L9" s="7"/>
      <c r="M9" s="7">
        <f>VLOOKUP(N9,'2ndPayPeriod'!A:C,3,FALSE)</f>
        <v>12013012</v>
      </c>
      <c r="N9" s="7">
        <v>18736</v>
      </c>
      <c r="O9" s="7" t="s">
        <v>406</v>
      </c>
      <c r="P9" s="7"/>
      <c r="Q9" s="7"/>
      <c r="R9" s="7">
        <v>249.64</v>
      </c>
      <c r="S9" s="7">
        <f t="shared" si="0"/>
        <v>15.8</v>
      </c>
      <c r="T9" s="7">
        <f t="shared" si="1"/>
        <v>233.83999999999997</v>
      </c>
      <c r="U9" s="7" t="str">
        <f t="shared" si="4"/>
        <v>12013012.4010.100</v>
      </c>
    </row>
    <row r="10" spans="1:21" ht="15" x14ac:dyDescent="0.25">
      <c r="A10">
        <f>VLOOKUP(B10,'1st Pay Period'!A:C,3,FALSE)</f>
        <v>12030611</v>
      </c>
      <c r="B10">
        <v>18797</v>
      </c>
      <c r="C10" s="6" t="s">
        <v>407</v>
      </c>
      <c r="D10" s="7"/>
      <c r="E10" s="7"/>
      <c r="F10" s="7">
        <v>1</v>
      </c>
      <c r="G10" s="7">
        <v>499.28</v>
      </c>
      <c r="H10" s="7">
        <f t="shared" si="2"/>
        <v>31.6</v>
      </c>
      <c r="I10" s="7">
        <f t="shared" si="3"/>
        <v>467.67999999999995</v>
      </c>
      <c r="J10" s="7" t="str">
        <f t="shared" si="5"/>
        <v>12030611.4010.100</v>
      </c>
      <c r="K10" s="7"/>
      <c r="L10" s="7"/>
      <c r="M10" s="7" t="e">
        <f>VLOOKUP(N10,'2ndPayPeriod'!A:C,3,FALSE)</f>
        <v>#N/A</v>
      </c>
      <c r="N10" s="7">
        <v>18764</v>
      </c>
      <c r="O10" s="7" t="s">
        <v>408</v>
      </c>
      <c r="P10" s="7"/>
      <c r="Q10" s="7"/>
      <c r="R10" s="7">
        <v>249.64</v>
      </c>
      <c r="S10" s="7">
        <f t="shared" si="0"/>
        <v>15.8</v>
      </c>
      <c r="T10" s="7">
        <f t="shared" si="1"/>
        <v>233.83999999999997</v>
      </c>
      <c r="U10" s="7" t="e">
        <f t="shared" si="4"/>
        <v>#N/A</v>
      </c>
    </row>
    <row r="11" spans="1:21" ht="15" x14ac:dyDescent="0.25">
      <c r="A11">
        <f>VLOOKUP(B11,'1st Pay Period'!A:C,3,FALSE)</f>
        <v>12030400</v>
      </c>
      <c r="B11">
        <v>18805</v>
      </c>
      <c r="C11" s="6" t="s">
        <v>409</v>
      </c>
      <c r="D11" s="7"/>
      <c r="E11" s="7"/>
      <c r="F11" s="7">
        <v>1</v>
      </c>
      <c r="G11" s="7">
        <v>249.64</v>
      </c>
      <c r="H11" s="7">
        <f t="shared" si="2"/>
        <v>15.8</v>
      </c>
      <c r="I11" s="7">
        <f t="shared" si="3"/>
        <v>233.83999999999997</v>
      </c>
      <c r="J11" s="7" t="str">
        <f t="shared" si="5"/>
        <v>12030400.4010.100</v>
      </c>
      <c r="K11" s="7"/>
      <c r="L11" s="7"/>
      <c r="M11" s="7">
        <f>VLOOKUP(N11,'2ndPayPeriod'!A:C,3,FALSE)</f>
        <v>12030611</v>
      </c>
      <c r="N11" s="7">
        <v>18797</v>
      </c>
      <c r="O11" s="7" t="s">
        <v>407</v>
      </c>
      <c r="P11" s="7"/>
      <c r="Q11" s="7"/>
      <c r="R11" s="7">
        <v>249.64</v>
      </c>
      <c r="S11" s="7">
        <f t="shared" si="0"/>
        <v>15.8</v>
      </c>
      <c r="T11" s="7">
        <f t="shared" si="1"/>
        <v>233.83999999999997</v>
      </c>
      <c r="U11" s="7" t="str">
        <f t="shared" si="4"/>
        <v>12030611.4010.100</v>
      </c>
    </row>
    <row r="12" spans="1:21" ht="15" x14ac:dyDescent="0.25">
      <c r="A12">
        <f>VLOOKUP(B12,'1st Pay Period'!A:C,3,FALSE)</f>
        <v>12030611</v>
      </c>
      <c r="B12">
        <v>18822</v>
      </c>
      <c r="C12" s="6" t="s">
        <v>410</v>
      </c>
      <c r="D12" s="7"/>
      <c r="E12" s="7"/>
      <c r="F12" s="7">
        <v>1</v>
      </c>
      <c r="G12" s="7">
        <v>499.28</v>
      </c>
      <c r="H12" s="7">
        <f t="shared" si="2"/>
        <v>31.6</v>
      </c>
      <c r="I12" s="7">
        <f t="shared" si="3"/>
        <v>467.67999999999995</v>
      </c>
      <c r="J12" s="7" t="str">
        <f t="shared" si="5"/>
        <v>12030611.4010.100</v>
      </c>
      <c r="K12" s="7"/>
      <c r="L12" s="7"/>
      <c r="M12" s="7">
        <f>VLOOKUP(N12,'2ndPayPeriod'!A:C,3,FALSE)</f>
        <v>12030611</v>
      </c>
      <c r="N12" s="7">
        <v>18822</v>
      </c>
      <c r="O12" s="7" t="s">
        <v>410</v>
      </c>
      <c r="P12" s="7"/>
      <c r="Q12" s="7"/>
      <c r="R12" s="7">
        <v>748.92</v>
      </c>
      <c r="S12" s="7">
        <f t="shared" si="0"/>
        <v>47.400000000000006</v>
      </c>
      <c r="T12" s="7">
        <f t="shared" si="1"/>
        <v>701.52</v>
      </c>
      <c r="U12" s="7" t="str">
        <f t="shared" si="4"/>
        <v>12030611.4010.100</v>
      </c>
    </row>
    <row r="13" spans="1:21" ht="15" x14ac:dyDescent="0.25">
      <c r="A13" t="e">
        <f>VLOOKUP(B13,'1st Pay Period'!A:C,3,FALSE)</f>
        <v>#N/A</v>
      </c>
      <c r="B13">
        <v>18825</v>
      </c>
      <c r="C13" s="6" t="s">
        <v>411</v>
      </c>
      <c r="D13" s="7"/>
      <c r="E13" s="7"/>
      <c r="F13" s="7">
        <v>1</v>
      </c>
      <c r="G13" s="7">
        <v>748.92</v>
      </c>
      <c r="H13" s="7">
        <f t="shared" si="2"/>
        <v>47.400000000000006</v>
      </c>
      <c r="I13" s="7">
        <f t="shared" si="3"/>
        <v>701.52</v>
      </c>
      <c r="J13" s="7" t="e">
        <f t="shared" si="5"/>
        <v>#N/A</v>
      </c>
      <c r="K13" s="7"/>
      <c r="L13" s="7"/>
      <c r="M13" s="7" t="e">
        <f>VLOOKUP(N13,'2ndPayPeriod'!A:C,3,FALSE)</f>
        <v>#N/A</v>
      </c>
      <c r="N13" s="7">
        <v>18824</v>
      </c>
      <c r="O13" s="7" t="s">
        <v>412</v>
      </c>
      <c r="P13" s="7"/>
      <c r="Q13" s="7"/>
      <c r="R13" s="7">
        <v>249.64</v>
      </c>
      <c r="S13" s="7">
        <f t="shared" si="0"/>
        <v>15.8</v>
      </c>
      <c r="T13" s="7">
        <f t="shared" si="1"/>
        <v>233.83999999999997</v>
      </c>
      <c r="U13" s="7" t="e">
        <f t="shared" si="4"/>
        <v>#N/A</v>
      </c>
    </row>
    <row r="14" spans="1:21" ht="15" x14ac:dyDescent="0.25">
      <c r="A14">
        <f>VLOOKUP(B14,'1st Pay Period'!A:C,3,FALSE)</f>
        <v>12030611</v>
      </c>
      <c r="B14">
        <v>18827</v>
      </c>
      <c r="C14" s="6" t="s">
        <v>413</v>
      </c>
      <c r="D14" s="7"/>
      <c r="E14" s="7"/>
      <c r="F14" s="7">
        <v>1</v>
      </c>
      <c r="G14" s="7">
        <v>499.28</v>
      </c>
      <c r="H14" s="7">
        <f t="shared" si="2"/>
        <v>31.6</v>
      </c>
      <c r="I14" s="7">
        <f t="shared" si="3"/>
        <v>467.67999999999995</v>
      </c>
      <c r="J14" s="7" t="str">
        <f t="shared" si="5"/>
        <v>12030611.4010.100</v>
      </c>
      <c r="K14" s="7"/>
      <c r="L14" s="7"/>
      <c r="M14" s="7" t="e">
        <f>VLOOKUP(N14,'2ndPayPeriod'!A:C,3,FALSE)</f>
        <v>#N/A</v>
      </c>
      <c r="N14" s="7">
        <v>18825</v>
      </c>
      <c r="O14" s="7" t="s">
        <v>411</v>
      </c>
      <c r="P14" s="7"/>
      <c r="Q14" s="7"/>
      <c r="R14" s="7">
        <v>499.28</v>
      </c>
      <c r="S14" s="7">
        <f t="shared" si="0"/>
        <v>31.6</v>
      </c>
      <c r="T14" s="7">
        <f t="shared" si="1"/>
        <v>467.67999999999995</v>
      </c>
      <c r="U14" s="7" t="e">
        <f t="shared" si="4"/>
        <v>#N/A</v>
      </c>
    </row>
    <row r="15" spans="1:21" ht="15" x14ac:dyDescent="0.25">
      <c r="A15" t="e">
        <f>VLOOKUP(B15,'1st Pay Period'!A:C,3,FALSE)</f>
        <v>#N/A</v>
      </c>
      <c r="B15">
        <v>18830</v>
      </c>
      <c r="C15" s="6" t="s">
        <v>414</v>
      </c>
      <c r="D15" s="7"/>
      <c r="E15" s="7"/>
      <c r="F15" s="7">
        <v>1</v>
      </c>
      <c r="G15" s="7">
        <v>249.64</v>
      </c>
      <c r="H15" s="7">
        <f t="shared" si="2"/>
        <v>15.8</v>
      </c>
      <c r="I15" s="7">
        <f t="shared" si="3"/>
        <v>233.83999999999997</v>
      </c>
      <c r="J15" s="7" t="e">
        <f t="shared" si="5"/>
        <v>#N/A</v>
      </c>
      <c r="K15" s="7"/>
      <c r="L15" s="7"/>
      <c r="M15" s="7">
        <f>VLOOKUP(N15,'2ndPayPeriod'!A:C,3,FALSE)</f>
        <v>12030611</v>
      </c>
      <c r="N15" s="7">
        <v>18827</v>
      </c>
      <c r="O15" s="7" t="s">
        <v>413</v>
      </c>
      <c r="P15" s="7"/>
      <c r="Q15" s="7"/>
      <c r="R15" s="7">
        <v>249.64</v>
      </c>
      <c r="S15" s="7">
        <f t="shared" si="0"/>
        <v>15.8</v>
      </c>
      <c r="T15" s="7">
        <f t="shared" si="1"/>
        <v>233.83999999999997</v>
      </c>
      <c r="U15" s="7" t="str">
        <f t="shared" si="4"/>
        <v>12030611.4010.100</v>
      </c>
    </row>
    <row r="16" spans="1:21" ht="15" x14ac:dyDescent="0.25">
      <c r="A16" t="e">
        <f>VLOOKUP(B16,'1st Pay Period'!A:C,3,FALSE)</f>
        <v>#N/A</v>
      </c>
      <c r="B16">
        <v>18834</v>
      </c>
      <c r="C16" s="6" t="s">
        <v>415</v>
      </c>
      <c r="D16" s="7"/>
      <c r="E16" s="7"/>
      <c r="F16" s="7">
        <v>1</v>
      </c>
      <c r="G16" s="7">
        <v>499.28</v>
      </c>
      <c r="H16" s="7">
        <f t="shared" si="2"/>
        <v>31.6</v>
      </c>
      <c r="I16" s="7">
        <f t="shared" si="3"/>
        <v>467.67999999999995</v>
      </c>
      <c r="J16" s="7" t="e">
        <f t="shared" si="5"/>
        <v>#N/A</v>
      </c>
      <c r="K16" s="7"/>
      <c r="L16" s="7"/>
      <c r="M16" s="7" t="e">
        <f>VLOOKUP(N16,'2ndPayPeriod'!A:C,3,FALSE)</f>
        <v>#N/A</v>
      </c>
      <c r="N16" s="7">
        <v>18834</v>
      </c>
      <c r="O16" s="7" t="s">
        <v>415</v>
      </c>
      <c r="P16" s="7"/>
      <c r="Q16" s="7"/>
      <c r="R16" s="7">
        <v>249.64</v>
      </c>
      <c r="S16" s="7">
        <f t="shared" si="0"/>
        <v>15.8</v>
      </c>
      <c r="T16" s="7">
        <f t="shared" si="1"/>
        <v>233.83999999999997</v>
      </c>
      <c r="U16" s="7" t="e">
        <f t="shared" si="4"/>
        <v>#N/A</v>
      </c>
    </row>
    <row r="17" spans="1:21" ht="15" x14ac:dyDescent="0.25">
      <c r="A17">
        <f>VLOOKUP(B17,'1st Pay Period'!A:C,3,FALSE)</f>
        <v>12043011</v>
      </c>
      <c r="B17">
        <v>18850</v>
      </c>
      <c r="C17" s="6" t="s">
        <v>416</v>
      </c>
      <c r="D17" s="7"/>
      <c r="E17" s="7"/>
      <c r="F17" s="7">
        <v>1</v>
      </c>
      <c r="G17" s="7">
        <v>249.64</v>
      </c>
      <c r="H17" s="7">
        <f t="shared" si="2"/>
        <v>15.8</v>
      </c>
      <c r="I17" s="7">
        <f t="shared" si="3"/>
        <v>233.83999999999997</v>
      </c>
      <c r="J17" s="7" t="str">
        <f t="shared" si="5"/>
        <v>12043011.4010.100</v>
      </c>
      <c r="K17" s="7"/>
      <c r="L17" s="7"/>
      <c r="M17" s="7" t="e">
        <f>VLOOKUP(N17,'2ndPayPeriod'!A:C,3,FALSE)</f>
        <v>#N/A</v>
      </c>
      <c r="N17" s="7">
        <v>18874</v>
      </c>
      <c r="O17" s="7" t="s">
        <v>417</v>
      </c>
      <c r="P17" s="7"/>
      <c r="Q17" s="7"/>
      <c r="R17" s="7">
        <v>499.28</v>
      </c>
      <c r="S17" s="7">
        <f t="shared" si="0"/>
        <v>31.6</v>
      </c>
      <c r="T17" s="7">
        <f t="shared" si="1"/>
        <v>467.67999999999995</v>
      </c>
      <c r="U17" s="7" t="e">
        <f t="shared" si="4"/>
        <v>#N/A</v>
      </c>
    </row>
    <row r="18" spans="1:21" ht="15" x14ac:dyDescent="0.25">
      <c r="A18" t="e">
        <f>VLOOKUP(B18,'1st Pay Period'!A:C,3,FALSE)</f>
        <v>#N/A</v>
      </c>
      <c r="B18">
        <v>18874</v>
      </c>
      <c r="C18" s="6" t="s">
        <v>417</v>
      </c>
      <c r="D18" s="7"/>
      <c r="E18" s="7"/>
      <c r="F18" s="7">
        <v>1</v>
      </c>
      <c r="G18" s="7">
        <v>499.28</v>
      </c>
      <c r="H18" s="7">
        <f t="shared" si="2"/>
        <v>31.6</v>
      </c>
      <c r="I18" s="7">
        <f t="shared" si="3"/>
        <v>467.67999999999995</v>
      </c>
      <c r="J18" s="7" t="e">
        <f t="shared" si="5"/>
        <v>#N/A</v>
      </c>
      <c r="K18" s="7"/>
      <c r="L18" s="7"/>
      <c r="M18" s="7" t="e">
        <f>VLOOKUP(N18,'2ndPayPeriod'!A:C,3,FALSE)</f>
        <v>#N/A</v>
      </c>
      <c r="N18" s="7">
        <v>44701</v>
      </c>
      <c r="O18" s="7" t="s">
        <v>418</v>
      </c>
      <c r="P18" s="7"/>
      <c r="Q18" s="7"/>
      <c r="R18" s="7">
        <v>998.56</v>
      </c>
      <c r="S18" s="7">
        <f t="shared" si="0"/>
        <v>63.2</v>
      </c>
      <c r="T18" s="7">
        <f t="shared" si="1"/>
        <v>935.3599999999999</v>
      </c>
      <c r="U18" s="7" t="e">
        <f t="shared" si="4"/>
        <v>#N/A</v>
      </c>
    </row>
    <row r="19" spans="1:21" ht="15" x14ac:dyDescent="0.25">
      <c r="A19" t="e">
        <f>VLOOKUP(B19,'1st Pay Period'!A:C,3,FALSE)</f>
        <v>#N/A</v>
      </c>
      <c r="B19">
        <v>18875</v>
      </c>
      <c r="C19" s="6" t="s">
        <v>419</v>
      </c>
      <c r="D19" s="7"/>
      <c r="E19" s="7"/>
      <c r="F19" s="7">
        <v>1</v>
      </c>
      <c r="G19" s="7">
        <v>249.64</v>
      </c>
      <c r="H19" s="7">
        <f t="shared" si="2"/>
        <v>15.8</v>
      </c>
      <c r="I19" s="7">
        <f t="shared" si="3"/>
        <v>233.83999999999997</v>
      </c>
      <c r="J19" s="7" t="e">
        <f t="shared" si="5"/>
        <v>#N/A</v>
      </c>
      <c r="K19" s="7"/>
      <c r="L19" s="7"/>
      <c r="M19" s="7"/>
      <c r="N19" s="7"/>
      <c r="O19" s="7"/>
      <c r="P19" s="7"/>
      <c r="Q19" s="7"/>
      <c r="R19" s="7"/>
      <c r="S19" s="7"/>
      <c r="T19" s="5">
        <f>SUM(T4:T18)</f>
        <v>6079.8400000000011</v>
      </c>
    </row>
    <row r="20" spans="1:21" ht="15" x14ac:dyDescent="0.25">
      <c r="A20" t="e">
        <f>VLOOKUP(B20,'1st Pay Period'!A:C,3,FALSE)</f>
        <v>#N/A</v>
      </c>
      <c r="B20">
        <v>44700</v>
      </c>
      <c r="C20" s="6" t="s">
        <v>420</v>
      </c>
      <c r="D20" s="7"/>
      <c r="E20" s="7"/>
      <c r="F20" s="7">
        <v>1</v>
      </c>
      <c r="G20" s="7">
        <v>249.64</v>
      </c>
      <c r="H20" s="7">
        <f t="shared" si="2"/>
        <v>15.8</v>
      </c>
      <c r="I20" s="7">
        <f t="shared" si="3"/>
        <v>233.83999999999997</v>
      </c>
      <c r="J20" s="7" t="e">
        <f t="shared" si="5"/>
        <v>#N/A</v>
      </c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1" ht="15" x14ac:dyDescent="0.25">
      <c r="A21" t="e">
        <f>VLOOKUP(B21,'1st Pay Period'!A:C,3,FALSE)</f>
        <v>#N/A</v>
      </c>
      <c r="B21">
        <v>44701</v>
      </c>
      <c r="C21" s="6" t="s">
        <v>418</v>
      </c>
      <c r="D21" s="7"/>
      <c r="E21" s="7"/>
      <c r="F21" s="7">
        <v>1</v>
      </c>
      <c r="G21" s="7">
        <v>249.64</v>
      </c>
      <c r="H21" s="7">
        <f t="shared" si="2"/>
        <v>15.8</v>
      </c>
      <c r="I21" s="7">
        <f t="shared" si="3"/>
        <v>233.83999999999997</v>
      </c>
      <c r="J21" s="7" t="e">
        <f t="shared" si="5"/>
        <v>#N/A</v>
      </c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1" ht="15" x14ac:dyDescent="0.25">
      <c r="A22" t="e">
        <f>VLOOKUP(B22,'1st Pay Period'!A:C,3,FALSE)</f>
        <v>#N/A</v>
      </c>
      <c r="B22">
        <v>44706</v>
      </c>
      <c r="C22" s="6" t="s">
        <v>421</v>
      </c>
      <c r="D22" s="7"/>
      <c r="E22" s="7"/>
      <c r="F22" s="7">
        <v>1</v>
      </c>
      <c r="G22" s="7">
        <v>748.92</v>
      </c>
      <c r="H22" s="7">
        <f t="shared" si="2"/>
        <v>47.400000000000006</v>
      </c>
      <c r="I22" s="7">
        <f t="shared" si="3"/>
        <v>701.52</v>
      </c>
      <c r="J22" s="7" t="e">
        <f t="shared" si="5"/>
        <v>#N/A</v>
      </c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1" ht="15" x14ac:dyDescent="0.25">
      <c r="B23" s="6"/>
      <c r="C23" s="6"/>
      <c r="D23" s="7"/>
      <c r="E23" s="7"/>
      <c r="F23" s="7"/>
      <c r="G23" s="7"/>
      <c r="H23" s="7"/>
      <c r="I23" s="5">
        <f>SUM(I4:I22)</f>
        <v>7249.0400000000009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7" spans="1:21" s="1" customFormat="1" x14ac:dyDescent="0.2">
      <c r="A27" s="8" t="s">
        <v>422</v>
      </c>
      <c r="B27" s="9" t="s">
        <v>215</v>
      </c>
      <c r="C27" s="9" t="s">
        <v>216</v>
      </c>
      <c r="D27" s="8"/>
      <c r="E27" s="8"/>
      <c r="F27" s="8"/>
      <c r="G27" s="8"/>
      <c r="H27" s="8" t="s">
        <v>423</v>
      </c>
      <c r="I27" s="8"/>
      <c r="J27" s="8"/>
      <c r="K27" s="8"/>
      <c r="L27" s="8"/>
      <c r="M27" s="8" t="s">
        <v>424</v>
      </c>
      <c r="N27" s="13">
        <v>0.06</v>
      </c>
      <c r="O27" s="1">
        <v>3</v>
      </c>
    </row>
    <row r="28" spans="1:21" ht="15" x14ac:dyDescent="0.25">
      <c r="A28" s="7" t="s">
        <v>336</v>
      </c>
      <c r="C28" s="2">
        <v>467.68</v>
      </c>
      <c r="H28" s="10" t="s">
        <v>425</v>
      </c>
      <c r="M28">
        <v>18559</v>
      </c>
    </row>
    <row r="29" spans="1:21" ht="15" x14ac:dyDescent="0.25">
      <c r="A29" s="7" t="s">
        <v>333</v>
      </c>
      <c r="C29" s="2">
        <v>233.84</v>
      </c>
      <c r="H29" s="10" t="s">
        <v>425</v>
      </c>
      <c r="M29">
        <v>18589</v>
      </c>
    </row>
    <row r="30" spans="1:21" ht="15" x14ac:dyDescent="0.25">
      <c r="A30" s="7" t="s">
        <v>344</v>
      </c>
      <c r="C30" s="2">
        <v>701.52</v>
      </c>
      <c r="H30" s="10" t="s">
        <v>425</v>
      </c>
      <c r="M30">
        <v>18626</v>
      </c>
    </row>
    <row r="31" spans="1:21" ht="15" x14ac:dyDescent="0.25">
      <c r="A31" s="7" t="s">
        <v>354</v>
      </c>
      <c r="C31" s="2">
        <v>233.84</v>
      </c>
      <c r="H31" s="10" t="s">
        <v>425</v>
      </c>
      <c r="M31">
        <v>18646</v>
      </c>
    </row>
    <row r="32" spans="1:21" ht="15" x14ac:dyDescent="0.25">
      <c r="A32" s="7" t="s">
        <v>355</v>
      </c>
      <c r="C32" s="2">
        <v>233.84</v>
      </c>
      <c r="H32" s="10" t="s">
        <v>425</v>
      </c>
      <c r="M32">
        <v>18700</v>
      </c>
    </row>
    <row r="33" spans="1:13" ht="15" x14ac:dyDescent="0.25">
      <c r="A33" s="7" t="s">
        <v>354</v>
      </c>
      <c r="C33" s="2">
        <v>233.84</v>
      </c>
      <c r="H33" s="10" t="s">
        <v>425</v>
      </c>
      <c r="M33">
        <v>18703</v>
      </c>
    </row>
    <row r="34" spans="1:13" ht="15" x14ac:dyDescent="0.25">
      <c r="A34" s="7" t="s">
        <v>344</v>
      </c>
      <c r="C34" s="2">
        <v>467.68</v>
      </c>
      <c r="H34" s="10" t="s">
        <v>425</v>
      </c>
      <c r="M34">
        <v>18797</v>
      </c>
    </row>
    <row r="35" spans="1:13" ht="15" x14ac:dyDescent="0.25">
      <c r="A35" s="7" t="s">
        <v>345</v>
      </c>
      <c r="C35" s="2">
        <v>233.84</v>
      </c>
      <c r="H35" s="10" t="s">
        <v>425</v>
      </c>
      <c r="M35">
        <v>18805</v>
      </c>
    </row>
    <row r="36" spans="1:13" ht="15" x14ac:dyDescent="0.25">
      <c r="A36" s="7" t="s">
        <v>344</v>
      </c>
      <c r="C36" s="2">
        <v>467.68</v>
      </c>
      <c r="H36" s="10" t="s">
        <v>425</v>
      </c>
      <c r="M36">
        <v>18822</v>
      </c>
    </row>
    <row r="37" spans="1:13" ht="15" x14ac:dyDescent="0.25">
      <c r="A37" s="7" t="s">
        <v>344</v>
      </c>
      <c r="C37" s="2">
        <v>701.52</v>
      </c>
      <c r="H37" s="10" t="s">
        <v>425</v>
      </c>
      <c r="M37">
        <v>18825</v>
      </c>
    </row>
    <row r="38" spans="1:13" ht="15" x14ac:dyDescent="0.25">
      <c r="A38" s="7" t="s">
        <v>344</v>
      </c>
      <c r="C38" s="2">
        <v>467.68</v>
      </c>
      <c r="H38" s="10" t="s">
        <v>425</v>
      </c>
      <c r="M38">
        <v>18827</v>
      </c>
    </row>
    <row r="39" spans="1:13" ht="15" x14ac:dyDescent="0.25">
      <c r="A39" s="7" t="s">
        <v>426</v>
      </c>
      <c r="C39" s="2">
        <v>233.84</v>
      </c>
      <c r="H39" s="10" t="s">
        <v>425</v>
      </c>
      <c r="M39">
        <v>18830</v>
      </c>
    </row>
    <row r="40" spans="1:13" ht="15" x14ac:dyDescent="0.25">
      <c r="A40" s="7" t="s">
        <v>344</v>
      </c>
      <c r="C40" s="2">
        <v>467.68</v>
      </c>
      <c r="H40" s="10" t="s">
        <v>425</v>
      </c>
      <c r="M40">
        <v>18834</v>
      </c>
    </row>
    <row r="41" spans="1:13" ht="15" x14ac:dyDescent="0.25">
      <c r="A41" s="7" t="s">
        <v>354</v>
      </c>
      <c r="C41" s="2">
        <v>233.84</v>
      </c>
      <c r="H41" s="10" t="s">
        <v>425</v>
      </c>
      <c r="M41">
        <v>18850</v>
      </c>
    </row>
    <row r="42" spans="1:13" ht="15" x14ac:dyDescent="0.25">
      <c r="A42" s="7" t="s">
        <v>344</v>
      </c>
      <c r="C42" s="2">
        <v>467.68</v>
      </c>
      <c r="H42" s="10" t="s">
        <v>425</v>
      </c>
      <c r="M42">
        <v>18874</v>
      </c>
    </row>
    <row r="43" spans="1:13" ht="15" x14ac:dyDescent="0.25">
      <c r="A43" s="7" t="s">
        <v>354</v>
      </c>
      <c r="C43" s="2">
        <v>233.84</v>
      </c>
      <c r="H43" s="10" t="s">
        <v>425</v>
      </c>
      <c r="M43">
        <v>18875</v>
      </c>
    </row>
    <row r="44" spans="1:13" ht="15" x14ac:dyDescent="0.25">
      <c r="A44" s="7" t="s">
        <v>426</v>
      </c>
      <c r="C44" s="2">
        <v>233.84</v>
      </c>
      <c r="H44" s="10" t="s">
        <v>425</v>
      </c>
      <c r="M44">
        <v>44700</v>
      </c>
    </row>
    <row r="45" spans="1:13" ht="15" x14ac:dyDescent="0.25">
      <c r="A45" s="7" t="s">
        <v>333</v>
      </c>
      <c r="C45" s="2">
        <v>233.84</v>
      </c>
      <c r="H45" s="10" t="s">
        <v>425</v>
      </c>
      <c r="M45">
        <v>44701</v>
      </c>
    </row>
    <row r="46" spans="1:13" ht="15" x14ac:dyDescent="0.25">
      <c r="A46" s="7" t="s">
        <v>354</v>
      </c>
      <c r="C46" s="2">
        <v>701.52</v>
      </c>
      <c r="H46" s="10" t="s">
        <v>425</v>
      </c>
      <c r="M46">
        <v>44706</v>
      </c>
    </row>
    <row r="47" spans="1:13" ht="15" x14ac:dyDescent="0.25">
      <c r="A47" s="11" t="s">
        <v>206</v>
      </c>
      <c r="B47" s="2">
        <f>SUM(C28:C46)</f>
        <v>7249.0400000000009</v>
      </c>
      <c r="H47" s="10" t="s">
        <v>425</v>
      </c>
    </row>
    <row r="48" spans="1:13" x14ac:dyDescent="0.2">
      <c r="A48" t="s">
        <v>337</v>
      </c>
      <c r="C48" s="2">
        <v>233.84</v>
      </c>
      <c r="H48" s="10" t="s">
        <v>427</v>
      </c>
      <c r="M48">
        <v>11229</v>
      </c>
    </row>
    <row r="49" spans="1:13" x14ac:dyDescent="0.2">
      <c r="A49" t="s">
        <v>334</v>
      </c>
      <c r="C49" s="2">
        <v>233.84</v>
      </c>
      <c r="H49" s="10" t="s">
        <v>427</v>
      </c>
      <c r="M49">
        <v>18430</v>
      </c>
    </row>
    <row r="50" spans="1:13" x14ac:dyDescent="0.2">
      <c r="A50" t="s">
        <v>344</v>
      </c>
      <c r="C50" s="2">
        <v>935.36</v>
      </c>
      <c r="H50" s="10" t="s">
        <v>427</v>
      </c>
      <c r="M50">
        <v>18626</v>
      </c>
    </row>
    <row r="51" spans="1:13" x14ac:dyDescent="0.2">
      <c r="A51" t="s">
        <v>336</v>
      </c>
      <c r="C51" s="2">
        <v>233.84</v>
      </c>
      <c r="H51" s="10" t="s">
        <v>427</v>
      </c>
      <c r="M51">
        <v>18687</v>
      </c>
    </row>
    <row r="52" spans="1:13" x14ac:dyDescent="0.2">
      <c r="A52" t="s">
        <v>355</v>
      </c>
      <c r="C52" s="2">
        <v>467.68</v>
      </c>
      <c r="H52" s="10" t="s">
        <v>427</v>
      </c>
      <c r="M52">
        <v>18700</v>
      </c>
    </row>
    <row r="53" spans="1:13" x14ac:dyDescent="0.2">
      <c r="A53" t="s">
        <v>324</v>
      </c>
      <c r="C53" s="2">
        <v>233.84</v>
      </c>
      <c r="H53" s="10" t="s">
        <v>427</v>
      </c>
      <c r="M53">
        <v>18736</v>
      </c>
    </row>
    <row r="54" spans="1:13" x14ac:dyDescent="0.2">
      <c r="A54" t="s">
        <v>344</v>
      </c>
      <c r="C54" s="2">
        <v>233.84</v>
      </c>
      <c r="H54" s="10" t="s">
        <v>427</v>
      </c>
      <c r="M54">
        <v>18764</v>
      </c>
    </row>
    <row r="55" spans="1:13" x14ac:dyDescent="0.2">
      <c r="A55" t="s">
        <v>344</v>
      </c>
      <c r="C55" s="2">
        <v>233.84</v>
      </c>
      <c r="H55" s="10" t="s">
        <v>427</v>
      </c>
      <c r="M55">
        <v>18797</v>
      </c>
    </row>
    <row r="56" spans="1:13" x14ac:dyDescent="0.2">
      <c r="A56" t="s">
        <v>344</v>
      </c>
      <c r="C56" s="2">
        <v>701.52</v>
      </c>
      <c r="H56" s="10" t="s">
        <v>427</v>
      </c>
      <c r="M56">
        <v>18822</v>
      </c>
    </row>
    <row r="57" spans="1:13" x14ac:dyDescent="0.2">
      <c r="A57" t="s">
        <v>344</v>
      </c>
      <c r="C57" s="2">
        <v>233.84</v>
      </c>
      <c r="H57" s="10" t="s">
        <v>427</v>
      </c>
      <c r="M57">
        <v>18824</v>
      </c>
    </row>
    <row r="58" spans="1:13" x14ac:dyDescent="0.2">
      <c r="A58" t="s">
        <v>344</v>
      </c>
      <c r="C58" s="2">
        <v>467.68</v>
      </c>
      <c r="H58" s="10" t="s">
        <v>427</v>
      </c>
      <c r="M58">
        <v>18825</v>
      </c>
    </row>
    <row r="59" spans="1:13" x14ac:dyDescent="0.2">
      <c r="A59" t="s">
        <v>344</v>
      </c>
      <c r="C59" s="2">
        <v>233.84</v>
      </c>
      <c r="H59" s="10" t="s">
        <v>427</v>
      </c>
      <c r="M59">
        <v>18827</v>
      </c>
    </row>
    <row r="60" spans="1:13" x14ac:dyDescent="0.2">
      <c r="A60" t="s">
        <v>344</v>
      </c>
      <c r="C60" s="2">
        <v>233.84</v>
      </c>
      <c r="H60" s="10" t="s">
        <v>427</v>
      </c>
      <c r="M60">
        <v>18834</v>
      </c>
    </row>
    <row r="61" spans="1:13" x14ac:dyDescent="0.2">
      <c r="A61" t="s">
        <v>344</v>
      </c>
      <c r="C61" s="2">
        <v>467.68</v>
      </c>
      <c r="H61" s="10" t="s">
        <v>427</v>
      </c>
      <c r="M61">
        <v>18874</v>
      </c>
    </row>
    <row r="62" spans="1:13" x14ac:dyDescent="0.2">
      <c r="A62" t="s">
        <v>333</v>
      </c>
      <c r="C62" s="2">
        <v>935.36</v>
      </c>
      <c r="H62" s="10" t="s">
        <v>427</v>
      </c>
      <c r="M62">
        <v>44701</v>
      </c>
    </row>
    <row r="63" spans="1:13" ht="15" x14ac:dyDescent="0.25">
      <c r="A63" s="11" t="s">
        <v>206</v>
      </c>
      <c r="B63" s="2">
        <f>SUM(C48:C62)</f>
        <v>6079.8400000000011</v>
      </c>
      <c r="H63" s="10" t="s">
        <v>427</v>
      </c>
    </row>
    <row r="64" spans="1:13" ht="15" x14ac:dyDescent="0.25">
      <c r="A64" s="11"/>
      <c r="B64" s="12">
        <f>SUM(B28:B63)</f>
        <v>13328.880000000001</v>
      </c>
      <c r="C64" s="12">
        <f>SUM(C28:C63)</f>
        <v>13328.880000000005</v>
      </c>
      <c r="H64" s="10"/>
    </row>
    <row r="65" spans="1:13" ht="15" x14ac:dyDescent="0.25">
      <c r="A65" s="11"/>
      <c r="H65" s="10"/>
    </row>
    <row r="66" spans="1:13" ht="15" x14ac:dyDescent="0.25">
      <c r="A66" s="7" t="s">
        <v>337</v>
      </c>
      <c r="C66" s="2">
        <f t="shared" ref="C66:C80" si="6">T4/10*$O$27</f>
        <v>70.151999999999987</v>
      </c>
      <c r="H66" s="10" t="s">
        <v>428</v>
      </c>
      <c r="M66">
        <v>11229</v>
      </c>
    </row>
    <row r="67" spans="1:13" ht="15" x14ac:dyDescent="0.25">
      <c r="A67" s="7" t="s">
        <v>334</v>
      </c>
      <c r="C67" s="2">
        <f t="shared" si="6"/>
        <v>70.151999999999987</v>
      </c>
      <c r="H67" s="10" t="s">
        <v>428</v>
      </c>
      <c r="M67">
        <v>18430</v>
      </c>
    </row>
    <row r="68" spans="1:13" ht="15" x14ac:dyDescent="0.25">
      <c r="A68" s="7" t="s">
        <v>344</v>
      </c>
      <c r="C68" s="2">
        <f t="shared" si="6"/>
        <v>280.60799999999995</v>
      </c>
      <c r="H68" s="10" t="s">
        <v>428</v>
      </c>
      <c r="M68">
        <v>18626</v>
      </c>
    </row>
    <row r="69" spans="1:13" ht="15" x14ac:dyDescent="0.25">
      <c r="A69" s="7" t="s">
        <v>336</v>
      </c>
      <c r="C69" s="2">
        <f t="shared" si="6"/>
        <v>70.151999999999987</v>
      </c>
      <c r="H69" s="10" t="s">
        <v>428</v>
      </c>
      <c r="M69">
        <v>18687</v>
      </c>
    </row>
    <row r="70" spans="1:13" ht="15" x14ac:dyDescent="0.25">
      <c r="A70" s="7" t="s">
        <v>355</v>
      </c>
      <c r="C70" s="2">
        <f t="shared" si="6"/>
        <v>140.30399999999997</v>
      </c>
      <c r="H70" s="10" t="s">
        <v>428</v>
      </c>
      <c r="M70">
        <v>18700</v>
      </c>
    </row>
    <row r="71" spans="1:13" ht="15" x14ac:dyDescent="0.25">
      <c r="A71" s="7" t="s">
        <v>324</v>
      </c>
      <c r="C71" s="2">
        <f t="shared" si="6"/>
        <v>70.151999999999987</v>
      </c>
      <c r="H71" s="10" t="s">
        <v>428</v>
      </c>
      <c r="M71">
        <v>18736</v>
      </c>
    </row>
    <row r="72" spans="1:13" ht="15" x14ac:dyDescent="0.25">
      <c r="A72" s="7" t="s">
        <v>344</v>
      </c>
      <c r="C72" s="2">
        <f t="shared" si="6"/>
        <v>70.151999999999987</v>
      </c>
      <c r="H72" s="10" t="s">
        <v>428</v>
      </c>
      <c r="M72">
        <v>18764</v>
      </c>
    </row>
    <row r="73" spans="1:13" ht="15" x14ac:dyDescent="0.25">
      <c r="A73" s="7" t="s">
        <v>344</v>
      </c>
      <c r="C73" s="2">
        <f t="shared" si="6"/>
        <v>70.151999999999987</v>
      </c>
      <c r="H73" s="10" t="s">
        <v>428</v>
      </c>
      <c r="M73">
        <v>18797</v>
      </c>
    </row>
    <row r="74" spans="1:13" ht="15" x14ac:dyDescent="0.25">
      <c r="A74" s="7" t="s">
        <v>344</v>
      </c>
      <c r="C74" s="2">
        <f t="shared" si="6"/>
        <v>210.45600000000002</v>
      </c>
      <c r="H74" s="10" t="s">
        <v>428</v>
      </c>
      <c r="M74">
        <v>18822</v>
      </c>
    </row>
    <row r="75" spans="1:13" ht="15" x14ac:dyDescent="0.25">
      <c r="A75" s="7" t="s">
        <v>344</v>
      </c>
      <c r="C75" s="2">
        <f t="shared" si="6"/>
        <v>70.151999999999987</v>
      </c>
      <c r="H75" s="10" t="s">
        <v>428</v>
      </c>
      <c r="M75">
        <v>18824</v>
      </c>
    </row>
    <row r="76" spans="1:13" ht="15" x14ac:dyDescent="0.25">
      <c r="A76" s="7" t="s">
        <v>344</v>
      </c>
      <c r="C76" s="2">
        <f t="shared" si="6"/>
        <v>140.30399999999997</v>
      </c>
      <c r="H76" s="10" t="s">
        <v>428</v>
      </c>
      <c r="M76">
        <v>18825</v>
      </c>
    </row>
    <row r="77" spans="1:13" ht="15" x14ac:dyDescent="0.25">
      <c r="A77" s="7" t="s">
        <v>344</v>
      </c>
      <c r="C77" s="2">
        <f t="shared" si="6"/>
        <v>70.151999999999987</v>
      </c>
      <c r="H77" s="10" t="s">
        <v>428</v>
      </c>
      <c r="M77">
        <v>18827</v>
      </c>
    </row>
    <row r="78" spans="1:13" ht="15" x14ac:dyDescent="0.25">
      <c r="A78" s="7" t="s">
        <v>344</v>
      </c>
      <c r="C78" s="2">
        <f t="shared" si="6"/>
        <v>70.151999999999987</v>
      </c>
      <c r="H78" s="10" t="s">
        <v>428</v>
      </c>
      <c r="M78">
        <v>18834</v>
      </c>
    </row>
    <row r="79" spans="1:13" ht="15" x14ac:dyDescent="0.25">
      <c r="A79" s="7" t="s">
        <v>344</v>
      </c>
      <c r="C79" s="2">
        <f t="shared" si="6"/>
        <v>140.30399999999997</v>
      </c>
      <c r="H79" s="10" t="s">
        <v>428</v>
      </c>
      <c r="M79">
        <v>18874</v>
      </c>
    </row>
    <row r="80" spans="1:13" ht="15" x14ac:dyDescent="0.25">
      <c r="A80" s="7" t="s">
        <v>333</v>
      </c>
      <c r="C80" s="2">
        <f t="shared" si="6"/>
        <v>280.60799999999995</v>
      </c>
      <c r="H80" s="10" t="s">
        <v>428</v>
      </c>
      <c r="M80">
        <v>44701</v>
      </c>
    </row>
    <row r="81" spans="1:13" x14ac:dyDescent="0.2">
      <c r="A81" t="s">
        <v>429</v>
      </c>
      <c r="B81" s="2">
        <f>SUM(C66:C80)</f>
        <v>1823.9520000000005</v>
      </c>
      <c r="H81" s="10" t="s">
        <v>428</v>
      </c>
    </row>
    <row r="82" spans="1:13" ht="15" x14ac:dyDescent="0.25">
      <c r="A82" s="7" t="s">
        <v>430</v>
      </c>
      <c r="C82" s="2">
        <f t="shared" ref="C82:C96" si="7">C66*$N$27</f>
        <v>4.2091199999999986</v>
      </c>
      <c r="H82" s="10" t="s">
        <v>431</v>
      </c>
      <c r="M82">
        <v>11229</v>
      </c>
    </row>
    <row r="83" spans="1:13" ht="15" x14ac:dyDescent="0.25">
      <c r="A83" s="7" t="s">
        <v>432</v>
      </c>
      <c r="C83" s="2">
        <f t="shared" si="7"/>
        <v>4.2091199999999986</v>
      </c>
      <c r="H83" s="10" t="str">
        <f t="shared" ref="H83:H97" si="8">H82</f>
        <v>3 Days Accrued Payroll Tax Nov 19</v>
      </c>
      <c r="M83">
        <v>18430</v>
      </c>
    </row>
    <row r="84" spans="1:13" ht="15" x14ac:dyDescent="0.25">
      <c r="A84" s="7" t="s">
        <v>433</v>
      </c>
      <c r="C84" s="2">
        <f t="shared" si="7"/>
        <v>16.836479999999995</v>
      </c>
      <c r="H84" s="10" t="str">
        <f t="shared" si="8"/>
        <v>3 Days Accrued Payroll Tax Nov 19</v>
      </c>
      <c r="M84">
        <v>18626</v>
      </c>
    </row>
    <row r="85" spans="1:13" ht="15" x14ac:dyDescent="0.25">
      <c r="A85" s="7" t="s">
        <v>434</v>
      </c>
      <c r="C85" s="2">
        <f t="shared" si="7"/>
        <v>4.2091199999999986</v>
      </c>
      <c r="H85" s="10" t="str">
        <f t="shared" si="8"/>
        <v>3 Days Accrued Payroll Tax Nov 19</v>
      </c>
      <c r="M85">
        <v>18687</v>
      </c>
    </row>
    <row r="86" spans="1:13" ht="15" x14ac:dyDescent="0.25">
      <c r="A86" s="7" t="s">
        <v>435</v>
      </c>
      <c r="C86" s="2">
        <f t="shared" si="7"/>
        <v>8.4182399999999973</v>
      </c>
      <c r="H86" s="10" t="str">
        <f t="shared" si="8"/>
        <v>3 Days Accrued Payroll Tax Nov 19</v>
      </c>
      <c r="M86">
        <v>18700</v>
      </c>
    </row>
    <row r="87" spans="1:13" ht="15" x14ac:dyDescent="0.25">
      <c r="A87" s="7" t="s">
        <v>436</v>
      </c>
      <c r="C87" s="2">
        <f t="shared" si="7"/>
        <v>4.2091199999999986</v>
      </c>
      <c r="H87" s="10" t="str">
        <f t="shared" si="8"/>
        <v>3 Days Accrued Payroll Tax Nov 19</v>
      </c>
      <c r="M87">
        <v>18736</v>
      </c>
    </row>
    <row r="88" spans="1:13" ht="15" x14ac:dyDescent="0.25">
      <c r="A88" s="7" t="s">
        <v>433</v>
      </c>
      <c r="C88" s="2">
        <f t="shared" si="7"/>
        <v>4.2091199999999986</v>
      </c>
      <c r="H88" s="10" t="str">
        <f t="shared" si="8"/>
        <v>3 Days Accrued Payroll Tax Nov 19</v>
      </c>
      <c r="M88">
        <v>18764</v>
      </c>
    </row>
    <row r="89" spans="1:13" ht="15" x14ac:dyDescent="0.25">
      <c r="A89" s="7" t="s">
        <v>433</v>
      </c>
      <c r="C89" s="2">
        <f t="shared" si="7"/>
        <v>4.2091199999999986</v>
      </c>
      <c r="H89" s="10" t="str">
        <f t="shared" si="8"/>
        <v>3 Days Accrued Payroll Tax Nov 19</v>
      </c>
      <c r="M89">
        <v>18797</v>
      </c>
    </row>
    <row r="90" spans="1:13" ht="15" x14ac:dyDescent="0.25">
      <c r="A90" s="7" t="s">
        <v>433</v>
      </c>
      <c r="C90" s="2">
        <f t="shared" si="7"/>
        <v>12.627360000000001</v>
      </c>
      <c r="H90" s="10" t="str">
        <f t="shared" si="8"/>
        <v>3 Days Accrued Payroll Tax Nov 19</v>
      </c>
      <c r="M90">
        <v>18822</v>
      </c>
    </row>
    <row r="91" spans="1:13" ht="15" x14ac:dyDescent="0.25">
      <c r="A91" s="7" t="s">
        <v>433</v>
      </c>
      <c r="C91" s="2">
        <f t="shared" si="7"/>
        <v>4.2091199999999986</v>
      </c>
      <c r="H91" s="10" t="str">
        <f t="shared" si="8"/>
        <v>3 Days Accrued Payroll Tax Nov 19</v>
      </c>
      <c r="M91">
        <v>18824</v>
      </c>
    </row>
    <row r="92" spans="1:13" ht="15" x14ac:dyDescent="0.25">
      <c r="A92" s="7" t="s">
        <v>433</v>
      </c>
      <c r="C92" s="2">
        <f t="shared" si="7"/>
        <v>8.4182399999999973</v>
      </c>
      <c r="H92" s="10" t="str">
        <f t="shared" si="8"/>
        <v>3 Days Accrued Payroll Tax Nov 19</v>
      </c>
      <c r="M92">
        <v>18825</v>
      </c>
    </row>
    <row r="93" spans="1:13" ht="15" x14ac:dyDescent="0.25">
      <c r="A93" s="7" t="s">
        <v>433</v>
      </c>
      <c r="C93" s="2">
        <f t="shared" si="7"/>
        <v>4.2091199999999986</v>
      </c>
      <c r="H93" s="10" t="str">
        <f t="shared" si="8"/>
        <v>3 Days Accrued Payroll Tax Nov 19</v>
      </c>
      <c r="M93">
        <v>18827</v>
      </c>
    </row>
    <row r="94" spans="1:13" ht="15" x14ac:dyDescent="0.25">
      <c r="A94" s="7" t="s">
        <v>433</v>
      </c>
      <c r="C94" s="2">
        <f t="shared" si="7"/>
        <v>4.2091199999999986</v>
      </c>
      <c r="H94" s="10" t="str">
        <f t="shared" si="8"/>
        <v>3 Days Accrued Payroll Tax Nov 19</v>
      </c>
      <c r="M94">
        <v>18834</v>
      </c>
    </row>
    <row r="95" spans="1:13" ht="15" x14ac:dyDescent="0.25">
      <c r="A95" s="7" t="s">
        <v>433</v>
      </c>
      <c r="C95" s="2">
        <f t="shared" si="7"/>
        <v>8.4182399999999973</v>
      </c>
      <c r="H95" s="10" t="str">
        <f t="shared" si="8"/>
        <v>3 Days Accrued Payroll Tax Nov 19</v>
      </c>
      <c r="M95">
        <v>18874</v>
      </c>
    </row>
    <row r="96" spans="1:13" ht="15" x14ac:dyDescent="0.25">
      <c r="A96" s="7" t="s">
        <v>437</v>
      </c>
      <c r="C96" s="2">
        <f t="shared" si="7"/>
        <v>16.836479999999995</v>
      </c>
      <c r="H96" s="10" t="str">
        <f t="shared" si="8"/>
        <v>3 Days Accrued Payroll Tax Nov 19</v>
      </c>
      <c r="M96">
        <v>44701</v>
      </c>
    </row>
    <row r="97" spans="1:8" x14ac:dyDescent="0.2">
      <c r="A97" s="15">
        <v>112.217</v>
      </c>
      <c r="B97" s="2">
        <f>SUM(C82:C96)</f>
        <v>109.43711999999996</v>
      </c>
      <c r="H97" s="10" t="str">
        <f t="shared" si="8"/>
        <v>3 Days Accrued Payroll Tax Nov 19</v>
      </c>
    </row>
    <row r="99" spans="1:8" x14ac:dyDescent="0.2">
      <c r="B99" s="12">
        <f>SUM(B66:B97)</f>
        <v>1933.3891200000005</v>
      </c>
      <c r="C99" s="12">
        <f>SUM(C66:C97)</f>
        <v>1933.38912</v>
      </c>
    </row>
  </sheetData>
  <pageMargins left="0.7" right="0.7" top="0.75" bottom="0.75" header="0.3" footer="0.3"/>
  <pageSetup paperSize="9" scale="35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1st Pay Period</vt:lpstr>
      <vt:lpstr>pay1</vt:lpstr>
      <vt:lpstr>2ndPayPeriod</vt:lpstr>
      <vt:lpstr>pay2</vt:lpstr>
      <vt:lpstr>Payroll Accrual</vt:lpstr>
      <vt:lpstr>PayrollTax Accrual</vt:lpstr>
      <vt:lpstr>3rdPayPeriod</vt:lpstr>
      <vt:lpstr>pay3</vt:lpstr>
      <vt:lpstr>consolidated</vt:lpstr>
      <vt:lpstr>Meal Allowance Adj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M</cp:lastModifiedBy>
  <cp:lastPrinted>2021-02-28T23:54:00Z</cp:lastPrinted>
  <dcterms:created xsi:type="dcterms:W3CDTF">2011-04-14T04:18:00Z</dcterms:created>
  <dcterms:modified xsi:type="dcterms:W3CDTF">2022-11-24T22:57:25Z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01C2D35AF44DC8546069FCCFAB82437E8AE85364339A3FD7B8457322ABA5F93C1946319DEC9FEB372CA6F18F9A86D7A760E9433A14A31CA44E93C3CB76290C22F08862345014DF2CAA86CCA7EE6CB5E3DFAFC6518BEC47F77267251217BF69234E7D98B319B86EC9C5777550DB4B79CEAB2BE3B69235938CF64CF5B12DB136B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0FAF957C51A5EA501660149E4628B2EC983A734183B0B903DD9639CA5DFB8BD81EC4F2A757E0A97764CC85A9BF91A68BD8BAEBEAD1D08F50F15168C2BE6F195321DAFA9AE6DD66A099119080BF535A5935CA3CDE410208A346D2FDE893951336974FB4956B33EC5BDBB32440177826DA452D89AA04D9EEF8C4131F8CE8F5DC9</vt:lpwstr>
  </property>
  <property fmtid="{D5CDD505-2E9C-101B-9397-08002B2CF9AE}" pid="7" name="Business Objects Context Information5">
    <vt:lpwstr>92083DD0228ABC5ADA6D42EB90441241A1703AD689BDE29E93613A4A007B703F7232AC89000EEEC0A6C06A80AA6B179D32E2CC6</vt:lpwstr>
  </property>
  <property fmtid="{D5CDD505-2E9C-101B-9397-08002B2CF9AE}" pid="8" name="ICV">
    <vt:lpwstr>5AD33315299B4C1EB1614938FAD28F2B</vt:lpwstr>
  </property>
  <property fmtid="{D5CDD505-2E9C-101B-9397-08002B2CF9AE}" pid="9" name="KSOProductBuildVer">
    <vt:lpwstr>1033-11.2.0.11254</vt:lpwstr>
  </property>
</Properties>
</file>