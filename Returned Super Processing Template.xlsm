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hew.lee\Dropbox\Side Hussle\VBA\Finished Project\"/>
    </mc:Choice>
  </mc:AlternateContent>
  <bookViews>
    <workbookView xWindow="0" yWindow="0" windowWidth="19200" windowHeight="7455" activeTab="1"/>
  </bookViews>
  <sheets>
    <sheet name="Sheet1" sheetId="5" r:id="rId1"/>
    <sheet name="Template" sheetId="2" r:id="rId2"/>
    <sheet name="Biographical" sheetId="3" r:id="rId3"/>
    <sheet name="Allowance" sheetId="4" r:id="rId4"/>
  </sheets>
  <definedNames>
    <definedName name="_xlnm._FilterDatabase" localSheetId="3" hidden="1">Allowance!$A$1:$AA$194</definedName>
    <definedName name="Allowance">Allowance!$A$1:$AA$251</definedName>
    <definedName name="Bio">Biographical!$A$1:$CX$513</definedName>
    <definedName name="BirthDate">Template!$R$1</definedName>
    <definedName name="Deductionid">Template!$B$1</definedName>
    <definedName name="ExternalData_1" localSheetId="2">Biographical!$BA$1:$CZ$511</definedName>
    <definedName name="ExternalData_2" localSheetId="2">Biographical!$A$1:$AZ$511</definedName>
    <definedName name="ExternalData_3" localSheetId="2">Biographical!$A$1:$AZ$513</definedName>
    <definedName name="ExternalData_4" localSheetId="2">Biographical!$A$1:$AZ$513</definedName>
    <definedName name="PeriodEndDate">Template!$F$1</definedName>
    <definedName name="ServiceFraction">Template!$AV$1</definedName>
  </definedNames>
  <calcPr calcId="152511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1" i="2" l="1"/>
  <c r="AB21" i="2"/>
  <c r="AA21" i="2"/>
  <c r="X21" i="2"/>
  <c r="R21" i="2"/>
  <c r="N21" i="2"/>
  <c r="M21" i="2"/>
  <c r="J21" i="2"/>
  <c r="G21" i="2"/>
  <c r="AC20" i="2"/>
  <c r="AB20" i="2"/>
  <c r="AA20" i="2"/>
  <c r="X20" i="2"/>
  <c r="R20" i="2"/>
  <c r="N20" i="2"/>
  <c r="M20" i="2"/>
  <c r="J20" i="2"/>
  <c r="G20" i="2"/>
  <c r="AC19" i="2"/>
  <c r="AB19" i="2"/>
  <c r="AA19" i="2"/>
  <c r="X19" i="2"/>
  <c r="R19" i="2"/>
  <c r="N19" i="2"/>
  <c r="M19" i="2"/>
  <c r="J19" i="2"/>
  <c r="G19" i="2"/>
  <c r="AC18" i="2"/>
  <c r="AB18" i="2"/>
  <c r="AA18" i="2"/>
  <c r="X18" i="2"/>
  <c r="R18" i="2"/>
  <c r="N18" i="2"/>
  <c r="M18" i="2"/>
  <c r="J18" i="2"/>
  <c r="G18" i="2"/>
  <c r="AC17" i="2"/>
  <c r="AB17" i="2"/>
  <c r="AA17" i="2"/>
  <c r="X17" i="2"/>
  <c r="R17" i="2"/>
  <c r="N17" i="2"/>
  <c r="M17" i="2"/>
  <c r="J17" i="2"/>
  <c r="G17" i="2"/>
  <c r="AC16" i="2"/>
  <c r="AB16" i="2"/>
  <c r="AA16" i="2"/>
  <c r="X16" i="2"/>
  <c r="R16" i="2"/>
  <c r="N16" i="2"/>
  <c r="M16" i="2"/>
  <c r="J16" i="2"/>
  <c r="G16" i="2"/>
  <c r="AC15" i="2"/>
  <c r="AB15" i="2"/>
  <c r="AA15" i="2"/>
  <c r="X15" i="2"/>
  <c r="R15" i="2"/>
  <c r="N15" i="2"/>
  <c r="M15" i="2"/>
  <c r="J15" i="2"/>
  <c r="G15" i="2"/>
  <c r="AC14" i="2"/>
  <c r="AB14" i="2"/>
  <c r="AA14" i="2"/>
  <c r="X14" i="2"/>
  <c r="R14" i="2"/>
  <c r="N14" i="2"/>
  <c r="M14" i="2"/>
  <c r="J14" i="2"/>
  <c r="G14" i="2"/>
  <c r="AC13" i="2"/>
  <c r="AB13" i="2"/>
  <c r="AA13" i="2"/>
  <c r="X13" i="2"/>
  <c r="R13" i="2"/>
  <c r="N13" i="2"/>
  <c r="M13" i="2"/>
  <c r="J13" i="2"/>
  <c r="G13" i="2"/>
  <c r="AC12" i="2"/>
  <c r="AB12" i="2"/>
  <c r="AA12" i="2"/>
  <c r="X12" i="2"/>
  <c r="R12" i="2"/>
  <c r="N12" i="2"/>
  <c r="M12" i="2"/>
  <c r="J12" i="2"/>
  <c r="G12" i="2"/>
  <c r="AC11" i="2"/>
  <c r="AB11" i="2"/>
  <c r="AA11" i="2"/>
  <c r="X11" i="2"/>
  <c r="R11" i="2"/>
  <c r="N11" i="2"/>
  <c r="M11" i="2"/>
  <c r="AC10" i="2"/>
  <c r="AB10" i="2"/>
  <c r="AA10" i="2"/>
  <c r="X10" i="2"/>
  <c r="R10" i="2"/>
  <c r="N10" i="2"/>
  <c r="M10" i="2"/>
  <c r="AC9" i="2"/>
  <c r="AB9" i="2"/>
  <c r="AA9" i="2"/>
  <c r="X9" i="2"/>
  <c r="R9" i="2"/>
  <c r="N9" i="2"/>
  <c r="M9" i="2"/>
  <c r="AC8" i="2"/>
  <c r="AB8" i="2"/>
  <c r="AA8" i="2"/>
  <c r="X8" i="2"/>
  <c r="R8" i="2"/>
  <c r="N8" i="2"/>
  <c r="M8" i="2"/>
  <c r="AC7" i="2"/>
  <c r="AB7" i="2"/>
  <c r="AA7" i="2"/>
  <c r="X7" i="2"/>
  <c r="R7" i="2"/>
  <c r="N7" i="2"/>
  <c r="M7" i="2"/>
  <c r="AC6" i="2"/>
  <c r="AB6" i="2"/>
  <c r="AA6" i="2"/>
  <c r="X6" i="2"/>
  <c r="R6" i="2"/>
  <c r="N6" i="2"/>
  <c r="M6" i="2"/>
  <c r="AC5" i="2"/>
  <c r="AB5" i="2"/>
  <c r="AA5" i="2"/>
  <c r="X5" i="2"/>
  <c r="R5" i="2"/>
  <c r="N5" i="2"/>
  <c r="M5" i="2"/>
  <c r="AC4" i="2"/>
  <c r="AB4" i="2"/>
  <c r="AA4" i="2"/>
  <c r="X4" i="2"/>
  <c r="R4" i="2"/>
  <c r="N4" i="2"/>
  <c r="M4" i="2"/>
  <c r="AC3" i="2"/>
  <c r="AB3" i="2"/>
  <c r="AA3" i="2"/>
  <c r="X3" i="2"/>
  <c r="R3" i="2"/>
  <c r="N3" i="2"/>
  <c r="M3" i="2"/>
  <c r="J3" i="2"/>
  <c r="G3" i="2"/>
  <c r="AC2" i="2"/>
  <c r="AB2" i="2"/>
  <c r="AA2" i="2"/>
  <c r="X2" i="2"/>
  <c r="R2" i="2"/>
  <c r="N2" i="2"/>
  <c r="M2" i="2"/>
  <c r="J2" i="2"/>
  <c r="G2" i="2"/>
</calcChain>
</file>

<file path=xl/comments1.xml><?xml version="1.0" encoding="utf-8"?>
<comments xmlns="http://schemas.openxmlformats.org/spreadsheetml/2006/main">
  <authors>
    <author>psuhr</author>
    <author>dstephen</author>
  </authors>
  <commentList>
    <comment ref="B1" authorId="0" shapeId="0">
      <text>
        <r>
          <rPr>
            <b/>
            <sz val="8"/>
            <rFont val="Calibri"/>
            <family val="2"/>
            <scheme val="minor"/>
          </rPr>
          <t xml:space="preserve">Deduction Id - Mandatory
</t>
        </r>
        <r>
          <rPr>
            <sz val="8"/>
            <rFont val="Calibri"/>
            <family val="2"/>
            <scheme val="minor"/>
          </rPr>
          <t>This is the payroll deduction code(s) used for this employee.
Each Deduction code for an employee must be on a new line.
Maximum size is 4 characters.</t>
        </r>
      </text>
    </comment>
    <comment ref="C1" authorId="0" shapeId="0">
      <text>
        <r>
          <rPr>
            <b/>
            <sz val="8"/>
            <rFont val="Calibri"/>
            <family val="2"/>
            <scheme val="minor"/>
          </rPr>
          <t xml:space="preserve">Location Id - Optional
</t>
        </r>
        <r>
          <rPr>
            <sz val="8"/>
            <rFont val="Calibri"/>
            <family val="2"/>
            <scheme val="minor"/>
          </rPr>
          <t>The optional payroll location code for this employee. 
Maximum field size is 6 characters.</t>
        </r>
      </text>
    </comment>
    <comment ref="D1" authorId="0" shapeId="0">
      <text>
        <r>
          <rPr>
            <b/>
            <sz val="8"/>
            <rFont val="Calibri"/>
            <family val="2"/>
            <scheme val="minor"/>
          </rPr>
          <t xml:space="preserve">Payroll Id - Mandatory
</t>
        </r>
        <r>
          <rPr>
            <sz val="8"/>
            <rFont val="Calibri"/>
            <family val="2"/>
            <scheme val="minor"/>
          </rPr>
          <t xml:space="preserve">
The unique payroll id (number) allocated for this employee in the payroll. 
Maximum field size is 20 characters.</t>
        </r>
      </text>
    </comment>
    <comment ref="E1" authorId="1" shapeId="0">
      <text>
        <r>
          <rPr>
            <b/>
            <sz val="8"/>
            <rFont val="Calibri"/>
            <family val="2"/>
            <scheme val="minor"/>
          </rPr>
          <t>Period Start Date - Optional</t>
        </r>
        <r>
          <rPr>
            <sz val="8"/>
            <rFont val="Calibri"/>
            <family val="2"/>
            <scheme val="minor"/>
          </rPr>
          <t xml:space="preserve">
Date format must be DD/MM/YYYY
</t>
        </r>
      </text>
    </comment>
    <comment ref="F1" authorId="1" shapeId="0">
      <text>
        <r>
          <rPr>
            <b/>
            <sz val="8"/>
            <rFont val="Calibri"/>
            <family val="2"/>
            <scheme val="minor"/>
          </rPr>
          <t>Period End Date - Mandatory</t>
        </r>
        <r>
          <rPr>
            <sz val="8"/>
            <rFont val="Calibri"/>
            <family val="2"/>
            <scheme val="minor"/>
          </rPr>
          <t xml:space="preserve">
Date format must be DD/MM/YYYY
</t>
        </r>
      </text>
    </comment>
    <comment ref="G1" authorId="0" shapeId="0">
      <text>
        <r>
          <rPr>
            <b/>
            <sz val="8"/>
            <rFont val="Calibri"/>
            <family val="2"/>
            <scheme val="minor"/>
          </rPr>
          <t xml:space="preserve">Member Id - Optional but highly desirable field. 
</t>
        </r>
        <r>
          <rPr>
            <sz val="8"/>
            <rFont val="Calibri"/>
            <family val="2"/>
            <scheme val="minor"/>
          </rPr>
          <t xml:space="preserve">Used by many service providers to identify members. Not supplying this data may delay allocations of monies by service providers.
Maximum field size is 35 characters.
</t>
        </r>
      </text>
    </comment>
    <comment ref="H1" authorId="0" shapeId="0">
      <text>
        <r>
          <rPr>
            <b/>
            <sz val="8"/>
            <rFont val="Calibri"/>
            <family val="2"/>
            <scheme val="minor"/>
          </rPr>
          <t xml:space="preserve">Standard Amount - Optional
</t>
        </r>
        <r>
          <rPr>
            <sz val="8"/>
            <rFont val="Calibri"/>
            <family val="2"/>
            <scheme val="minor"/>
          </rPr>
          <t xml:space="preserve">Indicates the value of the employee's standard amount in cents e.g $100.00 = 10000
Preceed a negative amount with a minus sign.
Maximum field size is 10 characters (including a minus sign if used), 9 without the minus sign.
</t>
        </r>
      </text>
    </comment>
    <comment ref="I1" authorId="0" shapeId="0">
      <text>
        <r>
          <rPr>
            <b/>
            <sz val="8"/>
            <rFont val="Calibri"/>
            <family val="2"/>
            <scheme val="minor"/>
          </rPr>
          <t xml:space="preserve">Employee Amount - Mandatory
</t>
        </r>
        <r>
          <rPr>
            <sz val="8"/>
            <rFont val="Calibri"/>
            <family val="2"/>
            <scheme val="minor"/>
          </rPr>
          <t xml:space="preserve">Indicates the value of the employee's deduction in cents e.g $100.00 = 10000
Precede a negative amount with a minus sign.
Maximum field size is 10 characters (including a minus sign if used), 9 without the minus sign.
</t>
        </r>
      </text>
    </comment>
    <comment ref="J1" authorId="0" shapeId="0">
      <text>
        <r>
          <rPr>
            <b/>
            <sz val="8"/>
            <rFont val="Calibri"/>
            <family val="2"/>
            <scheme val="minor"/>
          </rPr>
          <t xml:space="preserve">USI - Unique Superannuation Identifier - Optional
Super Payments to APRA Funds
</t>
        </r>
        <r>
          <rPr>
            <sz val="8"/>
            <rFont val="Calibri"/>
            <family val="2"/>
            <scheme val="minor"/>
          </rPr>
          <t xml:space="preserve">USI is mandatory for super paymemt to APRA funds.  The USI can be a registered SPIN (9 characters) or a valid ABN + 3 digits (14 characters).
</t>
        </r>
        <r>
          <rPr>
            <b/>
            <sz val="8"/>
            <rFont val="Calibri"/>
            <family val="2"/>
            <scheme val="minor"/>
          </rPr>
          <t xml:space="preserve">Super payments to SMSFs
</t>
        </r>
        <r>
          <rPr>
            <sz val="8"/>
            <rFont val="Calibri"/>
            <family val="2"/>
            <scheme val="minor"/>
          </rPr>
          <t xml:space="preserve">It is mandatory to use the SMSF ABN in this field or a dummy SPIN if one has been allocated by ADP.
</t>
        </r>
        <r>
          <rPr>
            <b/>
            <sz val="8"/>
            <rFont val="Calibri"/>
            <family val="2"/>
            <scheme val="minor"/>
          </rPr>
          <t xml:space="preserve">Non-Super Payments </t>
        </r>
        <r>
          <rPr>
            <sz val="8"/>
            <rFont val="Calibri"/>
            <family val="2"/>
            <scheme val="minor"/>
          </rPr>
          <t xml:space="preserve">
If required this field can be populated with a dummy SPIN if one has been allocated by ADP.</t>
        </r>
        <r>
          <rPr>
            <b/>
            <sz val="8"/>
            <rFont val="Calibri"/>
            <family val="2"/>
            <scheme val="minor"/>
          </rPr>
          <t xml:space="preserve">
</t>
        </r>
        <r>
          <rPr>
            <sz val="8"/>
            <rFont val="Calibri"/>
            <family val="2"/>
            <scheme val="minor"/>
          </rPr>
          <t xml:space="preserve">
</t>
        </r>
      </text>
    </comment>
    <comment ref="K1" authorId="0" shapeId="0">
      <text>
        <r>
          <rPr>
            <b/>
            <sz val="8"/>
            <rFont val="Calibri"/>
            <family val="2"/>
            <scheme val="minor"/>
          </rPr>
          <t xml:space="preserve">Number of Pay periods - Mandatory
</t>
        </r>
        <r>
          <rPr>
            <sz val="8"/>
            <rFont val="Calibri"/>
            <family val="2"/>
            <scheme val="minor"/>
          </rPr>
          <t>This is the number of pay periods the Employee Amount represents. 
Always enter 2 digits, for example 2 pay periods = 02.
Maximum size is 2 characters.</t>
        </r>
      </text>
    </comment>
    <comment ref="L1" authorId="0" shapeId="0">
      <text>
        <r>
          <rPr>
            <b/>
            <sz val="8"/>
            <rFont val="Calibri"/>
            <family val="2"/>
            <scheme val="minor"/>
          </rPr>
          <t xml:space="preserve">Pay Frequency - Mandatory
</t>
        </r>
        <r>
          <rPr>
            <sz val="8"/>
            <rFont val="Calibri"/>
            <family val="2"/>
            <scheme val="minor"/>
          </rPr>
          <t>Indicates the frequency with which the employee is paid.</t>
        </r>
        <r>
          <rPr>
            <b/>
            <sz val="8"/>
            <rFont val="Calibri"/>
            <family val="2"/>
            <scheme val="minor"/>
          </rPr>
          <t xml:space="preserve">
</t>
        </r>
        <r>
          <rPr>
            <sz val="8"/>
            <rFont val="Calibri"/>
            <family val="2"/>
            <scheme val="minor"/>
          </rPr>
          <t xml:space="preserve">Maximum field size is 1 character. Must be either:
W - Weekly,
F - Fortnightly or
M - Monthly
Please select input from the drop-down list or enter using UPPERCASE letters.
</t>
        </r>
      </text>
    </comment>
    <comment ref="M1" authorId="0" shapeId="0">
      <text>
        <r>
          <rPr>
            <b/>
            <sz val="8"/>
            <rFont val="Calibri"/>
            <family val="2"/>
            <scheme val="minor"/>
          </rPr>
          <t xml:space="preserve">Surname - Mandatory
</t>
        </r>
        <r>
          <rPr>
            <sz val="8"/>
            <rFont val="Calibri"/>
            <family val="2"/>
            <scheme val="minor"/>
          </rPr>
          <t xml:space="preserve">Employee surname or family name.
Maximum length is 35 characters.
</t>
        </r>
      </text>
    </comment>
    <comment ref="N1" authorId="0" shapeId="0">
      <text>
        <r>
          <rPr>
            <b/>
            <sz val="8"/>
            <rFont val="Calibri"/>
            <family val="2"/>
            <scheme val="minor"/>
          </rPr>
          <t>First Name - Mandatory</t>
        </r>
        <r>
          <rPr>
            <sz val="8"/>
            <rFont val="Calibri"/>
            <family val="2"/>
            <scheme val="minor"/>
          </rPr>
          <t xml:space="preserve">
Employee first or given name.
Maximum length is 35 characters.</t>
        </r>
      </text>
    </comment>
    <comment ref="O1" authorId="0" shapeId="0">
      <text>
        <r>
          <rPr>
            <b/>
            <sz val="8"/>
            <rFont val="Calibri"/>
            <family val="2"/>
            <scheme val="minor"/>
          </rPr>
          <t>Other Name - Optional</t>
        </r>
        <r>
          <rPr>
            <sz val="8"/>
            <rFont val="Calibri"/>
            <family val="2"/>
            <scheme val="minor"/>
          </rPr>
          <t xml:space="preserve">
Employee middle or other name.
Maximum length is 35 characters.</t>
        </r>
      </text>
    </comment>
    <comment ref="P1" authorId="0" shapeId="0">
      <text>
        <r>
          <rPr>
            <b/>
            <sz val="8"/>
            <rFont val="Calibri"/>
            <family val="2"/>
            <scheme val="minor"/>
          </rPr>
          <t xml:space="preserve">Title - Optional
</t>
        </r>
        <r>
          <rPr>
            <sz val="8"/>
            <rFont val="Calibri"/>
            <family val="2"/>
            <scheme val="minor"/>
          </rPr>
          <t xml:space="preserve">Employee title. Maximum length is 4 characters.
</t>
        </r>
      </text>
    </comment>
    <comment ref="Q1" authorId="0" shapeId="0">
      <text>
        <r>
          <rPr>
            <b/>
            <sz val="8"/>
            <rFont val="Calibri"/>
            <family val="2"/>
            <scheme val="minor"/>
          </rPr>
          <t xml:space="preserve">Gender - Optional
</t>
        </r>
        <r>
          <rPr>
            <sz val="8"/>
            <rFont val="Calibri"/>
            <family val="2"/>
            <scheme val="minor"/>
          </rPr>
          <t xml:space="preserve">Single character code denoting employee's sex. Options are:
M = Male
F = Female
U = Unknown  </t>
        </r>
      </text>
    </comment>
    <comment ref="R1" authorId="0" shapeId="0">
      <text>
        <r>
          <rPr>
            <b/>
            <sz val="8"/>
            <rFont val="Calibri"/>
            <family val="2"/>
            <scheme val="minor"/>
          </rPr>
          <t xml:space="preserve">Birth Date - Mandatory
</t>
        </r>
        <r>
          <rPr>
            <sz val="8"/>
            <rFont val="Calibri"/>
            <family val="2"/>
            <scheme val="minor"/>
          </rPr>
          <t>Indicates employee's date of birth.
Maximum field size 8 characters in format DD/MM/YYYY.</t>
        </r>
      </text>
    </comment>
    <comment ref="S1" authorId="0" shapeId="0">
      <text>
        <r>
          <rPr>
            <b/>
            <sz val="8"/>
            <rFont val="Calibri"/>
            <family val="2"/>
            <scheme val="minor"/>
          </rPr>
          <t xml:space="preserve">Hire Date - Optional
</t>
        </r>
        <r>
          <rPr>
            <sz val="8"/>
            <rFont val="Calibri"/>
            <family val="2"/>
            <scheme val="minor"/>
          </rPr>
          <t>Indicates date that the employee was hired.
Maximum field size 8 characters in format DD/MM/YYYY.</t>
        </r>
      </text>
    </comment>
    <comment ref="U1" authorId="0" shapeId="0">
      <text>
        <r>
          <rPr>
            <b/>
            <sz val="8"/>
            <rFont val="Calibri"/>
            <family val="2"/>
            <scheme val="minor"/>
          </rPr>
          <t xml:space="preserve">Term Date - Optional
</t>
        </r>
        <r>
          <rPr>
            <sz val="8"/>
            <rFont val="Calibri"/>
            <family val="2"/>
            <scheme val="minor"/>
          </rPr>
          <t xml:space="preserve">
Indicates date employee ceased/will cease employment with this employer.
Maximum field size 8 characters in format DD/MM/YYYY.</t>
        </r>
      </text>
    </comment>
    <comment ref="V1" authorId="0" shapeId="0">
      <text>
        <r>
          <rPr>
            <b/>
            <sz val="8"/>
            <rFont val="Calibri"/>
            <family val="2"/>
            <scheme val="minor"/>
          </rPr>
          <t xml:space="preserve">Term Reason Code - Optional
</t>
        </r>
        <r>
          <rPr>
            <sz val="8"/>
            <rFont val="Calibri"/>
            <family val="2"/>
            <scheme val="minor"/>
          </rPr>
          <t xml:space="preserve">The termination of employment reason code as recorded in payroll system.
Maximum field size is 1 character. Current value used is L for Left employment.
</t>
        </r>
      </text>
    </comment>
    <comment ref="W1" authorId="0" shapeId="0">
      <text>
        <r>
          <rPr>
            <b/>
            <sz val="8"/>
            <rFont val="Calibri"/>
            <family val="2"/>
            <scheme val="minor"/>
          </rPr>
          <t xml:space="preserve">Tax File Number - Optional
</t>
        </r>
        <r>
          <rPr>
            <sz val="8"/>
            <rFont val="Calibri"/>
            <family val="2"/>
            <scheme val="minor"/>
          </rPr>
          <t xml:space="preserve">Must be provided if the employee has provided the TFN to the employer.  
EPS will only accept </t>
        </r>
        <r>
          <rPr>
            <u/>
            <sz val="8"/>
            <rFont val="Calibri"/>
            <family val="2"/>
            <scheme val="minor"/>
          </rPr>
          <t>valid</t>
        </r>
        <r>
          <rPr>
            <sz val="8"/>
            <rFont val="Calibri"/>
            <family val="2"/>
            <scheme val="minor"/>
          </rPr>
          <t xml:space="preserve"> individual tax file numbers.
Maximum length is 9 characters. Ignore the dashes in the TFN.
</t>
        </r>
      </text>
    </comment>
    <comment ref="X1" authorId="0" shapeId="0">
      <text>
        <r>
          <rPr>
            <b/>
            <sz val="8"/>
            <rFont val="Calibri"/>
            <family val="2"/>
            <scheme val="minor"/>
          </rPr>
          <t xml:space="preserve">Address Line 1 - Conditional
</t>
        </r>
        <r>
          <rPr>
            <sz val="8"/>
            <rFont val="Calibri"/>
            <family val="2"/>
            <scheme val="minor"/>
          </rPr>
          <t xml:space="preserve">At least line 1 of the employees address is always required if the Country is Australia.
Maximum field size is 40 characters.
</t>
        </r>
        <r>
          <rPr>
            <b/>
            <sz val="10"/>
            <rFont val="Calibri"/>
            <family val="2"/>
            <scheme val="minor"/>
          </rPr>
          <t xml:space="preserve">DO NOT INCLUDE COMMAS
</t>
        </r>
      </text>
    </comment>
    <comment ref="Y1" authorId="0" shapeId="0">
      <text>
        <r>
          <rPr>
            <b/>
            <sz val="8"/>
            <rFont val="Calibri"/>
            <family val="2"/>
            <scheme val="minor"/>
          </rPr>
          <t xml:space="preserve">Address Line 2 - Optional
</t>
        </r>
        <r>
          <rPr>
            <sz val="8"/>
            <rFont val="Calibri"/>
            <family val="2"/>
            <scheme val="minor"/>
          </rPr>
          <t xml:space="preserve">Maximum field size is 40 characters.
</t>
        </r>
        <r>
          <rPr>
            <b/>
            <sz val="10"/>
            <rFont val="Calibri"/>
            <family val="2"/>
            <scheme val="minor"/>
          </rPr>
          <t xml:space="preserve">NO NOT INCLUDE COMMAS
</t>
        </r>
      </text>
    </comment>
    <comment ref="Z1" authorId="0" shapeId="0">
      <text>
        <r>
          <rPr>
            <b/>
            <sz val="8"/>
            <rFont val="Calibri"/>
            <family val="2"/>
            <scheme val="minor"/>
          </rPr>
          <t xml:space="preserve">Address Line 3 - Optional
</t>
        </r>
        <r>
          <rPr>
            <sz val="8"/>
            <rFont val="Calibri"/>
            <family val="2"/>
            <scheme val="minor"/>
          </rPr>
          <t xml:space="preserve">Maximum field size is 40 characters.
</t>
        </r>
        <r>
          <rPr>
            <b/>
            <sz val="10"/>
            <rFont val="Calibri"/>
            <family val="2"/>
            <scheme val="minor"/>
          </rPr>
          <t xml:space="preserve">DO NOT INCLUDE COMMAS
</t>
        </r>
        <r>
          <rPr>
            <sz val="8"/>
            <rFont val="Calibri"/>
            <family val="2"/>
            <scheme val="minor"/>
          </rPr>
          <t xml:space="preserve">
</t>
        </r>
      </text>
    </comment>
    <comment ref="AA1" authorId="0" shapeId="0">
      <text>
        <r>
          <rPr>
            <b/>
            <sz val="8"/>
            <rFont val="Calibri"/>
            <family val="2"/>
            <scheme val="minor"/>
          </rPr>
          <t xml:space="preserve">Suburb - Conditional
</t>
        </r>
        <r>
          <rPr>
            <sz val="8"/>
            <rFont val="Calibri"/>
            <family val="2"/>
            <scheme val="minor"/>
          </rPr>
          <t>Required if country is Australia.</t>
        </r>
        <r>
          <rPr>
            <b/>
            <sz val="8"/>
            <rFont val="Calibri"/>
            <family val="2"/>
            <scheme val="minor"/>
          </rPr>
          <t xml:space="preserve">
</t>
        </r>
        <r>
          <rPr>
            <sz val="8"/>
            <rFont val="Calibri"/>
            <family val="2"/>
            <scheme val="minor"/>
          </rPr>
          <t xml:space="preserve">Maximum field size is 30 characters.
</t>
        </r>
      </text>
    </comment>
    <comment ref="AB1" authorId="0" shapeId="0">
      <text>
        <r>
          <rPr>
            <b/>
            <sz val="8"/>
            <rFont val="Calibri"/>
            <family val="2"/>
            <scheme val="minor"/>
          </rPr>
          <t xml:space="preserve">Postcode - Conditional
</t>
        </r>
        <r>
          <rPr>
            <sz val="8"/>
            <rFont val="Calibri"/>
            <family val="2"/>
            <scheme val="minor"/>
          </rPr>
          <t>Post Code is always required for Australia and must be 4 digits.</t>
        </r>
        <r>
          <rPr>
            <b/>
            <sz val="8"/>
            <rFont val="Calibri"/>
            <family val="2"/>
            <scheme val="minor"/>
          </rPr>
          <t xml:space="preserve">
</t>
        </r>
        <r>
          <rPr>
            <sz val="8"/>
            <rFont val="Calibri"/>
            <family val="2"/>
            <scheme val="minor"/>
          </rPr>
          <t xml:space="preserve">Maximum field length is 4 digits.
</t>
        </r>
      </text>
    </comment>
    <comment ref="AC1" authorId="0" shapeId="0">
      <text>
        <r>
          <rPr>
            <b/>
            <sz val="8"/>
            <rFont val="Calibri"/>
            <family val="2"/>
            <scheme val="minor"/>
          </rPr>
          <t xml:space="preserve">State - Conditional
</t>
        </r>
        <r>
          <rPr>
            <sz val="8"/>
            <rFont val="Calibri"/>
            <family val="2"/>
            <scheme val="minor"/>
          </rPr>
          <t xml:space="preserve">If Country is Australia then State is always required and must be one of the following options:
ACT 
NSW
NT
TAS
AAT
QLD
SA
VIC
WA
Maximum field size is 30 characters.
</t>
        </r>
      </text>
    </comment>
    <comment ref="AD1" authorId="0" shapeId="0">
      <text>
        <r>
          <rPr>
            <b/>
            <sz val="8"/>
            <rFont val="Calibri"/>
            <family val="2"/>
            <scheme val="minor"/>
          </rPr>
          <t xml:space="preserve">Country - Mandatory
</t>
        </r>
        <r>
          <rPr>
            <sz val="8"/>
            <rFont val="Calibri"/>
            <family val="2"/>
            <scheme val="minor"/>
          </rPr>
          <t xml:space="preserve">Indicates the country of residence of the employee.
Must conform to ISO country standards,  EPS will accept the ISO description or 2 or 3 character codes.
For example, EPS will accept Australia or AU or AUS.
Maximum field size is 30 characters.
</t>
        </r>
      </text>
    </comment>
    <comment ref="AE1" authorId="0" shapeId="0">
      <text>
        <r>
          <rPr>
            <b/>
            <sz val="8"/>
            <rFont val="Calibri"/>
            <family val="2"/>
            <scheme val="minor"/>
          </rPr>
          <t xml:space="preserve">Home Phone - Optional
</t>
        </r>
        <r>
          <rPr>
            <sz val="8"/>
            <rFont val="Calibri"/>
            <family val="2"/>
            <scheme val="minor"/>
          </rPr>
          <t xml:space="preserve">Indicates employee's home phone number including the STD code. Ignore brackets, spaces or dashes in number. (e.g. (03) 9566-5100 is entered as 0395665100.
Maximum field size is 15 characters.
</t>
        </r>
      </text>
    </comment>
    <comment ref="AF1" authorId="0" shapeId="0">
      <text>
        <r>
          <rPr>
            <b/>
            <sz val="8"/>
            <rFont val="Calibri"/>
            <family val="2"/>
            <scheme val="minor"/>
          </rPr>
          <t xml:space="preserve">Work Phone - Optional
</t>
        </r>
        <r>
          <rPr>
            <sz val="8"/>
            <rFont val="Calibri"/>
            <family val="2"/>
            <scheme val="minor"/>
          </rPr>
          <t xml:space="preserve">Indicates employee's home phone number including the STD code. Ignore brackets, spaces or dashes in number. (e.g. (03) 9566-5100 is entered as 0395665100.
Maximum field size is 15 characters.
</t>
        </r>
      </text>
    </comment>
    <comment ref="AG1" authorId="0" shapeId="0">
      <text>
        <r>
          <rPr>
            <b/>
            <sz val="8"/>
            <rFont val="Calibri"/>
            <family val="2"/>
            <scheme val="minor"/>
          </rPr>
          <t xml:space="preserve">Email Address - Optional
</t>
        </r>
        <r>
          <rPr>
            <sz val="8"/>
            <rFont val="Calibri"/>
            <family val="2"/>
            <scheme val="minor"/>
          </rPr>
          <t xml:space="preserve">Indicates the employee's email address.  Email addresses with invalid domains will be rejected.
Maximum field size is 76 characters.
</t>
        </r>
      </text>
    </comment>
    <comment ref="AH1" authorId="0" shapeId="0">
      <text>
        <r>
          <rPr>
            <b/>
            <sz val="8"/>
            <rFont val="Calibri"/>
            <family val="2"/>
            <scheme val="minor"/>
          </rPr>
          <t xml:space="preserve">Annual Salary - Optional
</t>
        </r>
        <r>
          <rPr>
            <sz val="8"/>
            <rFont val="Calibri"/>
            <family val="2"/>
            <scheme val="minor"/>
          </rPr>
          <t xml:space="preserve">Indicates the employee's annual salary expressed as cents (e.g. $25,000.00 = 2500000).
Maximum field size is 9 characters.
</t>
        </r>
      </text>
    </comment>
    <comment ref="AI1" authorId="0" shapeId="0">
      <text>
        <r>
          <rPr>
            <b/>
            <sz val="8"/>
            <rFont val="Calibri"/>
            <family val="2"/>
            <scheme val="minor"/>
          </rPr>
          <t xml:space="preserve">Annual Salary Effective Date - Optional
</t>
        </r>
        <r>
          <rPr>
            <sz val="8"/>
            <rFont val="Calibri"/>
            <family val="2"/>
            <scheme val="minor"/>
          </rPr>
          <t xml:space="preserve">Indicates the effective date for employee's annual salary.
Maximum field size is 8 characters in the format DD/MM/YYYY.
</t>
        </r>
      </text>
    </comment>
    <comment ref="AJ1" authorId="0" shapeId="0">
      <text>
        <r>
          <rPr>
            <b/>
            <sz val="8"/>
            <rFont val="Calibri"/>
            <family val="2"/>
            <scheme val="minor"/>
          </rPr>
          <t xml:space="preserve">Superannuation Salary - Optional
</t>
        </r>
        <r>
          <rPr>
            <sz val="8"/>
            <rFont val="Calibri"/>
            <family val="2"/>
            <scheme val="minor"/>
          </rPr>
          <t xml:space="preserve">Indicates the employee's superannuation salary expressed as cents (e.g. $25,000.00 = 2500000).
Maximum field size is 9 characters.
</t>
        </r>
      </text>
    </comment>
    <comment ref="AK1" authorId="0" shapeId="0">
      <text>
        <r>
          <rPr>
            <b/>
            <sz val="8"/>
            <rFont val="Calibri"/>
            <family val="2"/>
            <scheme val="minor"/>
          </rPr>
          <t xml:space="preserve">Superannuation Salary Effective Date - Optional
</t>
        </r>
        <r>
          <rPr>
            <sz val="8"/>
            <rFont val="Calibri"/>
            <family val="2"/>
            <scheme val="minor"/>
          </rPr>
          <t xml:space="preserve">Indicates the effective date for employee's superannuation salary.
Maximum field size is 8 characters in the format DD/MM/YYYY.
</t>
        </r>
      </text>
    </comment>
    <comment ref="AL1" authorId="0" shapeId="0">
      <text>
        <r>
          <rPr>
            <b/>
            <sz val="8"/>
            <rFont val="Calibri"/>
            <family val="2"/>
            <scheme val="minor"/>
          </rPr>
          <t xml:space="preserve">Annual Salary - Optional
</t>
        </r>
        <r>
          <rPr>
            <sz val="8"/>
            <rFont val="Calibri"/>
            <family val="2"/>
            <scheme val="minor"/>
          </rPr>
          <t xml:space="preserve">Indicates the employee's annual package expressed as cents (e.g. $25,000.00 = 2500000).
Maximum field size is 9 characters.
</t>
        </r>
      </text>
    </comment>
    <comment ref="AM1" authorId="0" shapeId="0">
      <text>
        <r>
          <rPr>
            <b/>
            <sz val="8"/>
            <rFont val="Calibri"/>
            <family val="2"/>
            <scheme val="minor"/>
          </rPr>
          <t xml:space="preserve">Annual Package Effective Date - Optional
</t>
        </r>
        <r>
          <rPr>
            <sz val="8"/>
            <rFont val="Calibri"/>
            <family val="2"/>
            <scheme val="minor"/>
          </rPr>
          <t xml:space="preserve">Indicates the effective date for employee's annual package.
Maximum field size is 8 characters in the format DD/MM/YYYY.
</t>
        </r>
      </text>
    </comment>
    <comment ref="AN1" authorId="0" shapeId="0">
      <text>
        <r>
          <rPr>
            <b/>
            <sz val="8"/>
            <rFont val="Calibri"/>
            <family val="2"/>
            <scheme val="minor"/>
          </rPr>
          <t xml:space="preserve">Employment Status - Optional
</t>
        </r>
        <r>
          <rPr>
            <sz val="8"/>
            <rFont val="Calibri"/>
            <family val="2"/>
            <scheme val="minor"/>
          </rPr>
          <t xml:space="preserve">Indicates the employee's employment status. Select one of the available valid codes from the drop-down list provided.
FT - Full time
PT - Part time
C - Casual
Maximum field size is 2 characters.
</t>
        </r>
      </text>
    </comment>
    <comment ref="AO1" authorId="0" shapeId="0">
      <text>
        <r>
          <rPr>
            <b/>
            <sz val="8"/>
            <rFont val="Calibri"/>
            <family val="2"/>
            <scheme val="minor"/>
          </rPr>
          <t xml:space="preserve">Occupation - Optional
</t>
        </r>
        <r>
          <rPr>
            <sz val="8"/>
            <rFont val="Calibri"/>
            <family val="2"/>
            <scheme val="minor"/>
          </rPr>
          <t xml:space="preserve">Indicates the employee's occupation for superannuation insurance cover.
Maximum field size is 20 characters.
</t>
        </r>
      </text>
    </comment>
    <comment ref="AP1" authorId="0" shapeId="0">
      <text>
        <r>
          <rPr>
            <b/>
            <sz val="8"/>
            <rFont val="Calibri"/>
            <family val="2"/>
            <scheme val="minor"/>
          </rPr>
          <t xml:space="preserve">Employee Category - Optional
</t>
        </r>
        <r>
          <rPr>
            <sz val="8"/>
            <rFont val="Calibri"/>
            <family val="2"/>
            <scheme val="minor"/>
          </rPr>
          <t xml:space="preserve">Optional field which indicates the employee's employment category. Select one of the valid codes from the drop-down list provided:
A - Apprentice
C - Casual
J - Junior
P - Permanent
T - Part-time
U - Unknown
Maximum field size is 1 character.
</t>
        </r>
      </text>
    </comment>
    <comment ref="AQ1" authorId="0" shapeId="0">
      <text>
        <r>
          <rPr>
            <b/>
            <sz val="8"/>
            <rFont val="Calibri"/>
            <family val="2"/>
            <scheme val="minor"/>
          </rPr>
          <t xml:space="preserve">Category Effective Date - Optional
</t>
        </r>
        <r>
          <rPr>
            <sz val="8"/>
            <rFont val="Calibri"/>
            <family val="2"/>
            <scheme val="minor"/>
          </rPr>
          <t xml:space="preserve">Indicates the effective date for an employee category.
Maximum field size is 8 characters in the format DD/MM/YYYY.
</t>
        </r>
      </text>
    </comment>
    <comment ref="AR1" authorId="0" shapeId="0">
      <text>
        <r>
          <rPr>
            <b/>
            <sz val="8"/>
            <rFont val="Calibri"/>
            <family val="2"/>
            <scheme val="minor"/>
          </rPr>
          <t xml:space="preserve">Employee Status - Optional
</t>
        </r>
        <r>
          <rPr>
            <sz val="8"/>
            <rFont val="Calibri"/>
            <family val="2"/>
            <scheme val="minor"/>
          </rPr>
          <t xml:space="preserve">Indicates the current status of the employee.
The drop-down list provided contains the valid codes:
N - Normal
L - Leave
M - Maternity
R - Retired
U - Unknown
Maximum field size is 1 character.
</t>
        </r>
      </text>
    </comment>
    <comment ref="AT1" authorId="0" shapeId="0">
      <text>
        <r>
          <rPr>
            <b/>
            <sz val="8"/>
            <rFont val="Calibri"/>
            <family val="2"/>
            <scheme val="minor"/>
          </rPr>
          <t xml:space="preserve">Benefit Class - Optional
</t>
        </r>
        <r>
          <rPr>
            <sz val="8"/>
            <rFont val="Calibri"/>
            <family val="2"/>
            <scheme val="minor"/>
          </rPr>
          <t xml:space="preserve">Often required by superannuation fund administrators to determine how the member's benefits will be calculated on exiting the fund.
Maximum field size is 10 characters.
</t>
        </r>
      </text>
    </comment>
    <comment ref="AV1" authorId="0" shapeId="0">
      <text>
        <r>
          <rPr>
            <b/>
            <sz val="8"/>
            <rFont val="Calibri"/>
            <family val="2"/>
            <scheme val="minor"/>
          </rPr>
          <t xml:space="preserve">Service Fraction - Optional
</t>
        </r>
        <r>
          <rPr>
            <sz val="8"/>
            <rFont val="Calibri"/>
            <family val="2"/>
            <scheme val="minor"/>
          </rPr>
          <t xml:space="preserve">Indicates the employee's employment conditions expressed as a percentage, with 100 being full time and zero being casual with no specified hours.
Maximum field size is 3 characters.
</t>
        </r>
      </text>
    </comment>
    <comment ref="AW1" authorId="1" shapeId="0">
      <text>
        <r>
          <rPr>
            <sz val="8"/>
            <rFont val="Calibri"/>
            <family val="2"/>
            <scheme val="minor"/>
          </rPr>
          <t>For ADP Payroll Clients Only</t>
        </r>
      </text>
    </comment>
    <comment ref="AX1" authorId="1" shapeId="0">
      <text>
        <r>
          <rPr>
            <sz val="8"/>
            <rFont val="Calibri"/>
            <family val="2"/>
            <scheme val="minor"/>
          </rPr>
          <t xml:space="preserve">For ADP Payroll Clients Only
</t>
        </r>
      </text>
    </comment>
  </commentList>
</comments>
</file>

<file path=xl/connections.xml><?xml version="1.0" encoding="utf-8"?>
<connections xmlns="http://schemas.openxmlformats.org/spreadsheetml/2006/main">
  <connection id="1" name="BIOGRAPHICAL" type="6" refreshedVersion="0" deleted="1" background="1" saveData="1">
    <textPr prompt="0" sourceFile="H:\BIOGRAPHICAL.CSV">
      <textFields>
        <textField/>
      </textFields>
    </textPr>
  </connection>
  <connection id="2" name="BIOGRAPHICAL1" type="6" refreshedVersion="5" deleted="1" background="1" saveData="1">
    <textPr prompt="0" sourceFile="C:\Users\matthew.lee\Dropbox\Side Hussle\Python\Work In Progress\BIOGRAPHICAL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<sst xmlns="http://schemas.openxmlformats.org/spreadsheetml/2006/main" count="8788" uniqueCount="3000">
  <si>
    <t>IKSHITHA</t>
  </si>
  <si>
    <t>P900</t>
  </si>
  <si>
    <t>P902</t>
  </si>
  <si>
    <t>ABDELRAHMAN</t>
  </si>
  <si>
    <t>No</t>
  </si>
  <si>
    <t>VLAD</t>
  </si>
  <si>
    <t>AREZOO</t>
  </si>
  <si>
    <t>Deduction Id</t>
  </si>
  <si>
    <t>Location Id</t>
  </si>
  <si>
    <t>Employee Payroll Id</t>
  </si>
  <si>
    <t>Period Start Date</t>
  </si>
  <si>
    <t>Period End Date</t>
  </si>
  <si>
    <t>Member Id</t>
  </si>
  <si>
    <t>Standard Amount</t>
  </si>
  <si>
    <t>Employee Amount</t>
  </si>
  <si>
    <t xml:space="preserve">USI (Super) ABN (SMSF) </t>
  </si>
  <si>
    <t>No. of Pay Periods</t>
  </si>
  <si>
    <t>Pay Frequency</t>
  </si>
  <si>
    <t>Surname</t>
  </si>
  <si>
    <t>First Name</t>
  </si>
  <si>
    <t>Other Name</t>
  </si>
  <si>
    <t>Title</t>
  </si>
  <si>
    <t>Sex</t>
  </si>
  <si>
    <t>Birth Date</t>
  </si>
  <si>
    <t>Hire Date</t>
  </si>
  <si>
    <t>Date Joined Fund</t>
  </si>
  <si>
    <t>Term Date</t>
  </si>
  <si>
    <t>Term Reason</t>
  </si>
  <si>
    <t>Tax File Number</t>
  </si>
  <si>
    <t>Addr 1</t>
  </si>
  <si>
    <t>Addr 2</t>
  </si>
  <si>
    <t>Addr 3</t>
  </si>
  <si>
    <t>Suburb</t>
  </si>
  <si>
    <t>Post Code</t>
  </si>
  <si>
    <t>State</t>
  </si>
  <si>
    <t>Country</t>
  </si>
  <si>
    <t>Home Phone (inc STD Code)</t>
  </si>
  <si>
    <t>Work Phone (inc STD Code)</t>
  </si>
  <si>
    <t>Email</t>
  </si>
  <si>
    <t>Annual Salary</t>
  </si>
  <si>
    <t>Annual Salary Effective Date</t>
  </si>
  <si>
    <t>Superannuation Salary</t>
  </si>
  <si>
    <t>Superannuation Salary Effective Date</t>
  </si>
  <si>
    <t>Annual Package</t>
  </si>
  <si>
    <t>Annual  Package Effective Date</t>
  </si>
  <si>
    <t>Employment Status</t>
  </si>
  <si>
    <t>Occupation</t>
  </si>
  <si>
    <t>Employee Category</t>
  </si>
  <si>
    <t>Category Effective Date</t>
  </si>
  <si>
    <t>Employee Status</t>
  </si>
  <si>
    <t>Employee Variation Code</t>
  </si>
  <si>
    <t>Benefit Class</t>
  </si>
  <si>
    <t>Benefit Class Effective Date</t>
  </si>
  <si>
    <t>Service Fraction</t>
  </si>
  <si>
    <t>Employee Pay Point Code</t>
  </si>
  <si>
    <t>Employee Flag</t>
  </si>
  <si>
    <t>F</t>
  </si>
  <si>
    <t>Radha</t>
  </si>
  <si>
    <t>1457 NORTH ROAD</t>
  </si>
  <si>
    <t>CLAYTON</t>
  </si>
  <si>
    <t>VIC</t>
  </si>
  <si>
    <t>AU</t>
  </si>
  <si>
    <t>Name Check
 (Check with Column M &amp; N)</t>
  </si>
  <si>
    <t>Employee code</t>
  </si>
  <si>
    <t>Employee Name</t>
  </si>
  <si>
    <t>Given names</t>
  </si>
  <si>
    <t>Initials</t>
  </si>
  <si>
    <t>Preferred name</t>
  </si>
  <si>
    <t>Prev. surname</t>
  </si>
  <si>
    <t>No. and street</t>
  </si>
  <si>
    <t>Post code</t>
  </si>
  <si>
    <t>Country Code</t>
  </si>
  <si>
    <t>Phone no</t>
  </si>
  <si>
    <t>Pager no</t>
  </si>
  <si>
    <t>Home fax no</t>
  </si>
  <si>
    <t>Email bus</t>
  </si>
  <si>
    <t>Mobile no</t>
  </si>
  <si>
    <t>Email home</t>
  </si>
  <si>
    <t>Work no</t>
  </si>
  <si>
    <t>Extension</t>
  </si>
  <si>
    <t>Postal Country Code</t>
  </si>
  <si>
    <t>Marital status</t>
  </si>
  <si>
    <t>Marital Status Description</t>
  </si>
  <si>
    <t>Date of birth</t>
  </si>
  <si>
    <t>Age</t>
  </si>
  <si>
    <t>Place of birth</t>
  </si>
  <si>
    <t>Birth Place Description</t>
  </si>
  <si>
    <t>Date hired</t>
  </si>
  <si>
    <t>Service</t>
  </si>
  <si>
    <t>ETP service start date</t>
  </si>
  <si>
    <t>Employee pin</t>
  </si>
  <si>
    <t>Document Name</t>
  </si>
  <si>
    <t>Link</t>
  </si>
  <si>
    <t>Employee Self Service User</t>
  </si>
  <si>
    <t>Dual manager approval</t>
  </si>
  <si>
    <t>Variable hours</t>
  </si>
  <si>
    <t>Disable ESS leave</t>
  </si>
  <si>
    <t>Term Rsn</t>
  </si>
  <si>
    <t>Termination Reason</t>
  </si>
  <si>
    <t>Age at term</t>
  </si>
  <si>
    <t>Service at term</t>
  </si>
  <si>
    <t>ADP RealTime</t>
  </si>
  <si>
    <t>Disable auto Public Hol</t>
  </si>
  <si>
    <t>ECCLES, LINDA MRS</t>
  </si>
  <si>
    <t>Eccles</t>
  </si>
  <si>
    <t>LINDA</t>
  </si>
  <si>
    <t>MRS</t>
  </si>
  <si>
    <t>L.</t>
  </si>
  <si>
    <t>59 NATHAN STREET</t>
  </si>
  <si>
    <t>FERNTREE GULLY</t>
  </si>
  <si>
    <t>Australia</t>
  </si>
  <si>
    <t>03 9758 4994</t>
  </si>
  <si>
    <t>LINDA.ECCLES@MXNS.COM</t>
  </si>
  <si>
    <t>Yes</t>
  </si>
  <si>
    <t>R</t>
  </si>
  <si>
    <t>Resigned</t>
  </si>
  <si>
    <t>BEGUM, SELINA MRS</t>
  </si>
  <si>
    <t>Begum</t>
  </si>
  <si>
    <t>SELINA</t>
  </si>
  <si>
    <t>S.</t>
  </si>
  <si>
    <t>19 KOALA ROAD</t>
  </si>
  <si>
    <t>GREENACRE</t>
  </si>
  <si>
    <t>NSW</t>
  </si>
  <si>
    <t>02 97407585</t>
  </si>
  <si>
    <t>SELINA.BEGUM@MXNS.COM</t>
  </si>
  <si>
    <t>BEGUMS@OPTUSNET.COM.AU</t>
  </si>
  <si>
    <t>BOATWRIGHT, ANNA MRS</t>
  </si>
  <si>
    <t>Boatwright</t>
  </si>
  <si>
    <t>ANNA</t>
  </si>
  <si>
    <t>A.</t>
  </si>
  <si>
    <t>20 KYLIE CRESCENT</t>
  </si>
  <si>
    <t>WEST PENNANT HILLS</t>
  </si>
  <si>
    <t>02 9873 5546</t>
  </si>
  <si>
    <t>ANNA.BOATWRIGHT@MXNS.COM</t>
  </si>
  <si>
    <t>0411 620 525</t>
  </si>
  <si>
    <t>THEBOATWRIGHTS@BIGPOND.COM</t>
  </si>
  <si>
    <t>CHRISTIE, Christine MS</t>
  </si>
  <si>
    <t>Christie</t>
  </si>
  <si>
    <t>Christine</t>
  </si>
  <si>
    <t>MS</t>
  </si>
  <si>
    <t>C.</t>
  </si>
  <si>
    <t>31 Aminya Crescent</t>
  </si>
  <si>
    <t>Bradbury</t>
  </si>
  <si>
    <t>02 46257704</t>
  </si>
  <si>
    <t>christine.christie@mxns.com</t>
  </si>
  <si>
    <t>DENCH, MATTHEW MR</t>
  </si>
  <si>
    <t>Dench</t>
  </si>
  <si>
    <t>MATTHEW</t>
  </si>
  <si>
    <t>MR</t>
  </si>
  <si>
    <t>M.R.</t>
  </si>
  <si>
    <t>13 DILLWYNIA AV</t>
  </si>
  <si>
    <t>TEMPLESTOWE LOWER</t>
  </si>
  <si>
    <t>MATTHEW.DENCH@MXNS.COM</t>
  </si>
  <si>
    <t>M</t>
  </si>
  <si>
    <t>REABURN</t>
  </si>
  <si>
    <t>DICKS, Shane MR</t>
  </si>
  <si>
    <t>Dicks</t>
  </si>
  <si>
    <t>Shane</t>
  </si>
  <si>
    <t>6 Sanctuary crt</t>
  </si>
  <si>
    <t>Diamond Creek</t>
  </si>
  <si>
    <t>shane.dicks@mxns.com</t>
  </si>
  <si>
    <t>FREEMAN, CAROL MS</t>
  </si>
  <si>
    <t>Freeman</t>
  </si>
  <si>
    <t>CAROL</t>
  </si>
  <si>
    <t>C.M.</t>
  </si>
  <si>
    <t>10 CORDOVA COURT</t>
  </si>
  <si>
    <t>NORTH DANDENONG</t>
  </si>
  <si>
    <t>03 97010730</t>
  </si>
  <si>
    <t>CAROL.FREEMAN@MXNS.COM</t>
  </si>
  <si>
    <t>MAREE</t>
  </si>
  <si>
    <t>HAM, Solinda MS</t>
  </si>
  <si>
    <t>Ham</t>
  </si>
  <si>
    <t>Solinda</t>
  </si>
  <si>
    <t>43 Charter Street</t>
  </si>
  <si>
    <t>Sadleir</t>
  </si>
  <si>
    <t>02 97208498</t>
  </si>
  <si>
    <t>solinda.ham@mxns.com</t>
  </si>
  <si>
    <t>HUNT, Heather MRS</t>
  </si>
  <si>
    <t>Hunt</t>
  </si>
  <si>
    <t>Heather</t>
  </si>
  <si>
    <t>H.E.</t>
  </si>
  <si>
    <t>PO Box 383</t>
  </si>
  <si>
    <t>Bulleen</t>
  </si>
  <si>
    <t>03 98465489</t>
  </si>
  <si>
    <t>heather.hunt@mxns.com</t>
  </si>
  <si>
    <t>B</t>
  </si>
  <si>
    <t>Redundancy</t>
  </si>
  <si>
    <t>Edith</t>
  </si>
  <si>
    <t>JAY, Lawrence MR</t>
  </si>
  <si>
    <t>Jay</t>
  </si>
  <si>
    <t>Lawrence</t>
  </si>
  <si>
    <t>L.S.</t>
  </si>
  <si>
    <t>6 Laurel Grove North</t>
  </si>
  <si>
    <t>Blackburn</t>
  </si>
  <si>
    <t>03 98788799</t>
  </si>
  <si>
    <t>stephen.jay@mxns.com</t>
  </si>
  <si>
    <t>0419 875 949</t>
  </si>
  <si>
    <t>Stephen</t>
  </si>
  <si>
    <t>JOKATAMA, Talei MS</t>
  </si>
  <si>
    <t>Jokatama</t>
  </si>
  <si>
    <t>Talei</t>
  </si>
  <si>
    <t>T.S.</t>
  </si>
  <si>
    <t>7 Cox Place</t>
  </si>
  <si>
    <t>Ingleburn</t>
  </si>
  <si>
    <t>sikiti.jokatama@mxns.com</t>
  </si>
  <si>
    <t>Sikiti</t>
  </si>
  <si>
    <t>LIM, David MR</t>
  </si>
  <si>
    <t>Lim</t>
  </si>
  <si>
    <t>David</t>
  </si>
  <si>
    <t>D.T.</t>
  </si>
  <si>
    <t>28 Chappell Drive</t>
  </si>
  <si>
    <t>Wantirna South</t>
  </si>
  <si>
    <t>david.lim@mxns.com</t>
  </si>
  <si>
    <t>Teik Yong</t>
  </si>
  <si>
    <t>LORMAN, Trevor DR</t>
  </si>
  <si>
    <t>Lorman</t>
  </si>
  <si>
    <t>Trevor</t>
  </si>
  <si>
    <t>DR</t>
  </si>
  <si>
    <t>T.H.</t>
  </si>
  <si>
    <t>60 Hobans Court</t>
  </si>
  <si>
    <t>Doreen</t>
  </si>
  <si>
    <t>trevor.lorman@mxns.com</t>
  </si>
  <si>
    <t>0439 772 734</t>
  </si>
  <si>
    <t>trevor.lorman@yahoo.com</t>
  </si>
  <si>
    <t>Howard</t>
  </si>
  <si>
    <t>LARKIN, CORALIE MRS</t>
  </si>
  <si>
    <t>Larkin</t>
  </si>
  <si>
    <t>CORALIE</t>
  </si>
  <si>
    <t>C.S.</t>
  </si>
  <si>
    <t>1/50 WILMA AVE</t>
  </si>
  <si>
    <t>MULGRAVE</t>
  </si>
  <si>
    <t>03 9512 3455</t>
  </si>
  <si>
    <t>CORALIE.LARKIN@MXNS.COM</t>
  </si>
  <si>
    <t>CORALIEMADDEN@HOTMAIL.COM</t>
  </si>
  <si>
    <t>SUZANNE</t>
  </si>
  <si>
    <t>MOORE, SALOTE MS</t>
  </si>
  <si>
    <t>Moore</t>
  </si>
  <si>
    <t>SALOTE</t>
  </si>
  <si>
    <t>4 FIORENTE STREET</t>
  </si>
  <si>
    <t>KALLANGUR</t>
  </si>
  <si>
    <t>QLD</t>
  </si>
  <si>
    <t>SALOTE.MOORE@MXNS.COM</t>
  </si>
  <si>
    <t>0422 373 264</t>
  </si>
  <si>
    <t>SALKASEY@YAHOO.COM</t>
  </si>
  <si>
    <t>PASSIANO, Kelly-Anne MRS</t>
  </si>
  <si>
    <t>Passiano</t>
  </si>
  <si>
    <t>Kelly-Anne</t>
  </si>
  <si>
    <t>K.</t>
  </si>
  <si>
    <t>8 Stawell Street</t>
  </si>
  <si>
    <t>Ropes Crossing</t>
  </si>
  <si>
    <t>kelly-anne.nunes@mxns.com</t>
  </si>
  <si>
    <t>0416 013 934</t>
  </si>
  <si>
    <t>RATTLE, ROSE MRS</t>
  </si>
  <si>
    <t>Rattle</t>
  </si>
  <si>
    <t>ROSA</t>
  </si>
  <si>
    <t>R.M.</t>
  </si>
  <si>
    <t>ROSE</t>
  </si>
  <si>
    <t>34 PITFIELD CRESCENT</t>
  </si>
  <si>
    <t>ROWVILLE</t>
  </si>
  <si>
    <t>03 97640725</t>
  </si>
  <si>
    <t>ROSA.RATTLE@MXNS.COM</t>
  </si>
  <si>
    <t>ROSE38_7@HOTMAIL.COM</t>
  </si>
  <si>
    <t>MARIE</t>
  </si>
  <si>
    <t>SAAD, KAREN MS</t>
  </si>
  <si>
    <t>Saad</t>
  </si>
  <si>
    <t>KAREN</t>
  </si>
  <si>
    <t>52 BURWOOD ROAD</t>
  </si>
  <si>
    <t>BELLFIELD</t>
  </si>
  <si>
    <t>02 96424752</t>
  </si>
  <si>
    <t>KAREN.SAAD@MXNS.COM</t>
  </si>
  <si>
    <t>OTH</t>
  </si>
  <si>
    <t>SCHOLZ, ERAN MR</t>
  </si>
  <si>
    <t>Scholz</t>
  </si>
  <si>
    <t>ERAN</t>
  </si>
  <si>
    <t>E.</t>
  </si>
  <si>
    <t>C110/1 PEARL STREET</t>
  </si>
  <si>
    <t>ERSKINEVILLE</t>
  </si>
  <si>
    <t>ERAN.SCHOLZ@MXNS.COM</t>
  </si>
  <si>
    <t>SKIPPER, MELINDA MS</t>
  </si>
  <si>
    <t>Skipper</t>
  </si>
  <si>
    <t>MELINDA</t>
  </si>
  <si>
    <t>M.K.</t>
  </si>
  <si>
    <t>55 SHERIDAN COURT</t>
  </si>
  <si>
    <t>BEVERIDGE</t>
  </si>
  <si>
    <t>MELINDA.SKIPPER@MXNS.COM</t>
  </si>
  <si>
    <t>KATE</t>
  </si>
  <si>
    <t>STILLITANO, SUE MRS</t>
  </si>
  <si>
    <t>Stillitano</t>
  </si>
  <si>
    <t>ASSUNTA</t>
  </si>
  <si>
    <t>A.S.</t>
  </si>
  <si>
    <t>SUE</t>
  </si>
  <si>
    <t>268 CRAWFORD ROAD</t>
  </si>
  <si>
    <t>INGLEWOOD</t>
  </si>
  <si>
    <t>WA</t>
  </si>
  <si>
    <t>08 93704983</t>
  </si>
  <si>
    <t>ASSUNTA.STILLITANO@MXNS.COM</t>
  </si>
  <si>
    <t>JOSEPH657@ARACH.NET.AU</t>
  </si>
  <si>
    <t>VERWOERT, Clint MR</t>
  </si>
  <si>
    <t>Verwoert</t>
  </si>
  <si>
    <t>Clint</t>
  </si>
  <si>
    <t>C.D.</t>
  </si>
  <si>
    <t>35 Snowdon Drive</t>
  </si>
  <si>
    <t>Cheltenham</t>
  </si>
  <si>
    <t>03 95853225</t>
  </si>
  <si>
    <t>clint.verwoert@mxns.com</t>
  </si>
  <si>
    <t>Daniel</t>
  </si>
  <si>
    <t>KULKARNI, Geetanjali MRS</t>
  </si>
  <si>
    <t>Kulkarni</t>
  </si>
  <si>
    <t>Geeta</t>
  </si>
  <si>
    <t>G.</t>
  </si>
  <si>
    <t>Geetanjali</t>
  </si>
  <si>
    <t>43 Knights Drive</t>
  </si>
  <si>
    <t>Glen Waverley</t>
  </si>
  <si>
    <t>03 98861591</t>
  </si>
  <si>
    <t>geeta.kulkarni@mxns.com</t>
  </si>
  <si>
    <t>geetupen@gmail.com</t>
  </si>
  <si>
    <t>TURCULEANU, JENI MRS</t>
  </si>
  <si>
    <t>Turculeanu</t>
  </si>
  <si>
    <t>GEORGETA</t>
  </si>
  <si>
    <t>JENI</t>
  </si>
  <si>
    <t>20 LYELL WALK</t>
  </si>
  <si>
    <t>FOREST HILL</t>
  </si>
  <si>
    <t>JENI.TURCULEANU@MXNS.COM</t>
  </si>
  <si>
    <t>GENITURCULEANU@GMAIL.COM</t>
  </si>
  <si>
    <t>CREMONESI, BRUCE MR</t>
  </si>
  <si>
    <t>Cremonesi</t>
  </si>
  <si>
    <t>BRUCE</t>
  </si>
  <si>
    <t>B.</t>
  </si>
  <si>
    <t>12 HARPENDEN TERRACE</t>
  </si>
  <si>
    <t>CRANBOURNE</t>
  </si>
  <si>
    <t>BRUCE.CREMONESI@MXNS.COM</t>
  </si>
  <si>
    <t>AVERY, ROSA MRS</t>
  </si>
  <si>
    <t>Avery</t>
  </si>
  <si>
    <t>R.</t>
  </si>
  <si>
    <t>16 BIRCHWOOD AVENUE</t>
  </si>
  <si>
    <t>LOWER TEMPLESTOWE</t>
  </si>
  <si>
    <t>ROSA.AVERY@MXNS.COM</t>
  </si>
  <si>
    <t>0421 084 510</t>
  </si>
  <si>
    <t>CHIARAROSE@HOTMAIL.COM</t>
  </si>
  <si>
    <t>MARKOSKA, KATERINA MRS</t>
  </si>
  <si>
    <t>Markoska</t>
  </si>
  <si>
    <t>KATERINA</t>
  </si>
  <si>
    <t>23 CONSTANTINE WAY</t>
  </si>
  <si>
    <t>MARANGAROO</t>
  </si>
  <si>
    <t>KATERINA.MARKOSKA@MXNS.COM</t>
  </si>
  <si>
    <t>MARKOSKA_KTRN@YAHOO.COM.AU</t>
  </si>
  <si>
    <t>LEE, Charles MR</t>
  </si>
  <si>
    <t>Lee</t>
  </si>
  <si>
    <t>Charles Vui Kui</t>
  </si>
  <si>
    <t>Charles</t>
  </si>
  <si>
    <t>738 Jenolan Caves Rd</t>
  </si>
  <si>
    <t>Good Forest</t>
  </si>
  <si>
    <t>0419 276 237</t>
  </si>
  <si>
    <t>charles.lee@mxns.com</t>
  </si>
  <si>
    <t>leecvk@gmail.com</t>
  </si>
  <si>
    <t>STAMATOVA, ZORICA MRS</t>
  </si>
  <si>
    <t>Stamatova</t>
  </si>
  <si>
    <t>ZORICA</t>
  </si>
  <si>
    <t>Z.</t>
  </si>
  <si>
    <t>5/75 BENT STREET</t>
  </si>
  <si>
    <t>MOONEE PONDS</t>
  </si>
  <si>
    <t>03 9370 0463</t>
  </si>
  <si>
    <t>ZORICA.STAMATOVA@MXNS.COM</t>
  </si>
  <si>
    <t>0448 329 179</t>
  </si>
  <si>
    <t>ZORICA79@YAHOO.COM</t>
  </si>
  <si>
    <t>FAHMY, MAHMOUD MR</t>
  </si>
  <si>
    <t>Fahmy</t>
  </si>
  <si>
    <t>MAHMOUD</t>
  </si>
  <si>
    <t>M.</t>
  </si>
  <si>
    <t>1/36A GOONAROI STREET VILLAWOOD</t>
  </si>
  <si>
    <t>VILLAWOOD</t>
  </si>
  <si>
    <t>MAHMOUD.FAHMY@MXNS.COM</t>
  </si>
  <si>
    <t>TAMER-FAHMY1@HOTMAIL.COM</t>
  </si>
  <si>
    <t>DEROOY, Lauren MISS</t>
  </si>
  <si>
    <t>Derooy</t>
  </si>
  <si>
    <t>Lauren</t>
  </si>
  <si>
    <t>MISS</t>
  </si>
  <si>
    <t>L.M.</t>
  </si>
  <si>
    <t>99 Charles Rd</t>
  </si>
  <si>
    <t>Lilydale</t>
  </si>
  <si>
    <t>N/A</t>
  </si>
  <si>
    <t>lauren.derooy@mxns.com</t>
  </si>
  <si>
    <t>0400 545 133</t>
  </si>
  <si>
    <t>laurenderooy@gmail.com</t>
  </si>
  <si>
    <t>Michelle</t>
  </si>
  <si>
    <t>ANDREWS, CHRISTOPHER MR</t>
  </si>
  <si>
    <t>Andrews</t>
  </si>
  <si>
    <t>CHRISTOPHER</t>
  </si>
  <si>
    <t>C.P.</t>
  </si>
  <si>
    <t>2/66 BLACKBURN ROAD</t>
  </si>
  <si>
    <t>BLACKBURN</t>
  </si>
  <si>
    <t>03 9874 4189</t>
  </si>
  <si>
    <t>CHRISTOPHER.ANDREWS@MXNS.COM</t>
  </si>
  <si>
    <t>0419 097 897</t>
  </si>
  <si>
    <t>PETER</t>
  </si>
  <si>
    <t>TRIFON, MARIA MS</t>
  </si>
  <si>
    <t>Trifon</t>
  </si>
  <si>
    <t>MARIA</t>
  </si>
  <si>
    <t>20 SIMPSON DRIVE</t>
  </si>
  <si>
    <t>DANDENONG NORTH</t>
  </si>
  <si>
    <t>MARIA.TRIFON@MXNS.COM</t>
  </si>
  <si>
    <t>PARK, HEATHER MRS</t>
  </si>
  <si>
    <t>Park</t>
  </si>
  <si>
    <t>HYO SUN</t>
  </si>
  <si>
    <t>H.</t>
  </si>
  <si>
    <t>HEATHER</t>
  </si>
  <si>
    <t>37 LOUGHNAN ROAD</t>
  </si>
  <si>
    <t>RINGWOOD</t>
  </si>
  <si>
    <t>HEATHER.PARK@MXNS.COM</t>
  </si>
  <si>
    <t>0433 327 402</t>
  </si>
  <si>
    <t>ANDERSON, BELINDA MISS</t>
  </si>
  <si>
    <t>Anderson</t>
  </si>
  <si>
    <t>BELINDA</t>
  </si>
  <si>
    <t>B.A.</t>
  </si>
  <si>
    <t>3 JANETTE PLACE</t>
  </si>
  <si>
    <t>OAKDALE</t>
  </si>
  <si>
    <t>BELINDA.ANDERSON@MXNS.COM</t>
  </si>
  <si>
    <t>0421 30 30 92</t>
  </si>
  <si>
    <t>ALISON</t>
  </si>
  <si>
    <t>REGMI-ADHIKARI, MONIKA MRS</t>
  </si>
  <si>
    <t>Regmi-Adhikari</t>
  </si>
  <si>
    <t>MONIKA</t>
  </si>
  <si>
    <t>UNIT 7 16 NORTHCOTE STREET</t>
  </si>
  <si>
    <t>CANTERBURY</t>
  </si>
  <si>
    <t>MONIKA.ADHIKARI@MXNS.COM</t>
  </si>
  <si>
    <t>MONIKAREGMIADHIKARI@GMAIL.COM</t>
  </si>
  <si>
    <t>RAJ, BHAWANA MRS</t>
  </si>
  <si>
    <t>Raj</t>
  </si>
  <si>
    <t>BHAWANA</t>
  </si>
  <si>
    <t>B.V.</t>
  </si>
  <si>
    <t>18 GILRUTH AVENUE</t>
  </si>
  <si>
    <t>MIDDLETON GARANGE</t>
  </si>
  <si>
    <t>BHAWANA.RAJ@MXNS.COM</t>
  </si>
  <si>
    <t>VARTARAJS@HOTMAIL.COM</t>
  </si>
  <si>
    <t>VARTA</t>
  </si>
  <si>
    <t>PATEL, ANAL MRS</t>
  </si>
  <si>
    <t>Patel</t>
  </si>
  <si>
    <t>ANAL</t>
  </si>
  <si>
    <t>33 PETER STREET</t>
  </si>
  <si>
    <t>BLACKTOWN</t>
  </si>
  <si>
    <t>ANAL.PATEL@MXNS.COM</t>
  </si>
  <si>
    <t>ANAL_SANDEEP@YAHOO.COM</t>
  </si>
  <si>
    <t>SANDIPBHAI</t>
  </si>
  <si>
    <t>FONG, LAWRENCE MR</t>
  </si>
  <si>
    <t>Fong</t>
  </si>
  <si>
    <t>SOO LIANG</t>
  </si>
  <si>
    <t>S.L.</t>
  </si>
  <si>
    <t>LAWRENCE</t>
  </si>
  <si>
    <t>131 VINCENT ROAD</t>
  </si>
  <si>
    <t>SINAGRA</t>
  </si>
  <si>
    <t>LAWRENCE.FONG@MXNS.COM</t>
  </si>
  <si>
    <t>SEKULOVSKI, Silvana MRS</t>
  </si>
  <si>
    <t>Sekulovski</t>
  </si>
  <si>
    <t>Silvana</t>
  </si>
  <si>
    <t>71 Grenda Dr</t>
  </si>
  <si>
    <t>Mill Park</t>
  </si>
  <si>
    <t>silvana.miteva@mxns.com</t>
  </si>
  <si>
    <t>s2miteva@hotmail.com</t>
  </si>
  <si>
    <t>TU, Qing MS</t>
  </si>
  <si>
    <t>Tu</t>
  </si>
  <si>
    <t>Qing</t>
  </si>
  <si>
    <t>Q.</t>
  </si>
  <si>
    <t>Unit 2 / 10-12 Wright Street</t>
  </si>
  <si>
    <t>Hurstville</t>
  </si>
  <si>
    <t>02 95800886</t>
  </si>
  <si>
    <t>qing.tu@mxns.com</t>
  </si>
  <si>
    <t>shi_yaya@163.com</t>
  </si>
  <si>
    <t>HADAGINAMAKKI, SHILPA MRS</t>
  </si>
  <si>
    <t>Hadaginamakki</t>
  </si>
  <si>
    <t>SHILPA</t>
  </si>
  <si>
    <t>S.R.</t>
  </si>
  <si>
    <t>78 LEDA BLVD</t>
  </si>
  <si>
    <t>WELLARD</t>
  </si>
  <si>
    <t>SHILPA.HADAGINAMAKKI@MXNS.COM</t>
  </si>
  <si>
    <t>SHILPARAGHU1985@YAHOO.COM</t>
  </si>
  <si>
    <t>RAGHAVENDRA</t>
  </si>
  <si>
    <t>EVANS, LUCY MISS</t>
  </si>
  <si>
    <t>Evans</t>
  </si>
  <si>
    <t>LUCY</t>
  </si>
  <si>
    <t>L.J.</t>
  </si>
  <si>
    <t>UNIT 2, 121 STONEHAM STREET</t>
  </si>
  <si>
    <t>TUART HILL</t>
  </si>
  <si>
    <t>LUCY.EVANS@MXNS.COM</t>
  </si>
  <si>
    <t>LUCYJEVANS19@GMAIL.COM</t>
  </si>
  <si>
    <t>JANE</t>
  </si>
  <si>
    <t>MACKAY, LEANNE MS</t>
  </si>
  <si>
    <t>Mackay</t>
  </si>
  <si>
    <t>LEANNE</t>
  </si>
  <si>
    <t>L.N.</t>
  </si>
  <si>
    <t>22 CARLINGA DRIVE</t>
  </si>
  <si>
    <t>VERMONT</t>
  </si>
  <si>
    <t>LEANNE.MACKAY@MXNS.COM</t>
  </si>
  <si>
    <t>LMACKAY@BIGPOND.NET.AU</t>
  </si>
  <si>
    <t>NORA</t>
  </si>
  <si>
    <t>KESHARI, ANITA MRS</t>
  </si>
  <si>
    <t>Keshari</t>
  </si>
  <si>
    <t>Anita</t>
  </si>
  <si>
    <t>A.A.</t>
  </si>
  <si>
    <t>ANITA</t>
  </si>
  <si>
    <t>96 LORD SHEFFIELD CIRCUIT</t>
  </si>
  <si>
    <t>PENRITH</t>
  </si>
  <si>
    <t>ANITA.KESHARI@MXNS.COM</t>
  </si>
  <si>
    <t>KESHARI_ANITA@YAHOO.COM.AU</t>
  </si>
  <si>
    <t>Amar</t>
  </si>
  <si>
    <t>BHUIYAN, SADIA MISS</t>
  </si>
  <si>
    <t>Bhuiyan</t>
  </si>
  <si>
    <t>SADIA</t>
  </si>
  <si>
    <t>S.T.</t>
  </si>
  <si>
    <t>16 CHAPPELL RETURN</t>
  </si>
  <si>
    <t>MEADOW HEIGHTS</t>
  </si>
  <si>
    <t>SADIA.BHUIYAN@MXNS.COM</t>
  </si>
  <si>
    <t>TASNEEM</t>
  </si>
  <si>
    <t>LO BIANCO, MARISA MRS</t>
  </si>
  <si>
    <t>Lo Bianco</t>
  </si>
  <si>
    <t>MARISA</t>
  </si>
  <si>
    <t>13 BRIDGE STREET</t>
  </si>
  <si>
    <t>HAMPTON</t>
  </si>
  <si>
    <t>MARISA.LOBIANCO@MXNS.COM</t>
  </si>
  <si>
    <t>DHILLON, TANDEEP MRS</t>
  </si>
  <si>
    <t>Dhillon</t>
  </si>
  <si>
    <t>TANDEEP</t>
  </si>
  <si>
    <t>T.</t>
  </si>
  <si>
    <t>36 DIAMOND HILL CIRCUIT</t>
  </si>
  <si>
    <t>EDMONDSON PARK</t>
  </si>
  <si>
    <t>TANDEEP.DHILLON@MXNS.COM</t>
  </si>
  <si>
    <t>TANDEEPDHILLON@HOTMAIL.COM</t>
  </si>
  <si>
    <t>CHEN, SOK KIAN MS</t>
  </si>
  <si>
    <t>Chen</t>
  </si>
  <si>
    <t>SOK KIAN</t>
  </si>
  <si>
    <t>33 MACKELLAR AVENUE</t>
  </si>
  <si>
    <t>WHEELERS HILL</t>
  </si>
  <si>
    <t>CHRISTINA.CHEN@MXNS.COM</t>
  </si>
  <si>
    <t>PATEL, VIPUL MR</t>
  </si>
  <si>
    <t>VIPUL BHAI</t>
  </si>
  <si>
    <t>V.P.</t>
  </si>
  <si>
    <t>VIPUL</t>
  </si>
  <si>
    <t>U 8/ 36 - 38 ISABELLA STREET</t>
  </si>
  <si>
    <t>NORTH PARRAMATTA</t>
  </si>
  <si>
    <t>02-86266956</t>
  </si>
  <si>
    <t>VIPUL.PATEL@MXNS.COM</t>
  </si>
  <si>
    <t>VIPULKERNIKA@GMAIL.COM</t>
  </si>
  <si>
    <t>PARSOTTAM</t>
  </si>
  <si>
    <t>ROY, JISHA MRS</t>
  </si>
  <si>
    <t>Roy</t>
  </si>
  <si>
    <t>JISHA</t>
  </si>
  <si>
    <t>J.</t>
  </si>
  <si>
    <t>2 MOTT PLACE</t>
  </si>
  <si>
    <t>BULLCREEK</t>
  </si>
  <si>
    <t>JISHA.ROY@MXNS.COM</t>
  </si>
  <si>
    <t>JISHA80@GMAIL.COM</t>
  </si>
  <si>
    <t xml:space="preserve">2 MOTT PLACE </t>
  </si>
  <si>
    <t>BULL CREEK</t>
  </si>
  <si>
    <t>CHEDID, Zahia MRS</t>
  </si>
  <si>
    <t>Chedid</t>
  </si>
  <si>
    <t>Zahia</t>
  </si>
  <si>
    <t>1A Doust St</t>
  </si>
  <si>
    <t>Bass Hill</t>
  </si>
  <si>
    <t>zahia.chedid@mxns.com</t>
  </si>
  <si>
    <t>zahia.chedid@hotmail.com</t>
  </si>
  <si>
    <t>BAGH, Mona MISS</t>
  </si>
  <si>
    <t>Bagh</t>
  </si>
  <si>
    <t>Monalisa</t>
  </si>
  <si>
    <t>Mona</t>
  </si>
  <si>
    <t>5/ 60 Sharps Rd</t>
  </si>
  <si>
    <t>Tullamarine</t>
  </si>
  <si>
    <t>monalisagw@yahoo.com</t>
  </si>
  <si>
    <t>WU, JUN MRS</t>
  </si>
  <si>
    <t>Wu</t>
  </si>
  <si>
    <t>JUN</t>
  </si>
  <si>
    <t>5 HAZEL PLACE</t>
  </si>
  <si>
    <t>INGLEBURN</t>
  </si>
  <si>
    <t>02-96057108</t>
  </si>
  <si>
    <t>JUN.WU@MXNS.COM</t>
  </si>
  <si>
    <t>JUNWU_LIPA@HOTMAIL.COM</t>
  </si>
  <si>
    <t>BOGAHAPITIYA, PRASANGA MRS</t>
  </si>
  <si>
    <t>Bogahapitiya</t>
  </si>
  <si>
    <t>PRASANGA</t>
  </si>
  <si>
    <t>P.D.</t>
  </si>
  <si>
    <t>35 DULLAI AVENUE</t>
  </si>
  <si>
    <t>PEMULWAY</t>
  </si>
  <si>
    <t>PRASANGA.BOGAHAPITIYA@MXNS.COM</t>
  </si>
  <si>
    <t>PRASANGADB@YAHOO.COM</t>
  </si>
  <si>
    <t>DILRUKSHI</t>
  </si>
  <si>
    <t>MARAKHA, Kloudia MISS</t>
  </si>
  <si>
    <t>Marakha</t>
  </si>
  <si>
    <t>Kloudia</t>
  </si>
  <si>
    <t>98 Quarry Rd</t>
  </si>
  <si>
    <t>Bossley Park</t>
  </si>
  <si>
    <t>kloudia.marakha@mxns.com</t>
  </si>
  <si>
    <t>kloudia.marakha@gmail.com</t>
  </si>
  <si>
    <t>MAMALICOS, Angela MISS</t>
  </si>
  <si>
    <t>Mamalicos</t>
  </si>
  <si>
    <t>Angela</t>
  </si>
  <si>
    <t>112 Staples St</t>
  </si>
  <si>
    <t>Kingsgrove</t>
  </si>
  <si>
    <t>angela.mamalicos@mxns.com</t>
  </si>
  <si>
    <t>angela.mamalicos@gmail.com</t>
  </si>
  <si>
    <t>PAXMAN, JEFFREY MR</t>
  </si>
  <si>
    <t>Paxman</t>
  </si>
  <si>
    <t>JEFFREY</t>
  </si>
  <si>
    <t>J.D.</t>
  </si>
  <si>
    <t>14 JORWOOD DRIVE</t>
  </si>
  <si>
    <t>VERMONT SOUTH</t>
  </si>
  <si>
    <t>JEFFREY.PAXMAN@MXNS.COM</t>
  </si>
  <si>
    <t>JOFFIE_69@HOTMAIL.COM</t>
  </si>
  <si>
    <t>DALE</t>
  </si>
  <si>
    <t>SUNDARA RAJAN, KALAI SELVI MRS</t>
  </si>
  <si>
    <t>Sundara Rajan</t>
  </si>
  <si>
    <t>KALAI SELVI</t>
  </si>
  <si>
    <t>93 HEATHER GROVE</t>
  </si>
  <si>
    <t>CLYDE NTH</t>
  </si>
  <si>
    <t>KALAI.SUNDARA@MXNS.COM</t>
  </si>
  <si>
    <t>KALAI.SUNDARA@GMAIL.COM</t>
  </si>
  <si>
    <t>PATEL, ANITA MRS</t>
  </si>
  <si>
    <t>96BULLI ROAD</t>
  </si>
  <si>
    <t>OLD TOONGABBIE</t>
  </si>
  <si>
    <t>ANITA.PATEL@MXNS.COM</t>
  </si>
  <si>
    <t>6984ANIPATEL@GMAIL.COM</t>
  </si>
  <si>
    <t>JACKSON, ASHLEE MISS</t>
  </si>
  <si>
    <t>Jackson</t>
  </si>
  <si>
    <t>ASHLEE</t>
  </si>
  <si>
    <t>38 WARRAMUNGA RD</t>
  </si>
  <si>
    <t>BUNDOORA</t>
  </si>
  <si>
    <t>ASHLEE.JACKSON@MXNS.COM</t>
  </si>
  <si>
    <t>A.R.JACKSON@HOTMAIL.COM</t>
  </si>
  <si>
    <t>MAKRIS, MELISSA MRS</t>
  </si>
  <si>
    <t>Makris</t>
  </si>
  <si>
    <t>MELISSA</t>
  </si>
  <si>
    <t>13 MAROONG DRIVE</t>
  </si>
  <si>
    <t>RESEARCH</t>
  </si>
  <si>
    <t>MELISSA.MAKRIS@MXNS.COM</t>
  </si>
  <si>
    <t>MELISSAJMAKRIS@GMAIL.COM</t>
  </si>
  <si>
    <t>CHANDRA, SHARON MRS</t>
  </si>
  <si>
    <t>Chandra</t>
  </si>
  <si>
    <t>SHARON</t>
  </si>
  <si>
    <t>S.J.</t>
  </si>
  <si>
    <t>81 VENEZIA ST</t>
  </si>
  <si>
    <t>PRESTONS</t>
  </si>
  <si>
    <t>SHARON.CHANDRA@MXNS.COM</t>
  </si>
  <si>
    <t>RAINTAX23@YAHOO.COM</t>
  </si>
  <si>
    <t>JYOTIKA</t>
  </si>
  <si>
    <t>SIA, FWU PERNG MISS</t>
  </si>
  <si>
    <t>Sia</t>
  </si>
  <si>
    <t>Fwu Perng</t>
  </si>
  <si>
    <t>F.</t>
  </si>
  <si>
    <t>FWU PERNG</t>
  </si>
  <si>
    <t>2/34 WARNES ROAD</t>
  </si>
  <si>
    <t>MITCHAM</t>
  </si>
  <si>
    <t>fwuperng.sia@mxns.com</t>
  </si>
  <si>
    <t>MOORKANATH, ANU MRS</t>
  </si>
  <si>
    <t>Moorkanath</t>
  </si>
  <si>
    <t>ANUPRIYA</t>
  </si>
  <si>
    <t>ANU</t>
  </si>
  <si>
    <t>8 PATRIOT BOULEVARD</t>
  </si>
  <si>
    <t>CLYDE</t>
  </si>
  <si>
    <t>ANUPRIYA.MOORKANATH@MXNS.COM</t>
  </si>
  <si>
    <t>ANUPRIYAMP@GMAIL.COM</t>
  </si>
  <si>
    <t>SOOD, Samridhi MRS</t>
  </si>
  <si>
    <t>Sood</t>
  </si>
  <si>
    <t>Samridhi</t>
  </si>
  <si>
    <t>48 Kalorama St</t>
  </si>
  <si>
    <t>Tarneit</t>
  </si>
  <si>
    <t>samridhi.sood@mxns.com</t>
  </si>
  <si>
    <t>sam.sood.2411@gmail.com</t>
  </si>
  <si>
    <t>WILLIAMS, NICOLE MISS</t>
  </si>
  <si>
    <t>Williams</t>
  </si>
  <si>
    <t>NICOLE</t>
  </si>
  <si>
    <t>N.M.</t>
  </si>
  <si>
    <t>36 SHUTTLEWORTH AVENUE</t>
  </si>
  <si>
    <t>RABY</t>
  </si>
  <si>
    <t>-</t>
  </si>
  <si>
    <t>NICOLE.WILLIAMS@MXNS.COM</t>
  </si>
  <si>
    <t>WILLIAMSN529@GMAIL.COM</t>
  </si>
  <si>
    <t xml:space="preserve">36 SHUTTLEWORTH AVENUE </t>
  </si>
  <si>
    <t>FOROOGHI, MARZIEH MRS</t>
  </si>
  <si>
    <t>Forooghi</t>
  </si>
  <si>
    <t>MARZIEH</t>
  </si>
  <si>
    <t>16 ELBRUS ST</t>
  </si>
  <si>
    <t>SEVENHILLS</t>
  </si>
  <si>
    <t>MARZIEH.FOROOGHI@MXNS.COM</t>
  </si>
  <si>
    <t>BERA, KHUSHBU MS</t>
  </si>
  <si>
    <t>Bera</t>
  </si>
  <si>
    <t>KHUSHBU</t>
  </si>
  <si>
    <t>K.N.</t>
  </si>
  <si>
    <t>162 GAEBLER ROAD</t>
  </si>
  <si>
    <t>AUBIN GROVE</t>
  </si>
  <si>
    <t>KHUSHBU.BERA@MXNS.COM</t>
  </si>
  <si>
    <t>KHUSHI_BERA@YAHOO.COM.AU</t>
  </si>
  <si>
    <t>NATVARLAL</t>
  </si>
  <si>
    <t>MICO, Todd MR</t>
  </si>
  <si>
    <t>Mico</t>
  </si>
  <si>
    <t>Todd</t>
  </si>
  <si>
    <t>T.A.</t>
  </si>
  <si>
    <t>16 Duporth Cr</t>
  </si>
  <si>
    <t>Dakabin</t>
  </si>
  <si>
    <t>todd.mico@mxns.com</t>
  </si>
  <si>
    <t>Anthony</t>
  </si>
  <si>
    <t>IQBAL, SHABANA MRS</t>
  </si>
  <si>
    <t>Iqbal</t>
  </si>
  <si>
    <t>SHABANA</t>
  </si>
  <si>
    <t>S.M.</t>
  </si>
  <si>
    <t>UNIT 48/21 SECOND AVENUE</t>
  </si>
  <si>
    <t>MARSDEN</t>
  </si>
  <si>
    <t>SHABANA.IQBAL@MXNS.COM</t>
  </si>
  <si>
    <t>SHABANA@LIVE.COM.AU</t>
  </si>
  <si>
    <t>48/21 SECOND AVENUE</t>
  </si>
  <si>
    <t>MEHNAAZ</t>
  </si>
  <si>
    <t>DAWSON, MARK DR</t>
  </si>
  <si>
    <t>Dawson</t>
  </si>
  <si>
    <t>MARK</t>
  </si>
  <si>
    <t>M.W.</t>
  </si>
  <si>
    <t>29B SUSSEX STREET</t>
  </si>
  <si>
    <t>WEST END</t>
  </si>
  <si>
    <t>MARK.DAWSON@MXNS.COM</t>
  </si>
  <si>
    <t>MARKDAWSONW@GMAIL.COM</t>
  </si>
  <si>
    <t>WILLIAM</t>
  </si>
  <si>
    <t>GODWIN, COLLEEN MRS</t>
  </si>
  <si>
    <t>Godwin</t>
  </si>
  <si>
    <t>COLLEEN</t>
  </si>
  <si>
    <t>37 WATERVALE PARADE</t>
  </si>
  <si>
    <t>WAKERLEY</t>
  </si>
  <si>
    <t>COLLEEN.GODWIN@MXNS.COM</t>
  </si>
  <si>
    <t>COLLEEN.GODWIN@OUTLOOK.COM</t>
  </si>
  <si>
    <t>DEMARCHI, STELLA MRS</t>
  </si>
  <si>
    <t>Demarchi</t>
  </si>
  <si>
    <t>STELLA</t>
  </si>
  <si>
    <t>22 EASTVIEW CRESCENT</t>
  </si>
  <si>
    <t>THORNLANDS</t>
  </si>
  <si>
    <t>STELLA.DEMARCHI@MXNS.COM</t>
  </si>
  <si>
    <t>RDEMARCHI@HOTMAIL.COM</t>
  </si>
  <si>
    <t>MARIS</t>
  </si>
  <si>
    <t>DALZIEL, Clint MR</t>
  </si>
  <si>
    <t>Dalziel</t>
  </si>
  <si>
    <t>C.R.</t>
  </si>
  <si>
    <t>1/9 Ulrich Street</t>
  </si>
  <si>
    <t>Upper Coomera</t>
  </si>
  <si>
    <t>clint.dalziel@mxns.com</t>
  </si>
  <si>
    <t>Raymond</t>
  </si>
  <si>
    <t>HWANG, MI HEI MS</t>
  </si>
  <si>
    <t>Hwang</t>
  </si>
  <si>
    <t>MI HEI</t>
  </si>
  <si>
    <t>11/ 6 BARBER AVE</t>
  </si>
  <si>
    <t>EASTLAKES</t>
  </si>
  <si>
    <t>MIHEI.HWANG@MXNS.COM</t>
  </si>
  <si>
    <t>BLUEMIHI@GMAIL.COM</t>
  </si>
  <si>
    <t>RENTERIA PENA, Leticia MS</t>
  </si>
  <si>
    <t>Renteria Pena</t>
  </si>
  <si>
    <t>Leticia</t>
  </si>
  <si>
    <t>1/18 Falconer road</t>
  </si>
  <si>
    <t>Boronia</t>
  </si>
  <si>
    <t>leticia.renteria@mxns.com</t>
  </si>
  <si>
    <t>lety.renteria101@gmail.com</t>
  </si>
  <si>
    <t>EDYVANE, Annesha MRS</t>
  </si>
  <si>
    <t>Edyvane</t>
  </si>
  <si>
    <t>Annesha</t>
  </si>
  <si>
    <t>5/375 Dorset Rd</t>
  </si>
  <si>
    <t>Croydon</t>
  </si>
  <si>
    <t>annesha.edyvane@mxns.com</t>
  </si>
  <si>
    <t>annesha.joseph@gmail.com</t>
  </si>
  <si>
    <t>HOLMES, JULIAN MR</t>
  </si>
  <si>
    <t>Holmes</t>
  </si>
  <si>
    <t>JULIAN</t>
  </si>
  <si>
    <t>J.A.</t>
  </si>
  <si>
    <t>16 PORTSMOUTH ST</t>
  </si>
  <si>
    <t>MOUNT WAVERLEY</t>
  </si>
  <si>
    <t>03 98881408</t>
  </si>
  <si>
    <t>JULIAN.HOLMES@MXNS.COM</t>
  </si>
  <si>
    <t>0424 993 149</t>
  </si>
  <si>
    <t>JAEHOL333@GMAIL.COM</t>
  </si>
  <si>
    <t>ANTHONY</t>
  </si>
  <si>
    <t>GAUTAM, SURBHI MRS</t>
  </si>
  <si>
    <t>Gautam</t>
  </si>
  <si>
    <t>Surbhi</t>
  </si>
  <si>
    <t>SURBHI</t>
  </si>
  <si>
    <t>26 PARKER STREET</t>
  </si>
  <si>
    <t>OFFICER</t>
  </si>
  <si>
    <t>surbhi.gautam@mxns.com</t>
  </si>
  <si>
    <t>SURBHISUYAN@GMAIL.COM</t>
  </si>
  <si>
    <t>RESUS, ZARA MISS</t>
  </si>
  <si>
    <t>Resus</t>
  </si>
  <si>
    <t>ZARA</t>
  </si>
  <si>
    <t>Z.L.</t>
  </si>
  <si>
    <t>20 DE CASTELLA DRIVE</t>
  </si>
  <si>
    <t>ZARA.RESUS@MXNS.COM</t>
  </si>
  <si>
    <t>Z.RESUS@GMAIL.COM</t>
  </si>
  <si>
    <t>LOUISE</t>
  </si>
  <si>
    <t>CHAN, Nicole MS</t>
  </si>
  <si>
    <t>Chan</t>
  </si>
  <si>
    <t>Nicole</t>
  </si>
  <si>
    <t>N.T.</t>
  </si>
  <si>
    <t>4/15 Belmont Ave</t>
  </si>
  <si>
    <t>Wollstonecraft</t>
  </si>
  <si>
    <t>nicole.chan@mxns.com</t>
  </si>
  <si>
    <t>nicoletschan@gmail.com</t>
  </si>
  <si>
    <t>Theng Soo</t>
  </si>
  <si>
    <t>DIPTI, Dipti MISS</t>
  </si>
  <si>
    <t>Dipti</t>
  </si>
  <si>
    <t>D.</t>
  </si>
  <si>
    <t>.</t>
  </si>
  <si>
    <t>27 Thurvaston Crescent</t>
  </si>
  <si>
    <t>Cranbourne East</t>
  </si>
  <si>
    <t>dipti@mxns.com</t>
  </si>
  <si>
    <t>diptilal5@hotmail.com</t>
  </si>
  <si>
    <t>KHANNA, Sheetal MRS</t>
  </si>
  <si>
    <t>Khanna</t>
  </si>
  <si>
    <t>Sheetal</t>
  </si>
  <si>
    <t>8/65 Newcastle St</t>
  </si>
  <si>
    <t>Preston</t>
  </si>
  <si>
    <t>sheetal.khanna@mxns.com</t>
  </si>
  <si>
    <t>sheetal.khanna@live.com.au</t>
  </si>
  <si>
    <t>RAVAL, DRASHTI MRS</t>
  </si>
  <si>
    <t>Raval</t>
  </si>
  <si>
    <t>DRASHTI</t>
  </si>
  <si>
    <t>26 MERRICK STREET</t>
  </si>
  <si>
    <t>KEYSBOROUGH</t>
  </si>
  <si>
    <t>DRASHTI.RAVAL@MXNS.COM</t>
  </si>
  <si>
    <t>DRASHTIRAVAL@YAHOO.COM</t>
  </si>
  <si>
    <t>YIANNIOS, MARY MRS</t>
  </si>
  <si>
    <t>Yiannios</t>
  </si>
  <si>
    <t>Mary</t>
  </si>
  <si>
    <t>MARY</t>
  </si>
  <si>
    <t>18 STAYNER COURT</t>
  </si>
  <si>
    <t>GLEN WAVERLEY</t>
  </si>
  <si>
    <t>MARY.YIANNIOS@MXNS.COM</t>
  </si>
  <si>
    <t>0411 629 363</t>
  </si>
  <si>
    <t>SIM, Aaron MR</t>
  </si>
  <si>
    <t>Sim</t>
  </si>
  <si>
    <t>Aaron</t>
  </si>
  <si>
    <t>16 Geikie Court</t>
  </si>
  <si>
    <t>Parkinson</t>
  </si>
  <si>
    <t>aaron.sim@mxns.com</t>
  </si>
  <si>
    <t>skeaaron@gmail.com</t>
  </si>
  <si>
    <t>JOYCE, BLAKE MR</t>
  </si>
  <si>
    <t>Joyce</t>
  </si>
  <si>
    <t>BLAKE</t>
  </si>
  <si>
    <t>B.T.</t>
  </si>
  <si>
    <t>3/16 CAMERON ST</t>
  </si>
  <si>
    <t>NUNDAH</t>
  </si>
  <si>
    <t>BLAKE.JOYCE@MXNS.COM</t>
  </si>
  <si>
    <t>BLAKETHOMASJOYCE@GMAIL.COM</t>
  </si>
  <si>
    <t>THOMAS</t>
  </si>
  <si>
    <t>DALATI, Emad MR</t>
  </si>
  <si>
    <t>Dalati</t>
  </si>
  <si>
    <t>Emad</t>
  </si>
  <si>
    <t>51 Denman Road</t>
  </si>
  <si>
    <t>Georges Hall</t>
  </si>
  <si>
    <t>emad.dalati@mxns.com</t>
  </si>
  <si>
    <t>emad_dalati@hotmail.com</t>
  </si>
  <si>
    <t>WILLIS, Ashley MRS</t>
  </si>
  <si>
    <t>Willis</t>
  </si>
  <si>
    <t>Ashley</t>
  </si>
  <si>
    <t>A.K.</t>
  </si>
  <si>
    <t>51 Polonia Ave</t>
  </si>
  <si>
    <t>Plumpton</t>
  </si>
  <si>
    <t>ashley.willis@mxns.com</t>
  </si>
  <si>
    <t>aswillis2510@hotmail.com</t>
  </si>
  <si>
    <t>Kate</t>
  </si>
  <si>
    <t>MCDONALD, WILMA MRS</t>
  </si>
  <si>
    <t>Mcdonald</t>
  </si>
  <si>
    <t>WILMA</t>
  </si>
  <si>
    <t>W.L.</t>
  </si>
  <si>
    <t>9 MAJESTIC COURT</t>
  </si>
  <si>
    <t>REGENTS PARK</t>
  </si>
  <si>
    <t>WILMA.MCDONALD@MXNS.COM</t>
  </si>
  <si>
    <t>WILMIE78@GMAIL.COM</t>
  </si>
  <si>
    <t>LEZELLE</t>
  </si>
  <si>
    <t>MORTARA, Matthew MR</t>
  </si>
  <si>
    <t>Mortara</t>
  </si>
  <si>
    <t>Matthew</t>
  </si>
  <si>
    <t>M.J.</t>
  </si>
  <si>
    <t>76 Elm Rd</t>
  </si>
  <si>
    <t>Auburn</t>
  </si>
  <si>
    <t>mathew.mortara@mxns.com</t>
  </si>
  <si>
    <t>matthew.mortara@hotmail.com</t>
  </si>
  <si>
    <t>Joseph</t>
  </si>
  <si>
    <t>MOONSAMY, MAYEN MR</t>
  </si>
  <si>
    <t>Moonsamy</t>
  </si>
  <si>
    <t>MAYEN</t>
  </si>
  <si>
    <t>PO BOX 653</t>
  </si>
  <si>
    <t>OXENFORD</t>
  </si>
  <si>
    <t>MAYEN.MOONSAMY@MXNS.COM</t>
  </si>
  <si>
    <t>MAYENMOONSAMY2002@YAHOO.COM</t>
  </si>
  <si>
    <t>GRIME, Fiona MRS</t>
  </si>
  <si>
    <t>Grime</t>
  </si>
  <si>
    <t>Fiona</t>
  </si>
  <si>
    <t>184 Mitchell Drive</t>
  </si>
  <si>
    <t>Glossodia</t>
  </si>
  <si>
    <t>fiona.grime@mxns.com</t>
  </si>
  <si>
    <t>grimefamily001@gmail.com</t>
  </si>
  <si>
    <t>MACAIRE, Margaux MISS</t>
  </si>
  <si>
    <t>Macaire</t>
  </si>
  <si>
    <t>Margaux</t>
  </si>
  <si>
    <t>M.C.</t>
  </si>
  <si>
    <t>2/14 Fourth Avenue</t>
  </si>
  <si>
    <t>Chelsea Heights</t>
  </si>
  <si>
    <t>margaux.macaire@mxns.com</t>
  </si>
  <si>
    <t>margaux.macaire@gmail.com</t>
  </si>
  <si>
    <t>Caroline</t>
  </si>
  <si>
    <t>HOLLY, DONNA MRS</t>
  </si>
  <si>
    <t>Holly</t>
  </si>
  <si>
    <t>DONNA</t>
  </si>
  <si>
    <t>D.L.</t>
  </si>
  <si>
    <t>21 SHAKESPEARE AVE</t>
  </si>
  <si>
    <t>MOOROOLBARK</t>
  </si>
  <si>
    <t>DONNA.HOLLY@MXNS.COM</t>
  </si>
  <si>
    <t>DONNA_HOLLY@HOTMAIL.COM</t>
  </si>
  <si>
    <t>LEA-ANNE</t>
  </si>
  <si>
    <t>HANSEN, Sarah MISS</t>
  </si>
  <si>
    <t>Hansen</t>
  </si>
  <si>
    <t>Sarah</t>
  </si>
  <si>
    <t>3/8 Gaza Road</t>
  </si>
  <si>
    <t>West Ryde</t>
  </si>
  <si>
    <t>sarah.hansen@mxns.com</t>
  </si>
  <si>
    <t>s.hansen100595@gmail.com</t>
  </si>
  <si>
    <t>Jane</t>
  </si>
  <si>
    <t>ALLIE, FREDA MS</t>
  </si>
  <si>
    <t>Allie</t>
  </si>
  <si>
    <t>FREDA</t>
  </si>
  <si>
    <t>56 CHURCH ST</t>
  </si>
  <si>
    <t>BEAUMARIS</t>
  </si>
  <si>
    <t>FREDA.ALLIE@MXNS.COM</t>
  </si>
  <si>
    <t>FREDAA@OPTUSNET.COM.AU</t>
  </si>
  <si>
    <t>DAVISON, Prue MRS</t>
  </si>
  <si>
    <t>Davison</t>
  </si>
  <si>
    <t>Prue</t>
  </si>
  <si>
    <t>P.A.</t>
  </si>
  <si>
    <t>17 Elmore Ave</t>
  </si>
  <si>
    <t>prue.davison@mxns.com</t>
  </si>
  <si>
    <t>badscientist.pd@gmail.com</t>
  </si>
  <si>
    <t>Amanda</t>
  </si>
  <si>
    <t>BRICKNELL, NICHOLAS MR</t>
  </si>
  <si>
    <t>Bricknell</t>
  </si>
  <si>
    <t>Nicholas</t>
  </si>
  <si>
    <t>N.</t>
  </si>
  <si>
    <t>NICHOLAS</t>
  </si>
  <si>
    <t>5 HABITAT PARK DRIVE</t>
  </si>
  <si>
    <t>DONCASTER EAST</t>
  </si>
  <si>
    <t>nicholas.bricknell@mxns.com</t>
  </si>
  <si>
    <t>ROSE, MEL MISS</t>
  </si>
  <si>
    <t>Rose</t>
  </si>
  <si>
    <t>MELANIE</t>
  </si>
  <si>
    <t>MEL</t>
  </si>
  <si>
    <t>9 SHAYLOR COURT</t>
  </si>
  <si>
    <t>GREENSBOROUGH</t>
  </si>
  <si>
    <t>MELANIE.ROSE@MXNS.COM</t>
  </si>
  <si>
    <t>MELJR1003@ME.COM</t>
  </si>
  <si>
    <t>03 8878 2132</t>
  </si>
  <si>
    <t>VILLOTA-PANTOJA, Aura MS</t>
  </si>
  <si>
    <t>Villota-Pantoja</t>
  </si>
  <si>
    <t>Aura</t>
  </si>
  <si>
    <t>A.V.</t>
  </si>
  <si>
    <t>513B/3 Broughton Road</t>
  </si>
  <si>
    <t>Parramata</t>
  </si>
  <si>
    <t>viviana.villota@mxns.com</t>
  </si>
  <si>
    <t>viviana.villota@gmail.com</t>
  </si>
  <si>
    <t>Viviana</t>
  </si>
  <si>
    <t>BANDI, RENU MRS</t>
  </si>
  <si>
    <t>Bandi</t>
  </si>
  <si>
    <t>RENU</t>
  </si>
  <si>
    <t>R.R.</t>
  </si>
  <si>
    <t>6 BILLET ROAD,EDMONDSON PARK</t>
  </si>
  <si>
    <t>RENU.BANDI@MXNS.COM</t>
  </si>
  <si>
    <t>RENUBANDI@YAHOO.CO.IN</t>
  </si>
  <si>
    <t>RAJENDRA</t>
  </si>
  <si>
    <t>CANTWELL, Martin MR</t>
  </si>
  <si>
    <t>Cantwell</t>
  </si>
  <si>
    <t>Martin</t>
  </si>
  <si>
    <t>M.A.</t>
  </si>
  <si>
    <t>31 Eyre Ave</t>
  </si>
  <si>
    <t>Petrie</t>
  </si>
  <si>
    <t>mr.martincantwell@gmail.com</t>
  </si>
  <si>
    <t>STANICA, ANDREEA MRS</t>
  </si>
  <si>
    <t>Stanica</t>
  </si>
  <si>
    <t>ANDREEA</t>
  </si>
  <si>
    <t>A.D.</t>
  </si>
  <si>
    <t>7 LYNNE AVENUE</t>
  </si>
  <si>
    <t>WANTIRNA SOUTH</t>
  </si>
  <si>
    <t>ANDREEA.STANICA@MXNS.COM</t>
  </si>
  <si>
    <t>0438 369 020</t>
  </si>
  <si>
    <t>ANDREEA.DANA.STANICA@GMAIL.COM</t>
  </si>
  <si>
    <t>DANA</t>
  </si>
  <si>
    <t>ILLUPAPALAYAM VEERASAMY, Vijayalakshm MRS</t>
  </si>
  <si>
    <t>Illupapalayam Veerasamy</t>
  </si>
  <si>
    <t>Vijayalakshmi</t>
  </si>
  <si>
    <t>V.</t>
  </si>
  <si>
    <t>Vijayalakshm</t>
  </si>
  <si>
    <t>13, sunflower place</t>
  </si>
  <si>
    <t>Berwick</t>
  </si>
  <si>
    <t>vijay.illupa@mxns.com</t>
  </si>
  <si>
    <t>abiram355@yahoo.com</t>
  </si>
  <si>
    <t>ABRAHAM, Udaya MRS</t>
  </si>
  <si>
    <t>Abraham</t>
  </si>
  <si>
    <t>Udaya</t>
  </si>
  <si>
    <t>U.</t>
  </si>
  <si>
    <t>125 Hawkstowe Parade</t>
  </si>
  <si>
    <t>South Morang</t>
  </si>
  <si>
    <t>udaya.abraham@mxns.com</t>
  </si>
  <si>
    <t>udayaabraham@gmail.com</t>
  </si>
  <si>
    <t>CHAN, CHARMAINE MS</t>
  </si>
  <si>
    <t>SUET YI</t>
  </si>
  <si>
    <t>CHARMAINE</t>
  </si>
  <si>
    <t>28A QUAINTANCE ST</t>
  </si>
  <si>
    <t>CHARMAINE.CHAN@MXNS.COM</t>
  </si>
  <si>
    <t>CHARMAINE.SYCHAN@GMAIL.COM</t>
  </si>
  <si>
    <t>DERAKHSHANFAR, PARIVASH MRS</t>
  </si>
  <si>
    <t>Derakhshanfar</t>
  </si>
  <si>
    <t>PARIVASH</t>
  </si>
  <si>
    <t>P.</t>
  </si>
  <si>
    <t>11 FEDERICO COURT</t>
  </si>
  <si>
    <t>PARI.FARR@MXNS.COM</t>
  </si>
  <si>
    <t>PARI.FARR@GMAIL.COM</t>
  </si>
  <si>
    <t>FITZGERALD, DANIEL MR</t>
  </si>
  <si>
    <t>Fitzgerald</t>
  </si>
  <si>
    <t>D.A.</t>
  </si>
  <si>
    <t>DANIEL</t>
  </si>
  <si>
    <t>1918/3 CARTER STREET</t>
  </si>
  <si>
    <t>LIDCOMBE</t>
  </si>
  <si>
    <t>daniel.fitzgerald@mxns.com</t>
  </si>
  <si>
    <t>DANIELFITZGERALD90@GMAIL.COM</t>
  </si>
  <si>
    <t>Antony</t>
  </si>
  <si>
    <t>GWOZDZIEWSKI, Cherie MISS</t>
  </si>
  <si>
    <t>Gwozdziewski</t>
  </si>
  <si>
    <t>Cherie</t>
  </si>
  <si>
    <t>117 Bendigo st</t>
  </si>
  <si>
    <t>Prahran</t>
  </si>
  <si>
    <t>cherie.gwozdziewski@mxns.com</t>
  </si>
  <si>
    <t>chozy84@hotmail.com</t>
  </si>
  <si>
    <t>FRASER, David MR</t>
  </si>
  <si>
    <t>Fraser</t>
  </si>
  <si>
    <t>D.J.</t>
  </si>
  <si>
    <t>81 Falkingham Road</t>
  </si>
  <si>
    <t>Mount Evelyn</t>
  </si>
  <si>
    <t>david.fraser@mxns.com</t>
  </si>
  <si>
    <t>fraser05@iprimus.com.au</t>
  </si>
  <si>
    <t>James</t>
  </si>
  <si>
    <t>DI-MAURO HAYES, GLENN MR</t>
  </si>
  <si>
    <t>Di-Mauro Hayes</t>
  </si>
  <si>
    <t>GLENN</t>
  </si>
  <si>
    <t>G.P.</t>
  </si>
  <si>
    <t>35 SEVENOAKS ROAD</t>
  </si>
  <si>
    <t>BURWOOD EAST</t>
  </si>
  <si>
    <t>GLENN.DI-MAUROHAYES@MXNS.COM</t>
  </si>
  <si>
    <t>GDIMAUROHAYES@OPTUSNET.COM.AU</t>
  </si>
  <si>
    <t>PATRICK JAMES</t>
  </si>
  <si>
    <t>POOL, Samantha MS</t>
  </si>
  <si>
    <t>Pool</t>
  </si>
  <si>
    <t>Samantha</t>
  </si>
  <si>
    <t>Unit 2/11 Holmes St</t>
  </si>
  <si>
    <t>Noble Park</t>
  </si>
  <si>
    <t>samantha.pool@mxns.com</t>
  </si>
  <si>
    <t>samantha.pool@live.com</t>
  </si>
  <si>
    <t>MILLS, SHARON MS</t>
  </si>
  <si>
    <t>Mills</t>
  </si>
  <si>
    <t>PO BOX 574</t>
  </si>
  <si>
    <t>BRENTFORD SQUARE</t>
  </si>
  <si>
    <t>TBC</t>
  </si>
  <si>
    <t>SHARON.MILLS@MXNS.COM</t>
  </si>
  <si>
    <t>SMMILLS600@TPG.COM.AU</t>
  </si>
  <si>
    <t>GHODSIZAD, GAZ MISS</t>
  </si>
  <si>
    <t>Ghodsizad</t>
  </si>
  <si>
    <t>Ghazaleh</t>
  </si>
  <si>
    <t>GAZ</t>
  </si>
  <si>
    <t>12/33-39 Cecil Avenue</t>
  </si>
  <si>
    <t>Castle hill</t>
  </si>
  <si>
    <t>ghazaleh.ghodsizad@mxns.com</t>
  </si>
  <si>
    <t>ghazalehghodsizad@gmail.com</t>
  </si>
  <si>
    <t>STAKIC, Bojan MR</t>
  </si>
  <si>
    <t>Stakic</t>
  </si>
  <si>
    <t>Bojan</t>
  </si>
  <si>
    <t>9 Napier St</t>
  </si>
  <si>
    <t>Dandenong</t>
  </si>
  <si>
    <t>bojan.stakic@mxns.com</t>
  </si>
  <si>
    <t>bojan.Stakic1@gmail.com</t>
  </si>
  <si>
    <t>MENON, SHRUTI MISS</t>
  </si>
  <si>
    <t>Menon</t>
  </si>
  <si>
    <t>SHRUTI</t>
  </si>
  <si>
    <t>4 NORMANBY COURT</t>
  </si>
  <si>
    <t>HEIDELBERG WEST</t>
  </si>
  <si>
    <t>SHRUTI.MENON@MXNS.COM</t>
  </si>
  <si>
    <t>SZECSEI, ISTVAN MR</t>
  </si>
  <si>
    <t>Szecsei</t>
  </si>
  <si>
    <t>ISTVAN</t>
  </si>
  <si>
    <t>I.</t>
  </si>
  <si>
    <t>35A SHERBROOKE LODGE ROAD</t>
  </si>
  <si>
    <t>SHERBROOKE</t>
  </si>
  <si>
    <t>ISTVAN.SZECSEI@MXNS.COM</t>
  </si>
  <si>
    <t>0458 066 894</t>
  </si>
  <si>
    <t>ISTVAN.SZECSEI@GMAIL.COM</t>
  </si>
  <si>
    <t>ENGELS, Lysanne MISS</t>
  </si>
  <si>
    <t>Engels</t>
  </si>
  <si>
    <t>Lysanne</t>
  </si>
  <si>
    <t>UNIT 2 887 Toorak Road</t>
  </si>
  <si>
    <t>Camberwell</t>
  </si>
  <si>
    <t>lysanne.engels@mxns.com</t>
  </si>
  <si>
    <t>lysanne.engels@gmail.com</t>
  </si>
  <si>
    <t>CHEE, AILING MISS</t>
  </si>
  <si>
    <t>Chee</t>
  </si>
  <si>
    <t>AILING</t>
  </si>
  <si>
    <t>302,6 RAILWAY ROAD</t>
  </si>
  <si>
    <t>CHELTENHAM</t>
  </si>
  <si>
    <t>AILING.CHEE@MXNS.COM</t>
  </si>
  <si>
    <t>AILING.CHEE@YAHOO.COM</t>
  </si>
  <si>
    <t>ASHTON, DAVE MR</t>
  </si>
  <si>
    <t>Ashton</t>
  </si>
  <si>
    <t>DAVID</t>
  </si>
  <si>
    <t>DAVE</t>
  </si>
  <si>
    <t>22 CLAREMONT GLEN</t>
  </si>
  <si>
    <t>BERWICK</t>
  </si>
  <si>
    <t>DAVID.ASHTON@MXNS.COM</t>
  </si>
  <si>
    <t>DAASHTON1@GOOGLEMAIL.COM</t>
  </si>
  <si>
    <t>BAXTER, ZOE MISS</t>
  </si>
  <si>
    <t>Baxter</t>
  </si>
  <si>
    <t>Zoe</t>
  </si>
  <si>
    <t>ZOE</t>
  </si>
  <si>
    <t>6/61 WATERLOO ESPLANADE</t>
  </si>
  <si>
    <t>WYNNUM</t>
  </si>
  <si>
    <t>zoe.baxter@mxns.com</t>
  </si>
  <si>
    <t>0447 779 555</t>
  </si>
  <si>
    <t>ZOEANDOLIVER@HOTMAIL.COM</t>
  </si>
  <si>
    <t>VENKATESHAN, Archana MRS</t>
  </si>
  <si>
    <t>Venkateshan</t>
  </si>
  <si>
    <t>Archana</t>
  </si>
  <si>
    <t>5 Renown Road</t>
  </si>
  <si>
    <t>Baulkham Hills</t>
  </si>
  <si>
    <t>Archana.venkateshan@mxns.com</t>
  </si>
  <si>
    <t>archuvenky@gmail.com</t>
  </si>
  <si>
    <t>MOHAN, Anagha MISS</t>
  </si>
  <si>
    <t>Mohan</t>
  </si>
  <si>
    <t>Anagha</t>
  </si>
  <si>
    <t>3/42 Middle Rd</t>
  </si>
  <si>
    <t>Maribyrnong</t>
  </si>
  <si>
    <t>anagha.mohan@mxns.com</t>
  </si>
  <si>
    <t>anaghhamohan@gmail.com</t>
  </si>
  <si>
    <t>SOHNY, THALITHA MRS</t>
  </si>
  <si>
    <t>Sohny</t>
  </si>
  <si>
    <t>THALITHA</t>
  </si>
  <si>
    <t>UNIT 14</t>
  </si>
  <si>
    <t>WENTWORTHVILLE</t>
  </si>
  <si>
    <t>THALITHA.SOHNY@MXNS.COM</t>
  </si>
  <si>
    <t>THALITHA_SOHNY@YAHOO.COM</t>
  </si>
  <si>
    <t>ZHANG, Jing MISS</t>
  </si>
  <si>
    <t>Zhang</t>
  </si>
  <si>
    <t>Jing</t>
  </si>
  <si>
    <t>2/3 Phyllis Avenue</t>
  </si>
  <si>
    <t>jing.zhang@mxns.com</t>
  </si>
  <si>
    <t>0413 173 557</t>
  </si>
  <si>
    <t>silentsea1029@gmail.com</t>
  </si>
  <si>
    <t>TYRER, Vanessa MISS</t>
  </si>
  <si>
    <t>Tyrer</t>
  </si>
  <si>
    <t>Vanessa</t>
  </si>
  <si>
    <t>V.C.</t>
  </si>
  <si>
    <t>8 Waverley Road</t>
  </si>
  <si>
    <t>Chadstone</t>
  </si>
  <si>
    <t>Vanessa.Tyrer@mxns.com</t>
  </si>
  <si>
    <t>vanessa.tyrer@hotmail.com</t>
  </si>
  <si>
    <t>Claire</t>
  </si>
  <si>
    <t>MANNING, Kim MRS</t>
  </si>
  <si>
    <t>Manning</t>
  </si>
  <si>
    <t>Kim</t>
  </si>
  <si>
    <t>K.M.</t>
  </si>
  <si>
    <t>22 Power St</t>
  </si>
  <si>
    <t>Croydon North</t>
  </si>
  <si>
    <t>kim.manning@mxns.com</t>
  </si>
  <si>
    <t>kim.manningaus@gmail.com</t>
  </si>
  <si>
    <t>Maree</t>
  </si>
  <si>
    <t>MCDERMID, AILSA MS</t>
  </si>
  <si>
    <t>Mcdermid</t>
  </si>
  <si>
    <t>Ailsa</t>
  </si>
  <si>
    <t>AILSA</t>
  </si>
  <si>
    <t>24/16-18 BARKLY PLACE</t>
  </si>
  <si>
    <t>CARLTON</t>
  </si>
  <si>
    <t>ailsa.mcdermid@mxns.com</t>
  </si>
  <si>
    <t>AILSAMCD@GMAIL.COM</t>
  </si>
  <si>
    <t>PO BOX 1</t>
  </si>
  <si>
    <t>CARLTON SOUTH</t>
  </si>
  <si>
    <t>SPARKE, GLENN MR</t>
  </si>
  <si>
    <t>Sparke</t>
  </si>
  <si>
    <t>Glenn Francis</t>
  </si>
  <si>
    <t>13 PEARCE COURT</t>
  </si>
  <si>
    <t>GISBOURNE</t>
  </si>
  <si>
    <t>glenn.sparke@mxns.com</t>
  </si>
  <si>
    <t>GALLOP, MITCHEL MR</t>
  </si>
  <si>
    <t>Gallop</t>
  </si>
  <si>
    <t>MITCHEL JON</t>
  </si>
  <si>
    <t>MITCHEL</t>
  </si>
  <si>
    <t>72 LEACH WAY</t>
  </si>
  <si>
    <t>WILSON</t>
  </si>
  <si>
    <t>MITCHELGALLOP@MXNS.COM</t>
  </si>
  <si>
    <t>MITCHELGALLOP@HOTMAIL.COM</t>
  </si>
  <si>
    <t>STREAT, MEL MS</t>
  </si>
  <si>
    <t>Streat</t>
  </si>
  <si>
    <t>5 DARWIN CRESCENT</t>
  </si>
  <si>
    <t>BEECHBORO</t>
  </si>
  <si>
    <t>MELANIE.STREAT@MXNS.COM</t>
  </si>
  <si>
    <t>STREAT.MELANIE@GMAIL.COM</t>
  </si>
  <si>
    <t>PREMTHONG, VATCHAREE MISS</t>
  </si>
  <si>
    <t>Premthong</t>
  </si>
  <si>
    <t>VATCHAREE</t>
  </si>
  <si>
    <t>2 KEMBLE LANE</t>
  </si>
  <si>
    <t>VATCHAREE.PREMTHONG@MXNS.COM</t>
  </si>
  <si>
    <t>VPREMTHONG@GMAIL.COM</t>
  </si>
  <si>
    <t>SMITH, KAREN MRS</t>
  </si>
  <si>
    <t>Smith</t>
  </si>
  <si>
    <t>K.A.</t>
  </si>
  <si>
    <t>23 FELGATE PARADE</t>
  </si>
  <si>
    <t>KAREN.SMITH@MXNS.COM</t>
  </si>
  <si>
    <t>MKZESMITH@GMAIL.COM</t>
  </si>
  <si>
    <t>ANDREA</t>
  </si>
  <si>
    <t>TURLA, JILL MISS</t>
  </si>
  <si>
    <t>Turla</t>
  </si>
  <si>
    <t>JILL</t>
  </si>
  <si>
    <t>6/2 DUNKLEY PLACE</t>
  </si>
  <si>
    <t>BAYSWATER</t>
  </si>
  <si>
    <t>JILL.TURLA@MXNS.COM</t>
  </si>
  <si>
    <t>JILL_CARREN@YAHOO.COM</t>
  </si>
  <si>
    <t>LYE, ELIAS MR</t>
  </si>
  <si>
    <t>Lye</t>
  </si>
  <si>
    <t>ELIAS</t>
  </si>
  <si>
    <t>24 CRESSY STREET</t>
  </si>
  <si>
    <t>MONTMORECY</t>
  </si>
  <si>
    <t>ELIAS.LYE@MXNS.COM</t>
  </si>
  <si>
    <t>ELIASLYE@GMAIL.COM</t>
  </si>
  <si>
    <t>BULMAN, ANGELA MRS</t>
  </si>
  <si>
    <t>Bulman</t>
  </si>
  <si>
    <t>ANGELA</t>
  </si>
  <si>
    <t>6 WHITING COURT</t>
  </si>
  <si>
    <t>ANGELA.BULMAN@MXNS.COM</t>
  </si>
  <si>
    <t>A.BULMAN@OUTLOOK.COM</t>
  </si>
  <si>
    <t>SIVARAMAN, POORANI MS</t>
  </si>
  <si>
    <t>Sivaraman</t>
  </si>
  <si>
    <t>POORANI</t>
  </si>
  <si>
    <t>4/6 EAST INDIA AVENUE</t>
  </si>
  <si>
    <t>NUNAWADING</t>
  </si>
  <si>
    <t>POORANI.SIVARAMAN@MXNS.COM</t>
  </si>
  <si>
    <t>POORANI.24@GMAIL.COM</t>
  </si>
  <si>
    <t>NGUBANE, Lungile MISS</t>
  </si>
  <si>
    <t>Ngubane</t>
  </si>
  <si>
    <t>Lungile</t>
  </si>
  <si>
    <t>26 Monaghan Close</t>
  </si>
  <si>
    <t>Baldivis</t>
  </si>
  <si>
    <t>lungile.ngubane@mxns.com</t>
  </si>
  <si>
    <t>namhlazn@hotmail.com</t>
  </si>
  <si>
    <t>LIANG, JI MS</t>
  </si>
  <si>
    <t>Liang</t>
  </si>
  <si>
    <t>JI</t>
  </si>
  <si>
    <t>21 WATTS ROAD</t>
  </si>
  <si>
    <t>RYDE</t>
  </si>
  <si>
    <t>JI.LIANG@MXNS.COM</t>
  </si>
  <si>
    <t>ADALIANG2011@GMAIL.COM</t>
  </si>
  <si>
    <t>D</t>
  </si>
  <si>
    <t>Deceased</t>
  </si>
  <si>
    <t>DOWIE, Simone MISS</t>
  </si>
  <si>
    <t>Dowie</t>
  </si>
  <si>
    <t>Simone</t>
  </si>
  <si>
    <t>2/25 Dickasons Road</t>
  </si>
  <si>
    <t>Heathmont</t>
  </si>
  <si>
    <t>simone.dowie@mxns.com</t>
  </si>
  <si>
    <t>sdowie67@gmail.com</t>
  </si>
  <si>
    <t>PATEL, SHEETAL MRS</t>
  </si>
  <si>
    <t>SHEETAL</t>
  </si>
  <si>
    <t>UNIT 18/70 SWINSON ROAD</t>
  </si>
  <si>
    <t>sheetal.patel@mxns.com</t>
  </si>
  <si>
    <t>SHEETALBHUVA@GMAIL.COM</t>
  </si>
  <si>
    <t>NAND, Reemal MS</t>
  </si>
  <si>
    <t>Nand</t>
  </si>
  <si>
    <t>Reemal</t>
  </si>
  <si>
    <t>33 Victoria Rd</t>
  </si>
  <si>
    <t>Rootyhill</t>
  </si>
  <si>
    <t>reemal.nand@mxns.com</t>
  </si>
  <si>
    <t>0451 102 406</t>
  </si>
  <si>
    <t>nand.reemal@gmail.com</t>
  </si>
  <si>
    <t>LETHBORG, GABRIELLA MISS</t>
  </si>
  <si>
    <t>Lethborg</t>
  </si>
  <si>
    <t>GABRIELLA</t>
  </si>
  <si>
    <t>66 WAIORA ROAD</t>
  </si>
  <si>
    <t>ROSANNA</t>
  </si>
  <si>
    <t>GABRIELLA.LETHBORG@MXNS.COM</t>
  </si>
  <si>
    <t>ELLA_PAIGE1@HOTMAIL.COM</t>
  </si>
  <si>
    <t>PAIGE</t>
  </si>
  <si>
    <t>TEODOROVIC, SHAUN MR</t>
  </si>
  <si>
    <t>Teodorovic</t>
  </si>
  <si>
    <t>SHAUN</t>
  </si>
  <si>
    <t>9 NAMATJIRA CLOSE</t>
  </si>
  <si>
    <t>EAGLE VALE</t>
  </si>
  <si>
    <t>SHAUN.TEODOROVIC@MXNS.COM</t>
  </si>
  <si>
    <t>SHAUNSKI@BIGPOND.COM</t>
  </si>
  <si>
    <t>GARBOWSKA, Justyna MISS</t>
  </si>
  <si>
    <t>Garbowska</t>
  </si>
  <si>
    <t>Justyna</t>
  </si>
  <si>
    <t>23/38-42 Stanmore Rd</t>
  </si>
  <si>
    <t>Enmore</t>
  </si>
  <si>
    <t>justyna.garbowska@mxns.com</t>
  </si>
  <si>
    <t>garbowskajustyna@hotmail.com</t>
  </si>
  <si>
    <t>Anna</t>
  </si>
  <si>
    <t>GOWDA, NANDANA MRS</t>
  </si>
  <si>
    <t>Gowda</t>
  </si>
  <si>
    <t>NANDANA</t>
  </si>
  <si>
    <t>UNIT 3 / 4, MEADOW ST</t>
  </si>
  <si>
    <t>ST KILDA EAST</t>
  </si>
  <si>
    <t>NANDANA.GOWDA@MXNS.COM</t>
  </si>
  <si>
    <t>NANDANASANTOSH@GMAIL.COM</t>
  </si>
  <si>
    <t>JOSHI, Arpita MRS</t>
  </si>
  <si>
    <t>Joshi</t>
  </si>
  <si>
    <t>Arpita</t>
  </si>
  <si>
    <t>30/64 Stoneham Street</t>
  </si>
  <si>
    <t>Joondanna</t>
  </si>
  <si>
    <t>arpita.joshi@mxns.com</t>
  </si>
  <si>
    <t>arpitajoshi@gmail.com</t>
  </si>
  <si>
    <t>UDUWERELLA, Gangani MRS</t>
  </si>
  <si>
    <t>Uduwerella</t>
  </si>
  <si>
    <t>Gangani</t>
  </si>
  <si>
    <t>3/77 Warrigal Road</t>
  </si>
  <si>
    <t>Surrey Hills</t>
  </si>
  <si>
    <t>gangani.uduwerella@mxns.com</t>
  </si>
  <si>
    <t>gangani.uduwerella@gmail.com</t>
  </si>
  <si>
    <t>BOSSHARD, Noelle MISS</t>
  </si>
  <si>
    <t>Bosshard</t>
  </si>
  <si>
    <t>Noelle</t>
  </si>
  <si>
    <t>9 Villanova Court</t>
  </si>
  <si>
    <t>Park Orchards</t>
  </si>
  <si>
    <t>noelle.bosshard@mxns.com</t>
  </si>
  <si>
    <t>noelle.elleon96@gmail.com</t>
  </si>
  <si>
    <t>SMITH, Vanita MRS</t>
  </si>
  <si>
    <t>Vanita</t>
  </si>
  <si>
    <t>V.M.</t>
  </si>
  <si>
    <t>23 Mciver Place</t>
  </si>
  <si>
    <t>Maroubra</t>
  </si>
  <si>
    <t>vanita.smith@mxns.com</t>
  </si>
  <si>
    <t>jasonvanita@me.com</t>
  </si>
  <si>
    <t>Mygnonne</t>
  </si>
  <si>
    <t>STAGGARD, SASHA MISS</t>
  </si>
  <si>
    <t>Staggard</t>
  </si>
  <si>
    <t>SASHA</t>
  </si>
  <si>
    <t>34A ROZELLE AVENUE</t>
  </si>
  <si>
    <t>RINGWOOD EAST</t>
  </si>
  <si>
    <t>SASHA.STAGGARD@MXNS.COM</t>
  </si>
  <si>
    <t>SASHA.STAGGARD@HOTMAIL.COM</t>
  </si>
  <si>
    <t>LEIGH</t>
  </si>
  <si>
    <t>D'SILVA, Diane MRS</t>
  </si>
  <si>
    <t>D'silva</t>
  </si>
  <si>
    <t>Diane</t>
  </si>
  <si>
    <t>47 Quarry Road</t>
  </si>
  <si>
    <t>Mitcham</t>
  </si>
  <si>
    <t>diane.dsilva@mxns.com</t>
  </si>
  <si>
    <t>dsilvadiane@gmail.com</t>
  </si>
  <si>
    <t>BASS, Sam MISS</t>
  </si>
  <si>
    <t>Bass</t>
  </si>
  <si>
    <t>S.H.</t>
  </si>
  <si>
    <t>Sam</t>
  </si>
  <si>
    <t>9 Mattes Place</t>
  </si>
  <si>
    <t>Meadowbrook</t>
  </si>
  <si>
    <t>samantha.bass@mxns.com</t>
  </si>
  <si>
    <t>samanthahelen_@hotmail.com</t>
  </si>
  <si>
    <t>Helen</t>
  </si>
  <si>
    <t>ARCHONTOULIS, Beau MR</t>
  </si>
  <si>
    <t>Archontoulis</t>
  </si>
  <si>
    <t>Beau</t>
  </si>
  <si>
    <t>B.N.</t>
  </si>
  <si>
    <t>103/58 Manilla Street</t>
  </si>
  <si>
    <t>East Brisbane</t>
  </si>
  <si>
    <t>beau.archontoulis@mxns.com</t>
  </si>
  <si>
    <t>KARUNANAYAKE, DHANUSHKA MRS</t>
  </si>
  <si>
    <t>Karunanayake</t>
  </si>
  <si>
    <t>DHANUSHKA</t>
  </si>
  <si>
    <t>50 CHICHESTER AVE</t>
  </si>
  <si>
    <t>BECKENHAM</t>
  </si>
  <si>
    <t>DHANUSHKA.KARUNANAYAKE@MXNS.COM</t>
  </si>
  <si>
    <t>DHANUSHKA1417@GMAIL.COM</t>
  </si>
  <si>
    <t>SKINNER, MEGAN MISS</t>
  </si>
  <si>
    <t>Skinner</t>
  </si>
  <si>
    <t>MEGAN</t>
  </si>
  <si>
    <t>86 WARRANDYTE ROAD</t>
  </si>
  <si>
    <t>MEGAN.SKINNER@MXNS.COM</t>
  </si>
  <si>
    <t>MEGAN.SKINNER.36@GMAIL.COM</t>
  </si>
  <si>
    <t>VILLADELGADO, Erika MISS</t>
  </si>
  <si>
    <t>Villadelgado</t>
  </si>
  <si>
    <t>Erika</t>
  </si>
  <si>
    <t>12 Errica Street</t>
  </si>
  <si>
    <t>Greenfield Park</t>
  </si>
  <si>
    <t>erika.villadelgado@mxns.com</t>
  </si>
  <si>
    <t>villadelgadoerika@gmail.com</t>
  </si>
  <si>
    <t>DUDEKULA, SUSHMA BEE MRS</t>
  </si>
  <si>
    <t>Dudekula</t>
  </si>
  <si>
    <t>SUSHMA BEE</t>
  </si>
  <si>
    <t>UNIT4, 6 RUSSELL STREET</t>
  </si>
  <si>
    <t>SUSHMA.DUDEKULA@MXNS.COM</t>
  </si>
  <si>
    <t>SUSHMIBID@GMAIL.COM</t>
  </si>
  <si>
    <t>MCCANN-DORAN, CONOR MR</t>
  </si>
  <si>
    <t>Mccann-Doran</t>
  </si>
  <si>
    <t>CONOR</t>
  </si>
  <si>
    <t>8A BEEBIN PLACE</t>
  </si>
  <si>
    <t>YANGEBUP</t>
  </si>
  <si>
    <t>CONOR.DORAN@MXNS.COM</t>
  </si>
  <si>
    <t>CONORMCCANNDORAN@HOTMAIL.COM</t>
  </si>
  <si>
    <t>TAMBURIC, STANOJKA MS</t>
  </si>
  <si>
    <t>Tamburic</t>
  </si>
  <si>
    <t>STANJKA</t>
  </si>
  <si>
    <t>STANOJKA</t>
  </si>
  <si>
    <t>89 HIGHETT RD</t>
  </si>
  <si>
    <t>RADA.TAMBURIC@MXNS.COM</t>
  </si>
  <si>
    <t>TAMBURICR@GMAIL.COM</t>
  </si>
  <si>
    <t>RADA</t>
  </si>
  <si>
    <t>CHONG, BEN MR</t>
  </si>
  <si>
    <t>Chong</t>
  </si>
  <si>
    <t>BEN</t>
  </si>
  <si>
    <t>7/29-31 ASHLEY ST</t>
  </si>
  <si>
    <t>RESERVOIR</t>
  </si>
  <si>
    <t>BEN.CHONG@MXNS.COM</t>
  </si>
  <si>
    <t>BENCHONG1386@GMAIL.COM</t>
  </si>
  <si>
    <t>YADAV, Tripti MISS</t>
  </si>
  <si>
    <t>Yadav</t>
  </si>
  <si>
    <t>Truptikumari</t>
  </si>
  <si>
    <t>Tripti</t>
  </si>
  <si>
    <t>29/24 Bruton Ave</t>
  </si>
  <si>
    <t>Clayton</t>
  </si>
  <si>
    <t>tripti.yadav@mxns.com</t>
  </si>
  <si>
    <t>tripti917@gmail.com</t>
  </si>
  <si>
    <t>RAMALINGAM, JANSI MS</t>
  </si>
  <si>
    <t>Ramalingam</t>
  </si>
  <si>
    <t>JANSI</t>
  </si>
  <si>
    <t>115 ST HELENA ROAD</t>
  </si>
  <si>
    <t>JANSI.RAMALINGAM@MXNS.COM</t>
  </si>
  <si>
    <t>JANSI.B0401@GMAIL.COM</t>
  </si>
  <si>
    <t>PO BOX NO 369</t>
  </si>
  <si>
    <t>LOW, Siau Pim MRS</t>
  </si>
  <si>
    <t>Low</t>
  </si>
  <si>
    <t>Siau Pim</t>
  </si>
  <si>
    <t>20 Bangalow Ave</t>
  </si>
  <si>
    <t>Beecroft</t>
  </si>
  <si>
    <t>pim.low@gmail.com</t>
  </si>
  <si>
    <t>KELLY, KYLE MR</t>
  </si>
  <si>
    <t>Kelly</t>
  </si>
  <si>
    <t>KYLE</t>
  </si>
  <si>
    <t>K.J.</t>
  </si>
  <si>
    <t>123 BELLEVUE DRIVE</t>
  </si>
  <si>
    <t>KELLY.KYLE@MXNS.COM</t>
  </si>
  <si>
    <t>KYLE.KELLY0596@GMAIL.COM</t>
  </si>
  <si>
    <t>JACOB</t>
  </si>
  <si>
    <t>RATHORE, MANJU KANWAR MRS</t>
  </si>
  <si>
    <t>Rathore</t>
  </si>
  <si>
    <t>MANJU KANWAR</t>
  </si>
  <si>
    <t>UNIT 2, 21 ORIENT AVENUE</t>
  </si>
  <si>
    <t>MANJU.RATHORE@MXNS.COM</t>
  </si>
  <si>
    <t>MANJUKANWAR.BHATI@GMAIL.COM</t>
  </si>
  <si>
    <t>SENTHURAN, SUGANIYA MRS</t>
  </si>
  <si>
    <t>Senthuran</t>
  </si>
  <si>
    <t>SUGANIYA</t>
  </si>
  <si>
    <t>19 BALLANDELLA ROAD</t>
  </si>
  <si>
    <t>TOONGABIE</t>
  </si>
  <si>
    <t>SUGANIYA.SENTHURAN@MXNS.COM</t>
  </si>
  <si>
    <t>SENSUGANI@GMAIL.COM</t>
  </si>
  <si>
    <t>TURLA, JAMAICA MS</t>
  </si>
  <si>
    <t>JAMAICA</t>
  </si>
  <si>
    <t>50 HERBERT ROAD, HARVEY WA 6220</t>
  </si>
  <si>
    <t xml:space="preserve">HARVEY </t>
  </si>
  <si>
    <t>MAICA.TURLA@MXNS.COM</t>
  </si>
  <si>
    <t>MAICAH_0718@YAHOO.COM</t>
  </si>
  <si>
    <t>63A CHAPMAN ROAD</t>
  </si>
  <si>
    <t>BENTLEY</t>
  </si>
  <si>
    <t>DESA, NYDIA MISS</t>
  </si>
  <si>
    <t>Desa</t>
  </si>
  <si>
    <t>NYDIA</t>
  </si>
  <si>
    <t>8/26 KELVINSIDE RD</t>
  </si>
  <si>
    <t>NOBLE PARK</t>
  </si>
  <si>
    <t>NYDIA.DESA@MXNS.COM</t>
  </si>
  <si>
    <t>NYDSA@HOTMAIL.COM</t>
  </si>
  <si>
    <t>BADARI, RAGHU MR</t>
  </si>
  <si>
    <t>Badari</t>
  </si>
  <si>
    <t>RAGHU</t>
  </si>
  <si>
    <t>437 WARRIGAL ROAD</t>
  </si>
  <si>
    <t>BURWOOD</t>
  </si>
  <si>
    <t>RAGHU.BADARI@MXNS.COM</t>
  </si>
  <si>
    <t>RAGHUNANDAN3.14@GMAIL.COM</t>
  </si>
  <si>
    <t>KASLI, Sarfaraz MR</t>
  </si>
  <si>
    <t>Kasli</t>
  </si>
  <si>
    <t>Sarfaraz</t>
  </si>
  <si>
    <t>S.S.</t>
  </si>
  <si>
    <t>13 Clyde Street</t>
  </si>
  <si>
    <t>Guildford</t>
  </si>
  <si>
    <t>02 97883061</t>
  </si>
  <si>
    <t>sarfaraz.kasli@mxns.com</t>
  </si>
  <si>
    <t>sarfaraz.kasli@yahoo.com.au</t>
  </si>
  <si>
    <t>Suleman</t>
  </si>
  <si>
    <t>ALISIC, SUVADA MRS</t>
  </si>
  <si>
    <t>Alisic</t>
  </si>
  <si>
    <t>SUVADA</t>
  </si>
  <si>
    <t>21 MESSINA CIRCUIT</t>
  </si>
  <si>
    <t>SUVADA.ALISIC@MXNS.COM</t>
  </si>
  <si>
    <t>0426-973-177</t>
  </si>
  <si>
    <t>SUALISIC@GMAIL.COM</t>
  </si>
  <si>
    <t>COOKE, CHARLENE MISS</t>
  </si>
  <si>
    <t>Cooke</t>
  </si>
  <si>
    <t>Charlene</t>
  </si>
  <si>
    <t>CHARLENE</t>
  </si>
  <si>
    <t>5/143 BRIGHTON ROAD</t>
  </si>
  <si>
    <t>SANDGATE</t>
  </si>
  <si>
    <t>charlene.cooke@mxns.com</t>
  </si>
  <si>
    <t>CHARLENECOOKE141@HOTMAIL.COM</t>
  </si>
  <si>
    <t>SERVINO, ELIZABETH MS</t>
  </si>
  <si>
    <t>Servino</t>
  </si>
  <si>
    <t>ELIZABETH</t>
  </si>
  <si>
    <t>20 GATLING ROAD</t>
  </si>
  <si>
    <t>CANNON HILL</t>
  </si>
  <si>
    <t>ELIZABETH.SERVINO@MXNS.COM</t>
  </si>
  <si>
    <t>MENDIVELSO-BOHORQUEZ, SANDRA MISS</t>
  </si>
  <si>
    <t>Mendivelso-Bohorquez</t>
  </si>
  <si>
    <t>SANDRA</t>
  </si>
  <si>
    <t>50 CLARENDON ST</t>
  </si>
  <si>
    <t>EAST BRISBANE</t>
  </si>
  <si>
    <t>SANDRA.BOHORQUEZ@MXNS.COM</t>
  </si>
  <si>
    <t>SANDRAMENDY@HOTMAIL.COM</t>
  </si>
  <si>
    <t>PRASHANTHAN, Babyarane MRS</t>
  </si>
  <si>
    <t>Prashanthan</t>
  </si>
  <si>
    <t>Babyarane</t>
  </si>
  <si>
    <t>4/26 Hythe St</t>
  </si>
  <si>
    <t>Mount Druitt</t>
  </si>
  <si>
    <t>arane.prashanthan@mxns.com</t>
  </si>
  <si>
    <t>araneprashan@gmail.com</t>
  </si>
  <si>
    <t>HOLLEY, KRISTY MRS</t>
  </si>
  <si>
    <t>Holley</t>
  </si>
  <si>
    <t>KRISTY-LEE</t>
  </si>
  <si>
    <t>KRISTY</t>
  </si>
  <si>
    <t>10/23 LENA GROVE</t>
  </si>
  <si>
    <t>KILSYTH</t>
  </si>
  <si>
    <t>KRISTY-LEE.HOLLEY@MXNS.COM</t>
  </si>
  <si>
    <t>K_HOLLEY@TPG.COM.AU</t>
  </si>
  <si>
    <t>DUSPARA, Jana MISS</t>
  </si>
  <si>
    <t>Duspara</t>
  </si>
  <si>
    <t>Jana</t>
  </si>
  <si>
    <t>24 Helmsley Avenue</t>
  </si>
  <si>
    <t>Lysterfield</t>
  </si>
  <si>
    <t>jana.duspara@mxns.com</t>
  </si>
  <si>
    <t>janaduspara@gmail.com</t>
  </si>
  <si>
    <t>BHATNAGAR, DHIRAJ MR</t>
  </si>
  <si>
    <t>Bhatnagar</t>
  </si>
  <si>
    <t>Dhiraj</t>
  </si>
  <si>
    <t>DHIRAJ</t>
  </si>
  <si>
    <t>11 HIGHLAND AVENUE</t>
  </si>
  <si>
    <t>HAMPTON PARK</t>
  </si>
  <si>
    <t>dhiraj.bhatnagar@mxns.com</t>
  </si>
  <si>
    <t>DHIRAJBH@OUTLOOK.COM</t>
  </si>
  <si>
    <t>DUFFY, Edward MR</t>
  </si>
  <si>
    <t>Duffy</t>
  </si>
  <si>
    <t>Edward</t>
  </si>
  <si>
    <t>23 Brookes Street</t>
  </si>
  <si>
    <t>Thornleigh</t>
  </si>
  <si>
    <t>edward.duffy@mxns.com</t>
  </si>
  <si>
    <t>ed_duffy_87@hotmail.com</t>
  </si>
  <si>
    <t>SERPAUL, ROSHELLE MRS</t>
  </si>
  <si>
    <t>Serpaul</t>
  </si>
  <si>
    <t>ROSHELLE</t>
  </si>
  <si>
    <t>33 HALCYON AVENUE</t>
  </si>
  <si>
    <t>KELLYVILLE</t>
  </si>
  <si>
    <t>ROSHELLE.SERPAUL@MXNS.COM</t>
  </si>
  <si>
    <t>TALLACK, Matthew MR</t>
  </si>
  <si>
    <t>Tallack</t>
  </si>
  <si>
    <t>9 Hollywood Close</t>
  </si>
  <si>
    <t>Templestowe</t>
  </si>
  <si>
    <t>matthew.tallack@mxns.com</t>
  </si>
  <si>
    <t>matt.tallack@gmail.com</t>
  </si>
  <si>
    <t>TANG, LINDA MISS</t>
  </si>
  <si>
    <t>Tang</t>
  </si>
  <si>
    <t>53 NINEVEH CR</t>
  </si>
  <si>
    <t>GREENFIELD PARK</t>
  </si>
  <si>
    <t>LINDA.TANG@MXNS.COM</t>
  </si>
  <si>
    <t>LINDATANG2095@GMAIL.COM</t>
  </si>
  <si>
    <t>QUAN, YISI MS</t>
  </si>
  <si>
    <t>Quan</t>
  </si>
  <si>
    <t>Yisi</t>
  </si>
  <si>
    <t>Y.L.</t>
  </si>
  <si>
    <t>YISI</t>
  </si>
  <si>
    <t>22 SUNHILL AVE</t>
  </si>
  <si>
    <t>louisa.quan@mxns.com</t>
  </si>
  <si>
    <t>YISI66@OPTUSNET.COM.AU</t>
  </si>
  <si>
    <t>Louisa</t>
  </si>
  <si>
    <t>KASHANI, ANGELA MRS</t>
  </si>
  <si>
    <t>Kashani</t>
  </si>
  <si>
    <t>UNIT 3, 43 CAMPBELL TERRACE, WAVELL HEIGHTS</t>
  </si>
  <si>
    <t>WAVELL HEIGHTS</t>
  </si>
  <si>
    <t>ANGELA.KASHANI@MXNS.COM</t>
  </si>
  <si>
    <t>KASHANIS@HOTMAIL.COM</t>
  </si>
  <si>
    <t>UNIT 3, 43 CAMPBELL TERRACE</t>
  </si>
  <si>
    <t>BONDO, Asaph MR</t>
  </si>
  <si>
    <t>Bondo</t>
  </si>
  <si>
    <t>Asaph</t>
  </si>
  <si>
    <t>34 Dodson Road</t>
  </si>
  <si>
    <t>Officer</t>
  </si>
  <si>
    <t>asaph.bondo@mxns.com</t>
  </si>
  <si>
    <t>acebond18@outlook.com</t>
  </si>
  <si>
    <t>WIN, Kyu Kyu MRS</t>
  </si>
  <si>
    <t>Win</t>
  </si>
  <si>
    <t>Kyu Kyu</t>
  </si>
  <si>
    <t>39 Jordan Street</t>
  </si>
  <si>
    <t>Wentworthville</t>
  </si>
  <si>
    <t>kyu.win@mxns.com</t>
  </si>
  <si>
    <t>kyuwin2006@gmail.com</t>
  </si>
  <si>
    <t>EDEN, ANTHONY MR</t>
  </si>
  <si>
    <t>Eden</t>
  </si>
  <si>
    <t>17 LYGON STREET</t>
  </si>
  <si>
    <t>CAULFIELD SOUTH</t>
  </si>
  <si>
    <t>AEDEN1963@HOTMAIL.COM</t>
  </si>
  <si>
    <t>LANGI, KATOKAKALA MISS</t>
  </si>
  <si>
    <t>Langi</t>
  </si>
  <si>
    <t>KATOKAKALA</t>
  </si>
  <si>
    <t>321 NORTH ROCKS ROAD</t>
  </si>
  <si>
    <t>NORTH ROCKS</t>
  </si>
  <si>
    <t>KAT.LANGI@MXNS.COM</t>
  </si>
  <si>
    <t>KLANGI@OUTLOOK.COM</t>
  </si>
  <si>
    <t>FELTON, ELAINE MISS</t>
  </si>
  <si>
    <t>Felton</t>
  </si>
  <si>
    <t>ELAINE</t>
  </si>
  <si>
    <t>1 STARSHINE STREET</t>
  </si>
  <si>
    <t>MEADOWBROOK</t>
  </si>
  <si>
    <t>ELAINE.MEDEIROS@MXNS.COM</t>
  </si>
  <si>
    <t>ELAINEDASM@GMAIL.COM</t>
  </si>
  <si>
    <t>ARIENS, Emily MS</t>
  </si>
  <si>
    <t>Ariens</t>
  </si>
  <si>
    <t>Emily</t>
  </si>
  <si>
    <t>4/118 Carmody Rd</t>
  </si>
  <si>
    <t>St Lucia</t>
  </si>
  <si>
    <t>emiley.ariens@mxns.com</t>
  </si>
  <si>
    <t>emilyariens@gmail.com</t>
  </si>
  <si>
    <t>KARANTH, SUMUKHA MR</t>
  </si>
  <si>
    <t>Karanth</t>
  </si>
  <si>
    <t>SUMUKHA</t>
  </si>
  <si>
    <t>6, MERRIGUM CRESCENT</t>
  </si>
  <si>
    <t>CLARINDA</t>
  </si>
  <si>
    <t>SUMUKH.KARANTH@MXNS.COM</t>
  </si>
  <si>
    <t>SUKARANTH@GMAIL.COM</t>
  </si>
  <si>
    <t>RECHE SOLER, YAIZA MISS</t>
  </si>
  <si>
    <t>Reche Soler</t>
  </si>
  <si>
    <t>YAIZA</t>
  </si>
  <si>
    <t>Y.</t>
  </si>
  <si>
    <t>3 SAMARA PLACE</t>
  </si>
  <si>
    <t>NOOSA HEADS</t>
  </si>
  <si>
    <t>YAIZA.SOLER@MXNS.COM</t>
  </si>
  <si>
    <t>YAIZARECHESOLER@GMAIL.COM</t>
  </si>
  <si>
    <t>MOSS, Linda MISS</t>
  </si>
  <si>
    <t>Moss</t>
  </si>
  <si>
    <t>Linda</t>
  </si>
  <si>
    <t>L.A.</t>
  </si>
  <si>
    <t>18 Bell St</t>
  </si>
  <si>
    <t>Woody Point</t>
  </si>
  <si>
    <t>Anne</t>
  </si>
  <si>
    <t>ARKELL, DAVID MR</t>
  </si>
  <si>
    <t>Arkell</t>
  </si>
  <si>
    <t>6A TALOFA AVENUE</t>
  </si>
  <si>
    <t>BRIGHTON EAST</t>
  </si>
  <si>
    <t>0484 732 332</t>
  </si>
  <si>
    <t>DAVID.ARKELL@MXNS.COM</t>
  </si>
  <si>
    <t>(03) 8878 2108</t>
  </si>
  <si>
    <t>ANTHONY LLOYD</t>
  </si>
  <si>
    <t>KHANNA, SHEETAL MRS</t>
  </si>
  <si>
    <t>33 BERRIMA CRES</t>
  </si>
  <si>
    <t>WOLLERT</t>
  </si>
  <si>
    <t>SHEETAL.KHANNA@MXNS.COM</t>
  </si>
  <si>
    <t>SHEETAL.KHANNA@LIVE.COM.AU</t>
  </si>
  <si>
    <t>CHARLTON, STEPHANIE MISS</t>
  </si>
  <si>
    <t>Charlton</t>
  </si>
  <si>
    <t>STEPHANIE</t>
  </si>
  <si>
    <t>4A WINDLE AVE</t>
  </si>
  <si>
    <t>HOXTON PARK</t>
  </si>
  <si>
    <t>STEPHANIE.CHARLTON@MXNS.COM</t>
  </si>
  <si>
    <t>S.J.CHARLTON14@GMAIL.COM</t>
  </si>
  <si>
    <t>MATHEW, SARAH MISS</t>
  </si>
  <si>
    <t>Mathew</t>
  </si>
  <si>
    <t>SARAH</t>
  </si>
  <si>
    <t>UNIT 3/54 SPENCER ROAD</t>
  </si>
  <si>
    <t>CAMBERWELL</t>
  </si>
  <si>
    <t>SARAH.MATHEW@MXNS.COM</t>
  </si>
  <si>
    <t>SMATHEW_03@HOTMAIL.COM</t>
  </si>
  <si>
    <t>SEKULOVSKI, SILVANA MRS</t>
  </si>
  <si>
    <t>SILVANA</t>
  </si>
  <si>
    <t>71 GRENDA DR</t>
  </si>
  <si>
    <t>MILL PARK</t>
  </si>
  <si>
    <t>SILVANA.MITEVA@MXNS.COM</t>
  </si>
  <si>
    <t>MITEVASILVANA@GMAIL.COM</t>
  </si>
  <si>
    <t>KHAW, SARAH MS</t>
  </si>
  <si>
    <t>Khaw</t>
  </si>
  <si>
    <t>45 FRENCH STREET</t>
  </si>
  <si>
    <t>KOGARAH</t>
  </si>
  <si>
    <t>SARAH.KHAW@MXNS.COM</t>
  </si>
  <si>
    <t>SKHAW87@HOTMAIL.COM</t>
  </si>
  <si>
    <t>E</t>
  </si>
  <si>
    <t>End of Contract</t>
  </si>
  <si>
    <t>ALI, MEHWISH MRS</t>
  </si>
  <si>
    <t>Ali</t>
  </si>
  <si>
    <t>MEHWISH</t>
  </si>
  <si>
    <t>UNIT 9/95-97 ADELAIDE STREET</t>
  </si>
  <si>
    <t>OXLEY PARK</t>
  </si>
  <si>
    <t>MEHWISH.ALI@MXNS.COM</t>
  </si>
  <si>
    <t>MEHWISH200@YAHOO.COM.AU</t>
  </si>
  <si>
    <t>UNIT 9/93-95 OXLEY PARK</t>
  </si>
  <si>
    <t>FROLOV, ANASTASIA MRS</t>
  </si>
  <si>
    <t>Frolov</t>
  </si>
  <si>
    <t>ANASTASIA</t>
  </si>
  <si>
    <t>16A BIRDWOOD ST</t>
  </si>
  <si>
    <t>BENTLEIGH EAST</t>
  </si>
  <si>
    <t>ANASTASIA.FROLOV@MXNS.COM</t>
  </si>
  <si>
    <t>AZARTAISKI@GMAIL.COM</t>
  </si>
  <si>
    <t>REID, SHELLEY MRS</t>
  </si>
  <si>
    <t>Reid</t>
  </si>
  <si>
    <t>SHELLEY</t>
  </si>
  <si>
    <t>6 LEWIS RD</t>
  </si>
  <si>
    <t>SHELLEY.REID@MXNS.COM</t>
  </si>
  <si>
    <t>CHRISSHELLEYREID@YAHOO.COM.AU</t>
  </si>
  <si>
    <t>LEEANNE</t>
  </si>
  <si>
    <t>WANG, AO MR</t>
  </si>
  <si>
    <t>Wang</t>
  </si>
  <si>
    <t>AO</t>
  </si>
  <si>
    <t>506/1 GUESS AVENUE</t>
  </si>
  <si>
    <t>WOLLI CREEK</t>
  </si>
  <si>
    <t>AO.WANG@MXNS.COM.AU</t>
  </si>
  <si>
    <t>1057323630@GG.COM</t>
  </si>
  <si>
    <t>MCKERN, PING MRS</t>
  </si>
  <si>
    <t>Mckern</t>
  </si>
  <si>
    <t>PING</t>
  </si>
  <si>
    <t>44 SALTWATER CRESCENT</t>
  </si>
  <si>
    <t>PING.MCKERN@MXNS.COM</t>
  </si>
  <si>
    <t>PINGMCKERN@GMAIL.COM</t>
  </si>
  <si>
    <t>PARMAR, DINUSHA MRS</t>
  </si>
  <si>
    <t>Parmar</t>
  </si>
  <si>
    <t>DINUSHA</t>
  </si>
  <si>
    <t>26A NORMAC ROAD</t>
  </si>
  <si>
    <t>GIRRAWEEN</t>
  </si>
  <si>
    <t>DINUSHA.PARMAR@MXNS.COM</t>
  </si>
  <si>
    <t>DINUSHAPARMAR@GMAIL.COM</t>
  </si>
  <si>
    <t>VERNEKAR, SONAL MRS</t>
  </si>
  <si>
    <t>Vernekar</t>
  </si>
  <si>
    <t>SONAL</t>
  </si>
  <si>
    <t>209/348 CANTERBURY ROAD</t>
  </si>
  <si>
    <t>SURREY HILLS</t>
  </si>
  <si>
    <t>SONAL.VERNEKAR@MXNS.COM</t>
  </si>
  <si>
    <t>SONALVERNEKAR08@GMAIL.COM</t>
  </si>
  <si>
    <t>ELHALIS, HOSAM MR</t>
  </si>
  <si>
    <t>Elhalis</t>
  </si>
  <si>
    <t>HOSAM</t>
  </si>
  <si>
    <t>H.M.</t>
  </si>
  <si>
    <t>9 HOPE STREET</t>
  </si>
  <si>
    <t>HOSAM.ELHALIS@MXNS.COM</t>
  </si>
  <si>
    <t>HOSAM_VET2000@YAHOO.COM</t>
  </si>
  <si>
    <t>MOSAD ELBASIONY</t>
  </si>
  <si>
    <t>DAS, ARPITA MRS</t>
  </si>
  <si>
    <t>Das</t>
  </si>
  <si>
    <t>ARPITA</t>
  </si>
  <si>
    <t>UNIT 4/59 OHANNESSY STREET</t>
  </si>
  <si>
    <t>ARPITA.DAS@MXNS.COM</t>
  </si>
  <si>
    <t>ARPI.DAS12@GMAIL.COM</t>
  </si>
  <si>
    <t>WEERAKKODY, NIMSHA MRS</t>
  </si>
  <si>
    <t>Weerakkody</t>
  </si>
  <si>
    <t>NIMSHA</t>
  </si>
  <si>
    <t>N.S.</t>
  </si>
  <si>
    <t>211/6 MUSGRAVE STREET</t>
  </si>
  <si>
    <t>NIMSHA.WEERAKKODY@MXNS.COM</t>
  </si>
  <si>
    <t>NIMSHAWEE@GMAIL.COM</t>
  </si>
  <si>
    <t>SEVWANDIKA</t>
  </si>
  <si>
    <t>DANIELLS, MARIE MISS</t>
  </si>
  <si>
    <t>Daniells</t>
  </si>
  <si>
    <t>M.E.</t>
  </si>
  <si>
    <t>8 ZEIL COURT</t>
  </si>
  <si>
    <t>ALEXANDER HEIGHTS</t>
  </si>
  <si>
    <t>MARIE.DANIELLS@MXNS.COM</t>
  </si>
  <si>
    <t>MARIEDANIELLS@GMAIL.COM</t>
  </si>
  <si>
    <t>ELISE</t>
  </si>
  <si>
    <t>ISSRANI, DHARMENDRA MR</t>
  </si>
  <si>
    <t>Issrani</t>
  </si>
  <si>
    <t>DHARMENDRA</t>
  </si>
  <si>
    <t>11 GLOUCESTER STREET</t>
  </si>
  <si>
    <t>SCHOFIELDS</t>
  </si>
  <si>
    <t>DHARMENDRA.ISSRANI@MXNS.COM</t>
  </si>
  <si>
    <t>DOCTOR4ALL4U@GMAIL.COM</t>
  </si>
  <si>
    <t>GOKCAL, ERCAN MR</t>
  </si>
  <si>
    <t>Gokcal</t>
  </si>
  <si>
    <t>ERCAN</t>
  </si>
  <si>
    <t>14 CANTERBURY PLACE</t>
  </si>
  <si>
    <t>HAWTHORN EAST</t>
  </si>
  <si>
    <t>ERCAN.GOKCAL@MXNS.COM</t>
  </si>
  <si>
    <t>ERCAN_GOKCAL@HOTMAIL.COM</t>
  </si>
  <si>
    <t>MOODLEY, PRESHALIN MR</t>
  </si>
  <si>
    <t>Moodley</t>
  </si>
  <si>
    <t>PRESHALIN</t>
  </si>
  <si>
    <t>10 HUDSON STREET</t>
  </si>
  <si>
    <t>PRESHALIN.MOODLEY@MXNS.COM</t>
  </si>
  <si>
    <t>PRESHALIN.MOODLEY@GMAIL.COM</t>
  </si>
  <si>
    <t>YAN, XUANYI MRS</t>
  </si>
  <si>
    <t>Yan</t>
  </si>
  <si>
    <t>XUANYI</t>
  </si>
  <si>
    <t>X.</t>
  </si>
  <si>
    <t>202,364 CANTERBURY ROAD</t>
  </si>
  <si>
    <t>XUANYI.YAN@MXNS.COM</t>
  </si>
  <si>
    <t>NJYANXUANYI2014@126.COM</t>
  </si>
  <si>
    <t>GEORGAS, GEORGE MR</t>
  </si>
  <si>
    <t>Georgas</t>
  </si>
  <si>
    <t>GEORGE</t>
  </si>
  <si>
    <t>16 WILLS AVENUE</t>
  </si>
  <si>
    <t>CASTLE HILL</t>
  </si>
  <si>
    <t>GEORGE.GEORGAS@MXNS.COM</t>
  </si>
  <si>
    <t>GEORGEGEORGAS@LIVE.COM</t>
  </si>
  <si>
    <t>ADU, KAYODE MR</t>
  </si>
  <si>
    <t>Adu</t>
  </si>
  <si>
    <t>KAYODE</t>
  </si>
  <si>
    <t>K.T.</t>
  </si>
  <si>
    <t xml:space="preserve">38 TIRANA STREET, </t>
  </si>
  <si>
    <t>MITCHAM, MELBOURNE</t>
  </si>
  <si>
    <t>KAYODE.ADU@MXNS.COM</t>
  </si>
  <si>
    <t>ADUKTUS@GMAIL.COM</t>
  </si>
  <si>
    <t>38 TIRANA STREET,</t>
  </si>
  <si>
    <t>TITUS</t>
  </si>
  <si>
    <t>RAVELA, SWETHA MRS</t>
  </si>
  <si>
    <t>Ravela</t>
  </si>
  <si>
    <t>SWETHA</t>
  </si>
  <si>
    <t>19 BEWHOUSE STREET</t>
  </si>
  <si>
    <t>LEPPINGTON</t>
  </si>
  <si>
    <t>SWETHA.RAVELA@MXNS.COM</t>
  </si>
  <si>
    <t>SWETA_RAVELA@YAHOO.COM</t>
  </si>
  <si>
    <t>BEWHOUSE STREET</t>
  </si>
  <si>
    <t>TOMENA, NAMEER MR</t>
  </si>
  <si>
    <t>Tomena</t>
  </si>
  <si>
    <t>NAMEER</t>
  </si>
  <si>
    <t>N.N.</t>
  </si>
  <si>
    <t>4 GLOBE STREET</t>
  </si>
  <si>
    <t>MIDDLETON GRANGE</t>
  </si>
  <si>
    <t>TOMENA.NAMEER@MXNS.COM</t>
  </si>
  <si>
    <t>TOMENANAMER@GMAIL.COM</t>
  </si>
  <si>
    <t>NADER KHOSHABA</t>
  </si>
  <si>
    <t>HUANG, YANRONG MISS</t>
  </si>
  <si>
    <t>Huang</t>
  </si>
  <si>
    <t>YANRONG</t>
  </si>
  <si>
    <t>1 WEST COURT</t>
  </si>
  <si>
    <t>EMILY.HUANG@MXNS.COM</t>
  </si>
  <si>
    <t>YRHUANG.06@GMAIL.COM</t>
  </si>
  <si>
    <t>GODDAER, KEVIN MR</t>
  </si>
  <si>
    <t>Goddaer</t>
  </si>
  <si>
    <t>KEVIN</t>
  </si>
  <si>
    <t>4 LAKEFIELD DRIVE</t>
  </si>
  <si>
    <t>VICTORIA POINT</t>
  </si>
  <si>
    <t>KEVIN.GODDAER@MXNS.COM</t>
  </si>
  <si>
    <t>KEVINGODDAER@BIGPOND.COM</t>
  </si>
  <si>
    <t>LIN, LIN MISS</t>
  </si>
  <si>
    <t>Lin</t>
  </si>
  <si>
    <t>LIN</t>
  </si>
  <si>
    <t>405/1 WATTS STREET</t>
  </si>
  <si>
    <t>BOX HILL</t>
  </si>
  <si>
    <t>LIN.LIN@MXNS.COM</t>
  </si>
  <si>
    <t>LYNNELIN0415@GMAIL.COM</t>
  </si>
  <si>
    <t>SASTRY, SUBRAMANYA MR</t>
  </si>
  <si>
    <t>Sastry</t>
  </si>
  <si>
    <t>SUBRAMANYA</t>
  </si>
  <si>
    <t>2/333A CLAYTON ROAD</t>
  </si>
  <si>
    <t>SASTRY.SUBRAMANYA@MXNS.COM</t>
  </si>
  <si>
    <t>SUBRAMANYASASTRY93@GMAIL.COM</t>
  </si>
  <si>
    <t>BOURKE, MURRAY MR</t>
  </si>
  <si>
    <t>Bourke</t>
  </si>
  <si>
    <t>MURRAY</t>
  </si>
  <si>
    <t>303/98 RIVER ESPLANADE</t>
  </si>
  <si>
    <t>DOCKLANDS</t>
  </si>
  <si>
    <t>MURRAY.BOURKE@MXNS.COM</t>
  </si>
  <si>
    <t>MBDJ68@GMAIL.COM</t>
  </si>
  <si>
    <t>ALEXANDER</t>
  </si>
  <si>
    <t>FYFE, GRAHAM MR</t>
  </si>
  <si>
    <t>Fyfe</t>
  </si>
  <si>
    <t>GRAHAM</t>
  </si>
  <si>
    <t>112 BENFER ROAD</t>
  </si>
  <si>
    <t>FYFE.GRAHAM@MXNS.COM</t>
  </si>
  <si>
    <t>FYFE16@HOTMAIL.COM</t>
  </si>
  <si>
    <t>KODOR, MARA MRS</t>
  </si>
  <si>
    <t>Kodor</t>
  </si>
  <si>
    <t>MARA</t>
  </si>
  <si>
    <t>52 TOLMER STREET</t>
  </si>
  <si>
    <t>BOSSLEY PARK</t>
  </si>
  <si>
    <t>MARAKODOR@MXNS.COM</t>
  </si>
  <si>
    <t>MARAKODOR@HOTMAIL.COM</t>
  </si>
  <si>
    <t>TUIMASEVE, AMENAH MRS</t>
  </si>
  <si>
    <t>Tuimaseve</t>
  </si>
  <si>
    <t>AMENAH</t>
  </si>
  <si>
    <t>77 BUNGARRA CRESCENT</t>
  </si>
  <si>
    <t>CHIPPING NORTON</t>
  </si>
  <si>
    <t>AMENAH.TUIMASEVE@MXNS.COM</t>
  </si>
  <si>
    <t>MENATUIMASEVE@OUTLOOK.COM</t>
  </si>
  <si>
    <t>SANOBER, FAHMI MS</t>
  </si>
  <si>
    <t>Sanober</t>
  </si>
  <si>
    <t>FAHMY</t>
  </si>
  <si>
    <t>FAHMI</t>
  </si>
  <si>
    <t>32 LOCKHEED DRIVE</t>
  </si>
  <si>
    <t>FAHMI.SANOBER@MXNS.COM</t>
  </si>
  <si>
    <t>SANOBERFAHMI@GMAIL.COM</t>
  </si>
  <si>
    <t>PATEL, SWETA SHANTILAL MISS</t>
  </si>
  <si>
    <t>SWETA SHANTILAL</t>
  </si>
  <si>
    <t>UNIT 2 9 STATION STREET WEST</t>
  </si>
  <si>
    <t>PARRAMATTA</t>
  </si>
  <si>
    <t>SWETA.PATEL@MXNS.COM</t>
  </si>
  <si>
    <t>PATELSWETAS1119@GMAIL.COM</t>
  </si>
  <si>
    <t>SURYAVANSHI, SNEHAL HEMANT MRS</t>
  </si>
  <si>
    <t>Suryavanshi</t>
  </si>
  <si>
    <t>SNEHAL HEMANT</t>
  </si>
  <si>
    <t>3/65 ROBERT STREET</t>
  </si>
  <si>
    <t>COMO</t>
  </si>
  <si>
    <t>SNEHAL.SURYAVANSHI@MXNS.COM</t>
  </si>
  <si>
    <t>SHEHALSURYAVANSHI5@GMAIL.COM</t>
  </si>
  <si>
    <t>TUIMASEVE, DEVOE ROMEO MR</t>
  </si>
  <si>
    <t>DEVOE ROMEO</t>
  </si>
  <si>
    <t>DEVOE.TUIMASEVE@MXNS.COM</t>
  </si>
  <si>
    <t>DEVOETUIMASEVE@HOTMAIL.COM</t>
  </si>
  <si>
    <t>MARKOV, SONIA KATICA MISS</t>
  </si>
  <si>
    <t>Markov</t>
  </si>
  <si>
    <t>SONIA KATICA</t>
  </si>
  <si>
    <t>31 BRISET STREET</t>
  </si>
  <si>
    <t>DURACK</t>
  </si>
  <si>
    <t>SONIA.MARKOV@MXNS.COM</t>
  </si>
  <si>
    <t>SONIAMARKOV@HOTMAIL.COM</t>
  </si>
  <si>
    <t>SEAL, MIHIKA MS</t>
  </si>
  <si>
    <t>Seal</t>
  </si>
  <si>
    <t>MIHIKA</t>
  </si>
  <si>
    <t>M.M.</t>
  </si>
  <si>
    <t>80 STIRLING STREET</t>
  </si>
  <si>
    <t>PERTH</t>
  </si>
  <si>
    <t>MIHIKA.SEAL@MXNS.COM</t>
  </si>
  <si>
    <t>MICKEYSEAL01@GMAIL.COM</t>
  </si>
  <si>
    <t>MICKEY</t>
  </si>
  <si>
    <t>MADHAWAN, RAVI MR</t>
  </si>
  <si>
    <t>Madhawan</t>
  </si>
  <si>
    <t>RAVI</t>
  </si>
  <si>
    <t>R.S.</t>
  </si>
  <si>
    <t>437 LOWER DANDENONG ROAD</t>
  </si>
  <si>
    <t>DINGLEY VILLAGE</t>
  </si>
  <si>
    <t>RAVI.MADHAWAN@MXNS.COM</t>
  </si>
  <si>
    <t>RAVZ20@GMAIL.COM</t>
  </si>
  <si>
    <t>SHIVA</t>
  </si>
  <si>
    <t>MITCHELL, THOMAS MR</t>
  </si>
  <si>
    <t>Mitchell</t>
  </si>
  <si>
    <t>T.C.</t>
  </si>
  <si>
    <t>43 DUNEBA DRIVE</t>
  </si>
  <si>
    <t>WESTLEIGH</t>
  </si>
  <si>
    <t>THOMAS.MITCHELL@MXNS.COM</t>
  </si>
  <si>
    <t>THOMASMITCHELL988@HOTMAIL.COM</t>
  </si>
  <si>
    <t>CHARLES</t>
  </si>
  <si>
    <t>BHARADWAJ, GAURAV MR</t>
  </si>
  <si>
    <t>Bharadwaj</t>
  </si>
  <si>
    <t>GAURAV</t>
  </si>
  <si>
    <t>UNIT 808, 12 QUEENS ROAD</t>
  </si>
  <si>
    <t>MELBOURNE</t>
  </si>
  <si>
    <t>GAURAV.BHARADWAJ@MXNS.COM</t>
  </si>
  <si>
    <t>GAURAV93AUS@GMAIL.COM</t>
  </si>
  <si>
    <t>PRAKASH</t>
  </si>
  <si>
    <t>ZHOU, JIAN MS</t>
  </si>
  <si>
    <t>Zhou</t>
  </si>
  <si>
    <t>JIAN</t>
  </si>
  <si>
    <t>104/956 DONCASTER ROAD</t>
  </si>
  <si>
    <t>JIAN.ZHOU@MXNS.COM</t>
  </si>
  <si>
    <t>ZOECHOU050716@GMAIL.COM</t>
  </si>
  <si>
    <t>YU, SHAN MISS</t>
  </si>
  <si>
    <t>Yu</t>
  </si>
  <si>
    <t>SHAN</t>
  </si>
  <si>
    <t>UNIT 12, 51 MEEKS STREET</t>
  </si>
  <si>
    <t>KINGSFORD</t>
  </si>
  <si>
    <t>SHAN.YU@MXNS.COM</t>
  </si>
  <si>
    <t>SHARON940817@GMAIL.COM</t>
  </si>
  <si>
    <t>TSELEKIDIS, SIA MS</t>
  </si>
  <si>
    <t>Tselekidis</t>
  </si>
  <si>
    <t>THEODOSIA</t>
  </si>
  <si>
    <t>SIA</t>
  </si>
  <si>
    <t>79/4 MYOLA STREET</t>
  </si>
  <si>
    <t>BROWNS PLAINS</t>
  </si>
  <si>
    <t>SIA.TSELEKIDIS@MXNS.COM</t>
  </si>
  <si>
    <t>SIAMAVRO1@GMAIL.COM</t>
  </si>
  <si>
    <t>ABBAS, FAISAL MR</t>
  </si>
  <si>
    <t>Abbas</t>
  </si>
  <si>
    <t>FAISAL</t>
  </si>
  <si>
    <t>UNIT 4/61 BISHOP STREET</t>
  </si>
  <si>
    <t>FAISAL.ABBAS@MXNS.COM</t>
  </si>
  <si>
    <t>FAISALABS@HOTMAIL.COM</t>
  </si>
  <si>
    <t>ABEL, SURESHKUMAR MR</t>
  </si>
  <si>
    <t>Abel</t>
  </si>
  <si>
    <t>SURESHKUMAR</t>
  </si>
  <si>
    <t>101 ESKDALE STREET</t>
  </si>
  <si>
    <t>MINCHINBURY</t>
  </si>
  <si>
    <t>SURESHKUMAR.ABEL@MXNS.COM</t>
  </si>
  <si>
    <t>SIL_ABEL@YAHOO.COM</t>
  </si>
  <si>
    <t>CULLEN, TAYLA MISS</t>
  </si>
  <si>
    <t>Cullen</t>
  </si>
  <si>
    <t>TAYLA KATHERINE</t>
  </si>
  <si>
    <t>TAYLA</t>
  </si>
  <si>
    <t>21 RAILWAY AVENUE</t>
  </si>
  <si>
    <t>UPPER FERNTREE GULLY</t>
  </si>
  <si>
    <t>TAYLA.LUMATZ@MXNS.COM</t>
  </si>
  <si>
    <t>TAYLA.LUMATZ@GMAIL.COM</t>
  </si>
  <si>
    <t>MAKHECHA, TARQUIN CHANDULAL MR</t>
  </si>
  <si>
    <t>Makhecha</t>
  </si>
  <si>
    <t>TARQUIN CHANDULAL</t>
  </si>
  <si>
    <t>16 WARBURTON STREET</t>
  </si>
  <si>
    <t>MURRUMBA DOWNS</t>
  </si>
  <si>
    <t>TARQUIN.MAKHECHA@MXNS.COM</t>
  </si>
  <si>
    <t>TARQUINM@LIVE.COM.AU</t>
  </si>
  <si>
    <t>GREENWOOD, AMBER MISS</t>
  </si>
  <si>
    <t>Greenwood</t>
  </si>
  <si>
    <t>AMBER</t>
  </si>
  <si>
    <t>21/81-85 MIRANDA ROAD</t>
  </si>
  <si>
    <t>MIRANDA</t>
  </si>
  <si>
    <t>AMBER.GREENWOOD@MXNS.COM</t>
  </si>
  <si>
    <t>AMBER_GREENWOOD@HOTMAIL.COM</t>
  </si>
  <si>
    <t>ABAZARI, HASTI MRS</t>
  </si>
  <si>
    <t>Abazari</t>
  </si>
  <si>
    <t>HASTI</t>
  </si>
  <si>
    <t>U41 106-108 JOHNSTON STREET</t>
  </si>
  <si>
    <t>ANNANDALE</t>
  </si>
  <si>
    <t>HASTI.ABAZARI@MXNS.COM</t>
  </si>
  <si>
    <t>HAST.ABAZARII@GMAIL.COM</t>
  </si>
  <si>
    <t>XYLOPORTA, MARIA MRS</t>
  </si>
  <si>
    <t>Xyloporta</t>
  </si>
  <si>
    <t>UNIT 2/4-8 PEARCE AVENUE</t>
  </si>
  <si>
    <t>PEAKHURST</t>
  </si>
  <si>
    <t>MARIA.XYLOPORTA@MXNS.COM</t>
  </si>
  <si>
    <t>M.XYLOPORTA@GMAIL.COM</t>
  </si>
  <si>
    <t>JOKATAMA, SIKITI MISS</t>
  </si>
  <si>
    <t>SIKITI TALEI</t>
  </si>
  <si>
    <t>SIKITI</t>
  </si>
  <si>
    <t>11 KOOKABURRA STREET</t>
  </si>
  <si>
    <t>SYDNEY.ADMIN@MXNS.COM</t>
  </si>
  <si>
    <t>NIKEENJET@GMAIL.COM</t>
  </si>
  <si>
    <t>JAGAS, SUZI MS</t>
  </si>
  <si>
    <t>Jagas</t>
  </si>
  <si>
    <t>SUZANNA</t>
  </si>
  <si>
    <t>SUZI</t>
  </si>
  <si>
    <t>28 PLYMOUTH STREET</t>
  </si>
  <si>
    <t>SUZJAGA@YAHOO.COM.AU</t>
  </si>
  <si>
    <t>FIOCCO, GABRIELLA MS</t>
  </si>
  <si>
    <t>Fiocco</t>
  </si>
  <si>
    <t>12 THE DRIVE</t>
  </si>
  <si>
    <t>CONCORD WEST</t>
  </si>
  <si>
    <t>GABRIELLA.FIOCCO@MXNS.COM</t>
  </si>
  <si>
    <t>GABRIELLAFIOCCO@OUTLOOK.COM</t>
  </si>
  <si>
    <t>ASAROGLU, ESRA MS</t>
  </si>
  <si>
    <t>Asaroglu</t>
  </si>
  <si>
    <t>ESRA</t>
  </si>
  <si>
    <t>317 CLYDE STREET</t>
  </si>
  <si>
    <t>SOUTH GRANVILLE</t>
  </si>
  <si>
    <t>ES.ASAROGLU@GMAIL.COM</t>
  </si>
  <si>
    <t>KIANIMEHR, SHIVA MS</t>
  </si>
  <si>
    <t>Kianimehr</t>
  </si>
  <si>
    <t>U3/355-357 ALMA ROAD</t>
  </si>
  <si>
    <t>CAULFIELD NORTH</t>
  </si>
  <si>
    <t>SHIVA.KIANIMEHR@MXNS.COM</t>
  </si>
  <si>
    <t>SHIVA.KIANIMEHR1@GMAIL.COM</t>
  </si>
  <si>
    <t>HARRIS, KYM MS</t>
  </si>
  <si>
    <t>Harris</t>
  </si>
  <si>
    <t>KYM</t>
  </si>
  <si>
    <t>17 GRANES ROAD</t>
  </si>
  <si>
    <t>NORTH IPSWICH</t>
  </si>
  <si>
    <t>KYM.HARRIS@MXNS.COM</t>
  </si>
  <si>
    <t>KYM__@LIVE.COM.AU</t>
  </si>
  <si>
    <t>SOLEIMANI, MARYAM MS</t>
  </si>
  <si>
    <t>Soleimani</t>
  </si>
  <si>
    <t>MARYAM</t>
  </si>
  <si>
    <t>202/956 DONCASTER ROAD</t>
  </si>
  <si>
    <t>JIANG, MICHAEL MR</t>
  </si>
  <si>
    <t>Jiang</t>
  </si>
  <si>
    <t>XUAN</t>
  </si>
  <si>
    <t>X.M.</t>
  </si>
  <si>
    <t>MICHAEL</t>
  </si>
  <si>
    <t>UNIT 37/11 PYRANEES ST</t>
  </si>
  <si>
    <t>CALAMVALE</t>
  </si>
  <si>
    <t>XUAN.JIANG@MXNS.COM</t>
  </si>
  <si>
    <t>XUAN.JIANG@UQ.NET.AU</t>
  </si>
  <si>
    <t>SCHWANKE, ANNMARIE MRS</t>
  </si>
  <si>
    <t>Schwanke</t>
  </si>
  <si>
    <t>ANNMARIE</t>
  </si>
  <si>
    <t>62 NORFOLK ESPLANADE</t>
  </si>
  <si>
    <t>CABOOLTURE SOUTH</t>
  </si>
  <si>
    <t>ANNMARIE.SCHWANKE@MXNS.COM</t>
  </si>
  <si>
    <t>0403 925 441</t>
  </si>
  <si>
    <t>PAJAMBO70@GMAIL.COM</t>
  </si>
  <si>
    <t>KOTHAKONDA, MAYURI MS</t>
  </si>
  <si>
    <t>Kothakonda</t>
  </si>
  <si>
    <t>MAYURI</t>
  </si>
  <si>
    <t>8/3B INNELAN ROAD</t>
  </si>
  <si>
    <t>MURRUMBEENA</t>
  </si>
  <si>
    <t>MAY.KOTHAKONDA@MXNS.COM</t>
  </si>
  <si>
    <t>MAYKOTHAKONDA@YAHOO.COM</t>
  </si>
  <si>
    <t>YUE, TINA MISS</t>
  </si>
  <si>
    <t>Yue</t>
  </si>
  <si>
    <t>YAN</t>
  </si>
  <si>
    <t>Y.T.</t>
  </si>
  <si>
    <t>TINA</t>
  </si>
  <si>
    <t>G05/1 CHARLNET DRIVE</t>
  </si>
  <si>
    <t>TINA.YUE@MXNS.COM</t>
  </si>
  <si>
    <t>TINEYUEYAN@GMAIL.COM</t>
  </si>
  <si>
    <t>BATTY, MELISA MS</t>
  </si>
  <si>
    <t>Batty</t>
  </si>
  <si>
    <t>MELISA</t>
  </si>
  <si>
    <t>14 MESSMATE ROAD</t>
  </si>
  <si>
    <t>MELISA.BATTY@MXNS.COM</t>
  </si>
  <si>
    <t>MELISA_JB@OPTUSNET.COM.AU</t>
  </si>
  <si>
    <t>SAMANTHIPUDI VASUDEVAN, KOKILA MRS</t>
  </si>
  <si>
    <t>Samanthipudi Vasudevan</t>
  </si>
  <si>
    <t>KOKILA</t>
  </si>
  <si>
    <t>UNIT 3 450 OLD CLEVELAND ROAD</t>
  </si>
  <si>
    <t>CAMP HILL</t>
  </si>
  <si>
    <t>KOKILAGAJENDRAN@GMAIL.COM</t>
  </si>
  <si>
    <t>EARLS, GRACE MISS</t>
  </si>
  <si>
    <t>Earls</t>
  </si>
  <si>
    <t>GRACE</t>
  </si>
  <si>
    <t>G.M.</t>
  </si>
  <si>
    <t>2/20 MERIEL STREET</t>
  </si>
  <si>
    <t>SAN SOUCI</t>
  </si>
  <si>
    <t>GRACE.EARLS@MXNS.COM</t>
  </si>
  <si>
    <t>GRACEEARLS_3@HOTMAIL.COM</t>
  </si>
  <si>
    <t>MARGARET</t>
  </si>
  <si>
    <t>COOKE, BRYAN MR</t>
  </si>
  <si>
    <t>BRYAN</t>
  </si>
  <si>
    <t>B.C.</t>
  </si>
  <si>
    <t>844 MALVERN ROAD</t>
  </si>
  <si>
    <t>ARMADALE</t>
  </si>
  <si>
    <t>BRYAN.COOKE@MXNS.COM</t>
  </si>
  <si>
    <t>BRYAN_COOKE@HOTMAIL.COM</t>
  </si>
  <si>
    <t>CAMPBELL</t>
  </si>
  <si>
    <t>DHOBI, JALPABEN MRS</t>
  </si>
  <si>
    <t>Dhobi</t>
  </si>
  <si>
    <t>JALPABEN</t>
  </si>
  <si>
    <t>J.M.</t>
  </si>
  <si>
    <t>UNIT 23/12 WRIGHT STREET</t>
  </si>
  <si>
    <t>JALPA.DHOBI@MXNS.COM</t>
  </si>
  <si>
    <t>JALPADARKUNIYA@GMAIL.COM</t>
  </si>
  <si>
    <t>MOHIT</t>
  </si>
  <si>
    <t>PERTH 6000</t>
  </si>
  <si>
    <t>CHARCHAR, JOSEPH MR</t>
  </si>
  <si>
    <t>Charchar</t>
  </si>
  <si>
    <t>JOSEPH</t>
  </si>
  <si>
    <t>32 TONBRIDGE CIRCLE</t>
  </si>
  <si>
    <t>DERRIMUT</t>
  </si>
  <si>
    <t>JOSEPH.CHARCHAR@MXNS.COM</t>
  </si>
  <si>
    <t>JOSEPH_CHARCHAR@HOTMAIL.COM</t>
  </si>
  <si>
    <t>USMAN, ZAKIYYAH MISS</t>
  </si>
  <si>
    <t>Usman</t>
  </si>
  <si>
    <t>ZAKIYYAH</t>
  </si>
  <si>
    <t>11 QUARRY CCT</t>
  </si>
  <si>
    <t>COBURG</t>
  </si>
  <si>
    <t>ZAKIYYAH.USMAN@MXNS.COM</t>
  </si>
  <si>
    <t>ZAKIYYAH.USMAN@GMAIL.COM</t>
  </si>
  <si>
    <t>BULL, TEAGAN ALICIA MISS</t>
  </si>
  <si>
    <t>Bull</t>
  </si>
  <si>
    <t>TEAGAN ALICIA</t>
  </si>
  <si>
    <t>UNIT 2, 5 CURWEN TERRACE</t>
  </si>
  <si>
    <t>CHERMSIDE</t>
  </si>
  <si>
    <t>TEAGAN.BULL@MXNS.COM</t>
  </si>
  <si>
    <t>TEAGAN.BULL@GMAIL.COM</t>
  </si>
  <si>
    <t>GAO, JIACHEN MISS</t>
  </si>
  <si>
    <t>Gao</t>
  </si>
  <si>
    <t>JIACHEN</t>
  </si>
  <si>
    <t>UNIT 1504, 23 BATMAN STREET</t>
  </si>
  <si>
    <t>WEST MELBOURNE</t>
  </si>
  <si>
    <t>JIACHEN.GAO@MXNS.COM</t>
  </si>
  <si>
    <t>JGGAO@STUDENT.UNIMELB.EDU.AU</t>
  </si>
  <si>
    <t>KAPADIA, MUFFADAL MR</t>
  </si>
  <si>
    <t>Kapadia</t>
  </si>
  <si>
    <t>MUFFADAL</t>
  </si>
  <si>
    <t>UNIT N8, 6 AIRLIE AVENUE</t>
  </si>
  <si>
    <t>PRAHRAN</t>
  </si>
  <si>
    <t>MUFFADAL.KAPADIA@MXNS.COM</t>
  </si>
  <si>
    <t>MUFFADALKAPADIA91@GMAIL.COM</t>
  </si>
  <si>
    <t>NOGUEIRA DE LIMA WU, FLAVIA MS</t>
  </si>
  <si>
    <t>Nogueira De Lima Wu</t>
  </si>
  <si>
    <t>FLAVIA</t>
  </si>
  <si>
    <t>8 CLARENDON CIRCUIT</t>
  </si>
  <si>
    <t>FOREST LAKE</t>
  </si>
  <si>
    <t>FLAVIA.NOGUEIRA@MXNS.COM</t>
  </si>
  <si>
    <t>FLAVIANL@HOTMAIL.COM</t>
  </si>
  <si>
    <t>KHOV, VALERIE MRS</t>
  </si>
  <si>
    <t>Khov</t>
  </si>
  <si>
    <t>VALERIE</t>
  </si>
  <si>
    <t>V.X.</t>
  </si>
  <si>
    <t>28 HOWE AVENUE</t>
  </si>
  <si>
    <t>VALERIE.KHOV@MXNS.COM</t>
  </si>
  <si>
    <t>VALERIEYXTAN@GMAIL.COM</t>
  </si>
  <si>
    <t>XIN YING</t>
  </si>
  <si>
    <t>PRATAP, JYOTHIKA MISS</t>
  </si>
  <si>
    <t>Pratap</t>
  </si>
  <si>
    <t>JYOTHIKA</t>
  </si>
  <si>
    <t>26 PLATT COURT</t>
  </si>
  <si>
    <t>MANGO HILL</t>
  </si>
  <si>
    <t>JYOTHIKA.PRATAP@MXNS.COM</t>
  </si>
  <si>
    <t>PRATAP.JYOTHIKA@GMAIL.COM</t>
  </si>
  <si>
    <t>SO, TERESA MS</t>
  </si>
  <si>
    <t>So</t>
  </si>
  <si>
    <t>TERESA</t>
  </si>
  <si>
    <t>15 BOORAN AVENUE</t>
  </si>
  <si>
    <t>TERESA.SO@MXNS.COM</t>
  </si>
  <si>
    <t>TERESASO2018@GMAIL.COM</t>
  </si>
  <si>
    <t>BENYAMIN, MERNA MRS</t>
  </si>
  <si>
    <t>Benyamin</t>
  </si>
  <si>
    <t>MERNA</t>
  </si>
  <si>
    <t>M.F.</t>
  </si>
  <si>
    <t>1A ROLAND STREET</t>
  </si>
  <si>
    <t>MERNA.BENYAMIN@MXNS.COM</t>
  </si>
  <si>
    <t>MERNA.BENYAMIN@HOTMAIL.COM</t>
  </si>
  <si>
    <t>FARAJ</t>
  </si>
  <si>
    <t>WURR, ALEXANDER MR</t>
  </si>
  <si>
    <t>Wurr</t>
  </si>
  <si>
    <t>5 MARKHAM STREET</t>
  </si>
  <si>
    <t>HOLSWORTHY</t>
  </si>
  <si>
    <t>ALEXANDER.WURR@MXNS.COM</t>
  </si>
  <si>
    <t>ALEXANDER.WURR@GMAIL.COM</t>
  </si>
  <si>
    <t>COUDERT, ZOE MS</t>
  </si>
  <si>
    <t>Coudert</t>
  </si>
  <si>
    <t>Z.J.</t>
  </si>
  <si>
    <t>5 PEARL STREET</t>
  </si>
  <si>
    <t>NEWTOWN</t>
  </si>
  <si>
    <t>ZOE.COUDERT@MXNS.COM</t>
  </si>
  <si>
    <t>5 PEARL ST</t>
  </si>
  <si>
    <t>JULIA</t>
  </si>
  <si>
    <t>HIND, DUNCAN MR</t>
  </si>
  <si>
    <t>Hind</t>
  </si>
  <si>
    <t>DUNCAN</t>
  </si>
  <si>
    <t>D.M.</t>
  </si>
  <si>
    <t>32 NARDOO STREET</t>
  </si>
  <si>
    <t>CAPE PATERSON</t>
  </si>
  <si>
    <t>DUNCAN.HIND@MXNS.COM</t>
  </si>
  <si>
    <t>DUNCANHIND@GMAIL.COM</t>
  </si>
  <si>
    <t>MICHAEL HEATON</t>
  </si>
  <si>
    <t>MASLIN, KATIE MRS</t>
  </si>
  <si>
    <t>Maslin</t>
  </si>
  <si>
    <t>KATIE</t>
  </si>
  <si>
    <t>29A VALETTA STREET</t>
  </si>
  <si>
    <t>CARRUM</t>
  </si>
  <si>
    <t>KATIE.MASLIN@MXNS.COM</t>
  </si>
  <si>
    <t>KATIE@DANOVICH.COM.AU</t>
  </si>
  <si>
    <t>DELANEY, MEGAN FIONA MS</t>
  </si>
  <si>
    <t>Delaney</t>
  </si>
  <si>
    <t>MEGAN FIONA</t>
  </si>
  <si>
    <t>408/8 JEAYS STREET</t>
  </si>
  <si>
    <t>BOWEN HILLS</t>
  </si>
  <si>
    <t>MEG.DELANEY@MXNS.COM</t>
  </si>
  <si>
    <t>GREENMEGSANDHAM@GMAIL.COM</t>
  </si>
  <si>
    <t>TONG, DE MISS</t>
  </si>
  <si>
    <t>Tong</t>
  </si>
  <si>
    <t>DE</t>
  </si>
  <si>
    <t>D.Y.</t>
  </si>
  <si>
    <t>U 11/540 SWANSTON STREET</t>
  </si>
  <si>
    <t>DE.TONG@MXNS.COM</t>
  </si>
  <si>
    <t>TONGDEYI2000@GMAIL.COM</t>
  </si>
  <si>
    <t>YI</t>
  </si>
  <si>
    <t>FROST, JAMES MR</t>
  </si>
  <si>
    <t>Frost</t>
  </si>
  <si>
    <t>JAMES</t>
  </si>
  <si>
    <t>7-240 WELLINGTON ROAD</t>
  </si>
  <si>
    <t>JAMES.FROST@MXNS.COM</t>
  </si>
  <si>
    <t>JAMES.FROST84@GMAIL.COM</t>
  </si>
  <si>
    <t>FERRIS, NADIA MISS</t>
  </si>
  <si>
    <t>Ferris</t>
  </si>
  <si>
    <t>NADIA</t>
  </si>
  <si>
    <t>4 CENTENNIAL PARK COURT</t>
  </si>
  <si>
    <t>WATTLE GROVE</t>
  </si>
  <si>
    <t>NADIA.FERRIS@MXNS.COM</t>
  </si>
  <si>
    <t>NADIAFERRIS@OUTLOOK.COM</t>
  </si>
  <si>
    <t>SHEREE</t>
  </si>
  <si>
    <t>WHITE, TERESA MS</t>
  </si>
  <si>
    <t>White</t>
  </si>
  <si>
    <t>T.R.</t>
  </si>
  <si>
    <t>4/26 YAMBOYNA STREET</t>
  </si>
  <si>
    <t>MANLY</t>
  </si>
  <si>
    <t>TERESA.WHITE@MXNS.COM</t>
  </si>
  <si>
    <t>TERESAWHITE@OUTLOOK.COM</t>
  </si>
  <si>
    <t>RUTH</t>
  </si>
  <si>
    <t>PARK, SUNG MR</t>
  </si>
  <si>
    <t>SUNG</t>
  </si>
  <si>
    <t>S.W.</t>
  </si>
  <si>
    <t>UI/3/-5 FREDERICK STREET</t>
  </si>
  <si>
    <t>HORNSBY</t>
  </si>
  <si>
    <t>SUNG.PARK@MXNS.COM</t>
  </si>
  <si>
    <t>PSUNG0212@GMAIL.COM</t>
  </si>
  <si>
    <t>WOOK</t>
  </si>
  <si>
    <t>NARAYANA SWAMY, KUSUMA MRS</t>
  </si>
  <si>
    <t>Narayana Swamy</t>
  </si>
  <si>
    <t>KUSUMA</t>
  </si>
  <si>
    <t>6 MERRIGUM CRESCENT</t>
  </si>
  <si>
    <t>KUSUMA.NARAYAN@MXNS.COM</t>
  </si>
  <si>
    <t>KUSUMAN1992@GMAIL.COM</t>
  </si>
  <si>
    <t>MENON, SHIVANI MISS</t>
  </si>
  <si>
    <t>SHIVANI</t>
  </si>
  <si>
    <t>115 MALIBU BOULEVARD</t>
  </si>
  <si>
    <t>POINT COOK</t>
  </si>
  <si>
    <t>SHIVANI.MENON@MXNS.COM</t>
  </si>
  <si>
    <t>YOON, YOUG KEE MR</t>
  </si>
  <si>
    <t>Yoon</t>
  </si>
  <si>
    <t>YOUG KEE</t>
  </si>
  <si>
    <t>U204/569 WHITEHORSE ROAD</t>
  </si>
  <si>
    <t>YONG.YOON@MXNS.COM</t>
  </si>
  <si>
    <t>DILEK, OZKAN MR</t>
  </si>
  <si>
    <t>Dilek</t>
  </si>
  <si>
    <t>OZKAN</t>
  </si>
  <si>
    <t>O.</t>
  </si>
  <si>
    <t>18 MAGRA PLACE</t>
  </si>
  <si>
    <t>ROXBURGH PARK</t>
  </si>
  <si>
    <t>OSCAR.DILEK@MXNS.COM</t>
  </si>
  <si>
    <t>CREDITCOLLECTIVECONTACT@GMAIL.COM</t>
  </si>
  <si>
    <t>CRAWCOUR, BRONWYN MISS</t>
  </si>
  <si>
    <t>Crawcour</t>
  </si>
  <si>
    <t>BRONWYN</t>
  </si>
  <si>
    <t>B.G.</t>
  </si>
  <si>
    <t>205/1 JEAN  WAILES AVENUE</t>
  </si>
  <si>
    <t>RHODES</t>
  </si>
  <si>
    <t>BRONWYN.CRAWCOUR@MXNS.COM</t>
  </si>
  <si>
    <t>BRONWINGCRAWCOUR@GMAIL.COM</t>
  </si>
  <si>
    <t>GEBNEVIEVE</t>
  </si>
  <si>
    <t>CHEN, JIAOYANG MS</t>
  </si>
  <si>
    <t>JIAOYANG</t>
  </si>
  <si>
    <t>7/2 BRAID STREET</t>
  </si>
  <si>
    <t>JIAOYANG.CHEN@MXNS.COM</t>
  </si>
  <si>
    <t>JIAOYANGCHEN1@OUTLOOK.COM</t>
  </si>
  <si>
    <t>AKKOYUN, METE HAN MR</t>
  </si>
  <si>
    <t>Akkoyun</t>
  </si>
  <si>
    <t>METE HAN</t>
  </si>
  <si>
    <t>509/268-270 LIVERPOOL ROAD</t>
  </si>
  <si>
    <t>ASHFIELD</t>
  </si>
  <si>
    <t>METEHAN.AKKOYUN@MXNS.COM</t>
  </si>
  <si>
    <t>METEHANAK@HOTMAIL.COM</t>
  </si>
  <si>
    <t>HAVELOS, VASILIKI MRS</t>
  </si>
  <si>
    <t>Havelos</t>
  </si>
  <si>
    <t>VASILIKI</t>
  </si>
  <si>
    <t>6 GILLARD STREET</t>
  </si>
  <si>
    <t>VICKI.HAVELOS@MXNS.COM</t>
  </si>
  <si>
    <t>VGATZI@YAHOO.COM</t>
  </si>
  <si>
    <t>TOSEVSKA, DANIELA MS</t>
  </si>
  <si>
    <t>Tosevska</t>
  </si>
  <si>
    <t>DANIELA</t>
  </si>
  <si>
    <t>7/4 EDEN PL</t>
  </si>
  <si>
    <t>WALLAN</t>
  </si>
  <si>
    <t>DANIELA.TOSEVSKA@MXNS.COM</t>
  </si>
  <si>
    <t>DANNI.TOSEV@OUTLOOK.COM</t>
  </si>
  <si>
    <t>ZHAO, ZHENJUN MR</t>
  </si>
  <si>
    <t>Zhao</t>
  </si>
  <si>
    <t>ZHENJUN</t>
  </si>
  <si>
    <t>48 COLLINS STREET</t>
  </si>
  <si>
    <t>BELMORE</t>
  </si>
  <si>
    <t>ZHENJUN.ZHAO@MXNS.COM</t>
  </si>
  <si>
    <t>ZJZHAO63@HOTMAIL.COM</t>
  </si>
  <si>
    <t>SHARIF, SHARAGIN MRS</t>
  </si>
  <si>
    <t>Sharif</t>
  </si>
  <si>
    <t>SHARAGIN</t>
  </si>
  <si>
    <t>28 WILLIAMS ROAD</t>
  </si>
  <si>
    <t>SHARAGIN.SHARIF@MXNS.COM</t>
  </si>
  <si>
    <t>SHARAGIN.SHARIF15@GMAIL.COM</t>
  </si>
  <si>
    <t>COOTE, PETA CATHERINE MS</t>
  </si>
  <si>
    <t>Coote</t>
  </si>
  <si>
    <t>PETA CATHERINE</t>
  </si>
  <si>
    <t>30 FLOWERDALE ROAD</t>
  </si>
  <si>
    <t>GLEN IRIS</t>
  </si>
  <si>
    <t>PETA.COOTE@MXNS.COM</t>
  </si>
  <si>
    <t>JOHNPETA1@BIGPOND.COM</t>
  </si>
  <si>
    <t>RANGARAJ, USHA MRS</t>
  </si>
  <si>
    <t>Rangaraj</t>
  </si>
  <si>
    <t>USHA</t>
  </si>
  <si>
    <t>5A FERNHILL AVENUE</t>
  </si>
  <si>
    <t>EPPING</t>
  </si>
  <si>
    <t>USHA.RANGARAJ@MXNS.COM</t>
  </si>
  <si>
    <t>USHA.RANGARAJ@GMAIL.COM</t>
  </si>
  <si>
    <t>HANANIA, FERRIZ MR</t>
  </si>
  <si>
    <t>Hanania</t>
  </si>
  <si>
    <t>FERRIZ</t>
  </si>
  <si>
    <t>F.I.</t>
  </si>
  <si>
    <t>51A  PALMERSTON ROAD</t>
  </si>
  <si>
    <t>FARFIELD WEST</t>
  </si>
  <si>
    <t>FERRIZ.HANANIA@MXNS.COM</t>
  </si>
  <si>
    <t>FERRIZ.HANANIA@GMAIL.COM</t>
  </si>
  <si>
    <t>ISSA</t>
  </si>
  <si>
    <t>AHMED, IMTIAZ MR</t>
  </si>
  <si>
    <t>Ahmed</t>
  </si>
  <si>
    <t>IMTIAZ</t>
  </si>
  <si>
    <t>8 TOWNER AVENUE</t>
  </si>
  <si>
    <t>MILPERRA</t>
  </si>
  <si>
    <t>IMTIAZ.AHMED@MXNS.COM</t>
  </si>
  <si>
    <t>IMTIAZ5011@HOTMAIL.COM</t>
  </si>
  <si>
    <t>ARTHANAYAKE, ANNE EROMAL MRS</t>
  </si>
  <si>
    <t>Arthanayake</t>
  </si>
  <si>
    <t>ANNE EROMAL</t>
  </si>
  <si>
    <t>9 PORTSMOUTH CIRCUIT</t>
  </si>
  <si>
    <t>JORDAN SPRINGS</t>
  </si>
  <si>
    <t>EROMAL.ARTHANAYAKE@MXNS.COM</t>
  </si>
  <si>
    <t>EROMALSB@GMAIL.COM</t>
  </si>
  <si>
    <t>PASSAKOS, THOMAS MR</t>
  </si>
  <si>
    <t>Passakos</t>
  </si>
  <si>
    <t>4 PEARCE AVENUE</t>
  </si>
  <si>
    <t>PEARHURST</t>
  </si>
  <si>
    <t>THOMAS.PASSAKOS@MXNS.COM</t>
  </si>
  <si>
    <t>PASSAKOSTHOMAS@HOTMAIL.COM</t>
  </si>
  <si>
    <t>LUXTON, TAMARAH NICOLE MISS</t>
  </si>
  <si>
    <t>Luxton</t>
  </si>
  <si>
    <t>TAMARAH NICOLE</t>
  </si>
  <si>
    <t>1137 MT COTTON ROAD</t>
  </si>
  <si>
    <t>BURBANK</t>
  </si>
  <si>
    <t>TAMARAH.LUXTON@MXNS.COM</t>
  </si>
  <si>
    <t>TAMARAH.LUXTON@OUTLOOK.COM</t>
  </si>
  <si>
    <t>AL LALOO, MYKIL MR</t>
  </si>
  <si>
    <t>Al Laloo</t>
  </si>
  <si>
    <t>MYKIL</t>
  </si>
  <si>
    <t>6 TOWNVIEW ROAD</t>
  </si>
  <si>
    <t>MOUNT PRITCHARD</t>
  </si>
  <si>
    <t>MYKIL.ALLALOO@MXNS.COM</t>
  </si>
  <si>
    <t>MYKIL.A@YAHOO.COM</t>
  </si>
  <si>
    <t>ISLAM, MD FOKHRUL MR</t>
  </si>
  <si>
    <t>Islam</t>
  </si>
  <si>
    <t>MD FOKHRUL</t>
  </si>
  <si>
    <t>8/59 CORNELIA ST</t>
  </si>
  <si>
    <t>WILEY PARK</t>
  </si>
  <si>
    <t>MDFOKHRUL.ISLAM@MXNS.COM</t>
  </si>
  <si>
    <t>RXMONJU@GMAIL.COM</t>
  </si>
  <si>
    <t>LI, MATTHEW MR</t>
  </si>
  <si>
    <t>Li</t>
  </si>
  <si>
    <t>NING</t>
  </si>
  <si>
    <t>2 TARWARRI PLACE</t>
  </si>
  <si>
    <t>MATTHEW.LEE@MXNS.COM</t>
  </si>
  <si>
    <t>PETRAKIS, NICK MR</t>
  </si>
  <si>
    <t>Petrakis</t>
  </si>
  <si>
    <t>NICK</t>
  </si>
  <si>
    <t>4 YORK RD</t>
  </si>
  <si>
    <t>NICK.PETRAKIS@MXNS.COM</t>
  </si>
  <si>
    <t>NICK@PETRAKIS.ID.AU</t>
  </si>
  <si>
    <t>MAVRONICHOLAS, CHRISTOPHER MR</t>
  </si>
  <si>
    <t>Mavronicholas</t>
  </si>
  <si>
    <t>UNIT 2</t>
  </si>
  <si>
    <t>GOODNA</t>
  </si>
  <si>
    <t>CHRISTOPHER.MAVRONICHOLAS@MXNS.COM</t>
  </si>
  <si>
    <t>CHRISTOPHERMAV98@GMAIL.COM</t>
  </si>
  <si>
    <t>8 KEATING CT</t>
  </si>
  <si>
    <t>RAO, KARTHIK MR</t>
  </si>
  <si>
    <t>Rao</t>
  </si>
  <si>
    <t>KARTHIK</t>
  </si>
  <si>
    <t>160 NORTHCOTT RD</t>
  </si>
  <si>
    <t>LALOR PARK</t>
  </si>
  <si>
    <t>KARTHIK.RAO@MXNS.COM</t>
  </si>
  <si>
    <t>KARTHIKAVINESH@YAHOO.COM</t>
  </si>
  <si>
    <t>AVINASH</t>
  </si>
  <si>
    <t>RODWELL, ADAM MR</t>
  </si>
  <si>
    <t>Rodwell</t>
  </si>
  <si>
    <t>ADAM</t>
  </si>
  <si>
    <t>34 THE AVENUE</t>
  </si>
  <si>
    <t>TRARALGON</t>
  </si>
  <si>
    <t>AUSAUDITINGSERVICES@OUTLOOK.COM</t>
  </si>
  <si>
    <t>KANTHAN, SU MS</t>
  </si>
  <si>
    <t>Kanthan</t>
  </si>
  <si>
    <t>SUGANTHINI</t>
  </si>
  <si>
    <t>SU</t>
  </si>
  <si>
    <t>67A  METELLA RD</t>
  </si>
  <si>
    <t>TOONGABBIE</t>
  </si>
  <si>
    <t>SUGANTHINI1@GMAIL.COM</t>
  </si>
  <si>
    <t>HOMAINEJAD, DORNA MS</t>
  </si>
  <si>
    <t>Homainejad</t>
  </si>
  <si>
    <t>DORNA</t>
  </si>
  <si>
    <t>78 MODEL FARMS RD</t>
  </si>
  <si>
    <t>WINSTON HILLS</t>
  </si>
  <si>
    <t>DORNA.HOMAINEJAD@MXNS.COM</t>
  </si>
  <si>
    <t>DHOMAIN@GMAIL.COM</t>
  </si>
  <si>
    <t>SAWANT, MADDY MS</t>
  </si>
  <si>
    <t>Sawant</t>
  </si>
  <si>
    <t>MADHURI</t>
  </si>
  <si>
    <t>MADDY</t>
  </si>
  <si>
    <t>7/21 BOURKE ST</t>
  </si>
  <si>
    <t>RINGWOOOD</t>
  </si>
  <si>
    <t>MADHURISAWANT@YAHOO.COM</t>
  </si>
  <si>
    <t>GUEVARA LUJAN, GABRIELA MS</t>
  </si>
  <si>
    <t>Guevara Lujan</t>
  </si>
  <si>
    <t>ANA</t>
  </si>
  <si>
    <t>A.G.</t>
  </si>
  <si>
    <t>GABRIELA</t>
  </si>
  <si>
    <t>29 BROOMFIELD ST</t>
  </si>
  <si>
    <t>TARINGA</t>
  </si>
  <si>
    <t>AGABRIELA.GL@GMAIL.COM</t>
  </si>
  <si>
    <t>ELHAGE, AMOUN MS</t>
  </si>
  <si>
    <t>Elhage</t>
  </si>
  <si>
    <t>AMOUN</t>
  </si>
  <si>
    <t>14A CULWULLA ST</t>
  </si>
  <si>
    <t>SOUTH HURSTVILLE</t>
  </si>
  <si>
    <t>AMOUNELHAGE95@GAMIL.COM</t>
  </si>
  <si>
    <t>HASIJA, MITHILA HASIJA MS</t>
  </si>
  <si>
    <t>Hasija</t>
  </si>
  <si>
    <t>MITHILA MADUSHANKANI</t>
  </si>
  <si>
    <t>MITHILA HASIJA</t>
  </si>
  <si>
    <t>UNIT 5</t>
  </si>
  <si>
    <t>HAWTHORN</t>
  </si>
  <si>
    <t>MITHILAHASIJA@GGMAIL.COM</t>
  </si>
  <si>
    <t>583 GLENFERRIE RD</t>
  </si>
  <si>
    <t>KO, SOL MR</t>
  </si>
  <si>
    <t>Ko</t>
  </si>
  <si>
    <t>EUNSOL</t>
  </si>
  <si>
    <t>SOL</t>
  </si>
  <si>
    <t>317 DORCAS ST</t>
  </si>
  <si>
    <t>SOUTH MELBOURNE</t>
  </si>
  <si>
    <t>SIMSIMHAESU@HOTMAIL.COM</t>
  </si>
  <si>
    <t>ZULQURNAIN, NAILA MRS</t>
  </si>
  <si>
    <t>Zulqurnain</t>
  </si>
  <si>
    <t>NAILA</t>
  </si>
  <si>
    <t>1/20 FORTH AVENUE</t>
  </si>
  <si>
    <t>NAILA.ZULQURNAIN13@GMAIL.COM</t>
  </si>
  <si>
    <t>ROZO RODRIGUEZ, JUAN MR</t>
  </si>
  <si>
    <t>Rozo Rodriguez</t>
  </si>
  <si>
    <t>JUAN</t>
  </si>
  <si>
    <t>J.C.</t>
  </si>
  <si>
    <t>705/43 PEEL ST</t>
  </si>
  <si>
    <t>SOUTH BRISBANE</t>
  </si>
  <si>
    <t>ROZOCJUAN@HOTMAIL.COM</t>
  </si>
  <si>
    <t>CAMILO</t>
  </si>
  <si>
    <t>MOSTAFA, ALI MR</t>
  </si>
  <si>
    <t>Mostafa</t>
  </si>
  <si>
    <t>ALI</t>
  </si>
  <si>
    <t>36 WILGAH ST</t>
  </si>
  <si>
    <t>THOMASTOWN</t>
  </si>
  <si>
    <t>ALI_MOSTAFA001@OUTLOOK.COM</t>
  </si>
  <si>
    <t>YADAGIRI, SIRI MS</t>
  </si>
  <si>
    <t>Yadagiri</t>
  </si>
  <si>
    <t>SIRI MUVVA</t>
  </si>
  <si>
    <t>SIRI</t>
  </si>
  <si>
    <t>5/5 ANDERSON ST</t>
  </si>
  <si>
    <t>CAULFIELD</t>
  </si>
  <si>
    <t>SIRIMUVVA3@GMAIL.COM</t>
  </si>
  <si>
    <t>GAO, SUNSHINE MS</t>
  </si>
  <si>
    <t>SUNSHINE</t>
  </si>
  <si>
    <t>U1504</t>
  </si>
  <si>
    <t>23 BATMAN ST</t>
  </si>
  <si>
    <t>MOLLOY, KRISTINA MS</t>
  </si>
  <si>
    <t>Molloy</t>
  </si>
  <si>
    <t>KRISTINA</t>
  </si>
  <si>
    <t>K.E.</t>
  </si>
  <si>
    <t>3/50 LAMBERT RD</t>
  </si>
  <si>
    <t>INDOOROOPILLY</t>
  </si>
  <si>
    <t>KRISTINAMOLLOY91@GMAIL.COM</t>
  </si>
  <si>
    <t>ELVY</t>
  </si>
  <si>
    <t>RAMIREZ CASTRO, MARIA MRS</t>
  </si>
  <si>
    <t>Ramirez Castro</t>
  </si>
  <si>
    <t>MARIA ALEJANDRA</t>
  </si>
  <si>
    <t>35 SPRUCE CIRCUIT</t>
  </si>
  <si>
    <t>HILLCREST</t>
  </si>
  <si>
    <t>ALEJITA_0323@HOTMAIL.COM</t>
  </si>
  <si>
    <t>CAMPBELL-MCKECHNIE, ALMA MS</t>
  </si>
  <si>
    <t>Campbell-Mckechnie</t>
  </si>
  <si>
    <t>ALMA</t>
  </si>
  <si>
    <t>A.M.</t>
  </si>
  <si>
    <t>58 MICHELANGELO CR</t>
  </si>
  <si>
    <t>MACKENZIE</t>
  </si>
  <si>
    <t>ALMADUNK@BIGPOND.COM</t>
  </si>
  <si>
    <t>ESTORES, FELICIA MS</t>
  </si>
  <si>
    <t>Estores</t>
  </si>
  <si>
    <t>FELICIA ALANDY</t>
  </si>
  <si>
    <t>FELICIA</t>
  </si>
  <si>
    <t>53 ACQUA ST</t>
  </si>
  <si>
    <t>BURPENGARY</t>
  </si>
  <si>
    <t>FELICIA.ESTORES@HOTMAIL.CO.NZ</t>
  </si>
  <si>
    <t>AHN, ERIC MR</t>
  </si>
  <si>
    <t>Ahn</t>
  </si>
  <si>
    <t>SANG HYEOK</t>
  </si>
  <si>
    <t>S.E.</t>
  </si>
  <si>
    <t>ERIC</t>
  </si>
  <si>
    <t>26 ALLIANCE ST</t>
  </si>
  <si>
    <t>SANG.HYEOK.AHN.92@GMAIL.COM</t>
  </si>
  <si>
    <t>GALLAGHER, TROY MR</t>
  </si>
  <si>
    <t>Gallagher</t>
  </si>
  <si>
    <t>TROY</t>
  </si>
  <si>
    <t>T.D.</t>
  </si>
  <si>
    <t>5/140 MUSGRAVE RD</t>
  </si>
  <si>
    <t>RED HILL</t>
  </si>
  <si>
    <t>TROY.D.GALLAPHER@GMAIL.COM</t>
  </si>
  <si>
    <t>DOUGLAS</t>
  </si>
  <si>
    <t>NAIR, RISHIKA MS</t>
  </si>
  <si>
    <t>Nair</t>
  </si>
  <si>
    <t>RISHIKA</t>
  </si>
  <si>
    <t>602/55 QUEENS RD</t>
  </si>
  <si>
    <t>RISHIKANAIR2002@GMAIL.COM</t>
  </si>
  <si>
    <t>SHIL, NIRAJ MR</t>
  </si>
  <si>
    <t>Shil</t>
  </si>
  <si>
    <t>NIRAJ</t>
  </si>
  <si>
    <t>N.K.</t>
  </si>
  <si>
    <t>1 MEMORY CR</t>
  </si>
  <si>
    <t>WYNDHAM VALE</t>
  </si>
  <si>
    <t>NIRAJ.SHIL@MXNS.COM</t>
  </si>
  <si>
    <t>SHILNIRAJK@GMAIL.COM</t>
  </si>
  <si>
    <t>KANTI</t>
  </si>
  <si>
    <t>ZHAO, IRENE MRS</t>
  </si>
  <si>
    <t>XU</t>
  </si>
  <si>
    <t>IRENE</t>
  </si>
  <si>
    <t>4 BELFRAYDEN CT</t>
  </si>
  <si>
    <t>ZX940327@GMAIL.COM</t>
  </si>
  <si>
    <t>SWATHI KRISHNA, SHIVANI MISS</t>
  </si>
  <si>
    <t>Swathi Krishna</t>
  </si>
  <si>
    <t>20 ELKEDRA WAY</t>
  </si>
  <si>
    <t>CRANBOURNE NORTH</t>
  </si>
  <si>
    <t>SSWATHIKRISHNA32@GMAIL.COM</t>
  </si>
  <si>
    <t>PRAEKELT, WILNA MRS</t>
  </si>
  <si>
    <t>Praekelt</t>
  </si>
  <si>
    <t>WILNA</t>
  </si>
  <si>
    <t>W.</t>
  </si>
  <si>
    <t>13 LIZARD PLACE</t>
  </si>
  <si>
    <t>REDLAND BAY</t>
  </si>
  <si>
    <t>WILNA.PRAEKELT@MXNS.COM</t>
  </si>
  <si>
    <t>0405 167 375</t>
  </si>
  <si>
    <t>WPRAEKELT@OUTLOOK.COM</t>
  </si>
  <si>
    <t>13 LIZARD PLAQCE</t>
  </si>
  <si>
    <t>PINDORIA, NIKSHEE MISS</t>
  </si>
  <si>
    <t>Pindoria</t>
  </si>
  <si>
    <t>NIKSHEE</t>
  </si>
  <si>
    <t>26 MAYROYD DR</t>
  </si>
  <si>
    <t>ELLENBROOK</t>
  </si>
  <si>
    <t>NIKSHEE.PINDORIA@MXNS.COM</t>
  </si>
  <si>
    <t>0444 595 469</t>
  </si>
  <si>
    <t>NIKS103@HOTMAIL.COM</t>
  </si>
  <si>
    <t>WIGG, JO MS</t>
  </si>
  <si>
    <t>Wigg</t>
  </si>
  <si>
    <t>JOANNE</t>
  </si>
  <si>
    <t>J.T.</t>
  </si>
  <si>
    <t>JO</t>
  </si>
  <si>
    <t>6 GUMNUT CLOSE</t>
  </si>
  <si>
    <t>LOTA</t>
  </si>
  <si>
    <t>JO-ANNE.WIGG@MXNS.COM</t>
  </si>
  <si>
    <t>WONDERWIGG1@GMAIL.COM.AU</t>
  </si>
  <si>
    <t>61 407338468</t>
  </si>
  <si>
    <t>BOX 5506</t>
  </si>
  <si>
    <t>THERESA</t>
  </si>
  <si>
    <t>BYRNE, LIAN MS</t>
  </si>
  <si>
    <t>Byrne</t>
  </si>
  <si>
    <t>LIAN-JEAN</t>
  </si>
  <si>
    <t>LIAN</t>
  </si>
  <si>
    <t>9 LAXDALE ROAD</t>
  </si>
  <si>
    <t>LIAN.BYRNE@MXNS.COM</t>
  </si>
  <si>
    <t>0400 214 449</t>
  </si>
  <si>
    <t>LIAN.BYRNE@GMAIL.COM</t>
  </si>
  <si>
    <t>307/20-24 EPPINGROAD</t>
  </si>
  <si>
    <t>EPPING-SYDNEY</t>
  </si>
  <si>
    <t>0405 761 314</t>
  </si>
  <si>
    <t>HASTIABZ89@GMAIL.COM</t>
  </si>
  <si>
    <t>ADHIKARI, UJJWAL MR</t>
  </si>
  <si>
    <t>Adhikari</t>
  </si>
  <si>
    <t>UJJWAL</t>
  </si>
  <si>
    <t>7/16 NORTHCOTE STREET</t>
  </si>
  <si>
    <t>UJJWAL.ADHIKARI@MXNS.COM</t>
  </si>
  <si>
    <t>0412 615 298</t>
  </si>
  <si>
    <t>UJJWALADHIPARIPKR@GMAIL.COM</t>
  </si>
  <si>
    <t>SAINI, CARA MISS</t>
  </si>
  <si>
    <t>Saini</t>
  </si>
  <si>
    <t>CARA</t>
  </si>
  <si>
    <t>C.J.</t>
  </si>
  <si>
    <t>8 JUSTICE ST</t>
  </si>
  <si>
    <t>WISHART</t>
  </si>
  <si>
    <t>CARA.SAINI@MXNS.COM</t>
  </si>
  <si>
    <t>0481 212 565</t>
  </si>
  <si>
    <t>CARA.JANE1@HOTMAIL.COM</t>
  </si>
  <si>
    <t>ASAROGLU, ESRA MRS</t>
  </si>
  <si>
    <t>E.B.</t>
  </si>
  <si>
    <t>ESRA.ASAROGLU@MXNS.COM</t>
  </si>
  <si>
    <t>0430 751 000</t>
  </si>
  <si>
    <t>ASAROGLU@GMAIL.COM</t>
  </si>
  <si>
    <t>BETUL</t>
  </si>
  <si>
    <t>HAMILTON, Paul MR</t>
  </si>
  <si>
    <t>Hamilton</t>
  </si>
  <si>
    <t>PAUL</t>
  </si>
  <si>
    <t>Paul</t>
  </si>
  <si>
    <t>28 PINNACLE WAY</t>
  </si>
  <si>
    <t>PAUL.HAMILTON@MXNS.COM</t>
  </si>
  <si>
    <t>0421 611 052</t>
  </si>
  <si>
    <t>PAUL.HAMILTON.R@GMAIL.COM</t>
  </si>
  <si>
    <t>ABBOUD, LEBY MR</t>
  </si>
  <si>
    <t>Abboud</t>
  </si>
  <si>
    <t>LEBY</t>
  </si>
  <si>
    <t>16 BAGDAD STREET</t>
  </si>
  <si>
    <t>LEBY.ABBOUD@MXNS.COM</t>
  </si>
  <si>
    <t>LEBYABBOUD@GMAIL.COM</t>
  </si>
  <si>
    <t>BILAL, GOLDA MISS</t>
  </si>
  <si>
    <t>Bilal</t>
  </si>
  <si>
    <t>GOLDA</t>
  </si>
  <si>
    <t>90 WOMERAH AVE</t>
  </si>
  <si>
    <t>DARLINGHURST</t>
  </si>
  <si>
    <t>GOLDA.BILAL@MXNS.COM</t>
  </si>
  <si>
    <t>GOLDABILAL01@GMAIL.COM</t>
  </si>
  <si>
    <t>TRUONG, DAVID MR</t>
  </si>
  <si>
    <t>Truong</t>
  </si>
  <si>
    <t>100 AMY STREET</t>
  </si>
  <si>
    <t>0416 436 523</t>
  </si>
  <si>
    <t>DAVTRUONG01@GMAIL.COM</t>
  </si>
  <si>
    <t>YASEEN, MISBAH MRS</t>
  </si>
  <si>
    <t>Yaseen</t>
  </si>
  <si>
    <t>MISBAH</t>
  </si>
  <si>
    <t>16 OFFTAKE STREET</t>
  </si>
  <si>
    <t>MISBAH.YASEEN@MXNS.COM</t>
  </si>
  <si>
    <t>MISBAH-YASEEN30@HOTMAIL.COM</t>
  </si>
  <si>
    <t>RADHA, IKSHITHA MS</t>
  </si>
  <si>
    <t>0458 609 779</t>
  </si>
  <si>
    <t>IKSHITHA00@GMAIL.COM</t>
  </si>
  <si>
    <t>VASHISHTH, DEEPIKA MS</t>
  </si>
  <si>
    <t>Vashishth</t>
  </si>
  <si>
    <t>DEEPIKA</t>
  </si>
  <si>
    <t>N1309/241 HARBOUR ESPLANADE</t>
  </si>
  <si>
    <t>DEPIKA.VASHISHT@MXNS.COM</t>
  </si>
  <si>
    <t>DEEPIKAVASHISHTH9@GMAIL.COM</t>
  </si>
  <si>
    <t>LAY, STEVEN MR</t>
  </si>
  <si>
    <t>Lay</t>
  </si>
  <si>
    <t>STEVEN</t>
  </si>
  <si>
    <t>63 VALE STREET</t>
  </si>
  <si>
    <t>CABRAMATTA</t>
  </si>
  <si>
    <t>STEVEN.LAY@MXNS.COM</t>
  </si>
  <si>
    <t>STEVEN.LAY2@HOTMAIL.COM</t>
  </si>
  <si>
    <t>SIVARAJ, DURGA MRS</t>
  </si>
  <si>
    <t>Sivaraj</t>
  </si>
  <si>
    <t>DURGA</t>
  </si>
  <si>
    <t>D.N.</t>
  </si>
  <si>
    <t>31 REMINGTON PLACE</t>
  </si>
  <si>
    <t>WANTIRNA</t>
  </si>
  <si>
    <t>DURGA.NANDHINI@MXNS.COM</t>
  </si>
  <si>
    <t>0492 932 855</t>
  </si>
  <si>
    <t>DURGA.NANDHINI@HOTMAIL.COM</t>
  </si>
  <si>
    <t>NANDHINI</t>
  </si>
  <si>
    <t>TRIVEDI, ARTI MRS</t>
  </si>
  <si>
    <t>Trivedi</t>
  </si>
  <si>
    <t>ARTI</t>
  </si>
  <si>
    <t>A.J.</t>
  </si>
  <si>
    <t>28 LYSANNE CRESCENT</t>
  </si>
  <si>
    <t>AARTIBIOTECH15@GMAIL.COM</t>
  </si>
  <si>
    <t>JIGARKUMAR</t>
  </si>
  <si>
    <t>HO, JOHN MR</t>
  </si>
  <si>
    <t>Ho</t>
  </si>
  <si>
    <t>JOHN</t>
  </si>
  <si>
    <t>JOHN.HO@MXNS.COM</t>
  </si>
  <si>
    <t>0415 903 875</t>
  </si>
  <si>
    <t>H.JOHNDN8@GMAIL.COM</t>
  </si>
  <si>
    <t>33 PARK ROAD</t>
  </si>
  <si>
    <t>KARIMZADA, OMID MR</t>
  </si>
  <si>
    <t>Karimzada</t>
  </si>
  <si>
    <t>OMID</t>
  </si>
  <si>
    <t>14 CURRAWONG STREET</t>
  </si>
  <si>
    <t>GLENWOOD</t>
  </si>
  <si>
    <t>OMID.KARIMZADA@MXNS.COM</t>
  </si>
  <si>
    <t>OMID_KARIMZADA@HOTMAIL.COM</t>
  </si>
  <si>
    <t>HUSSAIN, EMRAN MR</t>
  </si>
  <si>
    <t>Hussain</t>
  </si>
  <si>
    <t>EMRAN</t>
  </si>
  <si>
    <t>506 HAWTHORN ROAD</t>
  </si>
  <si>
    <t>EMRANRAHMAN96@GMAIL.COM</t>
  </si>
  <si>
    <t>KAUR, SHIVREET MISS</t>
  </si>
  <si>
    <t>Kaur</t>
  </si>
  <si>
    <t>SHIVREET</t>
  </si>
  <si>
    <t>3503 / 11 HASSALL STREET</t>
  </si>
  <si>
    <t>SHIVREETBRAR0203@GMAIL.COM</t>
  </si>
  <si>
    <t>SINGH, NAMARTA MISS</t>
  </si>
  <si>
    <t>Singh</t>
  </si>
  <si>
    <t>NAMARTA</t>
  </si>
  <si>
    <t>185 DRYSDALE AVENUE</t>
  </si>
  <si>
    <t>NARRE WARREN NORTH</t>
  </si>
  <si>
    <t>NAMARTA.SINGH.P@GMAIL.COM</t>
  </si>
  <si>
    <t>KURNIAWAN, LANNY MRS</t>
  </si>
  <si>
    <t>Kurniawan</t>
  </si>
  <si>
    <t>LANNY</t>
  </si>
  <si>
    <t>1/16 DURWARD AVENUE</t>
  </si>
  <si>
    <t>LANNY.KURNIAWAN@MXNS.COM</t>
  </si>
  <si>
    <t>0402 363 585</t>
  </si>
  <si>
    <t>LANNY_KURNIAWAN@HOTMAIL.COM</t>
  </si>
  <si>
    <t>VOHRA, ATEEV MR</t>
  </si>
  <si>
    <t>Vohra</t>
  </si>
  <si>
    <t>ATEEV</t>
  </si>
  <si>
    <t>ATEEV.VOHRA@MXNS.COM</t>
  </si>
  <si>
    <t>0401 054 651</t>
  </si>
  <si>
    <t>ATEEV.VOHRA@GMAIL.COM</t>
  </si>
  <si>
    <t>O'NEILL, CHRISTINE MRS</t>
  </si>
  <si>
    <t>O'neill</t>
  </si>
  <si>
    <t>CHRISTINE</t>
  </si>
  <si>
    <t>C.F.</t>
  </si>
  <si>
    <t>4 WALMER COURT</t>
  </si>
  <si>
    <t>CARINDALE</t>
  </si>
  <si>
    <t>CHRISTINE.ONEILL@MXNS.COM</t>
  </si>
  <si>
    <t>CHRISTINE.ONEILL4@GMAIL.COM</t>
  </si>
  <si>
    <t>FIONA</t>
  </si>
  <si>
    <t>PRASHANTHAN, ARANE MRS</t>
  </si>
  <si>
    <t>BABYARANE</t>
  </si>
  <si>
    <t>ARANE</t>
  </si>
  <si>
    <t>4/26 HYTHE STREET</t>
  </si>
  <si>
    <t>MOUNT DRUITT</t>
  </si>
  <si>
    <t>ARANE.PRASHANTHAN@MXNS.COM</t>
  </si>
  <si>
    <t>0490 941 465</t>
  </si>
  <si>
    <t>ARA.ARANE@GMAIL.COM</t>
  </si>
  <si>
    <t>HAGGAG, ABDEL MR</t>
  </si>
  <si>
    <t>Haggag</t>
  </si>
  <si>
    <t>ABDEL</t>
  </si>
  <si>
    <t>36 STARK CIRCUIT</t>
  </si>
  <si>
    <t>ABDEL.HAGAG@MXNS.COM</t>
  </si>
  <si>
    <t>ABDELRAHMAN.HAGAG@OUTLOOK.COM</t>
  </si>
  <si>
    <t>LAWRENCE, SHARON MS</t>
  </si>
  <si>
    <t>22 STUART PLACE</t>
  </si>
  <si>
    <t>LEE</t>
  </si>
  <si>
    <t>STANICA, VLAD MR</t>
  </si>
  <si>
    <t>20 HAZELDEAN COURT</t>
  </si>
  <si>
    <t>HAMPON PARK</t>
  </si>
  <si>
    <t>MIHAI</t>
  </si>
  <si>
    <t>DENG, OLIVER MR</t>
  </si>
  <si>
    <t>Deng</t>
  </si>
  <si>
    <t>FEI</t>
  </si>
  <si>
    <t>OLIVER</t>
  </si>
  <si>
    <t>3/7 JOHNSTON STREET</t>
  </si>
  <si>
    <t>OLIVER.DENG@MXNS.COM</t>
  </si>
  <si>
    <t>0449 060 406</t>
  </si>
  <si>
    <t>DENGFEIDW3@GMAIL.COM</t>
  </si>
  <si>
    <t>ALMASSI, AREZOO MISS</t>
  </si>
  <si>
    <t>Almassi</t>
  </si>
  <si>
    <t>4326/10 PORTER ST</t>
  </si>
  <si>
    <t>0406 708 528</t>
  </si>
  <si>
    <t>AREZOOALMASSI@GMAIL.COM</t>
  </si>
  <si>
    <t>QURASHI, RAYEED AHMED MR</t>
  </si>
  <si>
    <t>Qurashi</t>
  </si>
  <si>
    <t>RAYEED AHMED</t>
  </si>
  <si>
    <t>U73, 32-40 KERR PDE</t>
  </si>
  <si>
    <t>AUBURN</t>
  </si>
  <si>
    <t>RAYEEDQURASHI@OUTLOOK.COM</t>
  </si>
  <si>
    <t>NANAYAKKARA W V W, SHALINI MISS</t>
  </si>
  <si>
    <t>Nanayakkara W V W</t>
  </si>
  <si>
    <t>SHALINI</t>
  </si>
  <si>
    <t>41 WARREN CLOSE</t>
  </si>
  <si>
    <t>NARRE WARREN</t>
  </si>
  <si>
    <t>SHALINIWICK94@GMAIL.COM</t>
  </si>
  <si>
    <t>WICKRAMASINGHE</t>
  </si>
  <si>
    <t>RAVI, SOORYA NARAYANAN MR</t>
  </si>
  <si>
    <t>Ravi</t>
  </si>
  <si>
    <t>SOORYA NARAYANAN</t>
  </si>
  <si>
    <t>2/614 MORELAND ROAD</t>
  </si>
  <si>
    <t>BRUNSWICK WEST</t>
  </si>
  <si>
    <t>RSN1497@GMAIL.COM</t>
  </si>
  <si>
    <t>RUSSELL, ADAM MR</t>
  </si>
  <si>
    <t>Russell</t>
  </si>
  <si>
    <t>18 MORTON ST</t>
  </si>
  <si>
    <t>BOX HILL SOUTH</t>
  </si>
  <si>
    <t>ADROSSELLA3@HOTMAIL.COM</t>
  </si>
  <si>
    <t>AVERY, SUE MS</t>
  </si>
  <si>
    <t>SUEANNE</t>
  </si>
  <si>
    <t>3/3 HILLTOP ST</t>
  </si>
  <si>
    <t>LABRADOR</t>
  </si>
  <si>
    <t>sueavery@bigpond.com</t>
  </si>
  <si>
    <t>SUEAVERY@BIGPOND.COM</t>
  </si>
  <si>
    <t>PO BOX 894</t>
  </si>
  <si>
    <t>SOUTHPORT</t>
  </si>
  <si>
    <t>EL-KLINK, IMAN MS</t>
  </si>
  <si>
    <t>El-Klink</t>
  </si>
  <si>
    <t>IMAN</t>
  </si>
  <si>
    <t>74 NORTHEM AVE</t>
  </si>
  <si>
    <t>BANKSTOWN</t>
  </si>
  <si>
    <t>IMANO85@ICLOUD.COM</t>
  </si>
  <si>
    <t>AHMADI, MARYAM MRS</t>
  </si>
  <si>
    <t>Ahmadi</t>
  </si>
  <si>
    <t>MARYAMALSADAT</t>
  </si>
  <si>
    <t>8/29-33 STANLEY ST</t>
  </si>
  <si>
    <t>MARYAM.AHMADI@MXNS.COM</t>
  </si>
  <si>
    <t>MARYAMCHEM1981@GMAIL.COM</t>
  </si>
  <si>
    <t>CHAUHAN, VIKRAM MR</t>
  </si>
  <si>
    <t>Chauhan</t>
  </si>
  <si>
    <t>VIKRAM</t>
  </si>
  <si>
    <t>79 LOCKS ST</t>
  </si>
  <si>
    <t>VICTORAUSTRALIA01@GMAIL.COM</t>
  </si>
  <si>
    <t>KHAMBAY, BILL MR</t>
  </si>
  <si>
    <t>Khambay</t>
  </si>
  <si>
    <t>BILLY</t>
  </si>
  <si>
    <t>BILL</t>
  </si>
  <si>
    <t>17 GILBERT ST</t>
  </si>
  <si>
    <t>BK080108@MAIL.COM</t>
  </si>
  <si>
    <t>IMAD, SYED MUHAMMAD MR</t>
  </si>
  <si>
    <t>Imad</t>
  </si>
  <si>
    <t>SYED MUHAMMAD</t>
  </si>
  <si>
    <t>109/138 CAMBERWELL RD</t>
  </si>
  <si>
    <t>0452 363 090</t>
  </si>
  <si>
    <t>SYEDMIMAD@GMAIL.COM</t>
  </si>
  <si>
    <t>WIJESINGHE, PULASTHI MR</t>
  </si>
  <si>
    <t>Wijesinghe</t>
  </si>
  <si>
    <t>PULASTHI</t>
  </si>
  <si>
    <t>03 VARAZZE WAY</t>
  </si>
  <si>
    <t>PIARA WATERS</t>
  </si>
  <si>
    <t>WIJESINGHE.PULASTHI@GMAIL.COM</t>
  </si>
  <si>
    <t>PATEL, DHAVAL MR</t>
  </si>
  <si>
    <t>DHAVAL</t>
  </si>
  <si>
    <t>8 MAREE PL</t>
  </si>
  <si>
    <t>DHAVALYPATEL@GMAIL.COM</t>
  </si>
  <si>
    <t>CHEUNG, CINDY MISS</t>
  </si>
  <si>
    <t>Cheung</t>
  </si>
  <si>
    <t>SIN YI</t>
  </si>
  <si>
    <t>CINDY</t>
  </si>
  <si>
    <t>UNIT 61</t>
  </si>
  <si>
    <t>ROCHEDALE</t>
  </si>
  <si>
    <t>C20040351C2B@GMAIL.COM</t>
  </si>
  <si>
    <t>55 FRANCIS AVE</t>
  </si>
  <si>
    <t>CARRECK, WELLA MS</t>
  </si>
  <si>
    <t>Carreck</t>
  </si>
  <si>
    <t>WELLA</t>
  </si>
  <si>
    <t>243 FRANCIS ST</t>
  </si>
  <si>
    <t>YARRAVILLE</t>
  </si>
  <si>
    <t>WELLA.CARRECK@MXNS.COM</t>
  </si>
  <si>
    <t>WELLABELLA1986@GMAIL.COM</t>
  </si>
  <si>
    <t>SHELDON, ELIZABETH MS</t>
  </si>
  <si>
    <t>Sheldon</t>
  </si>
  <si>
    <t>44 DICKSON ST</t>
  </si>
  <si>
    <t>ELIZABETH.SHELDON@MXNS.COM</t>
  </si>
  <si>
    <t>EBSHELD@TPG.COM.AU</t>
  </si>
  <si>
    <t>BHOYAR, SNEHA MRS</t>
  </si>
  <si>
    <t>Bhoyar</t>
  </si>
  <si>
    <t>SNEHA</t>
  </si>
  <si>
    <t>80A WINDSOR ROAD</t>
  </si>
  <si>
    <t>NORTHMEAD</t>
  </si>
  <si>
    <t>SNEHA.BHOYAR@MXNS.COM</t>
  </si>
  <si>
    <t>SNEHABHOYAR011@GMAIL.COM</t>
  </si>
  <si>
    <t>SMITH, Brittany MS</t>
  </si>
  <si>
    <t>Brittany</t>
  </si>
  <si>
    <t>1414/35 Hercules Street</t>
  </si>
  <si>
    <t>brittany.smith@mxns.com</t>
  </si>
  <si>
    <t>Grace</t>
  </si>
  <si>
    <t>LAKE, Melanie MISS</t>
  </si>
  <si>
    <t>Lake</t>
  </si>
  <si>
    <t>Melanie</t>
  </si>
  <si>
    <t>M.U.</t>
  </si>
  <si>
    <t>4 Wembley Court</t>
  </si>
  <si>
    <t>Forest Hill</t>
  </si>
  <si>
    <t>melanie.lake@mxns.co</t>
  </si>
  <si>
    <t>melanie.lake1@gmail.com</t>
  </si>
  <si>
    <t>Una</t>
  </si>
  <si>
    <t>THEW, BENJAMIN MR</t>
  </si>
  <si>
    <t>Thew</t>
  </si>
  <si>
    <t>BENJAMIN</t>
  </si>
  <si>
    <t>B.J.</t>
  </si>
  <si>
    <t>9 CARAWA ROAD</t>
  </si>
  <si>
    <t>CROMER</t>
  </si>
  <si>
    <t>BEN.THEW@MXNS.COM</t>
  </si>
  <si>
    <t>BEN2986@HOTMAIL.COM</t>
  </si>
  <si>
    <t>PARVATHANENI, PUSHPA LEELA MRS</t>
  </si>
  <si>
    <t>Parvathaneni</t>
  </si>
  <si>
    <t>PUSHPA LEELA</t>
  </si>
  <si>
    <t>58 ALDEA CIRCUIT</t>
  </si>
  <si>
    <t>BRACKEN RIDGE</t>
  </si>
  <si>
    <t>WILSON, EMBER MS</t>
  </si>
  <si>
    <t>Wilson</t>
  </si>
  <si>
    <t>Ember</t>
  </si>
  <si>
    <t>E.S.</t>
  </si>
  <si>
    <t>EMBER</t>
  </si>
  <si>
    <t>8 MCCUBIN AVE</t>
  </si>
  <si>
    <t>PAKENHAM</t>
  </si>
  <si>
    <t>ember.wilson@mxns.com</t>
  </si>
  <si>
    <t>EMBER.WILSON@OUTLOOK.COM</t>
  </si>
  <si>
    <t>Skye</t>
  </si>
  <si>
    <t>T18606</t>
  </si>
  <si>
    <t>T18879</t>
  </si>
  <si>
    <t>Protected earnings</t>
  </si>
  <si>
    <t>Code</t>
  </si>
  <si>
    <t>Type</t>
  </si>
  <si>
    <t>Sys Amt/Pc.</t>
  </si>
  <si>
    <t>Emp Amt/Pc.</t>
  </si>
  <si>
    <t>Borrowed</t>
  </si>
  <si>
    <t>Balance</t>
  </si>
  <si>
    <t>USI</t>
  </si>
  <si>
    <t>Ref/Member No</t>
  </si>
  <si>
    <t>Choice of fund</t>
  </si>
  <si>
    <t>Form provided</t>
  </si>
  <si>
    <t>Date actioned</t>
  </si>
  <si>
    <t>P/A</t>
  </si>
  <si>
    <t>S</t>
  </si>
  <si>
    <t>U</t>
  </si>
  <si>
    <t>Arrears</t>
  </si>
  <si>
    <t>Priority</t>
  </si>
  <si>
    <t>P</t>
  </si>
  <si>
    <t>Co. Super 10.5%</t>
  </si>
  <si>
    <t>BTA0287AU</t>
  </si>
  <si>
    <t>Co. Super Extra RESC</t>
  </si>
  <si>
    <t>A</t>
  </si>
  <si>
    <t>NET0017AU</t>
  </si>
  <si>
    <t>STA0100AU</t>
  </si>
  <si>
    <t>CAR0100AU</t>
  </si>
  <si>
    <t>FSF0511AU</t>
  </si>
  <si>
    <t>D902</t>
  </si>
  <si>
    <t>Super Salary Sacrifice</t>
  </si>
  <si>
    <t>HOS0100AU</t>
  </si>
  <si>
    <t>HST0100AU</t>
  </si>
  <si>
    <t>RES0103AU</t>
  </si>
  <si>
    <t>SMF0126AU</t>
  </si>
  <si>
    <t>MMF2076AU</t>
  </si>
  <si>
    <t>AMP0195AU</t>
  </si>
  <si>
    <t>TWU0101AU</t>
  </si>
  <si>
    <t>101773783-1001620983</t>
  </si>
  <si>
    <t>AMP0735AU</t>
  </si>
  <si>
    <t>FSF0361AU</t>
  </si>
  <si>
    <t>WFS0112AU</t>
  </si>
  <si>
    <t>100792045-326564864</t>
  </si>
  <si>
    <t>01</t>
  </si>
  <si>
    <t>HAGGAG ABDELRAHMAN</t>
  </si>
  <si>
    <t>STANICA VLAD</t>
  </si>
  <si>
    <t>ALMASSI AREZOO</t>
  </si>
  <si>
    <t>Row Labels</t>
  </si>
  <si>
    <t>Grand Total</t>
  </si>
  <si>
    <t>Sum of Employee Amount</t>
  </si>
  <si>
    <t>ANTHONY.EDEN@MXNS.COM</t>
  </si>
  <si>
    <t>TALEI</t>
  </si>
  <si>
    <t>11 KOOKABURRA ST</t>
  </si>
  <si>
    <t>TALEIRABO@GMAIL.COM</t>
  </si>
  <si>
    <t>IMAD SYED</t>
  </si>
  <si>
    <t>KHAMBAY BILLY</t>
  </si>
  <si>
    <t>AHMADI MARYAMALSADAT</t>
  </si>
  <si>
    <t>KODOR MARA</t>
  </si>
  <si>
    <t>RAMALINGAM JANSI</t>
  </si>
  <si>
    <t>EL-KLINK IMAN</t>
  </si>
  <si>
    <t>AHMED, NAJIYAH MISS</t>
  </si>
  <si>
    <t>SAHIR, KORISH MR</t>
  </si>
  <si>
    <t>CAO, KIM MISS</t>
  </si>
  <si>
    <t>Jansi Ramalingam</t>
  </si>
  <si>
    <t>EVANS LUCY</t>
  </si>
  <si>
    <t>STREAT MELANIE</t>
  </si>
  <si>
    <t>ROY JISHA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</si>
</sst>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b/>
      <sz val="10"/>
      <name val="Antique Olive Compact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u/>
      <sz val="8"/>
      <name val="Calibri"/>
      <family val="2"/>
      <scheme val="minor"/>
    </font>
    <font>
      <b/>
      <sz val="10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747678"/>
        <bgColor indexed="64"/>
      </patternFill>
    </fill>
    <fill>
      <patternFill patternType="solid">
        <fgColor rgb="FFDC1E3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49" fontId="1" fillId="2" borderId="1" xfId="0" applyNumberFormat="1" applyFont="1" applyFill="1" applyBorder="1" applyAlignment="1" applyProtection="1">
      <alignment horizontal="center" vertical="top" wrapText="1"/>
      <protection locked="0"/>
    </xf>
    <xf numFmtId="49" fontId="1" fillId="3" borderId="1" xfId="0" applyNumberFormat="1" applyFont="1" applyFill="1" applyBorder="1" applyAlignment="1" applyProtection="1">
      <alignment horizontal="center" vertical="top" wrapText="1"/>
      <protection locked="0"/>
    </xf>
    <xf numFmtId="14" fontId="1" fillId="3" borderId="1" xfId="0" applyNumberFormat="1" applyFont="1" applyFill="1" applyBorder="1" applyAlignment="1" applyProtection="1">
      <alignment horizontal="center" vertical="top" wrapText="1"/>
      <protection locked="0"/>
    </xf>
    <xf numFmtId="14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1" fillId="3" borderId="1" xfId="0" applyNumberFormat="1" applyFont="1" applyFill="1" applyBorder="1" applyAlignment="1" applyProtection="1">
      <alignment horizontal="center" vertical="top" wrapText="1"/>
      <protection locked="0"/>
    </xf>
    <xf numFmtId="49" fontId="1" fillId="4" borderId="1" xfId="0" applyNumberFormat="1" applyFont="1" applyFill="1" applyBorder="1" applyAlignment="1" applyProtection="1">
      <alignment horizontal="center" vertical="top" wrapText="1"/>
      <protection locked="0"/>
    </xf>
    <xf numFmtId="49" fontId="1" fillId="5" borderId="1" xfId="0" applyNumberFormat="1" applyFont="1" applyFill="1" applyBorder="1" applyAlignment="1" applyProtection="1">
      <alignment horizontal="center" vertical="top" wrapText="1"/>
      <protection locked="0"/>
    </xf>
    <xf numFmtId="0" fontId="6" fillId="0" borderId="0" xfId="0" applyNumberFormat="1" applyFont="1" applyFill="1" applyBorder="1" applyAlignment="1" applyProtection="1">
      <alignment vertical="center"/>
    </xf>
    <xf numFmtId="15" fontId="6" fillId="0" borderId="0" xfId="0" applyNumberFormat="1" applyFont="1" applyFill="1" applyBorder="1" applyAlignment="1" applyProtection="1">
      <alignment vertical="center"/>
    </xf>
    <xf numFmtId="46" fontId="6" fillId="0" borderId="0" xfId="0" applyNumberFormat="1" applyFont="1" applyFill="1" applyBorder="1" applyAlignment="1" applyProtection="1">
      <alignment vertical="center"/>
    </xf>
    <xf numFmtId="20" fontId="6" fillId="0" borderId="0" xfId="0" applyNumberFormat="1" applyFont="1" applyFill="1" applyBorder="1" applyAlignment="1" applyProtection="1">
      <alignment vertical="center"/>
    </xf>
    <xf numFmtId="0" fontId="0" fillId="0" borderId="0" xfId="0" applyNumberFormat="1"/>
    <xf numFmtId="14" fontId="0" fillId="0" borderId="0" xfId="0" applyNumberFormat="1"/>
    <xf numFmtId="0" fontId="1" fillId="4" borderId="1" xfId="0" applyNumberFormat="1" applyFont="1" applyFill="1" applyBorder="1" applyAlignment="1" applyProtection="1">
      <alignment horizontal="center" vertical="top" wrapText="1"/>
      <protection locked="0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1" fillId="3" borderId="1" xfId="0" applyNumberFormat="1" applyFont="1" applyFill="1" applyBorder="1" applyAlignment="1" applyProtection="1">
      <alignment horizontal="center" vertical="top" wrapText="1"/>
      <protection locked="0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457200</xdr:rowOff>
        </xdr:from>
        <xdr:to>
          <xdr:col>0</xdr:col>
          <xdr:colOff>1323975</xdr:colOff>
          <xdr:row>0</xdr:row>
          <xdr:rowOff>923925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ADP txt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85725</xdr:colOff>
          <xdr:row>0</xdr:row>
          <xdr:rowOff>485775</xdr:rowOff>
        </xdr:from>
        <xdr:to>
          <xdr:col>2</xdr:col>
          <xdr:colOff>523875</xdr:colOff>
          <xdr:row>0</xdr:row>
          <xdr:rowOff>923925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Bio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85725</xdr:colOff>
          <xdr:row>0</xdr:row>
          <xdr:rowOff>485775</xdr:rowOff>
        </xdr:from>
        <xdr:to>
          <xdr:col>5</xdr:col>
          <xdr:colOff>390525</xdr:colOff>
          <xdr:row>0</xdr:row>
          <xdr:rowOff>923925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Allowance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" refreshedDate="44902.510827777776" createdVersion="5" refreshedVersion="5" minRefreshableVersion="3" recordCount="53">
  <cacheSource type="worksheet">
    <worksheetSource ref="A1:AX54" sheet="Template"/>
  </cacheSource>
  <cacheFields count="50">
    <cacheField name="Name Check_x000a_ (Check with Column M &amp; N)" numFmtId="0">
      <sharedItems count="10">
        <s v="IMAD SYED"/>
        <s v="KHAMBAY BILLY"/>
        <s v="AHMADI MARYAMALSADAT"/>
        <s v="KODOR MARA"/>
        <s v="RAMALINGAM JANSI"/>
        <s v="HAGGAG ABDELRAHMAN"/>
        <s v="STANICA VLAD"/>
        <s v="ALMASSI AREZOO"/>
        <s v="EL-KLINK IMAN"/>
        <s v="Jansi Ramalingam"/>
      </sharedItems>
    </cacheField>
    <cacheField name="Deduction Id" numFmtId="0">
      <sharedItems/>
    </cacheField>
    <cacheField name="Location Id" numFmtId="0">
      <sharedItems containsNonDate="0" containsString="0" containsBlank="1"/>
    </cacheField>
    <cacheField name="Employee Payroll Id" numFmtId="0">
      <sharedItems containsSemiMixedTypes="0" containsString="0" containsNumber="1" containsInteger="1" minValue="18827" maxValue="19036"/>
    </cacheField>
    <cacheField name="Period Start Date" numFmtId="14">
      <sharedItems containsSemiMixedTypes="0" containsNonDate="0" containsDate="1" containsString="0" minDate="2022-05-25T00:00:00" maxDate="2022-09-15T00:00:00"/>
    </cacheField>
    <cacheField name="Period End Date" numFmtId="14">
      <sharedItems containsSemiMixedTypes="0" containsNonDate="0" containsDate="1" containsString="0" minDate="2022-06-07T00:00:00" maxDate="2022-09-28T00:00:00"/>
    </cacheField>
    <cacheField name="Member Id" numFmtId="0">
      <sharedItems containsSemiMixedTypes="0" containsString="0" containsNumber="1" containsInteger="1" minValue="10854606" maxValue="1075186864"/>
    </cacheField>
    <cacheField name="Standard Amount" numFmtId="0">
      <sharedItems containsNonDate="0" containsString="0" containsBlank="1"/>
    </cacheField>
    <cacheField name="Employee Amount" numFmtId="0">
      <sharedItems containsSemiMixedTypes="0" containsString="0" containsNumber="1" minValue="20" maxValue="26600"/>
    </cacheField>
    <cacheField name="USI (Super) ABN (SMSF) " numFmtId="1">
      <sharedItems containsMixedTypes="1" containsNumber="1" containsInteger="1" minValue="29610601915" maxValue="29610601915"/>
    </cacheField>
    <cacheField name="No. of Pay Periods" numFmtId="49">
      <sharedItems/>
    </cacheField>
    <cacheField name="Pay Frequency" numFmtId="0">
      <sharedItems/>
    </cacheField>
    <cacheField name="Surname" numFmtId="0">
      <sharedItems/>
    </cacheField>
    <cacheField name="First Name" numFmtId="0">
      <sharedItems/>
    </cacheField>
    <cacheField name="Other Name" numFmtId="0">
      <sharedItems containsNonDate="0" containsString="0" containsBlank="1"/>
    </cacheField>
    <cacheField name="Title" numFmtId="0">
      <sharedItems containsNonDate="0" containsString="0" containsBlank="1"/>
    </cacheField>
    <cacheField name="Sex" numFmtId="0">
      <sharedItems containsNonDate="0" containsString="0" containsBlank="1"/>
    </cacheField>
    <cacheField name="Birth Date" numFmtId="14">
      <sharedItems containsSemiMixedTypes="0" containsNonDate="0" containsDate="1" containsString="0" minDate="1959-10-19T00:00:00" maxDate="2000-01-26T00:00:00"/>
    </cacheField>
    <cacheField name="Hire Date" numFmtId="0">
      <sharedItems containsNonDate="0" containsString="0" containsBlank="1"/>
    </cacheField>
    <cacheField name="Date Joined Fund" numFmtId="0">
      <sharedItems containsNonDate="0" containsString="0" containsBlank="1"/>
    </cacheField>
    <cacheField name="Term Date" numFmtId="0">
      <sharedItems containsNonDate="0" containsString="0" containsBlank="1"/>
    </cacheField>
    <cacheField name="Term Reason" numFmtId="0">
      <sharedItems containsNonDate="0" containsString="0" containsBlank="1"/>
    </cacheField>
    <cacheField name="Tax File Number" numFmtId="0">
      <sharedItems containsNonDate="0" containsString="0" containsBlank="1"/>
    </cacheField>
    <cacheField name="Addr 1" numFmtId="0">
      <sharedItems/>
    </cacheField>
    <cacheField name="Addr 2" numFmtId="0">
      <sharedItems containsNonDate="0" containsString="0" containsBlank="1"/>
    </cacheField>
    <cacheField name="Addr 3" numFmtId="0">
      <sharedItems containsNonDate="0" containsString="0" containsBlank="1"/>
    </cacheField>
    <cacheField name="Suburb" numFmtId="0">
      <sharedItems/>
    </cacheField>
    <cacheField name="Post Code" numFmtId="0">
      <sharedItems containsSemiMixedTypes="0" containsString="0" containsNumber="1" containsInteger="1" minValue="2112" maxValue="3977"/>
    </cacheField>
    <cacheField name="State" numFmtId="0">
      <sharedItems/>
    </cacheField>
    <cacheField name="Country" numFmtId="0">
      <sharedItems/>
    </cacheField>
    <cacheField name="Home Phone (inc STD Code)" numFmtId="0">
      <sharedItems containsNonDate="0" containsString="0" containsBlank="1"/>
    </cacheField>
    <cacheField name="Work Phone (inc STD Code)" numFmtId="0">
      <sharedItems containsNonDate="0" containsString="0" containsBlank="1"/>
    </cacheField>
    <cacheField name="Email" numFmtId="0">
      <sharedItems containsNonDate="0" containsString="0" containsBlank="1"/>
    </cacheField>
    <cacheField name="Annual Salary" numFmtId="0">
      <sharedItems containsNonDate="0" containsString="0" containsBlank="1"/>
    </cacheField>
    <cacheField name="Annual Salary Effective Date" numFmtId="0">
      <sharedItems containsNonDate="0" containsString="0" containsBlank="1"/>
    </cacheField>
    <cacheField name="Superannuation Salary" numFmtId="0">
      <sharedItems containsNonDate="0" containsString="0" containsBlank="1"/>
    </cacheField>
    <cacheField name="Superannuation Salary Effective Date" numFmtId="0">
      <sharedItems containsNonDate="0" containsString="0" containsBlank="1"/>
    </cacheField>
    <cacheField name="Annual Package" numFmtId="0">
      <sharedItems containsNonDate="0" containsString="0" containsBlank="1"/>
    </cacheField>
    <cacheField name="Annual  Package Effective Date" numFmtId="0">
      <sharedItems containsNonDate="0" containsString="0" containsBlank="1"/>
    </cacheField>
    <cacheField name="Employment Status" numFmtId="0">
      <sharedItems containsNonDate="0" containsString="0" containsBlank="1"/>
    </cacheField>
    <cacheField name="Occupation" numFmtId="0">
      <sharedItems containsNonDate="0" containsString="0" containsBlank="1"/>
    </cacheField>
    <cacheField name="Employee Category" numFmtId="0">
      <sharedItems containsNonDate="0" containsString="0" containsBlank="1"/>
    </cacheField>
    <cacheField name="Category Effective Date" numFmtId="0">
      <sharedItems containsNonDate="0" containsString="0" containsBlank="1"/>
    </cacheField>
    <cacheField name="Employee Status" numFmtId="0">
      <sharedItems containsNonDate="0" containsString="0" containsBlank="1"/>
    </cacheField>
    <cacheField name="Employee Variation Code" numFmtId="0">
      <sharedItems containsNonDate="0" containsString="0" containsBlank="1"/>
    </cacheField>
    <cacheField name="Benefit Class" numFmtId="0">
      <sharedItems containsNonDate="0" containsString="0" containsBlank="1"/>
    </cacheField>
    <cacheField name="Benefit Class Effective Date" numFmtId="0">
      <sharedItems containsNonDate="0" containsString="0" containsBlank="1"/>
    </cacheField>
    <cacheField name="Service Fraction" numFmtId="0">
      <sharedItems containsNonDate="0" containsString="0" containsBlank="1"/>
    </cacheField>
    <cacheField name="Employee Pay Point Code" numFmtId="0">
      <sharedItems containsNonDate="0" containsString="0" containsBlank="1"/>
    </cacheField>
    <cacheField name="Employee Flag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">
  <r>
    <x v="0"/>
    <s v="P902"/>
    <m/>
    <n v="19036"/>
    <d v="2022-08-31T00:00:00"/>
    <d v="2022-09-13T00:00:00"/>
    <n v="1074001189"/>
    <m/>
    <n v="48"/>
    <s v="STA0100AU"/>
    <s v="01"/>
    <s v="F"/>
    <s v="Imad"/>
    <s v="SYED MUHAMMAD"/>
    <m/>
    <m/>
    <m/>
    <d v="1998-04-10T00:00:00"/>
    <m/>
    <m/>
    <m/>
    <m/>
    <m/>
    <s v="109/138 CAMBERWELL RD"/>
    <m/>
    <m/>
    <s v="HAWTHORN EAST"/>
    <n v="3123"/>
    <s v="VIC"/>
    <s v="AU"/>
    <m/>
    <m/>
    <m/>
    <m/>
    <m/>
    <m/>
    <m/>
    <m/>
    <m/>
    <m/>
    <m/>
    <m/>
    <m/>
    <m/>
    <m/>
    <m/>
    <m/>
    <m/>
    <m/>
    <m/>
  </r>
  <r>
    <x v="0"/>
    <s v="P900"/>
    <m/>
    <n v="19036"/>
    <d v="2022-08-31T00:00:00"/>
    <d v="2022-09-13T00:00:00"/>
    <n v="1074001189"/>
    <m/>
    <n v="4989"/>
    <s v="STA0100AU"/>
    <s v="01"/>
    <s v="F"/>
    <s v="Imad"/>
    <s v="SYED MUHAMMAD"/>
    <m/>
    <m/>
    <m/>
    <d v="1998-04-10T00:00:00"/>
    <m/>
    <m/>
    <m/>
    <m/>
    <m/>
    <s v="109/138 CAMBERWELL RD"/>
    <m/>
    <m/>
    <s v="HAWTHORN EAST"/>
    <n v="3123"/>
    <s v="VIC"/>
    <s v="AU"/>
    <m/>
    <m/>
    <m/>
    <m/>
    <m/>
    <m/>
    <m/>
    <m/>
    <m/>
    <m/>
    <m/>
    <m/>
    <m/>
    <m/>
    <m/>
    <m/>
    <m/>
    <m/>
    <m/>
    <m/>
  </r>
  <r>
    <x v="1"/>
    <s v="P900"/>
    <m/>
    <n v="19035"/>
    <d v="2022-08-31T00:00:00"/>
    <d v="2022-09-13T00:00:00"/>
    <n v="1075083862"/>
    <m/>
    <n v="13066.999999999998"/>
    <s v="STA0100AU"/>
    <s v="01"/>
    <s v="F"/>
    <s v="Khambay"/>
    <s v="BILLY"/>
    <m/>
    <m/>
    <m/>
    <d v="1993-04-15T00:00:00"/>
    <m/>
    <m/>
    <m/>
    <m/>
    <m/>
    <s v="17 GILBERT ST"/>
    <m/>
    <m/>
    <s v="CABRAMATTA"/>
    <n v="2166"/>
    <s v="NSW"/>
    <s v="AU"/>
    <m/>
    <m/>
    <m/>
    <m/>
    <m/>
    <m/>
    <m/>
    <m/>
    <m/>
    <m/>
    <m/>
    <m/>
    <m/>
    <m/>
    <m/>
    <m/>
    <m/>
    <m/>
    <m/>
    <m/>
  </r>
  <r>
    <x v="1"/>
    <s v="P902"/>
    <m/>
    <n v="19035"/>
    <d v="2022-08-31T00:00:00"/>
    <d v="2022-09-13T00:00:00"/>
    <n v="1075083862"/>
    <m/>
    <n v="124"/>
    <s v="STA0100AU"/>
    <s v="01"/>
    <s v="F"/>
    <s v="Khambay"/>
    <s v="BILLY"/>
    <m/>
    <m/>
    <m/>
    <d v="1993-04-15T00:00:00"/>
    <m/>
    <m/>
    <m/>
    <m/>
    <m/>
    <s v="17 GILBERT ST"/>
    <m/>
    <m/>
    <s v="CABRAMATTA"/>
    <n v="2166"/>
    <s v="NSW"/>
    <s v="AU"/>
    <m/>
    <m/>
    <m/>
    <m/>
    <m/>
    <m/>
    <m/>
    <m/>
    <m/>
    <m/>
    <m/>
    <m/>
    <m/>
    <m/>
    <m/>
    <m/>
    <m/>
    <m/>
    <m/>
    <m/>
  </r>
  <r>
    <x v="2"/>
    <s v="P902"/>
    <m/>
    <n v="19033"/>
    <d v="2022-08-17T00:00:00"/>
    <d v="2022-08-30T00:00:00"/>
    <n v="1075083822"/>
    <m/>
    <n v="37"/>
    <s v="STA0100AU"/>
    <s v="01"/>
    <s v="F"/>
    <s v="Ahmadi"/>
    <s v="MARYAMALSADAT"/>
    <m/>
    <m/>
    <m/>
    <d v="1981-07-09T00:00:00"/>
    <m/>
    <m/>
    <m/>
    <m/>
    <m/>
    <s v="8/29-33 STANLEY ST"/>
    <m/>
    <m/>
    <s v="BANKSTOWN"/>
    <n v="2200"/>
    <s v="NSW"/>
    <s v="AU"/>
    <m/>
    <m/>
    <m/>
    <m/>
    <m/>
    <m/>
    <m/>
    <m/>
    <m/>
    <m/>
    <m/>
    <m/>
    <m/>
    <m/>
    <m/>
    <m/>
    <m/>
    <m/>
    <m/>
    <m/>
  </r>
  <r>
    <x v="2"/>
    <s v="P902"/>
    <m/>
    <n v="19033"/>
    <d v="2022-08-31T00:00:00"/>
    <d v="2022-09-13T00:00:00"/>
    <n v="1075083822"/>
    <m/>
    <n v="181"/>
    <s v="STA0100AU"/>
    <s v="01"/>
    <s v="F"/>
    <s v="Ahmadi"/>
    <s v="MARYAMALSADAT"/>
    <m/>
    <m/>
    <m/>
    <d v="1981-07-09T00:00:00"/>
    <m/>
    <m/>
    <m/>
    <m/>
    <m/>
    <s v="8/29-33 STANLEY ST"/>
    <m/>
    <m/>
    <s v="BANKSTOWN"/>
    <n v="2200"/>
    <s v="NSW"/>
    <s v="AU"/>
    <m/>
    <m/>
    <m/>
    <m/>
    <m/>
    <m/>
    <m/>
    <m/>
    <m/>
    <m/>
    <m/>
    <m/>
    <m/>
    <m/>
    <m/>
    <m/>
    <m/>
    <m/>
    <m/>
    <m/>
  </r>
  <r>
    <x v="2"/>
    <s v="P900"/>
    <m/>
    <n v="19033"/>
    <d v="2022-08-17T00:00:00"/>
    <d v="2022-08-30T00:00:00"/>
    <n v="1075083822"/>
    <m/>
    <n v="3865.9999999999995"/>
    <s v="STA0100AU"/>
    <s v="01"/>
    <s v="F"/>
    <s v="Ahmadi"/>
    <s v="MARYAMALSADAT"/>
    <m/>
    <m/>
    <m/>
    <d v="1981-07-09T00:00:00"/>
    <m/>
    <m/>
    <m/>
    <m/>
    <m/>
    <s v="8/29-33 STANLEY ST"/>
    <m/>
    <m/>
    <s v="BANKSTOWN"/>
    <n v="2200"/>
    <s v="NSW"/>
    <s v="AU"/>
    <m/>
    <m/>
    <m/>
    <m/>
    <m/>
    <m/>
    <m/>
    <m/>
    <m/>
    <m/>
    <m/>
    <m/>
    <m/>
    <m/>
    <m/>
    <m/>
    <m/>
    <m/>
    <m/>
    <m/>
  </r>
  <r>
    <x v="2"/>
    <s v="P900"/>
    <m/>
    <n v="19033"/>
    <d v="2022-08-31T00:00:00"/>
    <d v="2022-09-13T00:00:00"/>
    <n v="1075083822"/>
    <m/>
    <n v="18957"/>
    <s v="STA0100AU"/>
    <s v="01"/>
    <s v="F"/>
    <s v="Ahmadi"/>
    <s v="MARYAMALSADAT"/>
    <m/>
    <m/>
    <m/>
    <d v="1981-07-09T00:00:00"/>
    <m/>
    <m/>
    <m/>
    <m/>
    <m/>
    <s v="8/29-33 STANLEY ST"/>
    <m/>
    <m/>
    <s v="BANKSTOWN"/>
    <n v="2200"/>
    <s v="NSW"/>
    <s v="AU"/>
    <m/>
    <m/>
    <m/>
    <m/>
    <m/>
    <m/>
    <m/>
    <m/>
    <m/>
    <m/>
    <m/>
    <m/>
    <m/>
    <m/>
    <m/>
    <m/>
    <m/>
    <m/>
    <m/>
    <m/>
  </r>
  <r>
    <x v="3"/>
    <s v="P902"/>
    <m/>
    <n v="18891"/>
    <d v="2022-06-22T00:00:00"/>
    <d v="2022-07-05T00:00:00"/>
    <n v="100425280"/>
    <m/>
    <n v="233"/>
    <s v="TWU0101AU"/>
    <s v="01"/>
    <s v="F"/>
    <s v="Kodor"/>
    <s v="MARA"/>
    <m/>
    <m/>
    <m/>
    <d v="1959-10-19T00:00:00"/>
    <m/>
    <m/>
    <m/>
    <m/>
    <m/>
    <s v="52 TOLMER STREET"/>
    <m/>
    <m/>
    <s v="BOSSLEY PARK"/>
    <n v="2176"/>
    <s v="NSW"/>
    <s v="AU"/>
    <m/>
    <m/>
    <m/>
    <m/>
    <m/>
    <m/>
    <m/>
    <m/>
    <m/>
    <m/>
    <m/>
    <m/>
    <m/>
    <m/>
    <m/>
    <m/>
    <m/>
    <m/>
    <m/>
    <m/>
  </r>
  <r>
    <x v="3"/>
    <s v="P902"/>
    <m/>
    <n v="18891"/>
    <d v="2022-07-20T00:00:00"/>
    <d v="2022-08-02T00:00:00"/>
    <n v="100425280"/>
    <m/>
    <n v="250.99999999999997"/>
    <s v="TWU0101AU"/>
    <s v="01"/>
    <s v="F"/>
    <s v="Kodor"/>
    <s v="MARA"/>
    <m/>
    <m/>
    <m/>
    <d v="1959-10-19T00:00:00"/>
    <m/>
    <m/>
    <m/>
    <m/>
    <m/>
    <s v="52 TOLMER STREET"/>
    <m/>
    <m/>
    <s v="BOSSLEY PARK"/>
    <n v="2176"/>
    <s v="NSW"/>
    <s v="AU"/>
    <m/>
    <m/>
    <m/>
    <m/>
    <m/>
    <m/>
    <m/>
    <m/>
    <m/>
    <m/>
    <m/>
    <m/>
    <m/>
    <m/>
    <m/>
    <m/>
    <m/>
    <m/>
    <m/>
    <m/>
  </r>
  <r>
    <x v="3"/>
    <s v="P902"/>
    <m/>
    <n v="18891"/>
    <d v="2022-07-06T00:00:00"/>
    <d v="2022-07-19T00:00:00"/>
    <n v="100425280"/>
    <m/>
    <n v="252.99999999999997"/>
    <s v="TWU0101AU"/>
    <s v="01"/>
    <s v="F"/>
    <s v="Kodor"/>
    <s v="MARA"/>
    <m/>
    <m/>
    <m/>
    <d v="1959-10-19T00:00:00"/>
    <m/>
    <m/>
    <m/>
    <m/>
    <m/>
    <s v="52 TOLMER STREET"/>
    <m/>
    <m/>
    <s v="BOSSLEY PARK"/>
    <n v="2176"/>
    <s v="NSW"/>
    <s v="AU"/>
    <m/>
    <m/>
    <m/>
    <m/>
    <m/>
    <m/>
    <m/>
    <m/>
    <m/>
    <m/>
    <m/>
    <m/>
    <m/>
    <m/>
    <m/>
    <m/>
    <m/>
    <m/>
    <m/>
    <m/>
  </r>
  <r>
    <x v="3"/>
    <s v="P900"/>
    <m/>
    <n v="18891"/>
    <d v="2022-06-22T00:00:00"/>
    <d v="2022-07-05T00:00:00"/>
    <n v="100425280"/>
    <m/>
    <n v="24470"/>
    <s v="TWU0101AU"/>
    <s v="01"/>
    <s v="F"/>
    <s v="Kodor"/>
    <s v="MARA"/>
    <m/>
    <m/>
    <m/>
    <d v="1959-10-19T00:00:00"/>
    <m/>
    <m/>
    <m/>
    <m/>
    <m/>
    <s v="52 TOLMER STREET"/>
    <m/>
    <m/>
    <s v="BOSSLEY PARK"/>
    <n v="2176"/>
    <s v="NSW"/>
    <s v="AU"/>
    <m/>
    <m/>
    <m/>
    <m/>
    <m/>
    <m/>
    <m/>
    <m/>
    <m/>
    <m/>
    <m/>
    <m/>
    <m/>
    <m/>
    <m/>
    <m/>
    <m/>
    <m/>
    <m/>
    <m/>
  </r>
  <r>
    <x v="3"/>
    <s v="P900"/>
    <m/>
    <n v="18891"/>
    <d v="2022-07-20T00:00:00"/>
    <d v="2022-08-02T00:00:00"/>
    <n v="100425280"/>
    <m/>
    <n v="26367"/>
    <s v="TWU0101AU"/>
    <s v="01"/>
    <s v="F"/>
    <s v="Kodor"/>
    <s v="MARA"/>
    <m/>
    <m/>
    <m/>
    <d v="1959-10-19T00:00:00"/>
    <m/>
    <m/>
    <m/>
    <m/>
    <m/>
    <s v="52 TOLMER STREET"/>
    <m/>
    <m/>
    <s v="BOSSLEY PARK"/>
    <n v="2176"/>
    <s v="NSW"/>
    <s v="AU"/>
    <m/>
    <m/>
    <m/>
    <m/>
    <m/>
    <m/>
    <m/>
    <m/>
    <m/>
    <m/>
    <m/>
    <m/>
    <m/>
    <m/>
    <m/>
    <m/>
    <m/>
    <m/>
    <m/>
    <m/>
  </r>
  <r>
    <x v="3"/>
    <s v="P900"/>
    <m/>
    <n v="18891"/>
    <d v="2022-07-06T00:00:00"/>
    <d v="2022-07-19T00:00:00"/>
    <n v="100425280"/>
    <m/>
    <n v="26600"/>
    <s v="TWU0101AU"/>
    <s v="01"/>
    <s v="F"/>
    <s v="Kodor"/>
    <s v="MARA"/>
    <m/>
    <m/>
    <m/>
    <d v="1959-10-19T00:00:00"/>
    <m/>
    <m/>
    <m/>
    <m/>
    <m/>
    <s v="52 TOLMER STREET"/>
    <m/>
    <m/>
    <s v="BOSSLEY PARK"/>
    <n v="2176"/>
    <s v="NSW"/>
    <s v="AU"/>
    <m/>
    <m/>
    <m/>
    <m/>
    <m/>
    <m/>
    <m/>
    <m/>
    <m/>
    <m/>
    <m/>
    <m/>
    <m/>
    <m/>
    <m/>
    <m/>
    <m/>
    <m/>
    <m/>
    <m/>
  </r>
  <r>
    <x v="4"/>
    <s v="P900"/>
    <m/>
    <n v="18827"/>
    <d v="2022-07-06T00:00:00"/>
    <d v="2022-07-19T00:00:00"/>
    <n v="10854606"/>
    <m/>
    <n v="25160"/>
    <n v="29610601915"/>
    <s v="01"/>
    <s v="F"/>
    <s v="Ramalingam"/>
    <s v="JANSI"/>
    <m/>
    <m/>
    <m/>
    <d v="1988-01-04T00:00:00"/>
    <m/>
    <m/>
    <m/>
    <m/>
    <m/>
    <s v="115 ST HELENA ROAD"/>
    <m/>
    <m/>
    <s v="GREENSBOROUGH"/>
    <n v="3088"/>
    <s v="VIC"/>
    <s v="AU"/>
    <m/>
    <m/>
    <m/>
    <m/>
    <m/>
    <m/>
    <m/>
    <m/>
    <m/>
    <m/>
    <m/>
    <m/>
    <m/>
    <m/>
    <m/>
    <m/>
    <m/>
    <m/>
    <m/>
    <m/>
  </r>
  <r>
    <x v="4"/>
    <s v="P902"/>
    <m/>
    <n v="18827"/>
    <d v="2022-06-22T00:00:00"/>
    <d v="2022-07-05T00:00:00"/>
    <n v="10854606"/>
    <m/>
    <n v="227"/>
    <n v="29610601915"/>
    <s v="01"/>
    <s v="F"/>
    <s v="Ramalingam"/>
    <s v="JANSI"/>
    <m/>
    <m/>
    <m/>
    <d v="1988-01-04T00:00:00"/>
    <m/>
    <m/>
    <m/>
    <m/>
    <m/>
    <s v="115 ST HELENA ROAD"/>
    <m/>
    <m/>
    <s v="GREENSBOROUGH"/>
    <n v="3088"/>
    <s v="VIC"/>
    <s v="AU"/>
    <m/>
    <m/>
    <m/>
    <m/>
    <m/>
    <m/>
    <m/>
    <m/>
    <m/>
    <m/>
    <m/>
    <m/>
    <m/>
    <m/>
    <m/>
    <m/>
    <m/>
    <m/>
    <m/>
    <m/>
  </r>
  <r>
    <x v="4"/>
    <s v="P902"/>
    <m/>
    <n v="18827"/>
    <d v="2022-07-06T00:00:00"/>
    <d v="2022-07-19T00:00:00"/>
    <n v="10854606"/>
    <m/>
    <n v="240"/>
    <n v="29610601915"/>
    <s v="01"/>
    <s v="F"/>
    <s v="Ramalingam"/>
    <s v="JANSI"/>
    <m/>
    <m/>
    <m/>
    <d v="1988-01-04T00:00:00"/>
    <m/>
    <m/>
    <m/>
    <m/>
    <m/>
    <s v="115 ST HELENA ROAD"/>
    <m/>
    <m/>
    <s v="GREENSBOROUGH"/>
    <n v="3088"/>
    <s v="VIC"/>
    <s v="AU"/>
    <m/>
    <m/>
    <m/>
    <m/>
    <m/>
    <m/>
    <m/>
    <m/>
    <m/>
    <m/>
    <m/>
    <m/>
    <m/>
    <m/>
    <m/>
    <m/>
    <m/>
    <m/>
    <m/>
    <m/>
  </r>
  <r>
    <x v="4"/>
    <s v="P900"/>
    <m/>
    <n v="18827"/>
    <d v="2022-06-22T00:00:00"/>
    <d v="2022-07-05T00:00:00"/>
    <n v="10854606"/>
    <m/>
    <n v="23818"/>
    <n v="29610601915"/>
    <s v="01"/>
    <s v="F"/>
    <s v="Ramalingam"/>
    <s v="JANSI"/>
    <m/>
    <m/>
    <m/>
    <d v="1988-01-04T00:00:00"/>
    <m/>
    <m/>
    <m/>
    <m/>
    <m/>
    <s v="115 ST HELENA ROAD"/>
    <m/>
    <m/>
    <s v="GREENSBOROUGH"/>
    <n v="3088"/>
    <s v="VIC"/>
    <s v="AU"/>
    <m/>
    <m/>
    <m/>
    <m/>
    <m/>
    <m/>
    <m/>
    <m/>
    <m/>
    <m/>
    <m/>
    <m/>
    <m/>
    <m/>
    <m/>
    <m/>
    <m/>
    <m/>
    <m/>
    <m/>
  </r>
  <r>
    <x v="5"/>
    <s v="P900"/>
    <m/>
    <n v="19022"/>
    <d v="2022-07-20T00:00:00"/>
    <d v="2022-08-02T00:00:00"/>
    <n v="1075120505"/>
    <m/>
    <n v="18215"/>
    <s v="STA0100AU"/>
    <s v="01"/>
    <s v="F"/>
    <s v="Haggag"/>
    <s v="ABDELRAHMAN"/>
    <m/>
    <m/>
    <m/>
    <d v="1995-02-19T00:00:00"/>
    <m/>
    <m/>
    <m/>
    <m/>
    <m/>
    <s v="36 STARK CIRCUIT"/>
    <m/>
    <m/>
    <s v="CRANBOURNE"/>
    <n v="3977"/>
    <s v="VIC"/>
    <s v="AU"/>
    <m/>
    <m/>
    <m/>
    <m/>
    <m/>
    <m/>
    <m/>
    <m/>
    <m/>
    <m/>
    <m/>
    <m/>
    <m/>
    <m/>
    <m/>
    <m/>
    <m/>
    <m/>
    <m/>
    <m/>
  </r>
  <r>
    <x v="5"/>
    <s v="P900"/>
    <m/>
    <n v="19022"/>
    <d v="2022-07-06T00:00:00"/>
    <d v="2022-07-19T00:00:00"/>
    <n v="1075120505"/>
    <m/>
    <n v="22023"/>
    <s v="STA0100AU"/>
    <s v="01"/>
    <s v="F"/>
    <s v="Haggag"/>
    <s v="ABDELRAHMAN"/>
    <m/>
    <m/>
    <m/>
    <d v="1995-02-19T00:00:00"/>
    <m/>
    <m/>
    <m/>
    <m/>
    <m/>
    <s v="36 STARK CIRCUIT"/>
    <m/>
    <m/>
    <s v="CRANBOURNE"/>
    <n v="3977"/>
    <s v="VIC"/>
    <s v="AU"/>
    <m/>
    <m/>
    <m/>
    <m/>
    <m/>
    <m/>
    <m/>
    <m/>
    <m/>
    <m/>
    <m/>
    <m/>
    <m/>
    <m/>
    <m/>
    <m/>
    <m/>
    <m/>
    <m/>
    <m/>
  </r>
  <r>
    <x v="5"/>
    <s v="P902"/>
    <m/>
    <n v="19022"/>
    <d v="2022-07-20T00:00:00"/>
    <d v="2022-08-02T00:00:00"/>
    <n v="1075120505"/>
    <m/>
    <n v="173"/>
    <s v="STA0100AU"/>
    <s v="01"/>
    <s v="F"/>
    <s v="Haggag"/>
    <s v="ABDELRAHMAN"/>
    <m/>
    <m/>
    <m/>
    <d v="1995-02-19T00:00:00"/>
    <m/>
    <m/>
    <m/>
    <m/>
    <m/>
    <s v="36 STARK CIRCUIT"/>
    <m/>
    <m/>
    <s v="CRANBOURNE"/>
    <n v="3977"/>
    <s v="VIC"/>
    <s v="AU"/>
    <m/>
    <m/>
    <m/>
    <m/>
    <m/>
    <m/>
    <m/>
    <m/>
    <m/>
    <m/>
    <m/>
    <m/>
    <m/>
    <m/>
    <m/>
    <m/>
    <m/>
    <m/>
    <m/>
    <m/>
  </r>
  <r>
    <x v="5"/>
    <s v="P902"/>
    <m/>
    <n v="19022"/>
    <d v="2022-07-06T00:00:00"/>
    <d v="2022-07-19T00:00:00"/>
    <n v="1075120505"/>
    <m/>
    <n v="210"/>
    <s v="STA0100AU"/>
    <s v="01"/>
    <s v="F"/>
    <s v="Haggag"/>
    <s v="ABDELRAHMAN"/>
    <m/>
    <m/>
    <m/>
    <d v="1995-02-19T00:00:00"/>
    <m/>
    <m/>
    <m/>
    <m/>
    <m/>
    <s v="36 STARK CIRCUIT"/>
    <m/>
    <m/>
    <s v="CRANBOURNE"/>
    <n v="3977"/>
    <s v="VIC"/>
    <s v="AU"/>
    <m/>
    <m/>
    <m/>
    <m/>
    <m/>
    <m/>
    <m/>
    <m/>
    <m/>
    <m/>
    <m/>
    <m/>
    <m/>
    <m/>
    <m/>
    <m/>
    <m/>
    <m/>
    <m/>
    <m/>
  </r>
  <r>
    <x v="6"/>
    <s v="P900"/>
    <m/>
    <n v="19024"/>
    <d v="2022-07-20T00:00:00"/>
    <d v="2022-08-02T00:00:00"/>
    <n v="1075120521"/>
    <m/>
    <n v="18513"/>
    <s v="STA0100AU"/>
    <s v="01"/>
    <s v="F"/>
    <s v="Stanica"/>
    <s v="VLAD"/>
    <m/>
    <m/>
    <m/>
    <d v="2000-01-25T00:00:00"/>
    <m/>
    <m/>
    <m/>
    <m/>
    <m/>
    <s v="20 HAZELDEAN COURT"/>
    <m/>
    <m/>
    <s v="HAMPON PARK"/>
    <n v="3976"/>
    <s v="VIC"/>
    <s v="AU"/>
    <m/>
    <m/>
    <m/>
    <m/>
    <m/>
    <m/>
    <m/>
    <m/>
    <m/>
    <m/>
    <m/>
    <m/>
    <m/>
    <m/>
    <m/>
    <m/>
    <m/>
    <m/>
    <m/>
    <m/>
  </r>
  <r>
    <x v="6"/>
    <s v="P902"/>
    <m/>
    <n v="19024"/>
    <d v="2022-07-20T00:00:00"/>
    <d v="2022-08-02T00:00:00"/>
    <n v="1075120521"/>
    <m/>
    <n v="176"/>
    <s v="STA0100AU"/>
    <s v="01"/>
    <s v="F"/>
    <s v="Stanica"/>
    <s v="VLAD"/>
    <m/>
    <m/>
    <m/>
    <d v="2000-01-25T00:00:00"/>
    <m/>
    <m/>
    <m/>
    <m/>
    <m/>
    <s v="20 HAZELDEAN COURT"/>
    <m/>
    <m/>
    <s v="HAMPON PARK"/>
    <n v="3976"/>
    <s v="VIC"/>
    <s v="AU"/>
    <m/>
    <m/>
    <m/>
    <m/>
    <m/>
    <m/>
    <m/>
    <m/>
    <m/>
    <m/>
    <m/>
    <m/>
    <m/>
    <m/>
    <m/>
    <m/>
    <m/>
    <m/>
    <m/>
    <m/>
  </r>
  <r>
    <x v="7"/>
    <s v="P902"/>
    <m/>
    <n v="19026"/>
    <d v="2022-07-20T00:00:00"/>
    <d v="2022-08-02T00:00:00"/>
    <n v="1075120536"/>
    <m/>
    <n v="20"/>
    <s v="STA0100AU"/>
    <s v="01"/>
    <s v="F"/>
    <s v="Almassi"/>
    <s v="AREZOO"/>
    <m/>
    <m/>
    <m/>
    <d v="1992-09-02T00:00:00"/>
    <m/>
    <m/>
    <m/>
    <m/>
    <m/>
    <s v="4326/10 PORTER ST"/>
    <m/>
    <m/>
    <s v="RYDE"/>
    <n v="2112"/>
    <s v="NSW"/>
    <s v="AU"/>
    <m/>
    <m/>
    <m/>
    <m/>
    <m/>
    <m/>
    <m/>
    <m/>
    <m/>
    <m/>
    <m/>
    <m/>
    <m/>
    <m/>
    <m/>
    <m/>
    <m/>
    <m/>
    <m/>
    <m/>
  </r>
  <r>
    <x v="7"/>
    <s v="P900"/>
    <m/>
    <n v="19026"/>
    <d v="2022-07-20T00:00:00"/>
    <d v="2022-08-02T00:00:00"/>
    <n v="1075120536"/>
    <m/>
    <n v="2059"/>
    <s v="STA0100AU"/>
    <s v="01"/>
    <s v="F"/>
    <s v="Almassi"/>
    <s v="AREZOO"/>
    <m/>
    <m/>
    <m/>
    <d v="1992-09-02T00:00:00"/>
    <m/>
    <m/>
    <m/>
    <m/>
    <m/>
    <s v="4326/10 PORTER ST"/>
    <m/>
    <m/>
    <s v="RYDE"/>
    <n v="2112"/>
    <s v="NSW"/>
    <s v="AU"/>
    <m/>
    <m/>
    <m/>
    <m/>
    <m/>
    <m/>
    <m/>
    <m/>
    <m/>
    <m/>
    <m/>
    <m/>
    <m/>
    <m/>
    <m/>
    <m/>
    <m/>
    <m/>
    <m/>
    <m/>
  </r>
  <r>
    <x v="5"/>
    <s v="P900"/>
    <m/>
    <n v="19022"/>
    <d v="2022-09-14T00:00:00"/>
    <d v="2022-09-27T00:00:00"/>
    <n v="1075120505"/>
    <m/>
    <n v="23423"/>
    <s v="STA0100AU"/>
    <s v="01"/>
    <s v="F"/>
    <s v="Haggag"/>
    <s v="ABDELRAHMAN"/>
    <m/>
    <m/>
    <m/>
    <d v="1995-02-19T00:00:00"/>
    <m/>
    <m/>
    <m/>
    <m/>
    <m/>
    <s v="36 STARK CIRCUIT"/>
    <m/>
    <m/>
    <s v="CRANBOURNE"/>
    <n v="3977"/>
    <s v="VIC"/>
    <s v="AU"/>
    <m/>
    <m/>
    <m/>
    <m/>
    <m/>
    <m/>
    <m/>
    <m/>
    <m/>
    <m/>
    <m/>
    <m/>
    <m/>
    <m/>
    <m/>
    <m/>
    <m/>
    <m/>
    <m/>
    <m/>
  </r>
  <r>
    <x v="5"/>
    <s v="P900"/>
    <m/>
    <n v="19022"/>
    <d v="2022-08-17T00:00:00"/>
    <d v="2022-08-30T00:00:00"/>
    <n v="1075120505"/>
    <m/>
    <n v="17922"/>
    <s v="STA0100AU"/>
    <s v="01"/>
    <s v="F"/>
    <s v="Haggag"/>
    <s v="ABDELRAHMAN"/>
    <m/>
    <m/>
    <m/>
    <d v="1995-02-19T00:00:00"/>
    <m/>
    <m/>
    <m/>
    <m/>
    <m/>
    <s v="36 STARK CIRCUIT"/>
    <m/>
    <m/>
    <s v="CRANBOURNE"/>
    <n v="3977"/>
    <s v="VIC"/>
    <s v="AU"/>
    <m/>
    <m/>
    <m/>
    <m/>
    <m/>
    <m/>
    <m/>
    <m/>
    <m/>
    <m/>
    <m/>
    <m/>
    <m/>
    <m/>
    <m/>
    <m/>
    <m/>
    <m/>
    <m/>
    <m/>
  </r>
  <r>
    <x v="5"/>
    <s v="P900"/>
    <m/>
    <n v="19022"/>
    <d v="2022-08-31T00:00:00"/>
    <d v="2022-09-13T00:00:00"/>
    <n v="1075120505"/>
    <m/>
    <n v="21588"/>
    <s v="STA0100AU"/>
    <s v="01"/>
    <s v="F"/>
    <s v="Haggag"/>
    <s v="ABDELRAHMAN"/>
    <m/>
    <m/>
    <m/>
    <d v="1995-02-19T00:00:00"/>
    <m/>
    <m/>
    <m/>
    <m/>
    <m/>
    <s v="36 STARK CIRCUIT"/>
    <m/>
    <m/>
    <s v="CRANBOURNE"/>
    <n v="3977"/>
    <s v="VIC"/>
    <s v="AU"/>
    <m/>
    <m/>
    <m/>
    <m/>
    <m/>
    <m/>
    <m/>
    <m/>
    <m/>
    <m/>
    <m/>
    <m/>
    <m/>
    <m/>
    <m/>
    <m/>
    <m/>
    <m/>
    <m/>
    <m/>
  </r>
  <r>
    <x v="5"/>
    <s v="P902"/>
    <m/>
    <n v="19022"/>
    <d v="2022-08-17T00:00:00"/>
    <d v="2022-08-30T00:00:00"/>
    <n v="1075120505"/>
    <m/>
    <n v="171"/>
    <s v="STA0100AU"/>
    <s v="01"/>
    <s v="F"/>
    <s v="Haggag"/>
    <s v="ABDELRAHMAN"/>
    <m/>
    <m/>
    <m/>
    <d v="1995-02-19T00:00:00"/>
    <m/>
    <m/>
    <m/>
    <m/>
    <m/>
    <s v="36 STARK CIRCUIT"/>
    <m/>
    <m/>
    <s v="CRANBOURNE"/>
    <n v="3977"/>
    <s v="VIC"/>
    <s v="AU"/>
    <m/>
    <m/>
    <m/>
    <m/>
    <m/>
    <m/>
    <m/>
    <m/>
    <m/>
    <m/>
    <m/>
    <m/>
    <m/>
    <m/>
    <m/>
    <m/>
    <m/>
    <m/>
    <m/>
    <m/>
  </r>
  <r>
    <x v="5"/>
    <s v="P902"/>
    <m/>
    <n v="19022"/>
    <d v="2022-08-31T00:00:00"/>
    <d v="2022-09-13T00:00:00"/>
    <n v="1075120505"/>
    <m/>
    <n v="206"/>
    <s v="STA0100AU"/>
    <s v="01"/>
    <s v="F"/>
    <s v="Haggag"/>
    <s v="ABDELRAHMAN"/>
    <m/>
    <m/>
    <m/>
    <d v="1995-02-19T00:00:00"/>
    <m/>
    <m/>
    <m/>
    <m/>
    <m/>
    <s v="36 STARK CIRCUIT"/>
    <m/>
    <m/>
    <s v="CRANBOURNE"/>
    <n v="3977"/>
    <s v="VIC"/>
    <s v="AU"/>
    <m/>
    <m/>
    <m/>
    <m/>
    <m/>
    <m/>
    <m/>
    <m/>
    <m/>
    <m/>
    <m/>
    <m/>
    <m/>
    <m/>
    <m/>
    <m/>
    <m/>
    <m/>
    <m/>
    <m/>
  </r>
  <r>
    <x v="3"/>
    <s v="P900"/>
    <m/>
    <n v="18891"/>
    <d v="2022-09-14T00:00:00"/>
    <d v="2022-09-27T00:00:00"/>
    <n v="100425280"/>
    <m/>
    <n v="19176"/>
    <s v="TWU0101AU"/>
    <s v="01"/>
    <s v="F"/>
    <s v="Kodor"/>
    <s v="MARA"/>
    <m/>
    <m/>
    <m/>
    <d v="1959-10-19T00:00:00"/>
    <m/>
    <m/>
    <m/>
    <m/>
    <m/>
    <s v="52 TOLMER STREET"/>
    <m/>
    <m/>
    <s v="BOSSLEY PARK"/>
    <n v="2176"/>
    <s v="NSW"/>
    <s v="AU"/>
    <m/>
    <m/>
    <m/>
    <m/>
    <m/>
    <m/>
    <m/>
    <m/>
    <m/>
    <m/>
    <m/>
    <m/>
    <m/>
    <m/>
    <m/>
    <m/>
    <m/>
    <m/>
    <m/>
    <m/>
  </r>
  <r>
    <x v="3"/>
    <s v="P900"/>
    <m/>
    <n v="18891"/>
    <d v="2022-08-17T00:00:00"/>
    <d v="2022-08-30T00:00:00"/>
    <n v="100425280"/>
    <m/>
    <n v="19176"/>
    <s v="TWU0101AU"/>
    <s v="01"/>
    <s v="F"/>
    <s v="Kodor"/>
    <s v="MARA"/>
    <m/>
    <m/>
    <m/>
    <d v="1959-10-19T00:00:00"/>
    <m/>
    <m/>
    <m/>
    <m/>
    <m/>
    <s v="52 TOLMER STREET"/>
    <m/>
    <m/>
    <s v="BOSSLEY PARK"/>
    <n v="2176"/>
    <s v="NSW"/>
    <s v="AU"/>
    <m/>
    <m/>
    <m/>
    <m/>
    <m/>
    <m/>
    <m/>
    <m/>
    <m/>
    <m/>
    <m/>
    <m/>
    <m/>
    <m/>
    <m/>
    <m/>
    <m/>
    <m/>
    <m/>
    <m/>
  </r>
  <r>
    <x v="3"/>
    <s v="P900"/>
    <m/>
    <n v="18891"/>
    <d v="2022-08-31T00:00:00"/>
    <d v="2022-09-13T00:00:00"/>
    <n v="100425280"/>
    <m/>
    <n v="19176"/>
    <s v="TWU0101AU"/>
    <s v="01"/>
    <s v="F"/>
    <s v="Kodor"/>
    <s v="MARA"/>
    <m/>
    <m/>
    <m/>
    <d v="1959-10-19T00:00:00"/>
    <m/>
    <m/>
    <m/>
    <m/>
    <m/>
    <s v="52 TOLMER STREET"/>
    <m/>
    <m/>
    <s v="BOSSLEY PARK"/>
    <n v="2176"/>
    <s v="NSW"/>
    <s v="AU"/>
    <m/>
    <m/>
    <m/>
    <m/>
    <m/>
    <m/>
    <m/>
    <m/>
    <m/>
    <m/>
    <m/>
    <m/>
    <m/>
    <m/>
    <m/>
    <m/>
    <m/>
    <m/>
    <m/>
    <m/>
  </r>
  <r>
    <x v="3"/>
    <s v="P902"/>
    <m/>
    <n v="18891"/>
    <d v="2022-09-14T00:00:00"/>
    <d v="2022-09-27T00:00:00"/>
    <n v="100425280"/>
    <m/>
    <n v="183"/>
    <s v="TWU0101AU"/>
    <s v="01"/>
    <s v="F"/>
    <s v="Kodor"/>
    <s v="MARA"/>
    <m/>
    <m/>
    <m/>
    <d v="1959-10-19T00:00:00"/>
    <m/>
    <m/>
    <m/>
    <m/>
    <m/>
    <s v="52 TOLMER STREET"/>
    <m/>
    <m/>
    <s v="BOSSLEY PARK"/>
    <n v="2176"/>
    <s v="NSW"/>
    <s v="AU"/>
    <m/>
    <m/>
    <m/>
    <m/>
    <m/>
    <m/>
    <m/>
    <m/>
    <m/>
    <m/>
    <m/>
    <m/>
    <m/>
    <m/>
    <m/>
    <m/>
    <m/>
    <m/>
    <m/>
    <m/>
  </r>
  <r>
    <x v="3"/>
    <s v="P902"/>
    <m/>
    <n v="18891"/>
    <d v="2022-08-17T00:00:00"/>
    <d v="2022-08-30T00:00:00"/>
    <n v="100425280"/>
    <m/>
    <n v="183"/>
    <s v="TWU0101AU"/>
    <s v="01"/>
    <s v="F"/>
    <s v="Kodor"/>
    <s v="MARA"/>
    <m/>
    <m/>
    <m/>
    <d v="1959-10-19T00:00:00"/>
    <m/>
    <m/>
    <m/>
    <m/>
    <m/>
    <s v="52 TOLMER STREET"/>
    <m/>
    <m/>
    <s v="BOSSLEY PARK"/>
    <n v="2176"/>
    <s v="NSW"/>
    <s v="AU"/>
    <m/>
    <m/>
    <m/>
    <m/>
    <m/>
    <m/>
    <m/>
    <m/>
    <m/>
    <m/>
    <m/>
    <m/>
    <m/>
    <m/>
    <m/>
    <m/>
    <m/>
    <m/>
    <m/>
    <m/>
  </r>
  <r>
    <x v="3"/>
    <s v="P902"/>
    <m/>
    <n v="18891"/>
    <d v="2022-08-31T00:00:00"/>
    <d v="2022-09-13T00:00:00"/>
    <n v="100425280"/>
    <m/>
    <n v="183"/>
    <s v="TWU0101AU"/>
    <s v="01"/>
    <s v="F"/>
    <s v="Kodor"/>
    <s v="MARA"/>
    <m/>
    <m/>
    <m/>
    <d v="1959-10-19T00:00:00"/>
    <m/>
    <m/>
    <m/>
    <m/>
    <m/>
    <s v="52 TOLMER STREET"/>
    <m/>
    <m/>
    <s v="BOSSLEY PARK"/>
    <n v="2176"/>
    <s v="NSW"/>
    <s v="AU"/>
    <m/>
    <m/>
    <m/>
    <m/>
    <m/>
    <m/>
    <m/>
    <m/>
    <m/>
    <m/>
    <m/>
    <m/>
    <m/>
    <m/>
    <m/>
    <m/>
    <m/>
    <m/>
    <m/>
    <m/>
  </r>
  <r>
    <x v="8"/>
    <s v="P900"/>
    <m/>
    <n v="19032"/>
    <d v="2022-09-14T00:00:00"/>
    <d v="2022-09-27T00:00:00"/>
    <n v="1075186864"/>
    <m/>
    <n v="12351"/>
    <s v="STA0100AU"/>
    <s v="01"/>
    <s v="F"/>
    <s v="El-Klink"/>
    <s v="IMAN"/>
    <m/>
    <m/>
    <m/>
    <d v="1985-09-01T00:00:00"/>
    <m/>
    <m/>
    <m/>
    <m/>
    <m/>
    <s v="74 NORTHEM AVE"/>
    <m/>
    <m/>
    <s v="BANKSTOWN"/>
    <n v="2200"/>
    <s v="NSW"/>
    <s v="AU"/>
    <m/>
    <m/>
    <m/>
    <m/>
    <m/>
    <m/>
    <m/>
    <m/>
    <m/>
    <m/>
    <m/>
    <m/>
    <m/>
    <m/>
    <m/>
    <m/>
    <m/>
    <m/>
    <m/>
    <m/>
  </r>
  <r>
    <x v="8"/>
    <s v="P900"/>
    <m/>
    <n v="19032"/>
    <d v="2022-08-17T00:00:00"/>
    <d v="2022-08-30T00:00:00"/>
    <n v="1075186864"/>
    <m/>
    <n v="6175"/>
    <s v="STA0100AU"/>
    <s v="01"/>
    <s v="F"/>
    <s v="El-Klink"/>
    <s v="IMAN"/>
    <m/>
    <m/>
    <m/>
    <d v="1985-09-01T00:00:00"/>
    <m/>
    <m/>
    <m/>
    <m/>
    <m/>
    <s v="74 NORTHEM AVE"/>
    <m/>
    <m/>
    <s v="BANKSTOWN"/>
    <n v="2200"/>
    <s v="NSW"/>
    <s v="AU"/>
    <m/>
    <m/>
    <m/>
    <m/>
    <m/>
    <m/>
    <m/>
    <m/>
    <m/>
    <m/>
    <m/>
    <m/>
    <m/>
    <m/>
    <m/>
    <m/>
    <m/>
    <m/>
    <m/>
    <m/>
  </r>
  <r>
    <x v="8"/>
    <s v="P900"/>
    <m/>
    <n v="19032"/>
    <d v="2022-08-31T00:00:00"/>
    <d v="2022-09-13T00:00:00"/>
    <n v="1075186864"/>
    <m/>
    <n v="12351"/>
    <s v="STA0100AU"/>
    <s v="01"/>
    <s v="F"/>
    <s v="El-Klink"/>
    <s v="IMAN"/>
    <m/>
    <m/>
    <m/>
    <d v="1985-09-01T00:00:00"/>
    <m/>
    <m/>
    <m/>
    <m/>
    <m/>
    <s v="74 NORTHEM AVE"/>
    <m/>
    <m/>
    <s v="BANKSTOWN"/>
    <n v="2200"/>
    <s v="NSW"/>
    <s v="AU"/>
    <m/>
    <m/>
    <m/>
    <m/>
    <m/>
    <m/>
    <m/>
    <m/>
    <m/>
    <m/>
    <m/>
    <m/>
    <m/>
    <m/>
    <m/>
    <m/>
    <m/>
    <m/>
    <m/>
    <m/>
  </r>
  <r>
    <x v="8"/>
    <s v="P902"/>
    <m/>
    <n v="19032"/>
    <d v="2022-09-14T00:00:00"/>
    <d v="2022-09-27T00:00:00"/>
    <n v="1075186864"/>
    <m/>
    <n v="118"/>
    <s v="STA0100AU"/>
    <s v="01"/>
    <s v="F"/>
    <s v="El-Klink"/>
    <s v="IMAN"/>
    <m/>
    <m/>
    <m/>
    <d v="1985-09-01T00:00:00"/>
    <m/>
    <m/>
    <m/>
    <m/>
    <m/>
    <s v="74 NORTHEM AVE"/>
    <m/>
    <m/>
    <s v="BANKSTOWN"/>
    <n v="2200"/>
    <s v="NSW"/>
    <s v="AU"/>
    <m/>
    <m/>
    <m/>
    <m/>
    <m/>
    <m/>
    <m/>
    <m/>
    <m/>
    <m/>
    <m/>
    <m/>
    <m/>
    <m/>
    <m/>
    <m/>
    <m/>
    <m/>
    <m/>
    <m/>
  </r>
  <r>
    <x v="8"/>
    <s v="P902"/>
    <m/>
    <n v="19032"/>
    <d v="2022-08-17T00:00:00"/>
    <d v="2022-08-30T00:00:00"/>
    <n v="1075186864"/>
    <m/>
    <n v="59"/>
    <s v="STA0100AU"/>
    <s v="01"/>
    <s v="F"/>
    <s v="El-Klink"/>
    <s v="IMAN"/>
    <m/>
    <m/>
    <m/>
    <d v="1985-09-01T00:00:00"/>
    <m/>
    <m/>
    <m/>
    <m/>
    <m/>
    <s v="74 NORTHEM AVE"/>
    <m/>
    <m/>
    <s v="BANKSTOWN"/>
    <n v="2200"/>
    <s v="NSW"/>
    <s v="AU"/>
    <m/>
    <m/>
    <m/>
    <m/>
    <m/>
    <m/>
    <m/>
    <m/>
    <m/>
    <m/>
    <m/>
    <m/>
    <m/>
    <m/>
    <m/>
    <m/>
    <m/>
    <m/>
    <m/>
    <m/>
  </r>
  <r>
    <x v="8"/>
    <s v="P902"/>
    <m/>
    <n v="19032"/>
    <d v="2022-08-31T00:00:00"/>
    <d v="2022-09-13T00:00:00"/>
    <n v="1075186864"/>
    <m/>
    <n v="118"/>
    <s v="STA0100AU"/>
    <s v="01"/>
    <s v="F"/>
    <s v="El-Klink"/>
    <s v="IMAN"/>
    <m/>
    <m/>
    <m/>
    <d v="1985-09-01T00:00:00"/>
    <m/>
    <m/>
    <m/>
    <m/>
    <m/>
    <s v="74 NORTHEM AVE"/>
    <m/>
    <m/>
    <s v="BANKSTOWN"/>
    <n v="2200"/>
    <s v="NSW"/>
    <s v="AU"/>
    <m/>
    <m/>
    <m/>
    <m/>
    <m/>
    <m/>
    <m/>
    <m/>
    <m/>
    <m/>
    <m/>
    <m/>
    <m/>
    <m/>
    <m/>
    <m/>
    <m/>
    <m/>
    <m/>
    <m/>
  </r>
  <r>
    <x v="7"/>
    <s v="P902"/>
    <m/>
    <n v="19026"/>
    <d v="2022-08-17T00:00:00"/>
    <d v="2022-08-30T00:00:00"/>
    <n v="1075120536"/>
    <m/>
    <n v="118"/>
    <s v="STA0100AU"/>
    <s v="01"/>
    <s v="F"/>
    <s v="Almassi"/>
    <s v="AREZOO"/>
    <m/>
    <m/>
    <m/>
    <d v="1992-09-02T00:00:00"/>
    <m/>
    <m/>
    <m/>
    <m/>
    <m/>
    <s v="4326/10 PORTER ST"/>
    <m/>
    <m/>
    <s v="RYDE"/>
    <n v="2112"/>
    <s v="NSW"/>
    <s v="AU"/>
    <m/>
    <m/>
    <m/>
    <m/>
    <m/>
    <m/>
    <m/>
    <m/>
    <m/>
    <m/>
    <m/>
    <m/>
    <m/>
    <m/>
    <m/>
    <m/>
    <m/>
    <m/>
    <m/>
    <m/>
  </r>
  <r>
    <x v="7"/>
    <s v="P902"/>
    <m/>
    <n v="19026"/>
    <d v="2022-08-31T00:00:00"/>
    <d v="2022-09-13T00:00:00"/>
    <n v="1075120536"/>
    <m/>
    <n v="118"/>
    <s v="STA0100AU"/>
    <s v="01"/>
    <s v="F"/>
    <s v="Almassi"/>
    <s v="AREZOO"/>
    <m/>
    <m/>
    <m/>
    <d v="1992-09-02T00:00:00"/>
    <m/>
    <m/>
    <m/>
    <m/>
    <m/>
    <s v="4326/10 PORTER ST"/>
    <m/>
    <m/>
    <s v="RYDE"/>
    <n v="2112"/>
    <s v="NSW"/>
    <s v="AU"/>
    <m/>
    <m/>
    <m/>
    <m/>
    <m/>
    <m/>
    <m/>
    <m/>
    <m/>
    <m/>
    <m/>
    <m/>
    <m/>
    <m/>
    <m/>
    <m/>
    <m/>
    <m/>
    <m/>
    <m/>
  </r>
  <r>
    <x v="7"/>
    <s v="P900"/>
    <m/>
    <n v="19026"/>
    <d v="2022-09-14T00:00:00"/>
    <d v="2022-09-27T00:00:00"/>
    <n v="1075120536"/>
    <m/>
    <n v="12351"/>
    <s v="STA0100AU"/>
    <s v="01"/>
    <s v="F"/>
    <s v="Almassi"/>
    <s v="AREZOO"/>
    <m/>
    <m/>
    <m/>
    <d v="1992-09-02T00:00:00"/>
    <m/>
    <m/>
    <m/>
    <m/>
    <m/>
    <s v="4326/10 PORTER ST"/>
    <m/>
    <m/>
    <s v="RYDE"/>
    <n v="2112"/>
    <s v="NSW"/>
    <s v="AU"/>
    <m/>
    <m/>
    <m/>
    <m/>
    <m/>
    <m/>
    <m/>
    <m/>
    <m/>
    <m/>
    <m/>
    <m/>
    <m/>
    <m/>
    <m/>
    <m/>
    <m/>
    <m/>
    <m/>
    <m/>
  </r>
  <r>
    <x v="7"/>
    <s v="P900"/>
    <m/>
    <n v="19026"/>
    <d v="2022-08-17T00:00:00"/>
    <d v="2022-08-30T00:00:00"/>
    <n v="1075120536"/>
    <m/>
    <n v="12351"/>
    <s v="STA0100AU"/>
    <s v="01"/>
    <s v="F"/>
    <s v="Almassi"/>
    <s v="AREZOO"/>
    <m/>
    <m/>
    <m/>
    <d v="1992-09-02T00:00:00"/>
    <m/>
    <m/>
    <m/>
    <m/>
    <m/>
    <s v="4326/10 PORTER ST"/>
    <m/>
    <m/>
    <s v="RYDE"/>
    <n v="2112"/>
    <s v="NSW"/>
    <s v="AU"/>
    <m/>
    <m/>
    <m/>
    <m/>
    <m/>
    <m/>
    <m/>
    <m/>
    <m/>
    <m/>
    <m/>
    <m/>
    <m/>
    <m/>
    <m/>
    <m/>
    <m/>
    <m/>
    <m/>
    <m/>
  </r>
  <r>
    <x v="7"/>
    <s v="P900"/>
    <m/>
    <n v="19026"/>
    <d v="2022-08-31T00:00:00"/>
    <d v="2022-09-13T00:00:00"/>
    <n v="1075120536"/>
    <m/>
    <n v="12351"/>
    <s v="STA0100AU"/>
    <s v="01"/>
    <s v="F"/>
    <s v="Almassi"/>
    <s v="AREZOO"/>
    <m/>
    <m/>
    <m/>
    <d v="1992-09-02T00:00:00"/>
    <m/>
    <m/>
    <m/>
    <m/>
    <m/>
    <s v="4326/10 PORTER ST"/>
    <m/>
    <m/>
    <s v="RYDE"/>
    <n v="2112"/>
    <s v="NSW"/>
    <s v="AU"/>
    <m/>
    <m/>
    <m/>
    <m/>
    <m/>
    <m/>
    <m/>
    <m/>
    <m/>
    <m/>
    <m/>
    <m/>
    <m/>
    <m/>
    <m/>
    <m/>
    <m/>
    <m/>
    <m/>
    <m/>
  </r>
  <r>
    <x v="7"/>
    <s v="P902"/>
    <m/>
    <n v="19026"/>
    <d v="2022-09-14T00:00:00"/>
    <d v="2022-09-27T00:00:00"/>
    <n v="1075120536"/>
    <m/>
    <n v="118"/>
    <s v="STA0100AU"/>
    <s v="01"/>
    <s v="F"/>
    <s v="Almassi"/>
    <s v="AREZOO"/>
    <m/>
    <m/>
    <m/>
    <d v="1992-09-02T00:00:00"/>
    <m/>
    <m/>
    <m/>
    <m/>
    <m/>
    <s v="4326/10 PORTER ST"/>
    <m/>
    <m/>
    <s v="RYDE"/>
    <n v="2112"/>
    <s v="NSW"/>
    <s v="AU"/>
    <m/>
    <m/>
    <m/>
    <m/>
    <m/>
    <m/>
    <m/>
    <m/>
    <m/>
    <m/>
    <m/>
    <m/>
    <m/>
    <m/>
    <m/>
    <m/>
    <m/>
    <m/>
    <m/>
    <m/>
  </r>
  <r>
    <x v="9"/>
    <s v="P900"/>
    <m/>
    <n v="18827"/>
    <d v="2022-05-25T00:00:00"/>
    <d v="2022-06-07T00:00:00"/>
    <n v="10854606"/>
    <m/>
    <n v="22509"/>
    <n v="29610601915"/>
    <s v="01"/>
    <s v="F"/>
    <s v="Ramalingam"/>
    <s v="JANSI"/>
    <m/>
    <m/>
    <m/>
    <d v="1988-01-04T00:00:00"/>
    <m/>
    <m/>
    <m/>
    <m/>
    <m/>
    <s v="115 ST HELENA ROAD"/>
    <m/>
    <m/>
    <s v="GREENSBOROUGH"/>
    <n v="3088"/>
    <s v="VIC"/>
    <s v="AU"/>
    <m/>
    <m/>
    <m/>
    <m/>
    <m/>
    <m/>
    <m/>
    <m/>
    <m/>
    <m/>
    <m/>
    <m/>
    <m/>
    <m/>
    <m/>
    <m/>
    <m/>
    <m/>
    <m/>
    <m/>
  </r>
  <r>
    <x v="9"/>
    <s v="P902"/>
    <m/>
    <n v="18827"/>
    <d v="2022-05-25T00:00:00"/>
    <d v="2022-06-07T00:00:00"/>
    <n v="10854606"/>
    <m/>
    <n v="225"/>
    <n v="29610601915"/>
    <s v="01"/>
    <s v="F"/>
    <s v="Ramalingam"/>
    <s v="JANSI"/>
    <m/>
    <m/>
    <m/>
    <d v="1988-01-04T00:00:00"/>
    <m/>
    <m/>
    <m/>
    <m/>
    <m/>
    <s v="115 ST HELENA ROAD"/>
    <m/>
    <m/>
    <s v="GREENSBOROUGH"/>
    <n v="3088"/>
    <s v="VIC"/>
    <s v="AU"/>
    <m/>
    <m/>
    <m/>
    <m/>
    <m/>
    <m/>
    <m/>
    <m/>
    <m/>
    <m/>
    <m/>
    <m/>
    <m/>
    <m/>
    <m/>
    <m/>
    <m/>
    <m/>
    <m/>
    <m/>
  </r>
  <r>
    <x v="9"/>
    <s v="P900"/>
    <m/>
    <n v="18827"/>
    <d v="2022-06-08T00:00:00"/>
    <d v="2022-06-21T00:00:00"/>
    <n v="10854606"/>
    <m/>
    <n v="20801"/>
    <n v="29610601915"/>
    <s v="01"/>
    <s v="F"/>
    <s v="Ramalingam"/>
    <s v="JANSI"/>
    <m/>
    <m/>
    <m/>
    <d v="1988-01-04T00:00:00"/>
    <m/>
    <m/>
    <m/>
    <m/>
    <m/>
    <s v="115 ST HELENA ROAD"/>
    <m/>
    <m/>
    <s v="GREENSBOROUGH"/>
    <n v="3088"/>
    <s v="VIC"/>
    <s v="AU"/>
    <m/>
    <m/>
    <m/>
    <m/>
    <m/>
    <m/>
    <m/>
    <m/>
    <m/>
    <m/>
    <m/>
    <m/>
    <m/>
    <m/>
    <m/>
    <m/>
    <m/>
    <m/>
    <m/>
    <m/>
  </r>
  <r>
    <x v="9"/>
    <s v="P902"/>
    <m/>
    <n v="18827"/>
    <d v="2022-06-08T00:00:00"/>
    <d v="2022-06-21T00:00:00"/>
    <n v="10854606"/>
    <m/>
    <n v="208"/>
    <n v="29610601915"/>
    <s v="01"/>
    <s v="F"/>
    <s v="Ramalingam"/>
    <s v="JANSI"/>
    <m/>
    <m/>
    <m/>
    <d v="1988-01-04T00:00:00"/>
    <m/>
    <m/>
    <m/>
    <m/>
    <m/>
    <s v="115 ST HELENA ROAD"/>
    <m/>
    <m/>
    <s v="GREENSBOROUGH"/>
    <n v="3088"/>
    <s v="VIC"/>
    <s v="AU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14" firstHeaderRow="1" firstDataRow="1" firstDataCol="1"/>
  <pivotFields count="50">
    <pivotField axis="axisRow" showAll="0">
      <items count="11">
        <item x="7"/>
        <item x="5"/>
        <item x="6"/>
        <item x="0"/>
        <item x="1"/>
        <item x="2"/>
        <item x="3"/>
        <item x="4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Employee Amount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3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" connectionId="2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4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B14"/>
  <sheetViews>
    <sheetView workbookViewId="0">
      <selection activeCell="B9" sqref="B9"/>
    </sheetView>
  </sheetViews>
  <sheetFormatPr defaultRowHeight="15"/>
  <cols>
    <col min="1" max="1" width="25.5703125" bestFit="1" customWidth="1"/>
    <col min="2" max="2" width="24.42578125" bestFit="1" customWidth="1"/>
  </cols>
  <sheetData>
    <row r="3" spans="1:2">
      <c r="A3" s="16" t="s">
        <v>2980</v>
      </c>
      <c r="B3" t="s">
        <v>2982</v>
      </c>
    </row>
    <row r="4" spans="1:2">
      <c r="A4" s="17" t="s">
        <v>2979</v>
      </c>
      <c r="B4" s="12">
        <v>39486</v>
      </c>
    </row>
    <row r="5" spans="1:2">
      <c r="A5" s="17" t="s">
        <v>2977</v>
      </c>
      <c r="B5" s="12">
        <v>103931</v>
      </c>
    </row>
    <row r="6" spans="1:2">
      <c r="A6" s="17" t="s">
        <v>2978</v>
      </c>
      <c r="B6" s="12">
        <v>18689</v>
      </c>
    </row>
    <row r="7" spans="1:2">
      <c r="A7" s="17" t="s">
        <v>2987</v>
      </c>
      <c r="B7" s="12">
        <v>5037</v>
      </c>
    </row>
    <row r="8" spans="1:2">
      <c r="A8" s="17" t="s">
        <v>2988</v>
      </c>
      <c r="B8" s="12">
        <v>13190.999999999998</v>
      </c>
    </row>
    <row r="9" spans="1:2">
      <c r="A9" s="17" t="s">
        <v>2989</v>
      </c>
      <c r="B9" s="12">
        <v>23041</v>
      </c>
    </row>
    <row r="10" spans="1:2">
      <c r="A10" s="17" t="s">
        <v>2990</v>
      </c>
      <c r="B10" s="12">
        <v>136251</v>
      </c>
    </row>
    <row r="11" spans="1:2">
      <c r="A11" s="17" t="s">
        <v>2991</v>
      </c>
      <c r="B11" s="12">
        <v>49445</v>
      </c>
    </row>
    <row r="12" spans="1:2">
      <c r="A12" s="17" t="s">
        <v>2992</v>
      </c>
      <c r="B12" s="12">
        <v>31172</v>
      </c>
    </row>
    <row r="13" spans="1:2">
      <c r="A13" s="17" t="s">
        <v>2996</v>
      </c>
      <c r="B13" s="12">
        <v>43743</v>
      </c>
    </row>
    <row r="14" spans="1:2">
      <c r="A14" s="17" t="s">
        <v>2981</v>
      </c>
      <c r="B14" s="12">
        <v>463986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X21"/>
  <sheetViews>
    <sheetView tabSelected="1" workbookViewId="0">
      <selection activeCell="A2" sqref="A2:AX22"/>
    </sheetView>
  </sheetViews>
  <sheetFormatPr defaultRowHeight="15"/>
  <cols>
    <col min="1" max="1" width="21.140625" customWidth="1"/>
    <col min="4" max="4" width="8.28515625" bestFit="1" customWidth="1"/>
    <col min="5" max="6" width="10.7109375" style="13" bestFit="1" customWidth="1"/>
    <col min="7" max="7" width="10.85546875" style="12" bestFit="1" customWidth="1"/>
    <col min="8" max="8" width="8.5703125" bestFit="1" customWidth="1"/>
    <col min="10" max="10" width="15.85546875" style="19" bestFit="1" customWidth="1"/>
    <col min="11" max="11" width="8.7109375" style="15"/>
    <col min="18" max="18" width="10.42578125" style="13" bestFit="1" customWidth="1"/>
    <col min="27" max="27" width="8.7109375" style="12"/>
  </cols>
  <sheetData>
    <row r="1" spans="1:50" ht="78.75" customHeight="1">
      <c r="A1" s="7" t="s">
        <v>62</v>
      </c>
      <c r="B1" s="1" t="s">
        <v>7</v>
      </c>
      <c r="C1" s="2" t="s">
        <v>8</v>
      </c>
      <c r="D1" s="1" t="s">
        <v>9</v>
      </c>
      <c r="E1" s="3" t="s">
        <v>10</v>
      </c>
      <c r="F1" s="4" t="s">
        <v>11</v>
      </c>
      <c r="G1" s="5" t="s">
        <v>12</v>
      </c>
      <c r="H1" s="5" t="s">
        <v>13</v>
      </c>
      <c r="I1" s="1" t="s">
        <v>14</v>
      </c>
      <c r="J1" s="18" t="s">
        <v>15</v>
      </c>
      <c r="K1" s="1" t="s">
        <v>16</v>
      </c>
      <c r="L1" s="1" t="s">
        <v>17</v>
      </c>
      <c r="M1" s="1" t="s">
        <v>18</v>
      </c>
      <c r="N1" s="1" t="s">
        <v>19</v>
      </c>
      <c r="O1" s="2" t="s">
        <v>20</v>
      </c>
      <c r="P1" s="2" t="s">
        <v>21</v>
      </c>
      <c r="Q1" s="2" t="s">
        <v>22</v>
      </c>
      <c r="R1" s="4" t="s">
        <v>23</v>
      </c>
      <c r="S1" s="3" t="s">
        <v>24</v>
      </c>
      <c r="T1" s="3" t="s">
        <v>25</v>
      </c>
      <c r="U1" s="3" t="s">
        <v>26</v>
      </c>
      <c r="V1" s="2" t="s">
        <v>27</v>
      </c>
      <c r="W1" s="2" t="s">
        <v>28</v>
      </c>
      <c r="X1" s="6" t="s">
        <v>29</v>
      </c>
      <c r="Y1" s="2" t="s">
        <v>30</v>
      </c>
      <c r="Z1" s="2" t="s">
        <v>31</v>
      </c>
      <c r="AA1" s="14" t="s">
        <v>32</v>
      </c>
      <c r="AB1" s="6" t="s">
        <v>33</v>
      </c>
      <c r="AC1" s="6" t="s">
        <v>34</v>
      </c>
      <c r="AD1" s="1" t="s">
        <v>35</v>
      </c>
      <c r="AE1" s="2" t="s">
        <v>36</v>
      </c>
      <c r="AF1" s="2" t="s">
        <v>37</v>
      </c>
      <c r="AG1" s="2" t="s">
        <v>38</v>
      </c>
      <c r="AH1" s="5" t="s">
        <v>39</v>
      </c>
      <c r="AI1" s="3" t="s">
        <v>40</v>
      </c>
      <c r="AJ1" s="5" t="s">
        <v>41</v>
      </c>
      <c r="AK1" s="3" t="s">
        <v>42</v>
      </c>
      <c r="AL1" s="5" t="s">
        <v>43</v>
      </c>
      <c r="AM1" s="3" t="s">
        <v>44</v>
      </c>
      <c r="AN1" s="2" t="s">
        <v>45</v>
      </c>
      <c r="AO1" s="2" t="s">
        <v>46</v>
      </c>
      <c r="AP1" s="2" t="s">
        <v>47</v>
      </c>
      <c r="AQ1" s="3" t="s">
        <v>48</v>
      </c>
      <c r="AR1" s="2" t="s">
        <v>49</v>
      </c>
      <c r="AS1" s="2" t="s">
        <v>50</v>
      </c>
      <c r="AT1" s="2" t="s">
        <v>51</v>
      </c>
      <c r="AU1" s="3" t="s">
        <v>52</v>
      </c>
      <c r="AV1" s="2" t="s">
        <v>53</v>
      </c>
      <c r="AW1" s="2" t="s">
        <v>54</v>
      </c>
      <c r="AX1" s="2" t="s">
        <v>55</v>
      </c>
    </row>
    <row r="2" spans="1:50">
      <c r="A2" t="s">
        <v>2997</v>
      </c>
      <c r="B2" t="s">
        <v>1</v>
      </c>
      <c r="D2">
        <v>18517</v>
      </c>
      <c r="E2" s="13">
        <v>44832</v>
      </c>
      <c r="F2" s="13">
        <v>44845</v>
      </c>
      <c r="G2" s="12">
        <f>VLOOKUP(D2,Allowance,12,FALSE)</f>
        <v>1075118853</v>
      </c>
      <c r="I2">
        <v>56538</v>
      </c>
      <c r="J2" s="19" t="str">
        <f>VLOOKUP(D2,Allowance,11,FALSE)</f>
        <v>STA0100AU</v>
      </c>
      <c r="K2" s="15" t="s">
        <v>2976</v>
      </c>
      <c r="L2" t="s">
        <v>56</v>
      </c>
      <c r="M2" s="12" t="str">
        <f t="shared" ref="M2:M21" si="0">VLOOKUP(D2,Bio,3,FALSE)</f>
        <v>Evans</v>
      </c>
      <c r="N2" s="12" t="str">
        <f t="shared" ref="N2:N21" si="1">VLOOKUP(D2,Bio,4,FALSE)</f>
        <v>LUCY</v>
      </c>
      <c r="R2" s="13">
        <f t="shared" ref="R2:R21" si="2">VLOOKUP(D2,Bio,32,FALSE)</f>
        <v>30001</v>
      </c>
      <c r="X2" t="str">
        <f t="shared" ref="X2:X21" si="3">VLOOKUP(D2,Bio,9,FALSE)</f>
        <v>UNIT 2, 121 STONEHAM STREET</v>
      </c>
      <c r="AA2" s="12" t="str">
        <f t="shared" ref="AA2:AA21" si="4">VLOOKUP(D2,Bio,10,FALSE)</f>
        <v>TUART HILL</v>
      </c>
      <c r="AB2">
        <f t="shared" ref="AB2:AB21" si="5">VLOOKUP(D2,Bio,12,FALSE)</f>
        <v>6060</v>
      </c>
      <c r="AC2" t="str">
        <f t="shared" ref="AC2:AC21" si="6">VLOOKUP(D2,Bio,11,FALSE)</f>
        <v>WA</v>
      </c>
      <c r="AD2" t="s">
        <v>61</v>
      </c>
    </row>
    <row r="3" spans="1:50">
      <c r="A3" t="s">
        <v>2997</v>
      </c>
      <c r="B3" t="s">
        <v>1</v>
      </c>
      <c r="D3">
        <v>18517</v>
      </c>
      <c r="E3" s="13">
        <v>44846</v>
      </c>
      <c r="F3" s="13">
        <v>44859</v>
      </c>
      <c r="G3" s="12">
        <f>VLOOKUP(D3,Allowance,12,FALSE)</f>
        <v>1075118853</v>
      </c>
      <c r="I3">
        <v>56539</v>
      </c>
      <c r="J3" s="19" t="str">
        <f>VLOOKUP(D3,Allowance,11,FALSE)</f>
        <v>STA0100AU</v>
      </c>
      <c r="K3" s="15" t="s">
        <v>2976</v>
      </c>
      <c r="L3" t="s">
        <v>56</v>
      </c>
      <c r="M3" s="12" t="str">
        <f t="shared" si="0"/>
        <v>Evans</v>
      </c>
      <c r="N3" s="12" t="str">
        <f t="shared" si="1"/>
        <v>LUCY</v>
      </c>
      <c r="R3" s="13">
        <f t="shared" si="2"/>
        <v>30001</v>
      </c>
      <c r="X3" t="str">
        <f t="shared" si="3"/>
        <v>UNIT 2, 121 STONEHAM STREET</v>
      </c>
      <c r="AA3" s="12" t="str">
        <f t="shared" si="4"/>
        <v>TUART HILL</v>
      </c>
      <c r="AB3">
        <f t="shared" si="5"/>
        <v>6060</v>
      </c>
      <c r="AC3" t="str">
        <f t="shared" si="6"/>
        <v>WA</v>
      </c>
      <c r="AD3" t="s">
        <v>61</v>
      </c>
    </row>
    <row r="4" spans="1:50">
      <c r="A4" t="s">
        <v>2998</v>
      </c>
      <c r="B4" t="s">
        <v>1</v>
      </c>
      <c r="D4">
        <v>18791</v>
      </c>
      <c r="E4" s="13">
        <v>44860</v>
      </c>
      <c r="F4" s="13">
        <v>44873</v>
      </c>
      <c r="G4" s="12">
        <v>1075149332</v>
      </c>
      <c r="I4">
        <v>25227</v>
      </c>
      <c r="J4" s="19" t="s">
        <v>2959</v>
      </c>
      <c r="K4" s="15" t="s">
        <v>2976</v>
      </c>
      <c r="L4" t="s">
        <v>56</v>
      </c>
      <c r="M4" s="12" t="str">
        <f t="shared" si="0"/>
        <v>Streat</v>
      </c>
      <c r="N4" s="12" t="str">
        <f t="shared" si="1"/>
        <v>MELANIE</v>
      </c>
      <c r="R4" s="13">
        <f t="shared" si="2"/>
        <v>32166</v>
      </c>
      <c r="X4" t="str">
        <f t="shared" si="3"/>
        <v>5 DARWIN CRESCENT</v>
      </c>
      <c r="AA4" s="12" t="str">
        <f t="shared" si="4"/>
        <v>BEECHBORO</v>
      </c>
      <c r="AB4">
        <f t="shared" si="5"/>
        <v>6063</v>
      </c>
      <c r="AC4" t="str">
        <f t="shared" si="6"/>
        <v>WA</v>
      </c>
      <c r="AD4" t="s">
        <v>61</v>
      </c>
    </row>
    <row r="5" spans="1:50">
      <c r="A5" t="s">
        <v>2998</v>
      </c>
      <c r="B5" t="s">
        <v>1</v>
      </c>
      <c r="D5">
        <v>18791</v>
      </c>
      <c r="E5" s="13">
        <v>44832</v>
      </c>
      <c r="F5" s="13">
        <v>44845</v>
      </c>
      <c r="G5" s="12">
        <v>1075149332</v>
      </c>
      <c r="I5">
        <v>30273</v>
      </c>
      <c r="J5" s="19" t="s">
        <v>2959</v>
      </c>
      <c r="K5" s="15" t="s">
        <v>2976</v>
      </c>
      <c r="L5" t="s">
        <v>56</v>
      </c>
      <c r="M5" s="12" t="str">
        <f t="shared" si="0"/>
        <v>Streat</v>
      </c>
      <c r="N5" s="12" t="str">
        <f t="shared" si="1"/>
        <v>MELANIE</v>
      </c>
      <c r="R5" s="13">
        <f t="shared" si="2"/>
        <v>32166</v>
      </c>
      <c r="X5" t="str">
        <f t="shared" si="3"/>
        <v>5 DARWIN CRESCENT</v>
      </c>
      <c r="AA5" s="12" t="str">
        <f t="shared" si="4"/>
        <v>BEECHBORO</v>
      </c>
      <c r="AB5">
        <f t="shared" si="5"/>
        <v>6063</v>
      </c>
      <c r="AC5" t="str">
        <f t="shared" si="6"/>
        <v>WA</v>
      </c>
      <c r="AD5" t="s">
        <v>61</v>
      </c>
    </row>
    <row r="6" spans="1:50">
      <c r="A6" t="s">
        <v>2998</v>
      </c>
      <c r="B6" t="s">
        <v>1</v>
      </c>
      <c r="D6">
        <v>18791</v>
      </c>
      <c r="E6" s="13">
        <v>44846</v>
      </c>
      <c r="F6" s="13">
        <v>44859</v>
      </c>
      <c r="G6" s="12">
        <v>1075149332</v>
      </c>
      <c r="I6">
        <v>30822.000000000004</v>
      </c>
      <c r="J6" s="19" t="s">
        <v>2959</v>
      </c>
      <c r="K6" s="15" t="s">
        <v>2976</v>
      </c>
      <c r="L6" t="s">
        <v>56</v>
      </c>
      <c r="M6" s="12" t="str">
        <f t="shared" si="0"/>
        <v>Streat</v>
      </c>
      <c r="N6" s="12" t="str">
        <f t="shared" si="1"/>
        <v>MELANIE</v>
      </c>
      <c r="R6" s="13">
        <f t="shared" si="2"/>
        <v>32166</v>
      </c>
      <c r="X6" t="str">
        <f t="shared" si="3"/>
        <v>5 DARWIN CRESCENT</v>
      </c>
      <c r="AA6" s="12" t="str">
        <f t="shared" si="4"/>
        <v>BEECHBORO</v>
      </c>
      <c r="AB6">
        <f t="shared" si="5"/>
        <v>6063</v>
      </c>
      <c r="AC6" t="str">
        <f t="shared" si="6"/>
        <v>WA</v>
      </c>
      <c r="AD6" t="s">
        <v>61</v>
      </c>
    </row>
    <row r="7" spans="1:50">
      <c r="A7" t="s">
        <v>2998</v>
      </c>
      <c r="B7" t="s">
        <v>1</v>
      </c>
      <c r="D7">
        <v>18791</v>
      </c>
      <c r="E7" s="13">
        <v>44874</v>
      </c>
      <c r="F7" s="13">
        <v>44887</v>
      </c>
      <c r="G7" s="12">
        <v>1075149332</v>
      </c>
      <c r="I7">
        <v>5045</v>
      </c>
      <c r="J7" s="19" t="s">
        <v>2959</v>
      </c>
      <c r="K7" s="15" t="s">
        <v>2976</v>
      </c>
      <c r="L7" t="s">
        <v>56</v>
      </c>
      <c r="M7" s="12" t="str">
        <f t="shared" si="0"/>
        <v>Streat</v>
      </c>
      <c r="N7" s="12" t="str">
        <f t="shared" si="1"/>
        <v>MELANIE</v>
      </c>
      <c r="R7" s="13">
        <f t="shared" si="2"/>
        <v>32166</v>
      </c>
      <c r="X7" t="str">
        <f t="shared" si="3"/>
        <v>5 DARWIN CRESCENT</v>
      </c>
      <c r="AA7" s="12" t="str">
        <f t="shared" si="4"/>
        <v>BEECHBORO</v>
      </c>
      <c r="AB7">
        <f t="shared" si="5"/>
        <v>6063</v>
      </c>
      <c r="AC7" t="str">
        <f t="shared" si="6"/>
        <v>WA</v>
      </c>
      <c r="AD7" t="s">
        <v>61</v>
      </c>
    </row>
    <row r="8" spans="1:50">
      <c r="A8" t="s">
        <v>2998</v>
      </c>
      <c r="B8" t="s">
        <v>2</v>
      </c>
      <c r="D8">
        <v>18791</v>
      </c>
      <c r="E8" s="13">
        <v>44860</v>
      </c>
      <c r="F8" s="13">
        <v>44873</v>
      </c>
      <c r="G8" s="12">
        <v>1075149332</v>
      </c>
      <c r="I8">
        <v>240</v>
      </c>
      <c r="J8" s="19" t="s">
        <v>2959</v>
      </c>
      <c r="K8" s="15" t="s">
        <v>2976</v>
      </c>
      <c r="L8" t="s">
        <v>56</v>
      </c>
      <c r="M8" s="12" t="str">
        <f t="shared" si="0"/>
        <v>Streat</v>
      </c>
      <c r="N8" s="12" t="str">
        <f t="shared" si="1"/>
        <v>MELANIE</v>
      </c>
      <c r="R8" s="13">
        <f t="shared" si="2"/>
        <v>32166</v>
      </c>
      <c r="X8" t="str">
        <f t="shared" si="3"/>
        <v>5 DARWIN CRESCENT</v>
      </c>
      <c r="AA8" s="12" t="str">
        <f t="shared" si="4"/>
        <v>BEECHBORO</v>
      </c>
      <c r="AB8">
        <f t="shared" si="5"/>
        <v>6063</v>
      </c>
      <c r="AC8" t="str">
        <f t="shared" si="6"/>
        <v>WA</v>
      </c>
      <c r="AD8" t="s">
        <v>61</v>
      </c>
    </row>
    <row r="9" spans="1:50">
      <c r="A9" t="s">
        <v>2998</v>
      </c>
      <c r="B9" t="s">
        <v>2</v>
      </c>
      <c r="D9">
        <v>18791</v>
      </c>
      <c r="E9" s="13">
        <v>44832</v>
      </c>
      <c r="F9" s="13">
        <v>44845</v>
      </c>
      <c r="G9" s="12">
        <v>1075149332</v>
      </c>
      <c r="I9">
        <v>288</v>
      </c>
      <c r="J9" s="19" t="s">
        <v>2959</v>
      </c>
      <c r="K9" s="15" t="s">
        <v>2976</v>
      </c>
      <c r="L9" t="s">
        <v>56</v>
      </c>
      <c r="M9" s="12" t="str">
        <f t="shared" si="0"/>
        <v>Streat</v>
      </c>
      <c r="N9" s="12" t="str">
        <f t="shared" si="1"/>
        <v>MELANIE</v>
      </c>
      <c r="R9" s="13">
        <f t="shared" si="2"/>
        <v>32166</v>
      </c>
      <c r="X9" t="str">
        <f t="shared" si="3"/>
        <v>5 DARWIN CRESCENT</v>
      </c>
      <c r="AA9" s="12" t="str">
        <f t="shared" si="4"/>
        <v>BEECHBORO</v>
      </c>
      <c r="AB9">
        <f t="shared" si="5"/>
        <v>6063</v>
      </c>
      <c r="AC9" t="str">
        <f t="shared" si="6"/>
        <v>WA</v>
      </c>
      <c r="AD9" t="s">
        <v>61</v>
      </c>
    </row>
    <row r="10" spans="1:50">
      <c r="A10" t="s">
        <v>2998</v>
      </c>
      <c r="B10" t="s">
        <v>2</v>
      </c>
      <c r="D10">
        <v>18791</v>
      </c>
      <c r="E10" s="13">
        <v>44846</v>
      </c>
      <c r="F10" s="13">
        <v>44859</v>
      </c>
      <c r="G10" s="12">
        <v>1075149332</v>
      </c>
      <c r="I10">
        <v>294</v>
      </c>
      <c r="J10" s="19" t="s">
        <v>2959</v>
      </c>
      <c r="K10" s="15" t="s">
        <v>2976</v>
      </c>
      <c r="L10" t="s">
        <v>56</v>
      </c>
      <c r="M10" t="str">
        <f t="shared" si="0"/>
        <v>Streat</v>
      </c>
      <c r="N10" t="str">
        <f t="shared" si="1"/>
        <v>MELANIE</v>
      </c>
      <c r="R10" s="13">
        <f t="shared" si="2"/>
        <v>32166</v>
      </c>
      <c r="X10" t="str">
        <f t="shared" si="3"/>
        <v>5 DARWIN CRESCENT</v>
      </c>
      <c r="AA10" s="12" t="str">
        <f t="shared" si="4"/>
        <v>BEECHBORO</v>
      </c>
      <c r="AB10">
        <f t="shared" si="5"/>
        <v>6063</v>
      </c>
      <c r="AC10" t="str">
        <f t="shared" si="6"/>
        <v>WA</v>
      </c>
      <c r="AD10" t="s">
        <v>61</v>
      </c>
    </row>
    <row r="11" spans="1:50">
      <c r="A11" t="s">
        <v>2998</v>
      </c>
      <c r="B11" t="s">
        <v>2</v>
      </c>
      <c r="D11">
        <v>18791</v>
      </c>
      <c r="E11" s="13">
        <v>44874</v>
      </c>
      <c r="F11" s="13">
        <v>44887</v>
      </c>
      <c r="G11" s="12">
        <v>1075149332</v>
      </c>
      <c r="I11">
        <v>48</v>
      </c>
      <c r="J11" s="19" t="s">
        <v>2959</v>
      </c>
      <c r="K11" s="15" t="s">
        <v>2976</v>
      </c>
      <c r="L11" t="s">
        <v>56</v>
      </c>
      <c r="M11" t="str">
        <f t="shared" si="0"/>
        <v>Streat</v>
      </c>
      <c r="N11" t="str">
        <f t="shared" si="1"/>
        <v>MELANIE</v>
      </c>
      <c r="R11" s="13">
        <f t="shared" si="2"/>
        <v>32166</v>
      </c>
      <c r="X11" t="str">
        <f t="shared" si="3"/>
        <v>5 DARWIN CRESCENT</v>
      </c>
      <c r="AA11" s="12" t="str">
        <f t="shared" si="4"/>
        <v>BEECHBORO</v>
      </c>
      <c r="AB11">
        <f t="shared" si="5"/>
        <v>6063</v>
      </c>
      <c r="AC11" t="str">
        <f t="shared" si="6"/>
        <v>WA</v>
      </c>
      <c r="AD11" t="s">
        <v>61</v>
      </c>
    </row>
    <row r="12" spans="1:50">
      <c r="A12" t="s">
        <v>2999</v>
      </c>
      <c r="B12" t="s">
        <v>2</v>
      </c>
      <c r="D12">
        <v>18561</v>
      </c>
      <c r="E12" s="13">
        <v>44832</v>
      </c>
      <c r="F12" s="13">
        <v>44845</v>
      </c>
      <c r="G12" s="12">
        <f t="shared" ref="G12:G21" si="7">VLOOKUP(D12,Allowance,12,FALSE)</f>
        <v>1075176503</v>
      </c>
      <c r="I12">
        <v>252.99999999999997</v>
      </c>
      <c r="J12" s="19" t="str">
        <f t="shared" ref="J12:J21" si="8">VLOOKUP(D12,Allowance,11,FALSE)</f>
        <v>STA0100AU</v>
      </c>
      <c r="K12" s="15" t="s">
        <v>2976</v>
      </c>
      <c r="L12" t="s">
        <v>56</v>
      </c>
      <c r="M12" t="str">
        <f t="shared" si="0"/>
        <v>Roy</v>
      </c>
      <c r="N12" t="str">
        <f t="shared" si="1"/>
        <v>JISHA</v>
      </c>
      <c r="R12" s="13">
        <f t="shared" si="2"/>
        <v>29467</v>
      </c>
      <c r="X12" t="str">
        <f t="shared" si="3"/>
        <v>2 MOTT PLACE</v>
      </c>
      <c r="AA12" s="12" t="str">
        <f t="shared" si="4"/>
        <v>BULLCREEK</v>
      </c>
      <c r="AB12">
        <f t="shared" si="5"/>
        <v>6149</v>
      </c>
      <c r="AC12" t="str">
        <f t="shared" si="6"/>
        <v>WA</v>
      </c>
      <c r="AD12" t="s">
        <v>61</v>
      </c>
    </row>
    <row r="13" spans="1:50">
      <c r="A13" t="s">
        <v>2999</v>
      </c>
      <c r="B13" t="s">
        <v>2</v>
      </c>
      <c r="D13">
        <v>18561</v>
      </c>
      <c r="E13" s="13">
        <v>44846</v>
      </c>
      <c r="F13" s="13">
        <v>44859</v>
      </c>
      <c r="G13" s="12">
        <f t="shared" si="7"/>
        <v>1075176503</v>
      </c>
      <c r="I13">
        <v>252</v>
      </c>
      <c r="J13" s="19" t="str">
        <f t="shared" si="8"/>
        <v>STA0100AU</v>
      </c>
      <c r="K13" s="15" t="s">
        <v>2976</v>
      </c>
      <c r="L13" t="s">
        <v>56</v>
      </c>
      <c r="M13" t="str">
        <f t="shared" si="0"/>
        <v>Roy</v>
      </c>
      <c r="N13" t="str">
        <f t="shared" si="1"/>
        <v>JISHA</v>
      </c>
      <c r="R13" s="13">
        <f t="shared" si="2"/>
        <v>29467</v>
      </c>
      <c r="X13" t="str">
        <f t="shared" si="3"/>
        <v>2 MOTT PLACE</v>
      </c>
      <c r="AA13" s="12" t="str">
        <f t="shared" si="4"/>
        <v>BULLCREEK</v>
      </c>
      <c r="AB13">
        <f t="shared" si="5"/>
        <v>6149</v>
      </c>
      <c r="AC13" t="str">
        <f t="shared" si="6"/>
        <v>WA</v>
      </c>
      <c r="AD13" t="s">
        <v>61</v>
      </c>
    </row>
    <row r="14" spans="1:50">
      <c r="A14" t="s">
        <v>2999</v>
      </c>
      <c r="B14" t="s">
        <v>1</v>
      </c>
      <c r="D14">
        <v>18561</v>
      </c>
      <c r="E14" s="13">
        <v>44832</v>
      </c>
      <c r="F14" s="13">
        <v>44845</v>
      </c>
      <c r="G14" s="12">
        <f t="shared" si="7"/>
        <v>1075176503</v>
      </c>
      <c r="I14">
        <v>26523</v>
      </c>
      <c r="J14" s="19" t="str">
        <f t="shared" si="8"/>
        <v>STA0100AU</v>
      </c>
      <c r="K14" s="15" t="s">
        <v>2976</v>
      </c>
      <c r="L14" t="s">
        <v>56</v>
      </c>
      <c r="M14" t="str">
        <f t="shared" si="0"/>
        <v>Roy</v>
      </c>
      <c r="N14" t="str">
        <f t="shared" si="1"/>
        <v>JISHA</v>
      </c>
      <c r="R14" s="13">
        <f t="shared" si="2"/>
        <v>29467</v>
      </c>
      <c r="X14" t="str">
        <f t="shared" si="3"/>
        <v>2 MOTT PLACE</v>
      </c>
      <c r="AA14" s="12" t="str">
        <f t="shared" si="4"/>
        <v>BULLCREEK</v>
      </c>
      <c r="AB14">
        <f t="shared" si="5"/>
        <v>6149</v>
      </c>
      <c r="AC14" t="str">
        <f t="shared" si="6"/>
        <v>WA</v>
      </c>
      <c r="AD14" t="s">
        <v>61</v>
      </c>
    </row>
    <row r="15" spans="1:50">
      <c r="A15" t="s">
        <v>2999</v>
      </c>
      <c r="B15" t="s">
        <v>1</v>
      </c>
      <c r="D15">
        <v>18561</v>
      </c>
      <c r="E15" s="13">
        <v>44846</v>
      </c>
      <c r="F15" s="13">
        <v>44859</v>
      </c>
      <c r="G15" s="12">
        <f t="shared" si="7"/>
        <v>1075176503</v>
      </c>
      <c r="I15">
        <v>26413</v>
      </c>
      <c r="J15" s="19" t="str">
        <f t="shared" si="8"/>
        <v>STA0100AU</v>
      </c>
      <c r="K15" s="15" t="s">
        <v>2976</v>
      </c>
      <c r="L15" t="s">
        <v>56</v>
      </c>
      <c r="M15" t="str">
        <f t="shared" si="0"/>
        <v>Roy</v>
      </c>
      <c r="N15" t="str">
        <f t="shared" si="1"/>
        <v>JISHA</v>
      </c>
      <c r="R15" s="13">
        <f t="shared" si="2"/>
        <v>29467</v>
      </c>
      <c r="X15" t="str">
        <f t="shared" si="3"/>
        <v>2 MOTT PLACE</v>
      </c>
      <c r="AA15" s="12" t="str">
        <f t="shared" si="4"/>
        <v>BULLCREEK</v>
      </c>
      <c r="AB15">
        <f t="shared" si="5"/>
        <v>6149</v>
      </c>
      <c r="AC15" t="str">
        <f t="shared" si="6"/>
        <v>WA</v>
      </c>
      <c r="AD15" t="s">
        <v>61</v>
      </c>
    </row>
    <row r="16" spans="1:50">
      <c r="A16" t="s">
        <v>2990</v>
      </c>
      <c r="B16" t="s">
        <v>1</v>
      </c>
      <c r="D16">
        <v>18891</v>
      </c>
      <c r="E16" s="13">
        <v>44832</v>
      </c>
      <c r="F16" s="13">
        <v>44845</v>
      </c>
      <c r="G16" s="12">
        <f t="shared" si="7"/>
        <v>100425280</v>
      </c>
      <c r="I16">
        <v>19176</v>
      </c>
      <c r="J16" s="19" t="str">
        <f t="shared" si="8"/>
        <v>TWU0101AU</v>
      </c>
      <c r="K16" s="15" t="s">
        <v>2976</v>
      </c>
      <c r="L16" t="s">
        <v>56</v>
      </c>
      <c r="M16" t="str">
        <f t="shared" si="0"/>
        <v>Kodor</v>
      </c>
      <c r="N16" t="str">
        <f t="shared" si="1"/>
        <v>MARA</v>
      </c>
      <c r="R16" s="13">
        <f t="shared" si="2"/>
        <v>21842</v>
      </c>
      <c r="X16" t="str">
        <f t="shared" si="3"/>
        <v>52 TOLMER STREET</v>
      </c>
      <c r="AA16" s="12" t="str">
        <f t="shared" si="4"/>
        <v>BOSSLEY PARK</v>
      </c>
      <c r="AB16">
        <f t="shared" si="5"/>
        <v>2176</v>
      </c>
      <c r="AC16" t="str">
        <f t="shared" si="6"/>
        <v>NSW</v>
      </c>
      <c r="AD16" t="s">
        <v>61</v>
      </c>
    </row>
    <row r="17" spans="1:30">
      <c r="A17" t="s">
        <v>2990</v>
      </c>
      <c r="B17" t="s">
        <v>2</v>
      </c>
      <c r="D17">
        <v>18891</v>
      </c>
      <c r="E17" s="13">
        <v>44832</v>
      </c>
      <c r="F17" s="13">
        <v>44845</v>
      </c>
      <c r="G17" s="12">
        <f t="shared" si="7"/>
        <v>100425280</v>
      </c>
      <c r="I17">
        <v>183</v>
      </c>
      <c r="J17" s="19" t="str">
        <f t="shared" si="8"/>
        <v>TWU0101AU</v>
      </c>
      <c r="K17" s="15" t="s">
        <v>2976</v>
      </c>
      <c r="L17" t="s">
        <v>56</v>
      </c>
      <c r="M17" t="str">
        <f t="shared" si="0"/>
        <v>Kodor</v>
      </c>
      <c r="N17" t="str">
        <f t="shared" si="1"/>
        <v>MARA</v>
      </c>
      <c r="R17" s="13">
        <f t="shared" si="2"/>
        <v>21842</v>
      </c>
      <c r="X17" t="str">
        <f t="shared" si="3"/>
        <v>52 TOLMER STREET</v>
      </c>
      <c r="AA17" s="12" t="str">
        <f t="shared" si="4"/>
        <v>BOSSLEY PARK</v>
      </c>
      <c r="AB17">
        <f t="shared" si="5"/>
        <v>2176</v>
      </c>
      <c r="AC17" t="str">
        <f t="shared" si="6"/>
        <v>NSW</v>
      </c>
      <c r="AD17" t="s">
        <v>61</v>
      </c>
    </row>
    <row r="18" spans="1:30">
      <c r="A18" t="s">
        <v>2992</v>
      </c>
      <c r="B18" t="s">
        <v>2</v>
      </c>
      <c r="D18">
        <v>19032</v>
      </c>
      <c r="E18" s="13">
        <v>44832</v>
      </c>
      <c r="F18" s="13">
        <v>44845</v>
      </c>
      <c r="G18" s="12">
        <f t="shared" si="7"/>
        <v>1075186864</v>
      </c>
      <c r="I18">
        <v>118</v>
      </c>
      <c r="J18" s="19" t="str">
        <f t="shared" si="8"/>
        <v>STA0100AU</v>
      </c>
      <c r="K18" s="15" t="s">
        <v>2976</v>
      </c>
      <c r="L18" t="s">
        <v>56</v>
      </c>
      <c r="M18" t="str">
        <f t="shared" si="0"/>
        <v>El-Klink</v>
      </c>
      <c r="N18" t="str">
        <f t="shared" si="1"/>
        <v>IMAN</v>
      </c>
      <c r="R18" s="13">
        <f t="shared" si="2"/>
        <v>31291</v>
      </c>
      <c r="X18" t="str">
        <f t="shared" si="3"/>
        <v>74 NORTHEM AVE</v>
      </c>
      <c r="AA18" s="12" t="str">
        <f t="shared" si="4"/>
        <v>BANKSTOWN</v>
      </c>
      <c r="AB18">
        <f t="shared" si="5"/>
        <v>2200</v>
      </c>
      <c r="AC18" t="str">
        <f t="shared" si="6"/>
        <v>NSW</v>
      </c>
      <c r="AD18" t="s">
        <v>61</v>
      </c>
    </row>
    <row r="19" spans="1:30">
      <c r="A19" t="s">
        <v>2992</v>
      </c>
      <c r="B19" t="s">
        <v>2</v>
      </c>
      <c r="D19">
        <v>19032</v>
      </c>
      <c r="E19" s="13">
        <v>44846</v>
      </c>
      <c r="F19" s="13">
        <v>44859</v>
      </c>
      <c r="G19" s="12">
        <f t="shared" si="7"/>
        <v>1075186864</v>
      </c>
      <c r="I19">
        <v>118</v>
      </c>
      <c r="J19" s="19" t="str">
        <f t="shared" si="8"/>
        <v>STA0100AU</v>
      </c>
      <c r="K19" s="15" t="s">
        <v>2976</v>
      </c>
      <c r="L19" t="s">
        <v>56</v>
      </c>
      <c r="M19" t="str">
        <f t="shared" si="0"/>
        <v>El-Klink</v>
      </c>
      <c r="N19" t="str">
        <f t="shared" si="1"/>
        <v>IMAN</v>
      </c>
      <c r="R19" s="13">
        <f t="shared" si="2"/>
        <v>31291</v>
      </c>
      <c r="X19" t="str">
        <f t="shared" si="3"/>
        <v>74 NORTHEM AVE</v>
      </c>
      <c r="AA19" s="12" t="str">
        <f t="shared" si="4"/>
        <v>BANKSTOWN</v>
      </c>
      <c r="AB19">
        <f t="shared" si="5"/>
        <v>2200</v>
      </c>
      <c r="AC19" t="str">
        <f t="shared" si="6"/>
        <v>NSW</v>
      </c>
      <c r="AD19" t="s">
        <v>61</v>
      </c>
    </row>
    <row r="20" spans="1:30">
      <c r="A20" t="s">
        <v>2992</v>
      </c>
      <c r="B20" t="s">
        <v>1</v>
      </c>
      <c r="D20">
        <v>19032</v>
      </c>
      <c r="E20" s="13">
        <v>44832</v>
      </c>
      <c r="F20" s="13">
        <v>44845</v>
      </c>
      <c r="G20" s="12">
        <f t="shared" si="7"/>
        <v>1075186864</v>
      </c>
      <c r="I20">
        <v>12351</v>
      </c>
      <c r="J20" s="19" t="str">
        <f t="shared" si="8"/>
        <v>STA0100AU</v>
      </c>
      <c r="K20" s="15" t="s">
        <v>2976</v>
      </c>
      <c r="L20" t="s">
        <v>56</v>
      </c>
      <c r="M20" t="str">
        <f t="shared" si="0"/>
        <v>El-Klink</v>
      </c>
      <c r="N20" t="str">
        <f t="shared" si="1"/>
        <v>IMAN</v>
      </c>
      <c r="R20" s="13">
        <f t="shared" si="2"/>
        <v>31291</v>
      </c>
      <c r="X20" t="str">
        <f t="shared" si="3"/>
        <v>74 NORTHEM AVE</v>
      </c>
      <c r="AA20" s="12" t="str">
        <f t="shared" si="4"/>
        <v>BANKSTOWN</v>
      </c>
      <c r="AB20">
        <f t="shared" si="5"/>
        <v>2200</v>
      </c>
      <c r="AC20" t="str">
        <f t="shared" si="6"/>
        <v>NSW</v>
      </c>
      <c r="AD20" t="s">
        <v>61</v>
      </c>
    </row>
    <row r="21" spans="1:30">
      <c r="A21" t="s">
        <v>2992</v>
      </c>
      <c r="B21" t="s">
        <v>1</v>
      </c>
      <c r="D21">
        <v>19032</v>
      </c>
      <c r="E21" s="13">
        <v>44846</v>
      </c>
      <c r="F21" s="13">
        <v>44859</v>
      </c>
      <c r="G21" s="12">
        <f t="shared" si="7"/>
        <v>1075186864</v>
      </c>
      <c r="I21">
        <v>12351</v>
      </c>
      <c r="J21" s="19" t="str">
        <f t="shared" si="8"/>
        <v>STA0100AU</v>
      </c>
      <c r="K21" s="15" t="s">
        <v>2976</v>
      </c>
      <c r="L21" t="s">
        <v>56</v>
      </c>
      <c r="M21" t="str">
        <f t="shared" si="0"/>
        <v>El-Klink</v>
      </c>
      <c r="N21" t="str">
        <f t="shared" si="1"/>
        <v>IMAN</v>
      </c>
      <c r="R21" s="13">
        <f t="shared" si="2"/>
        <v>31291</v>
      </c>
      <c r="X21" t="str">
        <f t="shared" si="3"/>
        <v>74 NORTHEM AVE</v>
      </c>
      <c r="AA21" s="12" t="str">
        <f t="shared" si="4"/>
        <v>BANKSTOWN</v>
      </c>
      <c r="AB21">
        <f t="shared" si="5"/>
        <v>2200</v>
      </c>
      <c r="AC21" t="str">
        <f t="shared" si="6"/>
        <v>NSW</v>
      </c>
      <c r="AD21" t="s">
        <v>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5" r:id="rId4" name="Button 47">
              <controlPr defaultSize="0" print="0" autoFill="0" autoPict="0" macro="[0]!ReadADPTextFile">
                <anchor>
                  <from>
                    <xdr:col>0</xdr:col>
                    <xdr:colOff>76200</xdr:colOff>
                    <xdr:row>0</xdr:row>
                    <xdr:rowOff>457200</xdr:rowOff>
                  </from>
                  <to>
                    <xdr:col>0</xdr:col>
                    <xdr:colOff>1323975</xdr:colOff>
                    <xdr:row>0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" name="Button 48">
              <controlPr defaultSize="0" print="0" autoFill="0" autoPict="0" macro="[0]!ImportBiocsv">
                <anchor>
                  <from>
                    <xdr:col>1</xdr:col>
                    <xdr:colOff>85725</xdr:colOff>
                    <xdr:row>0</xdr:row>
                    <xdr:rowOff>485775</xdr:rowOff>
                  </from>
                  <to>
                    <xdr:col>2</xdr:col>
                    <xdr:colOff>523875</xdr:colOff>
                    <xdr:row>0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6" name="Button 49">
              <controlPr defaultSize="0" print="0" autoFill="0" autoPict="0" macro="[0]!ImportProcessAllowancecsv">
                <anchor>
                  <from>
                    <xdr:col>4</xdr:col>
                    <xdr:colOff>85725</xdr:colOff>
                    <xdr:row>0</xdr:row>
                    <xdr:rowOff>485775</xdr:rowOff>
                  </from>
                  <to>
                    <xdr:col>5</xdr:col>
                    <xdr:colOff>390525</xdr:colOff>
                    <xdr:row>0</xdr:row>
                    <xdr:rowOff>923925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X513"/>
  <sheetViews>
    <sheetView workbookViewId="0"/>
  </sheetViews>
  <sheetFormatPr defaultColWidth="8.7109375" defaultRowHeight="15"/>
  <cols>
    <col min="1" max="1" width="13.5703125" style="8" bestFit="1" customWidth="1"/>
    <col min="2" max="2" width="41.85546875" style="8" bestFit="1" customWidth="1"/>
    <col min="3" max="3" width="22.42578125" style="8" bestFit="1" customWidth="1"/>
    <col min="4" max="4" width="22.7109375" style="8" bestFit="1" customWidth="1"/>
    <col min="5" max="5" width="4.85546875" style="8" bestFit="1" customWidth="1"/>
    <col min="6" max="6" width="6.28515625" style="8" bestFit="1" customWidth="1"/>
    <col min="7" max="7" width="19.42578125" style="8" bestFit="1" customWidth="1"/>
    <col min="8" max="8" width="12.85546875" style="8" bestFit="1" customWidth="1"/>
    <col min="9" max="9" width="42.42578125" style="8" bestFit="1" customWidth="1"/>
    <col min="10" max="10" width="21.140625" style="8" bestFit="1" customWidth="1"/>
    <col min="11" max="11" width="5" style="8" bestFit="1" customWidth="1"/>
    <col min="12" max="12" width="8.85546875" style="8" bestFit="1" customWidth="1"/>
    <col min="13" max="13" width="12.140625" style="8" bestFit="1" customWidth="1"/>
    <col min="14" max="14" width="8.140625" style="8" bestFit="1" customWidth="1"/>
    <col min="15" max="15" width="11.7109375" style="8" bestFit="1" customWidth="1"/>
    <col min="16" max="16" width="8.140625" style="8" bestFit="1" customWidth="1"/>
    <col min="17" max="17" width="11.42578125" style="8" bestFit="1" customWidth="1"/>
    <col min="18" max="18" width="40" style="8" bestFit="1" customWidth="1"/>
    <col min="19" max="19" width="12.140625" style="8" bestFit="1" customWidth="1"/>
    <col min="20" max="20" width="37.28515625" style="8" bestFit="1" customWidth="1"/>
    <col min="21" max="21" width="12.28515625" style="8" bestFit="1" customWidth="1"/>
    <col min="22" max="22" width="13.140625" style="8" bestFit="1" customWidth="1"/>
    <col min="23" max="23" width="27.5703125" style="8" bestFit="1" customWidth="1"/>
    <col min="24" max="24" width="21.140625" style="8" bestFit="1" customWidth="1"/>
    <col min="25" max="25" width="5" style="8" bestFit="1" customWidth="1"/>
    <col min="26" max="26" width="8.85546875" style="8" bestFit="1" customWidth="1"/>
    <col min="27" max="27" width="17.85546875" style="8" bestFit="1" customWidth="1"/>
    <col min="28" max="28" width="8.140625" style="8" bestFit="1" customWidth="1"/>
    <col min="29" max="29" width="3.5703125" style="8" bestFit="1" customWidth="1"/>
    <col min="30" max="30" width="12.28515625" style="8" bestFit="1" customWidth="1"/>
    <col min="31" max="31" width="22.5703125" style="8" bestFit="1" customWidth="1"/>
    <col min="32" max="32" width="11.42578125" style="8" bestFit="1" customWidth="1"/>
    <col min="33" max="33" width="7.85546875" style="8" bestFit="1" customWidth="1"/>
    <col min="34" max="34" width="11.7109375" style="8" bestFit="1" customWidth="1"/>
    <col min="35" max="35" width="19.5703125" style="8" bestFit="1" customWidth="1"/>
    <col min="36" max="36" width="9.7109375" style="8" bestFit="1" customWidth="1"/>
    <col min="37" max="37" width="7.85546875" style="8" bestFit="1" customWidth="1"/>
    <col min="38" max="38" width="18.5703125" style="8" bestFit="1" customWidth="1"/>
    <col min="39" max="39" width="12.140625" style="8" bestFit="1" customWidth="1"/>
    <col min="40" max="40" width="14.85546875" style="8" bestFit="1" customWidth="1"/>
    <col min="41" max="41" width="4.140625" style="8" bestFit="1" customWidth="1"/>
    <col min="42" max="42" width="23.28515625" style="8" bestFit="1" customWidth="1"/>
    <col min="43" max="43" width="20.42578125" style="8" bestFit="1" customWidth="1"/>
    <col min="44" max="44" width="13" style="8" bestFit="1" customWidth="1"/>
    <col min="45" max="45" width="15.140625" style="8" bestFit="1" customWidth="1"/>
    <col min="46" max="46" width="9.7109375" style="8" bestFit="1" customWidth="1"/>
    <col min="47" max="47" width="8.5703125" style="8" bestFit="1" customWidth="1"/>
    <col min="48" max="48" width="17.7109375" style="8" bestFit="1" customWidth="1"/>
    <col min="49" max="49" width="10.42578125" style="8" bestFit="1" customWidth="1"/>
    <col min="50" max="50" width="13.28515625" style="8" bestFit="1" customWidth="1"/>
    <col min="51" max="51" width="12.42578125" style="8" bestFit="1" customWidth="1"/>
    <col min="52" max="52" width="20" style="8" bestFit="1" customWidth="1"/>
    <col min="53" max="53" width="13.5703125" style="8" bestFit="1" customWidth="1"/>
    <col min="54" max="54" width="41.85546875" style="8" bestFit="1" customWidth="1"/>
    <col min="55" max="55" width="22.42578125" style="8" bestFit="1" customWidth="1"/>
    <col min="56" max="56" width="22.7109375" style="8" bestFit="1" customWidth="1"/>
    <col min="57" max="57" width="4.85546875" style="8" bestFit="1" customWidth="1"/>
    <col min="58" max="58" width="6.28515625" style="8" bestFit="1" customWidth="1"/>
    <col min="59" max="59" width="19.42578125" style="8" bestFit="1" customWidth="1"/>
    <col min="60" max="60" width="12.85546875" style="8" bestFit="1" customWidth="1"/>
    <col min="61" max="61" width="42.42578125" style="8" bestFit="1" customWidth="1"/>
    <col min="62" max="62" width="21.140625" style="8" bestFit="1" customWidth="1"/>
    <col min="63" max="63" width="5" style="8" bestFit="1" customWidth="1"/>
    <col min="64" max="64" width="8.85546875" style="8" bestFit="1" customWidth="1"/>
    <col min="65" max="65" width="12.140625" style="8" bestFit="1" customWidth="1"/>
    <col min="66" max="66" width="8.140625" style="8" bestFit="1" customWidth="1"/>
    <col min="67" max="67" width="11.7109375" style="8" bestFit="1" customWidth="1"/>
    <col min="68" max="68" width="8.140625" style="8" bestFit="1" customWidth="1"/>
    <col min="69" max="69" width="11.42578125" style="8" bestFit="1" customWidth="1"/>
    <col min="70" max="70" width="40" style="8" bestFit="1" customWidth="1"/>
    <col min="71" max="71" width="12.140625" style="8" bestFit="1" customWidth="1"/>
    <col min="72" max="72" width="37.28515625" style="8" bestFit="1" customWidth="1"/>
    <col min="73" max="73" width="12.28515625" style="8" bestFit="1" customWidth="1"/>
    <col min="74" max="74" width="13.140625" style="8" bestFit="1" customWidth="1"/>
    <col min="75" max="75" width="27.5703125" style="8" bestFit="1" customWidth="1"/>
    <col min="76" max="76" width="21.140625" style="8" bestFit="1" customWidth="1"/>
    <col min="77" max="77" width="5" style="8" bestFit="1" customWidth="1"/>
    <col min="78" max="78" width="8.85546875" style="8" bestFit="1" customWidth="1"/>
    <col min="79" max="79" width="17.85546875" style="8" bestFit="1" customWidth="1"/>
    <col min="80" max="80" width="8.140625" style="8" bestFit="1" customWidth="1"/>
    <col min="81" max="81" width="3.5703125" style="8" bestFit="1" customWidth="1"/>
    <col min="82" max="82" width="12.28515625" style="8" bestFit="1" customWidth="1"/>
    <col min="83" max="83" width="22.5703125" style="8" bestFit="1" customWidth="1"/>
    <col min="84" max="84" width="11.42578125" style="8" bestFit="1" customWidth="1"/>
    <col min="85" max="85" width="7.85546875" style="8" bestFit="1" customWidth="1"/>
    <col min="86" max="86" width="11.7109375" style="8" bestFit="1" customWidth="1"/>
    <col min="87" max="87" width="19.5703125" style="8" bestFit="1" customWidth="1"/>
    <col min="88" max="88" width="9.7109375" style="8" bestFit="1" customWidth="1"/>
    <col min="89" max="89" width="7.85546875" style="8" bestFit="1" customWidth="1"/>
    <col min="90" max="90" width="18.5703125" style="8" bestFit="1" customWidth="1"/>
    <col min="91" max="91" width="12.140625" style="8" bestFit="1" customWidth="1"/>
    <col min="92" max="92" width="14.85546875" style="8" bestFit="1" customWidth="1"/>
    <col min="93" max="93" width="4.140625" style="8" bestFit="1" customWidth="1"/>
    <col min="94" max="94" width="23.28515625" style="8" bestFit="1" customWidth="1"/>
    <col min="95" max="95" width="20.42578125" style="8" bestFit="1" customWidth="1"/>
    <col min="96" max="96" width="13" style="8" bestFit="1" customWidth="1"/>
    <col min="97" max="97" width="15.140625" style="8" bestFit="1" customWidth="1"/>
    <col min="98" max="98" width="9.7109375" style="8" bestFit="1" customWidth="1"/>
    <col min="99" max="99" width="8.5703125" style="8" bestFit="1" customWidth="1"/>
    <col min="100" max="100" width="17.7109375" style="8" bestFit="1" customWidth="1"/>
    <col min="101" max="101" width="10.42578125" style="8" bestFit="1" customWidth="1"/>
    <col min="102" max="102" width="13.28515625" style="8" bestFit="1" customWidth="1"/>
    <col min="103" max="103" width="12.42578125" style="8" bestFit="1" customWidth="1"/>
    <col min="104" max="104" width="20" style="8" bestFit="1" customWidth="1"/>
    <col min="105" max="16384" width="8.7109375" style="8"/>
  </cols>
  <sheetData>
    <row r="1" spans="1:102">
      <c r="A1" s="8" t="s">
        <v>63</v>
      </c>
      <c r="B1" s="8" t="s">
        <v>64</v>
      </c>
      <c r="C1" s="8" t="s">
        <v>18</v>
      </c>
      <c r="D1" s="8" t="s">
        <v>65</v>
      </c>
      <c r="E1" s="8" t="s">
        <v>21</v>
      </c>
      <c r="F1" s="8" t="s">
        <v>66</v>
      </c>
      <c r="G1" s="8" t="s">
        <v>67</v>
      </c>
      <c r="H1" s="8" t="s">
        <v>68</v>
      </c>
      <c r="I1" s="8" t="s">
        <v>69</v>
      </c>
      <c r="J1" s="8" t="s">
        <v>32</v>
      </c>
      <c r="K1" s="8" t="s">
        <v>34</v>
      </c>
      <c r="L1" s="8" t="s">
        <v>70</v>
      </c>
      <c r="M1" s="8" t="s">
        <v>71</v>
      </c>
      <c r="N1" s="8" t="s">
        <v>35</v>
      </c>
      <c r="O1" s="8" t="s">
        <v>72</v>
      </c>
      <c r="P1" s="8" t="s">
        <v>73</v>
      </c>
      <c r="Q1" s="8" t="s">
        <v>74</v>
      </c>
      <c r="R1" s="8" t="s">
        <v>75</v>
      </c>
      <c r="S1" s="8" t="s">
        <v>76</v>
      </c>
      <c r="T1" s="8" t="s">
        <v>77</v>
      </c>
      <c r="U1" s="8" t="s">
        <v>78</v>
      </c>
      <c r="V1" s="8" t="s">
        <v>79</v>
      </c>
      <c r="W1" s="8" t="s">
        <v>69</v>
      </c>
      <c r="X1" s="8" t="s">
        <v>32</v>
      </c>
      <c r="Y1" s="8" t="s">
        <v>34</v>
      </c>
      <c r="Z1" s="8" t="s">
        <v>70</v>
      </c>
      <c r="AA1" s="8" t="s">
        <v>80</v>
      </c>
      <c r="AB1" s="8" t="s">
        <v>35</v>
      </c>
      <c r="AC1" s="8" t="s">
        <v>22</v>
      </c>
      <c r="AD1" s="8" t="s">
        <v>81</v>
      </c>
      <c r="AE1" s="8" t="s">
        <v>82</v>
      </c>
      <c r="AF1" s="8" t="s">
        <v>83</v>
      </c>
      <c r="AG1" s="8" t="s">
        <v>84</v>
      </c>
      <c r="AH1" s="8" t="s">
        <v>85</v>
      </c>
      <c r="AI1" s="8" t="s">
        <v>86</v>
      </c>
      <c r="AJ1" s="8" t="s">
        <v>87</v>
      </c>
      <c r="AK1" s="8" t="s">
        <v>88</v>
      </c>
      <c r="AL1" s="8" t="s">
        <v>89</v>
      </c>
      <c r="AM1" s="8" t="s">
        <v>90</v>
      </c>
      <c r="AN1" s="8" t="s">
        <v>91</v>
      </c>
      <c r="AO1" s="8" t="s">
        <v>92</v>
      </c>
      <c r="AP1" s="8" t="s">
        <v>93</v>
      </c>
      <c r="AQ1" s="8" t="s">
        <v>94</v>
      </c>
      <c r="AR1" s="8" t="s">
        <v>95</v>
      </c>
      <c r="AS1" s="8" t="s">
        <v>96</v>
      </c>
      <c r="AT1" s="8" t="s">
        <v>26</v>
      </c>
      <c r="AU1" s="8" t="s">
        <v>97</v>
      </c>
      <c r="AV1" s="8" t="s">
        <v>98</v>
      </c>
      <c r="AW1" s="8" t="s">
        <v>99</v>
      </c>
      <c r="AX1" s="8" t="s">
        <v>100</v>
      </c>
      <c r="AY1" s="8" t="s">
        <v>101</v>
      </c>
      <c r="AZ1" s="8" t="s">
        <v>102</v>
      </c>
    </row>
    <row r="2" spans="1:102">
      <c r="A2" s="8">
        <v>7</v>
      </c>
      <c r="B2" s="8" t="s">
        <v>103</v>
      </c>
      <c r="C2" s="8" t="s">
        <v>104</v>
      </c>
      <c r="D2" s="8" t="s">
        <v>105</v>
      </c>
      <c r="E2" s="8" t="s">
        <v>106</v>
      </c>
      <c r="F2" s="8" t="s">
        <v>107</v>
      </c>
      <c r="G2" s="8" t="s">
        <v>105</v>
      </c>
      <c r="I2" s="8" t="s">
        <v>108</v>
      </c>
      <c r="J2" s="8" t="s">
        <v>109</v>
      </c>
      <c r="K2" s="8" t="s">
        <v>60</v>
      </c>
      <c r="L2" s="8">
        <v>3156</v>
      </c>
      <c r="M2" s="8" t="s">
        <v>61</v>
      </c>
      <c r="N2" s="8" t="s">
        <v>110</v>
      </c>
      <c r="O2" s="8" t="s">
        <v>111</v>
      </c>
      <c r="R2" s="8" t="s">
        <v>112</v>
      </c>
      <c r="S2" s="8">
        <v>408364427</v>
      </c>
      <c r="AC2" s="8" t="s">
        <v>56</v>
      </c>
      <c r="AF2" s="9">
        <v>28409</v>
      </c>
      <c r="AG2" s="10">
        <v>1.875</v>
      </c>
      <c r="AJ2" s="9">
        <v>36430</v>
      </c>
      <c r="AK2" s="11">
        <v>0.87916666666666676</v>
      </c>
      <c r="AP2" s="8" t="s">
        <v>113</v>
      </c>
      <c r="AQ2" s="8" t="s">
        <v>4</v>
      </c>
      <c r="AR2" s="8" t="s">
        <v>4</v>
      </c>
      <c r="AS2" s="8" t="s">
        <v>4</v>
      </c>
      <c r="AT2" s="9">
        <v>44308</v>
      </c>
      <c r="AU2" s="8" t="s">
        <v>114</v>
      </c>
      <c r="AV2" s="8" t="s">
        <v>115</v>
      </c>
      <c r="AW2" s="10">
        <v>1.7958333333333334</v>
      </c>
      <c r="AX2" s="11">
        <v>0.87916666666666676</v>
      </c>
      <c r="AY2" s="8" t="s">
        <v>113</v>
      </c>
      <c r="AZ2" s="8" t="s">
        <v>4</v>
      </c>
      <c r="CF2" s="9"/>
      <c r="CG2" s="10"/>
      <c r="CJ2" s="9"/>
      <c r="CK2" s="11"/>
      <c r="CT2" s="9"/>
      <c r="CW2" s="10"/>
      <c r="CX2" s="11"/>
    </row>
    <row r="3" spans="1:102">
      <c r="A3" s="8">
        <v>16</v>
      </c>
      <c r="B3" s="8" t="s">
        <v>116</v>
      </c>
      <c r="C3" s="8" t="s">
        <v>117</v>
      </c>
      <c r="D3" s="8" t="s">
        <v>118</v>
      </c>
      <c r="E3" s="8" t="s">
        <v>106</v>
      </c>
      <c r="F3" s="8" t="s">
        <v>119</v>
      </c>
      <c r="G3" s="8" t="s">
        <v>118</v>
      </c>
      <c r="I3" s="8" t="s">
        <v>120</v>
      </c>
      <c r="J3" s="8" t="s">
        <v>121</v>
      </c>
      <c r="K3" s="8" t="s">
        <v>122</v>
      </c>
      <c r="L3" s="8">
        <v>2190</v>
      </c>
      <c r="M3" s="8" t="s">
        <v>61</v>
      </c>
      <c r="N3" s="8" t="s">
        <v>110</v>
      </c>
      <c r="O3" s="8" t="s">
        <v>123</v>
      </c>
      <c r="R3" s="8" t="s">
        <v>124</v>
      </c>
      <c r="S3" s="8">
        <v>424037512</v>
      </c>
      <c r="T3" s="8" t="s">
        <v>125</v>
      </c>
      <c r="AC3" s="8" t="s">
        <v>56</v>
      </c>
      <c r="AF3" s="9">
        <v>21551</v>
      </c>
      <c r="AG3" s="10">
        <v>2.6319444444444442</v>
      </c>
      <c r="AJ3" s="9">
        <v>35828</v>
      </c>
      <c r="AK3" s="11">
        <v>0.88194444444444453</v>
      </c>
      <c r="AP3" s="8" t="s">
        <v>113</v>
      </c>
      <c r="AQ3" s="8" t="s">
        <v>4</v>
      </c>
      <c r="AR3" s="8" t="s">
        <v>4</v>
      </c>
      <c r="AS3" s="8" t="s">
        <v>4</v>
      </c>
      <c r="AT3" s="9">
        <v>43809</v>
      </c>
      <c r="AU3" s="8" t="s">
        <v>114</v>
      </c>
      <c r="AV3" s="8" t="s">
        <v>115</v>
      </c>
      <c r="AW3" s="10">
        <v>2.5076388888888888</v>
      </c>
      <c r="AX3" s="11">
        <v>0.88194444444444453</v>
      </c>
      <c r="AY3" s="8" t="s">
        <v>113</v>
      </c>
      <c r="CF3" s="9"/>
      <c r="CG3" s="10"/>
      <c r="CJ3" s="9"/>
      <c r="CK3" s="11"/>
      <c r="CT3" s="9"/>
      <c r="CW3" s="10"/>
      <c r="CX3" s="11"/>
    </row>
    <row r="4" spans="1:102">
      <c r="A4" s="8">
        <v>18</v>
      </c>
      <c r="B4" s="8" t="s">
        <v>126</v>
      </c>
      <c r="C4" s="8" t="s">
        <v>127</v>
      </c>
      <c r="D4" s="8" t="s">
        <v>128</v>
      </c>
      <c r="E4" s="8" t="s">
        <v>106</v>
      </c>
      <c r="F4" s="8" t="s">
        <v>129</v>
      </c>
      <c r="G4" s="8" t="s">
        <v>128</v>
      </c>
      <c r="I4" s="8" t="s">
        <v>130</v>
      </c>
      <c r="J4" s="8" t="s">
        <v>131</v>
      </c>
      <c r="K4" s="8" t="s">
        <v>122</v>
      </c>
      <c r="L4" s="8">
        <v>2125</v>
      </c>
      <c r="M4" s="8" t="s">
        <v>61</v>
      </c>
      <c r="N4" s="8" t="s">
        <v>110</v>
      </c>
      <c r="O4" s="8" t="s">
        <v>132</v>
      </c>
      <c r="R4" s="8" t="s">
        <v>133</v>
      </c>
      <c r="S4" s="8" t="s">
        <v>134</v>
      </c>
      <c r="T4" s="8" t="s">
        <v>135</v>
      </c>
      <c r="AC4" s="8" t="s">
        <v>56</v>
      </c>
      <c r="AF4" s="9">
        <v>25622</v>
      </c>
      <c r="AG4" s="10">
        <v>2.1722222222222221</v>
      </c>
      <c r="AJ4" s="9">
        <v>36557</v>
      </c>
      <c r="AK4" s="11">
        <v>0.92291666666666661</v>
      </c>
      <c r="AP4" s="8" t="s">
        <v>113</v>
      </c>
      <c r="AS4" s="8" t="s">
        <v>113</v>
      </c>
      <c r="AY4" s="8" t="s">
        <v>113</v>
      </c>
      <c r="CF4" s="9"/>
      <c r="CG4" s="10"/>
      <c r="CJ4" s="9"/>
      <c r="CK4" s="11"/>
    </row>
    <row r="5" spans="1:102">
      <c r="A5" s="8">
        <v>33</v>
      </c>
      <c r="B5" s="8" t="s">
        <v>136</v>
      </c>
      <c r="C5" s="8" t="s">
        <v>137</v>
      </c>
      <c r="D5" s="8" t="s">
        <v>138</v>
      </c>
      <c r="E5" s="8" t="s">
        <v>139</v>
      </c>
      <c r="F5" s="8" t="s">
        <v>140</v>
      </c>
      <c r="G5" s="8" t="s">
        <v>138</v>
      </c>
      <c r="I5" s="8" t="s">
        <v>141</v>
      </c>
      <c r="J5" s="8" t="s">
        <v>142</v>
      </c>
      <c r="K5" s="8" t="s">
        <v>122</v>
      </c>
      <c r="L5" s="8">
        <v>2560</v>
      </c>
      <c r="O5" s="8" t="s">
        <v>143</v>
      </c>
      <c r="R5" s="8" t="s">
        <v>144</v>
      </c>
      <c r="AC5" s="8" t="s">
        <v>56</v>
      </c>
      <c r="AF5" s="9">
        <v>21222</v>
      </c>
      <c r="AG5" s="10">
        <v>2.6722222222222225</v>
      </c>
      <c r="AJ5" s="9">
        <v>34820</v>
      </c>
      <c r="AK5" s="10">
        <v>1.0493055555555555</v>
      </c>
      <c r="AP5" s="8" t="s">
        <v>113</v>
      </c>
      <c r="AS5" s="8" t="s">
        <v>113</v>
      </c>
      <c r="AT5" s="9">
        <v>44291</v>
      </c>
      <c r="AU5" s="8" t="s">
        <v>114</v>
      </c>
      <c r="AV5" s="8" t="s">
        <v>115</v>
      </c>
      <c r="AW5" s="10">
        <v>2.6263888888888887</v>
      </c>
      <c r="AX5" s="10">
        <v>1.0493055555555555</v>
      </c>
      <c r="AY5" s="8" t="s">
        <v>113</v>
      </c>
      <c r="CF5" s="9"/>
      <c r="CG5" s="10"/>
      <c r="CJ5" s="9"/>
      <c r="CK5" s="10"/>
      <c r="CT5" s="9"/>
      <c r="CW5" s="10"/>
      <c r="CX5" s="10"/>
    </row>
    <row r="6" spans="1:102">
      <c r="A6" s="8">
        <v>44</v>
      </c>
      <c r="B6" s="8" t="s">
        <v>145</v>
      </c>
      <c r="C6" s="8" t="s">
        <v>146</v>
      </c>
      <c r="D6" s="8" t="s">
        <v>147</v>
      </c>
      <c r="E6" s="8" t="s">
        <v>148</v>
      </c>
      <c r="F6" s="8" t="s">
        <v>149</v>
      </c>
      <c r="G6" s="8" t="s">
        <v>147</v>
      </c>
      <c r="I6" s="8" t="s">
        <v>150</v>
      </c>
      <c r="J6" s="8" t="s">
        <v>151</v>
      </c>
      <c r="K6" s="8" t="s">
        <v>60</v>
      </c>
      <c r="L6" s="8">
        <v>3107</v>
      </c>
      <c r="M6" s="8" t="s">
        <v>61</v>
      </c>
      <c r="N6" s="8" t="s">
        <v>110</v>
      </c>
      <c r="R6" s="8" t="s">
        <v>152</v>
      </c>
      <c r="S6" s="8">
        <v>416666963</v>
      </c>
      <c r="W6" s="8" t="s">
        <v>150</v>
      </c>
      <c r="X6" s="8" t="s">
        <v>151</v>
      </c>
      <c r="Y6" s="8" t="s">
        <v>60</v>
      </c>
      <c r="Z6" s="8">
        <v>3107</v>
      </c>
      <c r="AA6" s="8" t="s">
        <v>61</v>
      </c>
      <c r="AB6" s="8" t="s">
        <v>110</v>
      </c>
      <c r="AC6" s="8" t="s">
        <v>153</v>
      </c>
      <c r="AF6" s="9">
        <v>28454</v>
      </c>
      <c r="AG6" s="10">
        <v>1.840972222222222</v>
      </c>
      <c r="AJ6" s="9">
        <v>38747</v>
      </c>
      <c r="AK6" s="11">
        <v>0.67291666666666661</v>
      </c>
      <c r="AP6" s="8" t="s">
        <v>113</v>
      </c>
      <c r="AQ6" s="8" t="s">
        <v>4</v>
      </c>
      <c r="AR6" s="8" t="s">
        <v>4</v>
      </c>
      <c r="AS6" s="8" t="s">
        <v>4</v>
      </c>
      <c r="AY6" s="8" t="s">
        <v>113</v>
      </c>
      <c r="CF6" s="9"/>
      <c r="CG6" s="10"/>
      <c r="CJ6" s="9"/>
      <c r="CK6" s="11"/>
    </row>
    <row r="7" spans="1:102">
      <c r="D7" s="8" t="s">
        <v>154</v>
      </c>
    </row>
    <row r="8" spans="1:102">
      <c r="A8" s="8">
        <v>45</v>
      </c>
      <c r="B8" s="8" t="s">
        <v>155</v>
      </c>
      <c r="C8" s="8" t="s">
        <v>156</v>
      </c>
      <c r="D8" s="8" t="s">
        <v>157</v>
      </c>
      <c r="E8" s="8" t="s">
        <v>148</v>
      </c>
      <c r="F8" s="8" t="s">
        <v>119</v>
      </c>
      <c r="G8" s="8" t="s">
        <v>157</v>
      </c>
      <c r="I8" s="8" t="s">
        <v>158</v>
      </c>
      <c r="J8" s="8" t="s">
        <v>159</v>
      </c>
      <c r="K8" s="8" t="s">
        <v>60</v>
      </c>
      <c r="L8" s="8">
        <v>3089</v>
      </c>
      <c r="R8" s="8" t="s">
        <v>160</v>
      </c>
      <c r="S8" s="8">
        <v>418372410</v>
      </c>
      <c r="AC8" s="8" t="s">
        <v>153</v>
      </c>
      <c r="AF8" s="9">
        <v>30499</v>
      </c>
      <c r="AG8" s="10">
        <v>1.6270833333333332</v>
      </c>
      <c r="AJ8" s="9">
        <v>38509</v>
      </c>
      <c r="AK8" s="11">
        <v>0.54791666666666672</v>
      </c>
      <c r="AP8" s="8" t="s">
        <v>4</v>
      </c>
      <c r="AT8" s="9">
        <v>43553</v>
      </c>
      <c r="AU8" s="8" t="s">
        <v>114</v>
      </c>
      <c r="AV8" s="8" t="s">
        <v>115</v>
      </c>
      <c r="AW8" s="10">
        <v>1.4638888888888888</v>
      </c>
      <c r="AX8" s="11">
        <v>0.54791666666666672</v>
      </c>
      <c r="CF8" s="9"/>
      <c r="CG8" s="10"/>
      <c r="CJ8" s="9"/>
      <c r="CK8" s="11"/>
      <c r="CT8" s="9"/>
      <c r="CW8" s="10"/>
      <c r="CX8" s="11"/>
    </row>
    <row r="9" spans="1:102">
      <c r="A9" s="8">
        <v>60</v>
      </c>
      <c r="B9" s="8" t="s">
        <v>161</v>
      </c>
      <c r="C9" s="8" t="s">
        <v>162</v>
      </c>
      <c r="D9" s="8" t="s">
        <v>163</v>
      </c>
      <c r="E9" s="8" t="s">
        <v>139</v>
      </c>
      <c r="F9" s="8" t="s">
        <v>164</v>
      </c>
      <c r="G9" s="8" t="s">
        <v>163</v>
      </c>
      <c r="I9" s="8" t="s">
        <v>165</v>
      </c>
      <c r="J9" s="8" t="s">
        <v>166</v>
      </c>
      <c r="K9" s="8" t="s">
        <v>60</v>
      </c>
      <c r="L9" s="8">
        <v>3175</v>
      </c>
      <c r="M9" s="8" t="s">
        <v>61</v>
      </c>
      <c r="N9" s="8" t="s">
        <v>110</v>
      </c>
      <c r="O9" s="8" t="s">
        <v>167</v>
      </c>
      <c r="R9" s="8" t="s">
        <v>168</v>
      </c>
      <c r="S9" s="8">
        <v>417532505</v>
      </c>
      <c r="AC9" s="8" t="s">
        <v>56</v>
      </c>
      <c r="AF9" s="9">
        <v>20239</v>
      </c>
      <c r="AG9" s="10">
        <v>2.7951388888888888</v>
      </c>
      <c r="AJ9" s="9">
        <v>35688</v>
      </c>
      <c r="AK9" s="11">
        <v>0.96388888888888891</v>
      </c>
      <c r="AP9" s="8" t="s">
        <v>113</v>
      </c>
      <c r="AS9" s="8" t="s">
        <v>113</v>
      </c>
      <c r="AT9" s="9">
        <v>44349</v>
      </c>
      <c r="AU9" s="8" t="s">
        <v>114</v>
      </c>
      <c r="AV9" s="8" t="s">
        <v>115</v>
      </c>
      <c r="AW9" s="10">
        <v>2.75</v>
      </c>
      <c r="AX9" s="11">
        <v>0.96388888888888891</v>
      </c>
      <c r="AY9" s="8" t="s">
        <v>113</v>
      </c>
      <c r="CF9" s="9"/>
      <c r="CG9" s="10"/>
      <c r="CJ9" s="9"/>
      <c r="CK9" s="11"/>
      <c r="CT9" s="9"/>
      <c r="CW9" s="10"/>
      <c r="CX9" s="11"/>
    </row>
    <row r="10" spans="1:102">
      <c r="D10" s="8" t="s">
        <v>169</v>
      </c>
    </row>
    <row r="11" spans="1:102">
      <c r="A11" s="8">
        <v>71</v>
      </c>
      <c r="B11" s="8" t="s">
        <v>170</v>
      </c>
      <c r="C11" s="8" t="s">
        <v>171</v>
      </c>
      <c r="D11" s="8" t="s">
        <v>172</v>
      </c>
      <c r="E11" s="8" t="s">
        <v>139</v>
      </c>
      <c r="F11" s="8" t="s">
        <v>119</v>
      </c>
      <c r="G11" s="8" t="s">
        <v>172</v>
      </c>
      <c r="I11" s="8" t="s">
        <v>173</v>
      </c>
      <c r="J11" s="8" t="s">
        <v>174</v>
      </c>
      <c r="K11" s="8" t="s">
        <v>122</v>
      </c>
      <c r="L11" s="8">
        <v>2168</v>
      </c>
      <c r="O11" s="8" t="s">
        <v>175</v>
      </c>
      <c r="R11" s="8" t="s">
        <v>176</v>
      </c>
      <c r="S11" s="8">
        <v>451303727</v>
      </c>
      <c r="AC11" s="8" t="s">
        <v>56</v>
      </c>
      <c r="AF11" s="9">
        <v>31631</v>
      </c>
      <c r="AG11" s="10">
        <v>1.5013888888888889</v>
      </c>
      <c r="AJ11" s="9">
        <v>38609</v>
      </c>
      <c r="AK11" s="11">
        <v>0.54791666666666672</v>
      </c>
      <c r="AP11" s="8" t="s">
        <v>4</v>
      </c>
      <c r="AQ11" s="8" t="s">
        <v>4</v>
      </c>
      <c r="AR11" s="8" t="s">
        <v>4</v>
      </c>
      <c r="AS11" s="8" t="s">
        <v>4</v>
      </c>
      <c r="AT11" s="9">
        <v>43633</v>
      </c>
      <c r="AU11" s="8" t="s">
        <v>114</v>
      </c>
      <c r="AV11" s="8" t="s">
        <v>115</v>
      </c>
      <c r="AW11" s="10">
        <v>1.3402777777777777</v>
      </c>
      <c r="AX11" s="11">
        <v>0.54791666666666672</v>
      </c>
      <c r="AY11" s="8" t="s">
        <v>113</v>
      </c>
      <c r="CF11" s="9"/>
      <c r="CG11" s="10"/>
      <c r="CJ11" s="9"/>
      <c r="CK11" s="11"/>
      <c r="CT11" s="9"/>
      <c r="CW11" s="10"/>
      <c r="CX11" s="11"/>
    </row>
    <row r="12" spans="1:102">
      <c r="A12" s="8">
        <v>77</v>
      </c>
      <c r="B12" s="8" t="s">
        <v>177</v>
      </c>
      <c r="C12" s="8" t="s">
        <v>178</v>
      </c>
      <c r="D12" s="8" t="s">
        <v>179</v>
      </c>
      <c r="E12" s="8" t="s">
        <v>106</v>
      </c>
      <c r="F12" s="8" t="s">
        <v>180</v>
      </c>
      <c r="G12" s="8" t="s">
        <v>179</v>
      </c>
      <c r="I12" s="8" t="s">
        <v>181</v>
      </c>
      <c r="J12" s="8" t="s">
        <v>182</v>
      </c>
      <c r="K12" s="8" t="s">
        <v>60</v>
      </c>
      <c r="L12" s="8">
        <v>3105</v>
      </c>
      <c r="O12" s="8" t="s">
        <v>183</v>
      </c>
      <c r="R12" s="8" t="s">
        <v>184</v>
      </c>
      <c r="S12" s="8">
        <v>409933740</v>
      </c>
      <c r="AC12" s="8" t="s">
        <v>56</v>
      </c>
      <c r="AF12" s="9">
        <v>24743</v>
      </c>
      <c r="AG12" s="10">
        <v>2.2923611111111111</v>
      </c>
      <c r="AJ12" s="9">
        <v>37340</v>
      </c>
      <c r="AK12" s="11">
        <v>0.71111111111111114</v>
      </c>
      <c r="AP12" s="8" t="s">
        <v>4</v>
      </c>
      <c r="AT12" s="9">
        <v>43683</v>
      </c>
      <c r="AU12" s="8" t="s">
        <v>185</v>
      </c>
      <c r="AV12" s="8" t="s">
        <v>186</v>
      </c>
      <c r="AW12" s="10">
        <v>2.1319444444444442</v>
      </c>
      <c r="AX12" s="11">
        <v>0.71111111111111114</v>
      </c>
      <c r="CF12" s="9"/>
      <c r="CG12" s="10"/>
      <c r="CJ12" s="9"/>
      <c r="CK12" s="11"/>
      <c r="CT12" s="9"/>
      <c r="CW12" s="10"/>
      <c r="CX12" s="11"/>
    </row>
    <row r="13" spans="1:102">
      <c r="D13" s="8" t="s">
        <v>187</v>
      </c>
    </row>
    <row r="14" spans="1:102">
      <c r="A14" s="8">
        <v>82</v>
      </c>
      <c r="B14" s="8" t="s">
        <v>188</v>
      </c>
      <c r="C14" s="8" t="s">
        <v>189</v>
      </c>
      <c r="D14" s="8" t="s">
        <v>190</v>
      </c>
      <c r="E14" s="8" t="s">
        <v>148</v>
      </c>
      <c r="F14" s="8" t="s">
        <v>191</v>
      </c>
      <c r="G14" s="8" t="s">
        <v>190</v>
      </c>
      <c r="I14" s="8" t="s">
        <v>192</v>
      </c>
      <c r="J14" s="8" t="s">
        <v>193</v>
      </c>
      <c r="K14" s="8" t="s">
        <v>60</v>
      </c>
      <c r="L14" s="8">
        <v>3130</v>
      </c>
      <c r="O14" s="8" t="s">
        <v>194</v>
      </c>
      <c r="R14" s="8" t="s">
        <v>195</v>
      </c>
      <c r="S14" s="8" t="s">
        <v>196</v>
      </c>
      <c r="AC14" s="8" t="s">
        <v>153</v>
      </c>
      <c r="AF14" s="9">
        <v>19431</v>
      </c>
      <c r="AG14" s="10">
        <v>2.879861111111111</v>
      </c>
      <c r="AJ14" s="9">
        <v>39685</v>
      </c>
      <c r="AK14" s="11">
        <v>0.50277777777777777</v>
      </c>
      <c r="AP14" s="8" t="s">
        <v>113</v>
      </c>
      <c r="AS14" s="8" t="s">
        <v>113</v>
      </c>
      <c r="AT14" s="9">
        <v>44197</v>
      </c>
      <c r="AU14" s="8" t="s">
        <v>114</v>
      </c>
      <c r="AV14" s="8" t="s">
        <v>115</v>
      </c>
      <c r="AW14" s="10">
        <v>2.7979166666666671</v>
      </c>
      <c r="AX14" s="11">
        <v>0.50277777777777777</v>
      </c>
      <c r="CF14" s="9"/>
      <c r="CG14" s="10"/>
      <c r="CJ14" s="9"/>
      <c r="CK14" s="11"/>
      <c r="CT14" s="9"/>
      <c r="CW14" s="10"/>
      <c r="CX14" s="11"/>
    </row>
    <row r="15" spans="1:102">
      <c r="D15" s="8" t="s">
        <v>197</v>
      </c>
    </row>
    <row r="16" spans="1:102">
      <c r="A16" s="8">
        <v>84</v>
      </c>
      <c r="B16" s="8" t="s">
        <v>198</v>
      </c>
      <c r="C16" s="8" t="s">
        <v>199</v>
      </c>
      <c r="D16" s="8" t="s">
        <v>200</v>
      </c>
      <c r="E16" s="8" t="s">
        <v>139</v>
      </c>
      <c r="F16" s="8" t="s">
        <v>201</v>
      </c>
      <c r="G16" s="8" t="s">
        <v>200</v>
      </c>
      <c r="I16" s="8" t="s">
        <v>202</v>
      </c>
      <c r="J16" s="8" t="s">
        <v>203</v>
      </c>
      <c r="K16" s="8" t="s">
        <v>122</v>
      </c>
      <c r="L16" s="8">
        <v>2565</v>
      </c>
      <c r="R16" s="8" t="s">
        <v>204</v>
      </c>
      <c r="S16" s="8">
        <v>415937200</v>
      </c>
      <c r="AC16" s="8" t="s">
        <v>56</v>
      </c>
      <c r="AF16" s="9">
        <v>31813</v>
      </c>
      <c r="AG16" s="10">
        <v>1.4638888888888888</v>
      </c>
      <c r="AJ16" s="9">
        <v>38503</v>
      </c>
      <c r="AK16" s="11">
        <v>0.54236111111111118</v>
      </c>
      <c r="AT16" s="9">
        <v>43285</v>
      </c>
      <c r="AU16" s="8" t="s">
        <v>114</v>
      </c>
      <c r="AV16" s="8" t="s">
        <v>115</v>
      </c>
      <c r="AW16" s="10">
        <v>1.2951388888888888</v>
      </c>
      <c r="AX16" s="11">
        <v>0.54236111111111118</v>
      </c>
      <c r="CF16" s="9"/>
      <c r="CG16" s="10"/>
      <c r="CJ16" s="9"/>
      <c r="CK16" s="11"/>
      <c r="CT16" s="9"/>
      <c r="CW16" s="10"/>
      <c r="CX16" s="11"/>
    </row>
    <row r="17" spans="1:102">
      <c r="D17" s="8" t="s">
        <v>205</v>
      </c>
    </row>
    <row r="18" spans="1:102">
      <c r="A18" s="8">
        <v>98</v>
      </c>
      <c r="B18" s="8" t="s">
        <v>206</v>
      </c>
      <c r="C18" s="8" t="s">
        <v>207</v>
      </c>
      <c r="D18" s="8" t="s">
        <v>208</v>
      </c>
      <c r="E18" s="8" t="s">
        <v>148</v>
      </c>
      <c r="F18" s="8" t="s">
        <v>209</v>
      </c>
      <c r="G18" s="8" t="s">
        <v>208</v>
      </c>
      <c r="I18" s="8" t="s">
        <v>210</v>
      </c>
      <c r="J18" s="8" t="s">
        <v>211</v>
      </c>
      <c r="K18" s="8" t="s">
        <v>60</v>
      </c>
      <c r="L18" s="8">
        <v>3152</v>
      </c>
      <c r="R18" s="8" t="s">
        <v>212</v>
      </c>
      <c r="S18" s="8">
        <v>421179458</v>
      </c>
      <c r="AC18" s="8" t="s">
        <v>153</v>
      </c>
      <c r="AF18" s="9">
        <v>30317</v>
      </c>
      <c r="AG18" s="10">
        <v>1.6319444444444444</v>
      </c>
      <c r="AJ18" s="9">
        <v>38229</v>
      </c>
      <c r="AK18" s="11">
        <v>0.5493055555555556</v>
      </c>
      <c r="AT18" s="9">
        <v>43336</v>
      </c>
      <c r="AU18" s="8" t="s">
        <v>114</v>
      </c>
      <c r="AV18" s="8" t="s">
        <v>115</v>
      </c>
      <c r="AW18" s="10">
        <v>1.4631944444444445</v>
      </c>
      <c r="AX18" s="11">
        <v>0.5493055555555556</v>
      </c>
      <c r="CF18" s="9"/>
      <c r="CG18" s="10"/>
      <c r="CJ18" s="9"/>
      <c r="CK18" s="11"/>
      <c r="CT18" s="9"/>
      <c r="CW18" s="10"/>
      <c r="CX18" s="11"/>
    </row>
    <row r="19" spans="1:102">
      <c r="D19" s="8" t="s">
        <v>213</v>
      </c>
    </row>
    <row r="20" spans="1:102">
      <c r="A20" s="8">
        <v>102</v>
      </c>
      <c r="B20" s="8" t="s">
        <v>214</v>
      </c>
      <c r="C20" s="8" t="s">
        <v>215</v>
      </c>
      <c r="D20" s="8" t="s">
        <v>216</v>
      </c>
      <c r="E20" s="8" t="s">
        <v>217</v>
      </c>
      <c r="F20" s="8" t="s">
        <v>218</v>
      </c>
      <c r="G20" s="8" t="s">
        <v>216</v>
      </c>
      <c r="I20" s="8" t="s">
        <v>219</v>
      </c>
      <c r="J20" s="8" t="s">
        <v>220</v>
      </c>
      <c r="K20" s="8" t="s">
        <v>60</v>
      </c>
      <c r="L20" s="8">
        <v>3754</v>
      </c>
      <c r="R20" s="8" t="s">
        <v>221</v>
      </c>
      <c r="S20" s="8" t="s">
        <v>222</v>
      </c>
      <c r="T20" s="8" t="s">
        <v>223</v>
      </c>
      <c r="AC20" s="8" t="s">
        <v>153</v>
      </c>
      <c r="AF20" s="9">
        <v>21210</v>
      </c>
      <c r="AG20" s="10">
        <v>2.6729166666666671</v>
      </c>
      <c r="AJ20" s="9">
        <v>36115</v>
      </c>
      <c r="AK20" s="11">
        <v>0.96597222222222223</v>
      </c>
      <c r="AP20" s="8" t="s">
        <v>113</v>
      </c>
      <c r="CF20" s="9"/>
      <c r="CG20" s="10"/>
      <c r="CJ20" s="9"/>
      <c r="CK20" s="11"/>
    </row>
    <row r="21" spans="1:102">
      <c r="D21" s="8" t="s">
        <v>224</v>
      </c>
    </row>
    <row r="22" spans="1:102">
      <c r="A22" s="8">
        <v>105</v>
      </c>
      <c r="B22" s="8" t="s">
        <v>225</v>
      </c>
      <c r="C22" s="8" t="s">
        <v>226</v>
      </c>
      <c r="D22" s="8" t="s">
        <v>227</v>
      </c>
      <c r="E22" s="8" t="s">
        <v>106</v>
      </c>
      <c r="F22" s="8" t="s">
        <v>228</v>
      </c>
      <c r="G22" s="8" t="s">
        <v>227</v>
      </c>
      <c r="I22" s="8" t="s">
        <v>229</v>
      </c>
      <c r="J22" s="8" t="s">
        <v>230</v>
      </c>
      <c r="K22" s="8" t="s">
        <v>60</v>
      </c>
      <c r="L22" s="8">
        <v>3170</v>
      </c>
      <c r="M22" s="8" t="s">
        <v>61</v>
      </c>
      <c r="N22" s="8" t="s">
        <v>110</v>
      </c>
      <c r="O22" s="8" t="s">
        <v>231</v>
      </c>
      <c r="R22" s="8" t="s">
        <v>232</v>
      </c>
      <c r="S22" s="8">
        <v>414760950</v>
      </c>
      <c r="T22" s="8" t="s">
        <v>233</v>
      </c>
      <c r="AC22" s="8" t="s">
        <v>56</v>
      </c>
      <c r="AF22" s="9">
        <v>28199</v>
      </c>
      <c r="AG22" s="10">
        <v>1.8798611111111112</v>
      </c>
      <c r="AJ22" s="9">
        <v>36062</v>
      </c>
      <c r="AK22" s="11">
        <v>0.96527777777777779</v>
      </c>
      <c r="AP22" s="8" t="s">
        <v>113</v>
      </c>
      <c r="AT22" s="9">
        <v>44774</v>
      </c>
      <c r="AU22" s="8" t="s">
        <v>185</v>
      </c>
      <c r="AV22" s="8" t="s">
        <v>186</v>
      </c>
      <c r="AW22" s="10">
        <v>1.877777777777778</v>
      </c>
      <c r="AX22" s="11">
        <v>0.96527777777777779</v>
      </c>
      <c r="CF22" s="9"/>
      <c r="CG22" s="10"/>
      <c r="CJ22" s="9"/>
      <c r="CK22" s="11"/>
      <c r="CT22" s="9"/>
      <c r="CW22" s="10"/>
      <c r="CX22" s="11"/>
    </row>
    <row r="23" spans="1:102">
      <c r="D23" s="8" t="s">
        <v>234</v>
      </c>
    </row>
    <row r="24" spans="1:102">
      <c r="A24" s="8">
        <v>115</v>
      </c>
      <c r="B24" s="8" t="s">
        <v>235</v>
      </c>
      <c r="C24" s="8" t="s">
        <v>236</v>
      </c>
      <c r="D24" s="8" t="s">
        <v>237</v>
      </c>
      <c r="E24" s="8" t="s">
        <v>139</v>
      </c>
      <c r="F24" s="8" t="s">
        <v>119</v>
      </c>
      <c r="G24" s="8" t="s">
        <v>237</v>
      </c>
      <c r="I24" s="8" t="s">
        <v>238</v>
      </c>
      <c r="J24" s="8" t="s">
        <v>239</v>
      </c>
      <c r="K24" s="8" t="s">
        <v>240</v>
      </c>
      <c r="L24" s="8">
        <v>4503</v>
      </c>
      <c r="M24" s="8" t="s">
        <v>61</v>
      </c>
      <c r="N24" s="8" t="s">
        <v>110</v>
      </c>
      <c r="R24" s="8" t="s">
        <v>241</v>
      </c>
      <c r="S24" s="8" t="s">
        <v>242</v>
      </c>
      <c r="T24" s="8" t="s">
        <v>243</v>
      </c>
      <c r="W24" s="8" t="s">
        <v>238</v>
      </c>
      <c r="X24" s="8" t="s">
        <v>239</v>
      </c>
      <c r="Y24" s="8" t="s">
        <v>240</v>
      </c>
      <c r="Z24" s="8">
        <v>4503</v>
      </c>
      <c r="AA24" s="8" t="s">
        <v>61</v>
      </c>
      <c r="AB24" s="8" t="s">
        <v>110</v>
      </c>
      <c r="AC24" s="8" t="s">
        <v>56</v>
      </c>
      <c r="AF24" s="9">
        <v>25957</v>
      </c>
      <c r="AG24" s="10">
        <v>2.1312500000000001</v>
      </c>
      <c r="AJ24" s="9">
        <v>35578</v>
      </c>
      <c r="AK24" s="10">
        <v>1.0451388888888888</v>
      </c>
      <c r="AP24" s="8" t="s">
        <v>113</v>
      </c>
      <c r="AQ24" s="8" t="s">
        <v>4</v>
      </c>
      <c r="AR24" s="8" t="s">
        <v>4</v>
      </c>
      <c r="AS24" s="8" t="s">
        <v>4</v>
      </c>
      <c r="AY24" s="8" t="s">
        <v>113</v>
      </c>
      <c r="CF24" s="9"/>
      <c r="CG24" s="10"/>
      <c r="CJ24" s="9"/>
      <c r="CK24" s="10"/>
    </row>
    <row r="25" spans="1:102">
      <c r="A25" s="8">
        <v>123</v>
      </c>
      <c r="B25" s="8" t="s">
        <v>244</v>
      </c>
      <c r="C25" s="8" t="s">
        <v>245</v>
      </c>
      <c r="D25" s="8" t="s">
        <v>246</v>
      </c>
      <c r="E25" s="8" t="s">
        <v>106</v>
      </c>
      <c r="F25" s="8" t="s">
        <v>247</v>
      </c>
      <c r="G25" s="8" t="s">
        <v>246</v>
      </c>
      <c r="I25" s="8" t="s">
        <v>248</v>
      </c>
      <c r="J25" s="8" t="s">
        <v>249</v>
      </c>
      <c r="K25" s="8" t="s">
        <v>122</v>
      </c>
      <c r="L25" s="8">
        <v>2760</v>
      </c>
      <c r="R25" s="8" t="s">
        <v>250</v>
      </c>
      <c r="S25" s="8" t="s">
        <v>251</v>
      </c>
      <c r="AC25" s="8" t="s">
        <v>56</v>
      </c>
      <c r="AF25" s="9">
        <v>30554</v>
      </c>
      <c r="AG25" s="10">
        <v>1.6263888888888889</v>
      </c>
      <c r="AJ25" s="9">
        <v>38356</v>
      </c>
      <c r="AK25" s="11">
        <v>0.58819444444444446</v>
      </c>
      <c r="AP25" s="8" t="s">
        <v>4</v>
      </c>
      <c r="AQ25" s="8" t="s">
        <v>4</v>
      </c>
      <c r="AR25" s="8" t="s">
        <v>4</v>
      </c>
      <c r="AS25" s="8" t="s">
        <v>4</v>
      </c>
      <c r="AT25" s="9">
        <v>43683</v>
      </c>
      <c r="AU25" s="8" t="s">
        <v>185</v>
      </c>
      <c r="AV25" s="8" t="s">
        <v>186</v>
      </c>
      <c r="AW25" s="10">
        <v>1.465972222222222</v>
      </c>
      <c r="AX25" s="11">
        <v>0.58819444444444446</v>
      </c>
      <c r="AY25" s="8" t="s">
        <v>4</v>
      </c>
      <c r="CF25" s="9"/>
      <c r="CG25" s="10"/>
      <c r="CJ25" s="9"/>
      <c r="CK25" s="11"/>
      <c r="CT25" s="9"/>
      <c r="CW25" s="10"/>
      <c r="CX25" s="11"/>
    </row>
    <row r="26" spans="1:102">
      <c r="A26" s="8">
        <v>134</v>
      </c>
      <c r="B26" s="8" t="s">
        <v>252</v>
      </c>
      <c r="C26" s="8" t="s">
        <v>253</v>
      </c>
      <c r="D26" s="8" t="s">
        <v>254</v>
      </c>
      <c r="E26" s="8" t="s">
        <v>106</v>
      </c>
      <c r="F26" s="8" t="s">
        <v>255</v>
      </c>
      <c r="G26" s="8" t="s">
        <v>256</v>
      </c>
      <c r="I26" s="8" t="s">
        <v>257</v>
      </c>
      <c r="J26" s="8" t="s">
        <v>258</v>
      </c>
      <c r="K26" s="8" t="s">
        <v>60</v>
      </c>
      <c r="L26" s="8">
        <v>3178</v>
      </c>
      <c r="M26" s="8" t="s">
        <v>61</v>
      </c>
      <c r="N26" s="8" t="s">
        <v>110</v>
      </c>
      <c r="O26" s="8" t="s">
        <v>259</v>
      </c>
      <c r="R26" s="8" t="s">
        <v>260</v>
      </c>
      <c r="S26" s="8">
        <v>412275686</v>
      </c>
      <c r="T26" s="8" t="s">
        <v>261</v>
      </c>
      <c r="AC26" s="8" t="s">
        <v>56</v>
      </c>
      <c r="AF26" s="9">
        <v>22677</v>
      </c>
      <c r="AG26" s="10">
        <v>2.5062500000000001</v>
      </c>
      <c r="AJ26" s="9">
        <v>38800</v>
      </c>
      <c r="AK26" s="11">
        <v>0.67152777777777783</v>
      </c>
      <c r="AP26" s="8" t="s">
        <v>113</v>
      </c>
      <c r="AS26" s="8" t="s">
        <v>113</v>
      </c>
      <c r="AY26" s="8" t="s">
        <v>113</v>
      </c>
      <c r="CF26" s="9"/>
      <c r="CG26" s="10"/>
      <c r="CJ26" s="9"/>
      <c r="CK26" s="11"/>
    </row>
    <row r="27" spans="1:102">
      <c r="D27" s="8" t="s">
        <v>262</v>
      </c>
    </row>
    <row r="28" spans="1:102">
      <c r="A28" s="8">
        <v>141</v>
      </c>
      <c r="B28" s="8" t="s">
        <v>263</v>
      </c>
      <c r="C28" s="8" t="s">
        <v>264</v>
      </c>
      <c r="D28" s="8" t="s">
        <v>265</v>
      </c>
      <c r="E28" s="8" t="s">
        <v>139</v>
      </c>
      <c r="F28" s="8" t="s">
        <v>247</v>
      </c>
      <c r="G28" s="8" t="s">
        <v>265</v>
      </c>
      <c r="I28" s="8" t="s">
        <v>266</v>
      </c>
      <c r="J28" s="8" t="s">
        <v>267</v>
      </c>
      <c r="K28" s="8" t="s">
        <v>122</v>
      </c>
      <c r="L28" s="8">
        <v>2191</v>
      </c>
      <c r="M28" s="8" t="s">
        <v>61</v>
      </c>
      <c r="N28" s="8" t="s">
        <v>110</v>
      </c>
      <c r="O28" s="8" t="s">
        <v>268</v>
      </c>
      <c r="R28" s="8" t="s">
        <v>269</v>
      </c>
      <c r="Y28" s="8" t="s">
        <v>270</v>
      </c>
      <c r="Z28" s="8">
        <v>9999</v>
      </c>
      <c r="AC28" s="8" t="s">
        <v>56</v>
      </c>
      <c r="AF28" s="9">
        <v>19542</v>
      </c>
      <c r="AG28" s="10">
        <v>2.8770833333333332</v>
      </c>
      <c r="AJ28" s="9">
        <v>33644</v>
      </c>
      <c r="AK28" s="10">
        <v>1.2555555555555555</v>
      </c>
      <c r="AP28" s="8" t="s">
        <v>113</v>
      </c>
      <c r="AS28" s="8" t="s">
        <v>113</v>
      </c>
      <c r="AY28" s="8" t="s">
        <v>113</v>
      </c>
      <c r="CF28" s="9"/>
      <c r="CG28" s="10"/>
      <c r="CJ28" s="9"/>
      <c r="CK28" s="10"/>
    </row>
    <row r="29" spans="1:102">
      <c r="A29" s="8">
        <v>145</v>
      </c>
      <c r="B29" s="8" t="s">
        <v>271</v>
      </c>
      <c r="C29" s="8" t="s">
        <v>272</v>
      </c>
      <c r="D29" s="8" t="s">
        <v>273</v>
      </c>
      <c r="E29" s="8" t="s">
        <v>148</v>
      </c>
      <c r="F29" s="8" t="s">
        <v>274</v>
      </c>
      <c r="G29" s="8" t="s">
        <v>273</v>
      </c>
      <c r="I29" s="8" t="s">
        <v>275</v>
      </c>
      <c r="J29" s="8" t="s">
        <v>276</v>
      </c>
      <c r="K29" s="8" t="s">
        <v>122</v>
      </c>
      <c r="L29" s="8">
        <v>2043</v>
      </c>
      <c r="M29" s="8" t="s">
        <v>61</v>
      </c>
      <c r="N29" s="8" t="s">
        <v>110</v>
      </c>
      <c r="R29" s="8" t="s">
        <v>277</v>
      </c>
      <c r="S29" s="8">
        <v>425237371</v>
      </c>
      <c r="AC29" s="8" t="s">
        <v>153</v>
      </c>
      <c r="AF29" s="9">
        <v>28592</v>
      </c>
      <c r="AG29" s="10">
        <v>1.8375000000000001</v>
      </c>
      <c r="AJ29" s="9">
        <v>38460</v>
      </c>
      <c r="AK29" s="11">
        <v>0.71250000000000002</v>
      </c>
      <c r="AP29" s="8" t="s">
        <v>113</v>
      </c>
      <c r="AS29" s="8" t="s">
        <v>113</v>
      </c>
      <c r="AY29" s="8" t="s">
        <v>113</v>
      </c>
      <c r="CF29" s="9"/>
      <c r="CG29" s="10"/>
      <c r="CJ29" s="9"/>
      <c r="CK29" s="11"/>
    </row>
    <row r="30" spans="1:102">
      <c r="A30" s="8">
        <v>152</v>
      </c>
      <c r="B30" s="8" t="s">
        <v>278</v>
      </c>
      <c r="C30" s="8" t="s">
        <v>279</v>
      </c>
      <c r="D30" s="8" t="s">
        <v>280</v>
      </c>
      <c r="E30" s="8" t="s">
        <v>139</v>
      </c>
      <c r="F30" s="8" t="s">
        <v>281</v>
      </c>
      <c r="G30" s="8" t="s">
        <v>280</v>
      </c>
      <c r="I30" s="8" t="s">
        <v>282</v>
      </c>
      <c r="J30" s="8" t="s">
        <v>283</v>
      </c>
      <c r="K30" s="8" t="s">
        <v>60</v>
      </c>
      <c r="L30" s="8">
        <v>3753</v>
      </c>
      <c r="M30" s="8" t="s">
        <v>61</v>
      </c>
      <c r="N30" s="8" t="s">
        <v>110</v>
      </c>
      <c r="O30" s="8">
        <v>413858858</v>
      </c>
      <c r="R30" s="8" t="s">
        <v>284</v>
      </c>
      <c r="S30" s="8">
        <v>413858858</v>
      </c>
      <c r="AC30" s="8" t="s">
        <v>56</v>
      </c>
      <c r="AF30" s="9">
        <v>24700</v>
      </c>
      <c r="AG30" s="10">
        <v>2.2930555555555556</v>
      </c>
      <c r="AJ30" s="9">
        <v>33331</v>
      </c>
      <c r="AK30" s="10">
        <v>1.2958333333333334</v>
      </c>
      <c r="AP30" s="8" t="s">
        <v>113</v>
      </c>
      <c r="CF30" s="9"/>
      <c r="CG30" s="10"/>
      <c r="CJ30" s="9"/>
      <c r="CK30" s="10"/>
    </row>
    <row r="31" spans="1:102">
      <c r="D31" s="8" t="s">
        <v>285</v>
      </c>
    </row>
    <row r="32" spans="1:102">
      <c r="A32" s="8">
        <v>156</v>
      </c>
      <c r="B32" s="8" t="s">
        <v>286</v>
      </c>
      <c r="C32" s="8" t="s">
        <v>287</v>
      </c>
      <c r="D32" s="8" t="s">
        <v>288</v>
      </c>
      <c r="E32" s="8" t="s">
        <v>106</v>
      </c>
      <c r="F32" s="8" t="s">
        <v>289</v>
      </c>
      <c r="G32" s="8" t="s">
        <v>290</v>
      </c>
      <c r="I32" s="8" t="s">
        <v>291</v>
      </c>
      <c r="J32" s="8" t="s">
        <v>292</v>
      </c>
      <c r="K32" s="8" t="s">
        <v>293</v>
      </c>
      <c r="L32" s="8">
        <v>6052</v>
      </c>
      <c r="M32" s="8" t="s">
        <v>61</v>
      </c>
      <c r="N32" s="8" t="s">
        <v>110</v>
      </c>
      <c r="O32" s="8" t="s">
        <v>294</v>
      </c>
      <c r="R32" s="8" t="s">
        <v>295</v>
      </c>
      <c r="S32" s="8">
        <v>410560169</v>
      </c>
      <c r="T32" s="8" t="s">
        <v>296</v>
      </c>
      <c r="AC32" s="8" t="s">
        <v>56</v>
      </c>
      <c r="AF32" s="9">
        <v>19601</v>
      </c>
      <c r="AG32" s="10">
        <v>2.8763888888888887</v>
      </c>
      <c r="AJ32" s="9">
        <v>35648</v>
      </c>
      <c r="AK32" s="10">
        <v>1.0430555555555556</v>
      </c>
      <c r="AP32" s="8" t="s">
        <v>113</v>
      </c>
      <c r="AS32" s="8" t="s">
        <v>113</v>
      </c>
      <c r="AY32" s="8" t="s">
        <v>113</v>
      </c>
      <c r="CF32" s="9"/>
      <c r="CG32" s="10"/>
      <c r="CJ32" s="9"/>
      <c r="CK32" s="10"/>
    </row>
    <row r="33" spans="1:102">
      <c r="D33" s="8" t="s">
        <v>290</v>
      </c>
    </row>
    <row r="34" spans="1:102">
      <c r="A34" s="8">
        <v>167</v>
      </c>
      <c r="B34" s="8" t="s">
        <v>297</v>
      </c>
      <c r="C34" s="8" t="s">
        <v>298</v>
      </c>
      <c r="D34" s="8" t="s">
        <v>299</v>
      </c>
      <c r="E34" s="8" t="s">
        <v>148</v>
      </c>
      <c r="F34" s="8" t="s">
        <v>300</v>
      </c>
      <c r="G34" s="8" t="s">
        <v>299</v>
      </c>
      <c r="I34" s="8" t="s">
        <v>301</v>
      </c>
      <c r="J34" s="8" t="s">
        <v>302</v>
      </c>
      <c r="K34" s="8" t="s">
        <v>60</v>
      </c>
      <c r="L34" s="8">
        <v>3192</v>
      </c>
      <c r="O34" s="8" t="s">
        <v>303</v>
      </c>
      <c r="R34" s="8" t="s">
        <v>304</v>
      </c>
      <c r="S34" s="8">
        <v>438838409</v>
      </c>
      <c r="AC34" s="8" t="s">
        <v>153</v>
      </c>
      <c r="AF34" s="9">
        <v>26041</v>
      </c>
      <c r="AG34" s="10">
        <v>2.1291666666666669</v>
      </c>
      <c r="AJ34" s="9">
        <v>38404</v>
      </c>
      <c r="AK34" s="11">
        <v>0.54652777777777783</v>
      </c>
      <c r="AT34" s="9">
        <v>43388</v>
      </c>
      <c r="AU34" s="8" t="s">
        <v>185</v>
      </c>
      <c r="AV34" s="8" t="s">
        <v>186</v>
      </c>
      <c r="AW34" s="10">
        <v>1.9618055555555556</v>
      </c>
      <c r="AX34" s="11">
        <v>0.54652777777777783</v>
      </c>
      <c r="CF34" s="9"/>
      <c r="CG34" s="10"/>
      <c r="CJ34" s="9"/>
      <c r="CK34" s="11"/>
      <c r="CT34" s="9"/>
      <c r="CW34" s="10"/>
      <c r="CX34" s="11"/>
    </row>
    <row r="35" spans="1:102">
      <c r="D35" s="8" t="s">
        <v>305</v>
      </c>
    </row>
    <row r="36" spans="1:102">
      <c r="A36" s="8">
        <v>200</v>
      </c>
      <c r="B36" s="8" t="s">
        <v>306</v>
      </c>
      <c r="C36" s="8" t="s">
        <v>307</v>
      </c>
      <c r="D36" s="8" t="s">
        <v>308</v>
      </c>
      <c r="E36" s="8" t="s">
        <v>106</v>
      </c>
      <c r="F36" s="8" t="s">
        <v>309</v>
      </c>
      <c r="G36" s="8" t="s">
        <v>310</v>
      </c>
      <c r="I36" s="8" t="s">
        <v>311</v>
      </c>
      <c r="J36" s="8" t="s">
        <v>312</v>
      </c>
      <c r="K36" s="8" t="s">
        <v>60</v>
      </c>
      <c r="L36" s="8">
        <v>3150</v>
      </c>
      <c r="O36" s="8" t="s">
        <v>313</v>
      </c>
      <c r="R36" s="8" t="s">
        <v>314</v>
      </c>
      <c r="S36" s="8">
        <v>427563719</v>
      </c>
      <c r="T36" s="8" t="s">
        <v>315</v>
      </c>
      <c r="AC36" s="8" t="s">
        <v>56</v>
      </c>
      <c r="AF36" s="9">
        <v>28201</v>
      </c>
      <c r="AG36" s="10">
        <v>1.8798611111111112</v>
      </c>
      <c r="AJ36" s="9">
        <v>39146</v>
      </c>
      <c r="AK36" s="11">
        <v>0.46527777777777773</v>
      </c>
      <c r="AT36" s="9">
        <v>43490</v>
      </c>
      <c r="AU36" s="8" t="s">
        <v>114</v>
      </c>
      <c r="AV36" s="8" t="s">
        <v>115</v>
      </c>
      <c r="AW36" s="10">
        <v>1.7152777777777777</v>
      </c>
      <c r="AX36" s="11">
        <v>0.46527777777777773</v>
      </c>
      <c r="CF36" s="9"/>
      <c r="CG36" s="10"/>
      <c r="CJ36" s="9"/>
      <c r="CK36" s="11"/>
      <c r="CT36" s="9"/>
      <c r="CW36" s="10"/>
      <c r="CX36" s="11"/>
    </row>
    <row r="37" spans="1:102">
      <c r="A37" s="8">
        <v>215</v>
      </c>
      <c r="B37" s="8" t="s">
        <v>316</v>
      </c>
      <c r="C37" s="8" t="s">
        <v>317</v>
      </c>
      <c r="D37" s="8" t="s">
        <v>318</v>
      </c>
      <c r="E37" s="8" t="s">
        <v>106</v>
      </c>
      <c r="F37" s="8" t="s">
        <v>309</v>
      </c>
      <c r="G37" s="8" t="s">
        <v>319</v>
      </c>
      <c r="I37" s="8" t="s">
        <v>320</v>
      </c>
      <c r="J37" s="8" t="s">
        <v>321</v>
      </c>
      <c r="K37" s="8" t="s">
        <v>60</v>
      </c>
      <c r="L37" s="8">
        <v>3131</v>
      </c>
      <c r="M37" s="8" t="s">
        <v>61</v>
      </c>
      <c r="N37" s="8" t="s">
        <v>110</v>
      </c>
      <c r="R37" s="8" t="s">
        <v>322</v>
      </c>
      <c r="S37" s="8">
        <v>431449924</v>
      </c>
      <c r="T37" s="8" t="s">
        <v>323</v>
      </c>
      <c r="AC37" s="8" t="s">
        <v>56</v>
      </c>
      <c r="AF37" s="9">
        <v>21769</v>
      </c>
      <c r="AG37" s="10">
        <v>2.6263888888888887</v>
      </c>
      <c r="AJ37" s="9">
        <v>39210</v>
      </c>
      <c r="AK37" s="11">
        <v>0.58611111111111114</v>
      </c>
      <c r="AP37" s="8" t="s">
        <v>113</v>
      </c>
      <c r="AQ37" s="8" t="s">
        <v>4</v>
      </c>
      <c r="AR37" s="8" t="s">
        <v>4</v>
      </c>
      <c r="AS37" s="8" t="s">
        <v>4</v>
      </c>
      <c r="AT37" s="9">
        <v>44456</v>
      </c>
      <c r="AU37" s="8" t="s">
        <v>114</v>
      </c>
      <c r="AV37" s="8" t="s">
        <v>115</v>
      </c>
      <c r="AW37" s="10">
        <v>2.5840277777777776</v>
      </c>
      <c r="AX37" s="11">
        <v>0.58611111111111114</v>
      </c>
      <c r="CF37" s="9"/>
      <c r="CG37" s="10"/>
      <c r="CJ37" s="9"/>
      <c r="CK37" s="11"/>
      <c r="CT37" s="9"/>
      <c r="CW37" s="10"/>
      <c r="CX37" s="11"/>
    </row>
    <row r="38" spans="1:102">
      <c r="A38" s="8">
        <v>220</v>
      </c>
      <c r="B38" s="8" t="s">
        <v>324</v>
      </c>
      <c r="C38" s="8" t="s">
        <v>325</v>
      </c>
      <c r="D38" s="8" t="s">
        <v>326</v>
      </c>
      <c r="E38" s="8" t="s">
        <v>148</v>
      </c>
      <c r="F38" s="8" t="s">
        <v>327</v>
      </c>
      <c r="G38" s="8" t="s">
        <v>326</v>
      </c>
      <c r="I38" s="8" t="s">
        <v>328</v>
      </c>
      <c r="J38" s="8" t="s">
        <v>329</v>
      </c>
      <c r="K38" s="8" t="s">
        <v>60</v>
      </c>
      <c r="L38" s="8">
        <v>3977</v>
      </c>
      <c r="M38" s="8" t="s">
        <v>61</v>
      </c>
      <c r="N38" s="8" t="s">
        <v>110</v>
      </c>
      <c r="R38" s="8" t="s">
        <v>330</v>
      </c>
      <c r="S38" s="8">
        <v>407318311</v>
      </c>
      <c r="AC38" s="8" t="s">
        <v>153</v>
      </c>
      <c r="AF38" s="9">
        <v>24612</v>
      </c>
      <c r="AG38" s="10">
        <v>2.2951388888888888</v>
      </c>
      <c r="AJ38" s="9">
        <v>39251</v>
      </c>
      <c r="AK38" s="11">
        <v>0.62777777777777777</v>
      </c>
      <c r="AP38" s="8" t="s">
        <v>113</v>
      </c>
      <c r="AQ38" s="8" t="s">
        <v>4</v>
      </c>
      <c r="AR38" s="8" t="s">
        <v>4</v>
      </c>
      <c r="AS38" s="8" t="s">
        <v>4</v>
      </c>
      <c r="CF38" s="9"/>
      <c r="CG38" s="10"/>
      <c r="CJ38" s="9"/>
      <c r="CK38" s="11"/>
    </row>
    <row r="39" spans="1:102">
      <c r="A39" s="8">
        <v>249</v>
      </c>
      <c r="B39" s="8" t="s">
        <v>331</v>
      </c>
      <c r="C39" s="8" t="s">
        <v>332</v>
      </c>
      <c r="D39" s="8" t="s">
        <v>254</v>
      </c>
      <c r="E39" s="8" t="s">
        <v>106</v>
      </c>
      <c r="F39" s="8" t="s">
        <v>333</v>
      </c>
      <c r="G39" s="8" t="s">
        <v>254</v>
      </c>
      <c r="I39" s="8" t="s">
        <v>334</v>
      </c>
      <c r="J39" s="8" t="s">
        <v>335</v>
      </c>
      <c r="K39" s="8" t="s">
        <v>60</v>
      </c>
      <c r="L39" s="8">
        <v>3107</v>
      </c>
      <c r="M39" s="8" t="s">
        <v>61</v>
      </c>
      <c r="N39" s="8" t="s">
        <v>110</v>
      </c>
      <c r="R39" s="8" t="s">
        <v>336</v>
      </c>
      <c r="S39" s="8" t="s">
        <v>337</v>
      </c>
      <c r="T39" s="8" t="s">
        <v>338</v>
      </c>
      <c r="Y39" s="8" t="s">
        <v>270</v>
      </c>
      <c r="Z39" s="8">
        <v>9999</v>
      </c>
      <c r="AC39" s="8" t="s">
        <v>56</v>
      </c>
      <c r="AF39" s="9">
        <v>27507</v>
      </c>
      <c r="AG39" s="10">
        <v>1.9625000000000001</v>
      </c>
      <c r="AJ39" s="9">
        <v>39400</v>
      </c>
      <c r="AK39" s="11">
        <v>0.58472222222222225</v>
      </c>
      <c r="AP39" s="8" t="s">
        <v>113</v>
      </c>
      <c r="AT39" s="9">
        <v>44580</v>
      </c>
      <c r="AU39" s="8" t="s">
        <v>114</v>
      </c>
      <c r="AV39" s="8" t="s">
        <v>115</v>
      </c>
      <c r="AW39" s="10">
        <v>1.9222222222222223</v>
      </c>
      <c r="AX39" s="11">
        <v>4.1666666666666666E-3</v>
      </c>
      <c r="CF39" s="9"/>
      <c r="CG39" s="10"/>
      <c r="CJ39" s="9"/>
      <c r="CK39" s="11"/>
      <c r="CT39" s="9"/>
      <c r="CW39" s="10"/>
      <c r="CX39" s="11"/>
    </row>
    <row r="40" spans="1:102">
      <c r="A40" s="8">
        <v>261</v>
      </c>
      <c r="B40" s="8" t="s">
        <v>339</v>
      </c>
      <c r="C40" s="8" t="s">
        <v>340</v>
      </c>
      <c r="D40" s="8" t="s">
        <v>341</v>
      </c>
      <c r="E40" s="8" t="s">
        <v>106</v>
      </c>
      <c r="F40" s="8" t="s">
        <v>247</v>
      </c>
      <c r="G40" s="8" t="s">
        <v>341</v>
      </c>
      <c r="I40" s="8" t="s">
        <v>342</v>
      </c>
      <c r="J40" s="8" t="s">
        <v>343</v>
      </c>
      <c r="K40" s="8" t="s">
        <v>293</v>
      </c>
      <c r="L40" s="8">
        <v>6064</v>
      </c>
      <c r="M40" s="8" t="s">
        <v>61</v>
      </c>
      <c r="N40" s="8" t="s">
        <v>110</v>
      </c>
      <c r="R40" s="8" t="s">
        <v>344</v>
      </c>
      <c r="S40" s="8">
        <v>424604798</v>
      </c>
      <c r="T40" s="8" t="s">
        <v>345</v>
      </c>
      <c r="AC40" s="8" t="s">
        <v>56</v>
      </c>
      <c r="AF40" s="9">
        <v>30319</v>
      </c>
      <c r="AG40" s="10">
        <v>1.6312499999999999</v>
      </c>
      <c r="AJ40" s="9">
        <v>39449</v>
      </c>
      <c r="AK40" s="11">
        <v>0.58958333333333335</v>
      </c>
      <c r="AP40" s="8" t="s">
        <v>113</v>
      </c>
      <c r="AQ40" s="8" t="s">
        <v>4</v>
      </c>
      <c r="AR40" s="8" t="s">
        <v>4</v>
      </c>
      <c r="AS40" s="8" t="s">
        <v>4</v>
      </c>
      <c r="AY40" s="8" t="s">
        <v>113</v>
      </c>
      <c r="AZ40" s="8" t="s">
        <v>4</v>
      </c>
      <c r="CF40" s="9"/>
      <c r="CG40" s="10"/>
      <c r="CJ40" s="9"/>
      <c r="CK40" s="11"/>
    </row>
    <row r="41" spans="1:102">
      <c r="A41" s="8">
        <v>265</v>
      </c>
      <c r="B41" s="8" t="s">
        <v>346</v>
      </c>
      <c r="C41" s="8" t="s">
        <v>347</v>
      </c>
      <c r="D41" s="8" t="s">
        <v>348</v>
      </c>
      <c r="E41" s="8" t="s">
        <v>148</v>
      </c>
      <c r="F41" s="8" t="s">
        <v>140</v>
      </c>
      <c r="G41" s="8" t="s">
        <v>349</v>
      </c>
      <c r="I41" s="8" t="s">
        <v>350</v>
      </c>
      <c r="J41" s="8" t="s">
        <v>351</v>
      </c>
      <c r="K41" s="8" t="s">
        <v>122</v>
      </c>
      <c r="L41" s="8">
        <v>2790</v>
      </c>
      <c r="O41" s="8" t="s">
        <v>352</v>
      </c>
      <c r="R41" s="8" t="s">
        <v>353</v>
      </c>
      <c r="S41" s="8" t="s">
        <v>352</v>
      </c>
      <c r="T41" s="8" t="s">
        <v>354</v>
      </c>
      <c r="AC41" s="8" t="s">
        <v>153</v>
      </c>
      <c r="AF41" s="9">
        <v>23995</v>
      </c>
      <c r="AG41" s="10">
        <v>2.3756944444444446</v>
      </c>
      <c r="AJ41" s="9">
        <v>39461</v>
      </c>
      <c r="AK41" s="11">
        <v>0.4597222222222222</v>
      </c>
      <c r="AP41" s="8" t="s">
        <v>4</v>
      </c>
      <c r="AT41" s="9">
        <v>43552</v>
      </c>
      <c r="AU41" s="8" t="s">
        <v>114</v>
      </c>
      <c r="AV41" s="8" t="s">
        <v>115</v>
      </c>
      <c r="AW41" s="10">
        <v>2.2124999999999999</v>
      </c>
      <c r="AX41" s="11">
        <v>0.4597222222222222</v>
      </c>
      <c r="CF41" s="9"/>
      <c r="CG41" s="10"/>
      <c r="CJ41" s="9"/>
      <c r="CK41" s="11"/>
      <c r="CT41" s="9"/>
      <c r="CW41" s="10"/>
      <c r="CX41" s="11"/>
    </row>
    <row r="42" spans="1:102">
      <c r="A42" s="8">
        <v>266</v>
      </c>
      <c r="B42" s="8" t="s">
        <v>355</v>
      </c>
      <c r="C42" s="8" t="s">
        <v>356</v>
      </c>
      <c r="D42" s="8" t="s">
        <v>357</v>
      </c>
      <c r="E42" s="8" t="s">
        <v>106</v>
      </c>
      <c r="F42" s="8" t="s">
        <v>358</v>
      </c>
      <c r="G42" s="8" t="s">
        <v>357</v>
      </c>
      <c r="I42" s="8" t="s">
        <v>359</v>
      </c>
      <c r="J42" s="8" t="s">
        <v>360</v>
      </c>
      <c r="K42" s="8" t="s">
        <v>60</v>
      </c>
      <c r="L42" s="8">
        <v>3039</v>
      </c>
      <c r="M42" s="8" t="s">
        <v>61</v>
      </c>
      <c r="N42" s="8" t="s">
        <v>110</v>
      </c>
      <c r="O42" s="8" t="s">
        <v>361</v>
      </c>
      <c r="R42" s="8" t="s">
        <v>362</v>
      </c>
      <c r="S42" s="8" t="s">
        <v>363</v>
      </c>
      <c r="T42" s="8" t="s">
        <v>364</v>
      </c>
      <c r="AC42" s="8" t="s">
        <v>56</v>
      </c>
      <c r="AF42" s="9">
        <v>29157</v>
      </c>
      <c r="AG42" s="10">
        <v>1.7916666666666667</v>
      </c>
      <c r="AJ42" s="9">
        <v>39468</v>
      </c>
      <c r="AK42" s="11">
        <v>0.58958333333333335</v>
      </c>
      <c r="AP42" s="8" t="s">
        <v>113</v>
      </c>
      <c r="AQ42" s="8" t="s">
        <v>4</v>
      </c>
      <c r="AR42" s="8" t="s">
        <v>4</v>
      </c>
      <c r="AS42" s="8" t="s">
        <v>4</v>
      </c>
      <c r="AY42" s="8" t="s">
        <v>4</v>
      </c>
      <c r="AZ42" s="8" t="s">
        <v>4</v>
      </c>
      <c r="CF42" s="9"/>
      <c r="CG42" s="10"/>
      <c r="CJ42" s="9"/>
      <c r="CK42" s="11"/>
    </row>
    <row r="43" spans="1:102">
      <c r="A43" s="8">
        <v>281</v>
      </c>
      <c r="B43" s="8" t="s">
        <v>365</v>
      </c>
      <c r="C43" s="8" t="s">
        <v>366</v>
      </c>
      <c r="D43" s="8" t="s">
        <v>367</v>
      </c>
      <c r="E43" s="8" t="s">
        <v>148</v>
      </c>
      <c r="F43" s="8" t="s">
        <v>368</v>
      </c>
      <c r="G43" s="8" t="s">
        <v>367</v>
      </c>
      <c r="I43" s="8" t="s">
        <v>369</v>
      </c>
      <c r="J43" s="8" t="s">
        <v>370</v>
      </c>
      <c r="K43" s="8" t="s">
        <v>122</v>
      </c>
      <c r="L43" s="8">
        <v>2163</v>
      </c>
      <c r="M43" s="8" t="s">
        <v>61</v>
      </c>
      <c r="N43" s="8" t="s">
        <v>110</v>
      </c>
      <c r="R43" s="8" t="s">
        <v>371</v>
      </c>
      <c r="S43" s="8">
        <v>404941622</v>
      </c>
      <c r="T43" s="8" t="s">
        <v>372</v>
      </c>
      <c r="Y43" s="8" t="s">
        <v>270</v>
      </c>
      <c r="Z43" s="8">
        <v>9999</v>
      </c>
      <c r="AC43" s="8" t="s">
        <v>153</v>
      </c>
      <c r="AF43" s="9">
        <v>29133</v>
      </c>
      <c r="AG43" s="10">
        <v>1.7916666666666667</v>
      </c>
      <c r="AJ43" s="9">
        <v>39561</v>
      </c>
      <c r="AK43" s="11">
        <v>0.5493055555555556</v>
      </c>
      <c r="AP43" s="8" t="s">
        <v>113</v>
      </c>
      <c r="AS43" s="8" t="s">
        <v>113</v>
      </c>
      <c r="AT43" s="9">
        <v>44652</v>
      </c>
      <c r="AU43" s="8" t="s">
        <v>114</v>
      </c>
      <c r="AV43" s="8" t="s">
        <v>115</v>
      </c>
      <c r="AW43" s="10">
        <v>1.7534722222222223</v>
      </c>
      <c r="AX43" s="11">
        <v>0.5493055555555556</v>
      </c>
      <c r="AY43" s="8" t="s">
        <v>113</v>
      </c>
      <c r="CF43" s="9"/>
      <c r="CG43" s="10"/>
      <c r="CJ43" s="9"/>
      <c r="CK43" s="11"/>
      <c r="CT43" s="9"/>
      <c r="CW43" s="10"/>
      <c r="CX43" s="11"/>
    </row>
    <row r="44" spans="1:102">
      <c r="A44" s="8">
        <v>287</v>
      </c>
      <c r="B44" s="8" t="s">
        <v>373</v>
      </c>
      <c r="C44" s="8" t="s">
        <v>374</v>
      </c>
      <c r="D44" s="8" t="s">
        <v>375</v>
      </c>
      <c r="E44" s="8" t="s">
        <v>376</v>
      </c>
      <c r="F44" s="8" t="s">
        <v>377</v>
      </c>
      <c r="G44" s="8" t="s">
        <v>375</v>
      </c>
      <c r="I44" s="8" t="s">
        <v>378</v>
      </c>
      <c r="J44" s="8" t="s">
        <v>379</v>
      </c>
      <c r="K44" s="8" t="s">
        <v>60</v>
      </c>
      <c r="L44" s="8">
        <v>3140</v>
      </c>
      <c r="O44" s="8" t="s">
        <v>380</v>
      </c>
      <c r="R44" s="8" t="s">
        <v>381</v>
      </c>
      <c r="S44" s="8" t="s">
        <v>382</v>
      </c>
      <c r="T44" s="8" t="s">
        <v>383</v>
      </c>
      <c r="AC44" s="8" t="s">
        <v>56</v>
      </c>
      <c r="AF44" s="9">
        <v>32050</v>
      </c>
      <c r="AG44" s="10">
        <v>1.4590277777777778</v>
      </c>
      <c r="AJ44" s="9">
        <v>39589</v>
      </c>
      <c r="AK44" s="11">
        <v>0.41805555555555557</v>
      </c>
      <c r="AT44" s="9">
        <v>43322</v>
      </c>
      <c r="AU44" s="8" t="s">
        <v>114</v>
      </c>
      <c r="AV44" s="8" t="s">
        <v>115</v>
      </c>
      <c r="AW44" s="10">
        <v>1.2569444444444444</v>
      </c>
      <c r="AX44" s="11">
        <v>0.41805555555555557</v>
      </c>
      <c r="CF44" s="9"/>
      <c r="CG44" s="10"/>
      <c r="CJ44" s="9"/>
      <c r="CK44" s="11"/>
      <c r="CT44" s="9"/>
      <c r="CW44" s="10"/>
      <c r="CX44" s="11"/>
    </row>
    <row r="45" spans="1:102">
      <c r="D45" s="8" t="s">
        <v>384</v>
      </c>
    </row>
    <row r="46" spans="1:102">
      <c r="A46" s="8">
        <v>297</v>
      </c>
      <c r="B46" s="8" t="s">
        <v>385</v>
      </c>
      <c r="C46" s="8" t="s">
        <v>386</v>
      </c>
      <c r="D46" s="8" t="s">
        <v>387</v>
      </c>
      <c r="E46" s="8" t="s">
        <v>148</v>
      </c>
      <c r="F46" s="8" t="s">
        <v>388</v>
      </c>
      <c r="G46" s="8" t="s">
        <v>387</v>
      </c>
      <c r="I46" s="8" t="s">
        <v>389</v>
      </c>
      <c r="J46" s="8" t="s">
        <v>390</v>
      </c>
      <c r="K46" s="8" t="s">
        <v>60</v>
      </c>
      <c r="L46" s="8">
        <v>3133</v>
      </c>
      <c r="M46" s="8" t="s">
        <v>61</v>
      </c>
      <c r="N46" s="8" t="s">
        <v>110</v>
      </c>
      <c r="O46" s="8" t="s">
        <v>391</v>
      </c>
      <c r="R46" s="8" t="s">
        <v>392</v>
      </c>
      <c r="S46" s="8" t="s">
        <v>393</v>
      </c>
      <c r="Y46" s="8" t="s">
        <v>270</v>
      </c>
      <c r="Z46" s="8">
        <v>9999</v>
      </c>
      <c r="AC46" s="8" t="s">
        <v>153</v>
      </c>
      <c r="AF46" s="9">
        <v>32199</v>
      </c>
      <c r="AG46" s="10">
        <v>1.4222222222222223</v>
      </c>
      <c r="AJ46" s="9">
        <v>39680</v>
      </c>
      <c r="AK46" s="11">
        <v>0.54861111111111105</v>
      </c>
      <c r="AP46" s="8" t="s">
        <v>113</v>
      </c>
      <c r="AT46" s="9">
        <v>44742</v>
      </c>
      <c r="AU46" s="8" t="s">
        <v>185</v>
      </c>
      <c r="AV46" s="8" t="s">
        <v>186</v>
      </c>
      <c r="AW46" s="10">
        <v>1.4194444444444445</v>
      </c>
      <c r="AX46" s="11">
        <v>0.54861111111111105</v>
      </c>
      <c r="CF46" s="9"/>
      <c r="CG46" s="10"/>
      <c r="CJ46" s="9"/>
      <c r="CK46" s="11"/>
      <c r="CT46" s="9"/>
      <c r="CW46" s="10"/>
      <c r="CX46" s="11"/>
    </row>
    <row r="47" spans="1:102">
      <c r="D47" s="8" t="s">
        <v>394</v>
      </c>
    </row>
    <row r="48" spans="1:102">
      <c r="A48" s="8">
        <v>302</v>
      </c>
      <c r="B48" s="8" t="s">
        <v>395</v>
      </c>
      <c r="C48" s="8" t="s">
        <v>396</v>
      </c>
      <c r="D48" s="8" t="s">
        <v>397</v>
      </c>
      <c r="E48" s="8" t="s">
        <v>139</v>
      </c>
      <c r="F48" s="8" t="s">
        <v>368</v>
      </c>
      <c r="G48" s="8" t="s">
        <v>397</v>
      </c>
      <c r="I48" s="8" t="s">
        <v>398</v>
      </c>
      <c r="J48" s="8" t="s">
        <v>399</v>
      </c>
      <c r="K48" s="8" t="s">
        <v>60</v>
      </c>
      <c r="L48" s="8">
        <v>3175</v>
      </c>
      <c r="M48" s="8" t="s">
        <v>61</v>
      </c>
      <c r="N48" s="8" t="s">
        <v>110</v>
      </c>
      <c r="R48" s="8" t="s">
        <v>400</v>
      </c>
      <c r="S48" s="8">
        <v>400702857</v>
      </c>
      <c r="AC48" s="8" t="s">
        <v>56</v>
      </c>
      <c r="AF48" s="9">
        <v>31182</v>
      </c>
      <c r="AG48" s="10">
        <v>1.5451388888888891</v>
      </c>
      <c r="AJ48" s="9">
        <v>39694</v>
      </c>
      <c r="AK48" s="11">
        <v>0.58402777777777781</v>
      </c>
      <c r="AP48" s="8" t="s">
        <v>113</v>
      </c>
      <c r="AQ48" s="8" t="s">
        <v>4</v>
      </c>
      <c r="AR48" s="8" t="s">
        <v>4</v>
      </c>
      <c r="AS48" s="8" t="s">
        <v>4</v>
      </c>
      <c r="AY48" s="8" t="s">
        <v>113</v>
      </c>
      <c r="CF48" s="9"/>
      <c r="CG48" s="10"/>
      <c r="CJ48" s="9"/>
      <c r="CK48" s="11"/>
    </row>
    <row r="49" spans="1:102">
      <c r="A49" s="8">
        <v>322</v>
      </c>
      <c r="B49" s="8" t="s">
        <v>401</v>
      </c>
      <c r="C49" s="8" t="s">
        <v>402</v>
      </c>
      <c r="D49" s="8" t="s">
        <v>403</v>
      </c>
      <c r="E49" s="8" t="s">
        <v>106</v>
      </c>
      <c r="F49" s="8" t="s">
        <v>404</v>
      </c>
      <c r="G49" s="8" t="s">
        <v>405</v>
      </c>
      <c r="I49" s="8" t="s">
        <v>406</v>
      </c>
      <c r="J49" s="8" t="s">
        <v>407</v>
      </c>
      <c r="K49" s="8" t="s">
        <v>60</v>
      </c>
      <c r="L49" s="8">
        <v>3134</v>
      </c>
      <c r="M49" s="8" t="s">
        <v>61</v>
      </c>
      <c r="N49" s="8" t="s">
        <v>110</v>
      </c>
      <c r="R49" s="8" t="s">
        <v>408</v>
      </c>
      <c r="S49" s="8" t="s">
        <v>409</v>
      </c>
      <c r="Y49" s="8" t="s">
        <v>60</v>
      </c>
      <c r="Z49" s="8">
        <v>3134</v>
      </c>
      <c r="AA49" s="8" t="s">
        <v>61</v>
      </c>
      <c r="AB49" s="8" t="s">
        <v>110</v>
      </c>
      <c r="AC49" s="8" t="s">
        <v>56</v>
      </c>
      <c r="AF49" s="9">
        <v>31165</v>
      </c>
      <c r="AG49" s="10">
        <v>1.5458333333333334</v>
      </c>
      <c r="AJ49" s="9">
        <v>39860</v>
      </c>
      <c r="AK49" s="11">
        <v>0.5444444444444444</v>
      </c>
      <c r="AP49" s="8" t="s">
        <v>113</v>
      </c>
      <c r="AQ49" s="8" t="s">
        <v>4</v>
      </c>
      <c r="AR49" s="8" t="s">
        <v>4</v>
      </c>
      <c r="AS49" s="8" t="s">
        <v>4</v>
      </c>
      <c r="AT49" s="9">
        <v>44743</v>
      </c>
      <c r="AU49" s="8" t="s">
        <v>114</v>
      </c>
      <c r="AV49" s="8" t="s">
        <v>115</v>
      </c>
      <c r="AW49" s="10">
        <v>1.5430555555555554</v>
      </c>
      <c r="AX49" s="11">
        <v>0.5444444444444444</v>
      </c>
      <c r="AY49" s="8" t="s">
        <v>113</v>
      </c>
      <c r="AZ49" s="8" t="s">
        <v>4</v>
      </c>
      <c r="CF49" s="9"/>
      <c r="CG49" s="10"/>
      <c r="CJ49" s="9"/>
      <c r="CK49" s="11"/>
      <c r="CT49" s="9"/>
      <c r="CW49" s="10"/>
      <c r="CX49" s="11"/>
    </row>
    <row r="50" spans="1:102">
      <c r="A50" s="8">
        <v>346</v>
      </c>
      <c r="B50" s="8" t="s">
        <v>410</v>
      </c>
      <c r="C50" s="8" t="s">
        <v>411</v>
      </c>
      <c r="D50" s="8" t="s">
        <v>412</v>
      </c>
      <c r="E50" s="8" t="s">
        <v>376</v>
      </c>
      <c r="F50" s="8" t="s">
        <v>413</v>
      </c>
      <c r="G50" s="8" t="s">
        <v>412</v>
      </c>
      <c r="I50" s="8" t="s">
        <v>414</v>
      </c>
      <c r="J50" s="8" t="s">
        <v>415</v>
      </c>
      <c r="K50" s="8" t="s">
        <v>122</v>
      </c>
      <c r="L50" s="8">
        <v>2570</v>
      </c>
      <c r="M50" s="8" t="s">
        <v>61</v>
      </c>
      <c r="N50" s="8" t="s">
        <v>110</v>
      </c>
      <c r="R50" s="8" t="s">
        <v>416</v>
      </c>
      <c r="S50" s="8" t="s">
        <v>417</v>
      </c>
      <c r="AC50" s="8" t="s">
        <v>56</v>
      </c>
      <c r="AF50" s="9">
        <v>30518</v>
      </c>
      <c r="AG50" s="10">
        <v>1.6270833333333332</v>
      </c>
      <c r="AJ50" s="9">
        <v>40063</v>
      </c>
      <c r="AK50" s="11">
        <v>0.50763888888888886</v>
      </c>
      <c r="AP50" s="8" t="s">
        <v>113</v>
      </c>
      <c r="AS50" s="8" t="s">
        <v>113</v>
      </c>
      <c r="AT50" s="9">
        <v>44795</v>
      </c>
      <c r="AU50" s="8" t="s">
        <v>114</v>
      </c>
      <c r="AV50" s="8" t="s">
        <v>115</v>
      </c>
      <c r="AW50" s="10">
        <v>1.6256944444444443</v>
      </c>
      <c r="AX50" s="11">
        <v>0.50763888888888886</v>
      </c>
      <c r="AY50" s="8" t="s">
        <v>113</v>
      </c>
      <c r="CF50" s="9"/>
      <c r="CG50" s="10"/>
      <c r="CJ50" s="9"/>
      <c r="CK50" s="11"/>
      <c r="CT50" s="9"/>
      <c r="CW50" s="10"/>
      <c r="CX50" s="11"/>
    </row>
    <row r="51" spans="1:102">
      <c r="D51" s="8" t="s">
        <v>418</v>
      </c>
    </row>
    <row r="52" spans="1:102">
      <c r="A52" s="8">
        <v>11229</v>
      </c>
      <c r="B52" s="8" t="s">
        <v>419</v>
      </c>
      <c r="C52" s="8" t="s">
        <v>420</v>
      </c>
      <c r="D52" s="8" t="s">
        <v>421</v>
      </c>
      <c r="E52" s="8" t="s">
        <v>106</v>
      </c>
      <c r="F52" s="8" t="s">
        <v>368</v>
      </c>
      <c r="G52" s="8" t="s">
        <v>421</v>
      </c>
      <c r="I52" s="8" t="s">
        <v>422</v>
      </c>
      <c r="J52" s="8" t="s">
        <v>423</v>
      </c>
      <c r="K52" s="8" t="s">
        <v>122</v>
      </c>
      <c r="L52" s="8">
        <v>2193</v>
      </c>
      <c r="M52" s="8" t="s">
        <v>61</v>
      </c>
      <c r="N52" s="8" t="s">
        <v>110</v>
      </c>
      <c r="R52" s="8" t="s">
        <v>424</v>
      </c>
      <c r="S52" s="8">
        <v>433755950</v>
      </c>
      <c r="T52" s="8" t="s">
        <v>425</v>
      </c>
      <c r="W52" s="8" t="s">
        <v>422</v>
      </c>
      <c r="X52" s="8" t="s">
        <v>423</v>
      </c>
      <c r="Y52" s="8" t="s">
        <v>122</v>
      </c>
      <c r="Z52" s="8">
        <v>2193</v>
      </c>
      <c r="AA52" s="8" t="s">
        <v>61</v>
      </c>
      <c r="AB52" s="8" t="s">
        <v>110</v>
      </c>
      <c r="AC52" s="8" t="s">
        <v>56</v>
      </c>
      <c r="AF52" s="9">
        <v>35705</v>
      </c>
      <c r="AG52" s="10">
        <v>1.0416666666666667</v>
      </c>
      <c r="AJ52" s="9">
        <v>43276</v>
      </c>
      <c r="AK52" s="11">
        <v>0.16944444444444443</v>
      </c>
      <c r="AP52" s="8" t="s">
        <v>113</v>
      </c>
      <c r="AS52" s="8" t="s">
        <v>113</v>
      </c>
      <c r="AY52" s="8" t="s">
        <v>113</v>
      </c>
      <c r="CF52" s="9"/>
      <c r="CG52" s="10"/>
      <c r="CJ52" s="9"/>
      <c r="CK52" s="11"/>
    </row>
    <row r="53" spans="1:102">
      <c r="A53" s="8">
        <v>18419</v>
      </c>
      <c r="B53" s="8" t="s">
        <v>426</v>
      </c>
      <c r="C53" s="8" t="s">
        <v>427</v>
      </c>
      <c r="D53" s="8" t="s">
        <v>428</v>
      </c>
      <c r="E53" s="8" t="s">
        <v>106</v>
      </c>
      <c r="F53" s="8" t="s">
        <v>429</v>
      </c>
      <c r="G53" s="8" t="s">
        <v>428</v>
      </c>
      <c r="I53" s="8" t="s">
        <v>430</v>
      </c>
      <c r="J53" s="8" t="s">
        <v>431</v>
      </c>
      <c r="K53" s="8" t="s">
        <v>122</v>
      </c>
      <c r="L53" s="8">
        <v>2171</v>
      </c>
      <c r="M53" s="8" t="s">
        <v>61</v>
      </c>
      <c r="N53" s="8" t="s">
        <v>110</v>
      </c>
      <c r="R53" s="8" t="s">
        <v>432</v>
      </c>
      <c r="S53" s="8">
        <v>451783430</v>
      </c>
      <c r="T53" s="8" t="s">
        <v>433</v>
      </c>
      <c r="AC53" s="8" t="s">
        <v>56</v>
      </c>
      <c r="AF53" s="9">
        <v>28459</v>
      </c>
      <c r="AG53" s="10">
        <v>1.840972222222222</v>
      </c>
      <c r="AJ53" s="9">
        <v>40126</v>
      </c>
      <c r="AK53" s="11">
        <v>0.46458333333333335</v>
      </c>
      <c r="AP53" s="8" t="s">
        <v>113</v>
      </c>
      <c r="AQ53" s="8" t="s">
        <v>4</v>
      </c>
      <c r="AR53" s="8" t="s">
        <v>4</v>
      </c>
      <c r="AS53" s="8" t="s">
        <v>4</v>
      </c>
      <c r="AT53" s="9">
        <v>44435</v>
      </c>
      <c r="AU53" s="8" t="s">
        <v>114</v>
      </c>
      <c r="AV53" s="8" t="s">
        <v>115</v>
      </c>
      <c r="AW53" s="10">
        <v>1.7972222222222223</v>
      </c>
      <c r="AX53" s="11">
        <v>0.46458333333333335</v>
      </c>
      <c r="AY53" s="8" t="s">
        <v>113</v>
      </c>
      <c r="CF53" s="9"/>
      <c r="CG53" s="10"/>
      <c r="CJ53" s="9"/>
      <c r="CK53" s="11"/>
      <c r="CT53" s="9"/>
      <c r="CW53" s="10"/>
      <c r="CX53" s="11"/>
    </row>
    <row r="54" spans="1:102">
      <c r="D54" s="8" t="s">
        <v>434</v>
      </c>
    </row>
    <row r="55" spans="1:102">
      <c r="A55" s="8">
        <v>18430</v>
      </c>
      <c r="B55" s="8" t="s">
        <v>435</v>
      </c>
      <c r="C55" s="8" t="s">
        <v>436</v>
      </c>
      <c r="D55" s="8" t="s">
        <v>437</v>
      </c>
      <c r="E55" s="8" t="s">
        <v>106</v>
      </c>
      <c r="F55" s="8" t="s">
        <v>289</v>
      </c>
      <c r="G55" s="8" t="s">
        <v>437</v>
      </c>
      <c r="I55" s="8" t="s">
        <v>438</v>
      </c>
      <c r="J55" s="8" t="s">
        <v>439</v>
      </c>
      <c r="K55" s="8" t="s">
        <v>122</v>
      </c>
      <c r="L55" s="8">
        <v>2148</v>
      </c>
      <c r="M55" s="8" t="s">
        <v>61</v>
      </c>
      <c r="N55" s="8" t="s">
        <v>110</v>
      </c>
      <c r="O55" s="8">
        <v>286777842</v>
      </c>
      <c r="R55" s="8" t="s">
        <v>440</v>
      </c>
      <c r="S55" s="8">
        <v>413437560</v>
      </c>
      <c r="T55" s="8" t="s">
        <v>441</v>
      </c>
      <c r="AC55" s="8" t="s">
        <v>56</v>
      </c>
      <c r="AF55" s="9">
        <v>30611</v>
      </c>
      <c r="AG55" s="10">
        <v>1.625</v>
      </c>
      <c r="AJ55" s="9">
        <v>40217</v>
      </c>
      <c r="AK55" s="11">
        <v>0.38194444444444442</v>
      </c>
      <c r="AP55" s="8" t="s">
        <v>113</v>
      </c>
      <c r="AS55" s="8" t="s">
        <v>113</v>
      </c>
      <c r="AT55" s="9">
        <v>43815</v>
      </c>
      <c r="AU55" s="8" t="s">
        <v>114</v>
      </c>
      <c r="AV55" s="8" t="s">
        <v>115</v>
      </c>
      <c r="AW55" s="10">
        <v>1.5006944444444443</v>
      </c>
      <c r="AX55" s="11">
        <v>0.38194444444444442</v>
      </c>
      <c r="AY55" s="8" t="s">
        <v>113</v>
      </c>
      <c r="CF55" s="9"/>
      <c r="CG55" s="10"/>
      <c r="CJ55" s="9"/>
      <c r="CK55" s="11"/>
      <c r="CT55" s="9"/>
      <c r="CW55" s="10"/>
      <c r="CX55" s="11"/>
    </row>
    <row r="56" spans="1:102">
      <c r="D56" s="8" t="s">
        <v>442</v>
      </c>
    </row>
    <row r="57" spans="1:102">
      <c r="A57" s="8">
        <v>18442</v>
      </c>
      <c r="B57" s="8" t="s">
        <v>443</v>
      </c>
      <c r="C57" s="8" t="s">
        <v>444</v>
      </c>
      <c r="D57" s="8" t="s">
        <v>445</v>
      </c>
      <c r="E57" s="8" t="s">
        <v>148</v>
      </c>
      <c r="F57" s="8" t="s">
        <v>446</v>
      </c>
      <c r="G57" s="8" t="s">
        <v>447</v>
      </c>
      <c r="I57" s="8" t="s">
        <v>448</v>
      </c>
      <c r="J57" s="8" t="s">
        <v>449</v>
      </c>
      <c r="K57" s="8" t="s">
        <v>293</v>
      </c>
      <c r="L57" s="8">
        <v>6065</v>
      </c>
      <c r="M57" s="8" t="s">
        <v>61</v>
      </c>
      <c r="N57" s="8" t="s">
        <v>110</v>
      </c>
      <c r="R57" s="8" t="s">
        <v>450</v>
      </c>
      <c r="S57" s="8">
        <v>468579780</v>
      </c>
      <c r="AC57" s="8" t="s">
        <v>153</v>
      </c>
      <c r="AF57" s="9">
        <v>29461</v>
      </c>
      <c r="AG57" s="10">
        <v>1.7513888888888889</v>
      </c>
      <c r="AJ57" s="9">
        <v>40266</v>
      </c>
      <c r="AK57" s="11">
        <v>0.50486111111111109</v>
      </c>
      <c r="AP57" s="8" t="s">
        <v>113</v>
      </c>
      <c r="AQ57" s="8" t="s">
        <v>4</v>
      </c>
      <c r="AR57" s="8" t="s">
        <v>4</v>
      </c>
      <c r="AS57" s="8" t="s">
        <v>4</v>
      </c>
      <c r="AY57" s="8" t="s">
        <v>113</v>
      </c>
      <c r="CF57" s="9"/>
      <c r="CG57" s="10"/>
      <c r="CJ57" s="9"/>
      <c r="CK57" s="11"/>
    </row>
    <row r="58" spans="1:102">
      <c r="D58" s="8" t="s">
        <v>447</v>
      </c>
    </row>
    <row r="59" spans="1:102">
      <c r="A59" s="8">
        <v>18445</v>
      </c>
      <c r="B59" s="8" t="s">
        <v>451</v>
      </c>
      <c r="C59" s="8" t="s">
        <v>452</v>
      </c>
      <c r="D59" s="8" t="s">
        <v>453</v>
      </c>
      <c r="E59" s="8" t="s">
        <v>106</v>
      </c>
      <c r="F59" s="8" t="s">
        <v>119</v>
      </c>
      <c r="G59" s="8" t="s">
        <v>453</v>
      </c>
      <c r="I59" s="8" t="s">
        <v>454</v>
      </c>
      <c r="J59" s="8" t="s">
        <v>455</v>
      </c>
      <c r="K59" s="8" t="s">
        <v>60</v>
      </c>
      <c r="L59" s="8">
        <v>3082</v>
      </c>
      <c r="R59" s="8" t="s">
        <v>456</v>
      </c>
      <c r="S59" s="8">
        <v>401455380</v>
      </c>
      <c r="T59" s="8" t="s">
        <v>457</v>
      </c>
      <c r="AC59" s="8" t="s">
        <v>56</v>
      </c>
      <c r="AF59" s="9">
        <v>32045</v>
      </c>
      <c r="AG59" s="10">
        <v>1.4590277777777778</v>
      </c>
      <c r="AJ59" s="9">
        <v>40289</v>
      </c>
      <c r="AK59" s="11">
        <v>0.33680555555555558</v>
      </c>
      <c r="AT59" s="9">
        <v>43364</v>
      </c>
      <c r="AU59" s="8" t="s">
        <v>114</v>
      </c>
      <c r="AV59" s="8" t="s">
        <v>115</v>
      </c>
      <c r="AW59" s="10">
        <v>1.257638888888889</v>
      </c>
      <c r="AX59" s="11">
        <v>0.33680555555555558</v>
      </c>
      <c r="CF59" s="9"/>
      <c r="CG59" s="10"/>
      <c r="CJ59" s="9"/>
      <c r="CK59" s="11"/>
      <c r="CT59" s="9"/>
      <c r="CW59" s="10"/>
      <c r="CX59" s="11"/>
    </row>
    <row r="60" spans="1:102">
      <c r="A60" s="8">
        <v>18452</v>
      </c>
      <c r="B60" s="8" t="s">
        <v>458</v>
      </c>
      <c r="C60" s="8" t="s">
        <v>459</v>
      </c>
      <c r="D60" s="8" t="s">
        <v>460</v>
      </c>
      <c r="E60" s="8" t="s">
        <v>139</v>
      </c>
      <c r="F60" s="8" t="s">
        <v>461</v>
      </c>
      <c r="G60" s="8" t="s">
        <v>460</v>
      </c>
      <c r="I60" s="8" t="s">
        <v>462</v>
      </c>
      <c r="J60" s="8" t="s">
        <v>463</v>
      </c>
      <c r="K60" s="8" t="s">
        <v>122</v>
      </c>
      <c r="L60" s="8">
        <v>2220</v>
      </c>
      <c r="O60" s="8" t="s">
        <v>464</v>
      </c>
      <c r="R60" s="8" t="s">
        <v>465</v>
      </c>
      <c r="S60" s="8">
        <v>432654724</v>
      </c>
      <c r="T60" s="8" t="s">
        <v>466</v>
      </c>
      <c r="AC60" s="8" t="s">
        <v>56</v>
      </c>
      <c r="AF60" s="9">
        <v>25986</v>
      </c>
      <c r="AG60" s="10">
        <v>2.1305555555555555</v>
      </c>
      <c r="AJ60" s="9">
        <v>40357</v>
      </c>
      <c r="AK60" s="11">
        <v>0.37777777777777777</v>
      </c>
      <c r="AP60" s="8" t="s">
        <v>113</v>
      </c>
      <c r="AS60" s="8" t="s">
        <v>113</v>
      </c>
      <c r="AT60" s="9">
        <v>43767</v>
      </c>
      <c r="AU60" s="8" t="s">
        <v>114</v>
      </c>
      <c r="AV60" s="8" t="s">
        <v>115</v>
      </c>
      <c r="AW60" s="10">
        <v>2.0055555555555555</v>
      </c>
      <c r="AX60" s="11">
        <v>0.37777777777777777</v>
      </c>
      <c r="AY60" s="8" t="s">
        <v>113</v>
      </c>
      <c r="CF60" s="9"/>
      <c r="CG60" s="10"/>
      <c r="CJ60" s="9"/>
      <c r="CK60" s="11"/>
      <c r="CT60" s="9"/>
      <c r="CW60" s="10"/>
      <c r="CX60" s="11"/>
    </row>
    <row r="61" spans="1:102">
      <c r="A61" s="8">
        <v>18506</v>
      </c>
      <c r="B61" s="8" t="s">
        <v>467</v>
      </c>
      <c r="C61" s="8" t="s">
        <v>468</v>
      </c>
      <c r="D61" s="8" t="s">
        <v>469</v>
      </c>
      <c r="E61" s="8" t="s">
        <v>106</v>
      </c>
      <c r="F61" s="8" t="s">
        <v>470</v>
      </c>
      <c r="G61" s="8" t="s">
        <v>469</v>
      </c>
      <c r="I61" s="8" t="s">
        <v>471</v>
      </c>
      <c r="J61" s="8" t="s">
        <v>472</v>
      </c>
      <c r="K61" s="8" t="s">
        <v>293</v>
      </c>
      <c r="L61" s="8">
        <v>6170</v>
      </c>
      <c r="M61" s="8" t="s">
        <v>61</v>
      </c>
      <c r="N61" s="8" t="s">
        <v>110</v>
      </c>
      <c r="R61" s="8" t="s">
        <v>473</v>
      </c>
      <c r="S61" s="8">
        <v>402553044</v>
      </c>
      <c r="T61" s="8" t="s">
        <v>474</v>
      </c>
      <c r="AC61" s="8" t="s">
        <v>56</v>
      </c>
      <c r="AF61" s="9">
        <v>30893</v>
      </c>
      <c r="AG61" s="10">
        <v>1.5854166666666665</v>
      </c>
      <c r="AJ61" s="9">
        <v>40800</v>
      </c>
      <c r="AK61" s="11">
        <v>0.45902777777777781</v>
      </c>
      <c r="AP61" s="8" t="s">
        <v>113</v>
      </c>
      <c r="AS61" s="8" t="s">
        <v>113</v>
      </c>
      <c r="AY61" s="8" t="s">
        <v>113</v>
      </c>
      <c r="CF61" s="9"/>
      <c r="CG61" s="10"/>
      <c r="CJ61" s="9"/>
      <c r="CK61" s="11"/>
    </row>
    <row r="62" spans="1:102">
      <c r="D62" s="8" t="s">
        <v>475</v>
      </c>
    </row>
    <row r="63" spans="1:102">
      <c r="A63" s="8">
        <v>18517</v>
      </c>
      <c r="B63" s="8" t="s">
        <v>476</v>
      </c>
      <c r="C63" s="8" t="s">
        <v>477</v>
      </c>
      <c r="D63" s="8" t="s">
        <v>478</v>
      </c>
      <c r="E63" s="8" t="s">
        <v>376</v>
      </c>
      <c r="F63" s="8" t="s">
        <v>479</v>
      </c>
      <c r="G63" s="8" t="s">
        <v>478</v>
      </c>
      <c r="I63" s="8" t="s">
        <v>480</v>
      </c>
      <c r="J63" s="8" t="s">
        <v>481</v>
      </c>
      <c r="K63" s="8" t="s">
        <v>293</v>
      </c>
      <c r="L63" s="8">
        <v>6060</v>
      </c>
      <c r="M63" s="8" t="s">
        <v>61</v>
      </c>
      <c r="N63" s="8" t="s">
        <v>110</v>
      </c>
      <c r="R63" s="8" t="s">
        <v>482</v>
      </c>
      <c r="S63" s="8">
        <v>477036573</v>
      </c>
      <c r="T63" s="8" t="s">
        <v>483</v>
      </c>
      <c r="AC63" s="8" t="s">
        <v>56</v>
      </c>
      <c r="AF63" s="9">
        <v>30001</v>
      </c>
      <c r="AG63" s="10">
        <v>1.6722222222222223</v>
      </c>
      <c r="AJ63" s="9">
        <v>40927</v>
      </c>
      <c r="AK63" s="11">
        <v>0.42291666666666666</v>
      </c>
      <c r="AP63" s="8" t="s">
        <v>113</v>
      </c>
      <c r="AQ63" s="8" t="s">
        <v>4</v>
      </c>
      <c r="AR63" s="8" t="s">
        <v>4</v>
      </c>
      <c r="AS63" s="8" t="s">
        <v>4</v>
      </c>
      <c r="AY63" s="8" t="s">
        <v>113</v>
      </c>
      <c r="CF63" s="9"/>
      <c r="CG63" s="10"/>
      <c r="CJ63" s="9"/>
      <c r="CK63" s="11"/>
    </row>
    <row r="64" spans="1:102">
      <c r="D64" s="8" t="s">
        <v>484</v>
      </c>
    </row>
    <row r="65" spans="1:102">
      <c r="A65" s="8">
        <v>18522</v>
      </c>
      <c r="B65" s="8" t="s">
        <v>485</v>
      </c>
      <c r="C65" s="8" t="s">
        <v>486</v>
      </c>
      <c r="D65" s="8" t="s">
        <v>487</v>
      </c>
      <c r="E65" s="8" t="s">
        <v>139</v>
      </c>
      <c r="F65" s="8" t="s">
        <v>488</v>
      </c>
      <c r="G65" s="8" t="s">
        <v>487</v>
      </c>
      <c r="I65" s="8" t="s">
        <v>489</v>
      </c>
      <c r="J65" s="8" t="s">
        <v>490</v>
      </c>
      <c r="K65" s="8" t="s">
        <v>60</v>
      </c>
      <c r="L65" s="8">
        <v>3133</v>
      </c>
      <c r="M65" s="8" t="s">
        <v>61</v>
      </c>
      <c r="N65" s="8" t="s">
        <v>110</v>
      </c>
      <c r="O65" s="8">
        <v>398744331</v>
      </c>
      <c r="R65" s="8" t="s">
        <v>491</v>
      </c>
      <c r="S65" s="8">
        <v>417108078</v>
      </c>
      <c r="T65" s="8" t="s">
        <v>492</v>
      </c>
      <c r="U65" s="8">
        <v>388782133</v>
      </c>
      <c r="V65" s="8">
        <v>2133</v>
      </c>
      <c r="AC65" s="8" t="s">
        <v>56</v>
      </c>
      <c r="AF65" s="9">
        <v>24653</v>
      </c>
      <c r="AG65" s="10">
        <v>2.2944444444444447</v>
      </c>
      <c r="AJ65" s="9">
        <v>40952</v>
      </c>
      <c r="AK65" s="11">
        <v>0.37986111111111115</v>
      </c>
      <c r="AP65" s="8" t="s">
        <v>113</v>
      </c>
      <c r="AT65" s="9">
        <v>44452</v>
      </c>
      <c r="AU65" s="8" t="s">
        <v>114</v>
      </c>
      <c r="AV65" s="8" t="s">
        <v>115</v>
      </c>
      <c r="AW65" s="10">
        <v>2.2513888888888887</v>
      </c>
      <c r="AX65" s="11">
        <v>0.37777777777777777</v>
      </c>
      <c r="CF65" s="9"/>
      <c r="CG65" s="10"/>
      <c r="CJ65" s="9"/>
      <c r="CK65" s="11"/>
      <c r="CT65" s="9"/>
      <c r="CW65" s="10"/>
      <c r="CX65" s="11"/>
    </row>
    <row r="66" spans="1:102">
      <c r="D66" s="8" t="s">
        <v>493</v>
      </c>
    </row>
    <row r="67" spans="1:102">
      <c r="A67" s="8">
        <v>18530</v>
      </c>
      <c r="B67" s="8" t="s">
        <v>494</v>
      </c>
      <c r="C67" s="8" t="s">
        <v>495</v>
      </c>
      <c r="D67" s="8" t="s">
        <v>496</v>
      </c>
      <c r="E67" s="8" t="s">
        <v>106</v>
      </c>
      <c r="F67" s="8" t="s">
        <v>497</v>
      </c>
      <c r="G67" s="8" t="s">
        <v>498</v>
      </c>
      <c r="I67" s="8" t="s">
        <v>499</v>
      </c>
      <c r="J67" s="8" t="s">
        <v>500</v>
      </c>
      <c r="K67" s="8" t="s">
        <v>122</v>
      </c>
      <c r="L67" s="8">
        <v>2750</v>
      </c>
      <c r="M67" s="8" t="s">
        <v>61</v>
      </c>
      <c r="N67" s="8" t="s">
        <v>110</v>
      </c>
      <c r="R67" s="8" t="s">
        <v>501</v>
      </c>
      <c r="S67" s="8">
        <v>451969948</v>
      </c>
      <c r="T67" s="8" t="s">
        <v>502</v>
      </c>
      <c r="U67" s="8">
        <v>451969948</v>
      </c>
      <c r="AC67" s="8" t="s">
        <v>56</v>
      </c>
      <c r="AF67" s="9">
        <v>27995</v>
      </c>
      <c r="AG67" s="10">
        <v>1.9180555555555554</v>
      </c>
      <c r="AJ67" s="9">
        <v>40982</v>
      </c>
      <c r="AK67" s="11">
        <v>0.29583333333333334</v>
      </c>
      <c r="AP67" s="8" t="s">
        <v>113</v>
      </c>
      <c r="AS67" s="8" t="s">
        <v>113</v>
      </c>
      <c r="AT67" s="9">
        <v>43739</v>
      </c>
      <c r="AU67" s="8" t="s">
        <v>114</v>
      </c>
      <c r="AV67" s="8" t="s">
        <v>115</v>
      </c>
      <c r="AW67" s="10">
        <v>1.7923611111111111</v>
      </c>
      <c r="AX67" s="11">
        <v>0.29583333333333334</v>
      </c>
      <c r="AY67" s="8" t="s">
        <v>113</v>
      </c>
      <c r="CF67" s="9"/>
      <c r="CG67" s="10"/>
      <c r="CJ67" s="9"/>
      <c r="CK67" s="11"/>
      <c r="CT67" s="9"/>
      <c r="CW67" s="10"/>
      <c r="CX67" s="11"/>
    </row>
    <row r="68" spans="1:102">
      <c r="D68" s="8" t="s">
        <v>503</v>
      </c>
    </row>
    <row r="69" spans="1:102">
      <c r="A69" s="8">
        <v>18532</v>
      </c>
      <c r="B69" s="8" t="s">
        <v>504</v>
      </c>
      <c r="C69" s="8" t="s">
        <v>505</v>
      </c>
      <c r="D69" s="8" t="s">
        <v>506</v>
      </c>
      <c r="E69" s="8" t="s">
        <v>376</v>
      </c>
      <c r="F69" s="8" t="s">
        <v>507</v>
      </c>
      <c r="G69" s="8" t="s">
        <v>506</v>
      </c>
      <c r="I69" s="8" t="s">
        <v>508</v>
      </c>
      <c r="J69" s="8" t="s">
        <v>509</v>
      </c>
      <c r="K69" s="8" t="s">
        <v>60</v>
      </c>
      <c r="L69" s="8">
        <v>3048</v>
      </c>
      <c r="M69" s="8" t="s">
        <v>61</v>
      </c>
      <c r="N69" s="8" t="s">
        <v>110</v>
      </c>
      <c r="O69" s="8">
        <v>93090326</v>
      </c>
      <c r="R69" s="8" t="s">
        <v>510</v>
      </c>
      <c r="S69" s="8">
        <v>421125085</v>
      </c>
      <c r="AC69" s="8" t="s">
        <v>56</v>
      </c>
      <c r="AF69" s="9">
        <v>31866</v>
      </c>
      <c r="AG69" s="10">
        <v>1.4631944444444445</v>
      </c>
      <c r="AJ69" s="9">
        <v>40996</v>
      </c>
      <c r="AK69" s="11">
        <v>0.33680555555555558</v>
      </c>
      <c r="AP69" s="8" t="s">
        <v>113</v>
      </c>
      <c r="AT69" s="9">
        <v>44085</v>
      </c>
      <c r="AU69" s="8" t="s">
        <v>114</v>
      </c>
      <c r="AV69" s="8" t="s">
        <v>115</v>
      </c>
      <c r="AW69" s="10">
        <v>1.3784722222222223</v>
      </c>
      <c r="AX69" s="11">
        <v>0.33680555555555558</v>
      </c>
      <c r="CF69" s="9"/>
      <c r="CG69" s="10"/>
      <c r="CJ69" s="9"/>
      <c r="CK69" s="11"/>
      <c r="CT69" s="9"/>
      <c r="CW69" s="10"/>
      <c r="CX69" s="11"/>
    </row>
    <row r="70" spans="1:102">
      <c r="D70" s="8" t="s">
        <v>511</v>
      </c>
    </row>
    <row r="71" spans="1:102">
      <c r="A71" s="8">
        <v>18535</v>
      </c>
      <c r="B71" s="8" t="s">
        <v>512</v>
      </c>
      <c r="C71" s="8" t="s">
        <v>513</v>
      </c>
      <c r="D71" s="8" t="s">
        <v>514</v>
      </c>
      <c r="E71" s="8" t="s">
        <v>106</v>
      </c>
      <c r="F71" s="8" t="s">
        <v>368</v>
      </c>
      <c r="G71" s="8" t="s">
        <v>514</v>
      </c>
      <c r="I71" s="8" t="s">
        <v>515</v>
      </c>
      <c r="J71" s="8" t="s">
        <v>516</v>
      </c>
      <c r="K71" s="8" t="s">
        <v>60</v>
      </c>
      <c r="L71" s="8">
        <v>3188</v>
      </c>
      <c r="M71" s="8" t="s">
        <v>61</v>
      </c>
      <c r="N71" s="8" t="s">
        <v>110</v>
      </c>
      <c r="R71" s="8" t="s">
        <v>517</v>
      </c>
      <c r="S71" s="8">
        <v>425796923</v>
      </c>
      <c r="AC71" s="8" t="s">
        <v>56</v>
      </c>
      <c r="AF71" s="9">
        <v>26931</v>
      </c>
      <c r="AG71" s="10">
        <v>2.0423611111111111</v>
      </c>
      <c r="AJ71" s="9">
        <v>41009</v>
      </c>
      <c r="AK71" s="11">
        <v>0.37638888888888888</v>
      </c>
      <c r="AP71" s="8" t="s">
        <v>113</v>
      </c>
      <c r="AQ71" s="8" t="s">
        <v>4</v>
      </c>
      <c r="AR71" s="8" t="s">
        <v>4</v>
      </c>
      <c r="AS71" s="8" t="s">
        <v>4</v>
      </c>
      <c r="AT71" s="9">
        <v>44369</v>
      </c>
      <c r="AU71" s="8" t="s">
        <v>185</v>
      </c>
      <c r="AV71" s="8" t="s">
        <v>186</v>
      </c>
      <c r="AW71" s="10">
        <v>1.9638888888888888</v>
      </c>
      <c r="AX71" s="11">
        <v>0.37638888888888888</v>
      </c>
      <c r="AY71" s="8" t="s">
        <v>4</v>
      </c>
      <c r="AZ71" s="8" t="s">
        <v>4</v>
      </c>
      <c r="CF71" s="9"/>
      <c r="CG71" s="10"/>
      <c r="CJ71" s="9"/>
      <c r="CK71" s="11"/>
      <c r="CT71" s="9"/>
      <c r="CW71" s="10"/>
      <c r="CX71" s="11"/>
    </row>
    <row r="72" spans="1:102">
      <c r="A72" s="8">
        <v>18549</v>
      </c>
      <c r="B72" s="8" t="s">
        <v>518</v>
      </c>
      <c r="C72" s="8" t="s">
        <v>519</v>
      </c>
      <c r="D72" s="8" t="s">
        <v>520</v>
      </c>
      <c r="E72" s="8" t="s">
        <v>106</v>
      </c>
      <c r="F72" s="8" t="s">
        <v>521</v>
      </c>
      <c r="G72" s="8" t="s">
        <v>520</v>
      </c>
      <c r="I72" s="8" t="s">
        <v>522</v>
      </c>
      <c r="J72" s="8" t="s">
        <v>523</v>
      </c>
      <c r="K72" s="8" t="s">
        <v>122</v>
      </c>
      <c r="L72" s="8">
        <v>2174</v>
      </c>
      <c r="M72" s="8" t="s">
        <v>61</v>
      </c>
      <c r="N72" s="8" t="s">
        <v>110</v>
      </c>
      <c r="R72" s="8" t="s">
        <v>524</v>
      </c>
      <c r="S72" s="8">
        <v>468451541</v>
      </c>
      <c r="T72" s="8" t="s">
        <v>525</v>
      </c>
      <c r="Y72" s="8" t="s">
        <v>270</v>
      </c>
      <c r="Z72" s="8">
        <v>9999</v>
      </c>
      <c r="AC72" s="8" t="s">
        <v>56</v>
      </c>
      <c r="AF72" s="9">
        <v>31720</v>
      </c>
      <c r="AG72" s="10">
        <v>1.465972222222222</v>
      </c>
      <c r="AJ72" s="9">
        <v>41120</v>
      </c>
      <c r="AK72" s="11">
        <v>0.41875000000000001</v>
      </c>
      <c r="AP72" s="8" t="s">
        <v>113</v>
      </c>
      <c r="AS72" s="8" t="s">
        <v>113</v>
      </c>
      <c r="AY72" s="8" t="s">
        <v>113</v>
      </c>
      <c r="CF72" s="9"/>
      <c r="CG72" s="10"/>
      <c r="CJ72" s="9"/>
      <c r="CK72" s="11"/>
    </row>
    <row r="73" spans="1:102">
      <c r="A73" s="8">
        <v>18550</v>
      </c>
      <c r="B73" s="8" t="s">
        <v>526</v>
      </c>
      <c r="C73" s="8" t="s">
        <v>527</v>
      </c>
      <c r="D73" s="8" t="s">
        <v>528</v>
      </c>
      <c r="E73" s="8" t="s">
        <v>139</v>
      </c>
      <c r="F73" s="8" t="s">
        <v>119</v>
      </c>
      <c r="G73" s="8" t="s">
        <v>528</v>
      </c>
      <c r="I73" s="8" t="s">
        <v>529</v>
      </c>
      <c r="J73" s="8" t="s">
        <v>530</v>
      </c>
      <c r="K73" s="8" t="s">
        <v>60</v>
      </c>
      <c r="L73" s="8">
        <v>3150</v>
      </c>
      <c r="M73" s="8" t="s">
        <v>61</v>
      </c>
      <c r="N73" s="8" t="s">
        <v>110</v>
      </c>
      <c r="O73" s="8">
        <v>95451418</v>
      </c>
      <c r="R73" s="8" t="s">
        <v>531</v>
      </c>
      <c r="S73" s="8">
        <v>404077338</v>
      </c>
      <c r="U73" s="8">
        <v>388782150</v>
      </c>
      <c r="V73" s="8">
        <v>2150</v>
      </c>
      <c r="Y73" s="8" t="s">
        <v>270</v>
      </c>
      <c r="Z73" s="8">
        <v>9999</v>
      </c>
      <c r="AC73" s="8" t="s">
        <v>56</v>
      </c>
      <c r="AF73" s="9">
        <v>22092</v>
      </c>
      <c r="AG73" s="10">
        <v>2.5861111111111112</v>
      </c>
      <c r="AJ73" s="9">
        <v>41120</v>
      </c>
      <c r="AK73" s="11">
        <v>0.41875000000000001</v>
      </c>
      <c r="AP73" s="8" t="s">
        <v>113</v>
      </c>
      <c r="CF73" s="9"/>
      <c r="CG73" s="10"/>
      <c r="CJ73" s="9"/>
      <c r="CK73" s="11"/>
    </row>
    <row r="74" spans="1:102">
      <c r="A74" s="8">
        <v>18559</v>
      </c>
      <c r="B74" s="8" t="s">
        <v>532</v>
      </c>
      <c r="C74" s="8" t="s">
        <v>436</v>
      </c>
      <c r="D74" s="8" t="s">
        <v>533</v>
      </c>
      <c r="E74" s="8" t="s">
        <v>148</v>
      </c>
      <c r="F74" s="8" t="s">
        <v>534</v>
      </c>
      <c r="G74" s="8" t="s">
        <v>535</v>
      </c>
      <c r="I74" s="8" t="s">
        <v>536</v>
      </c>
      <c r="J74" s="8" t="s">
        <v>537</v>
      </c>
      <c r="K74" s="8" t="s">
        <v>122</v>
      </c>
      <c r="L74" s="8">
        <v>2151</v>
      </c>
      <c r="M74" s="8" t="s">
        <v>61</v>
      </c>
      <c r="N74" s="8" t="s">
        <v>110</v>
      </c>
      <c r="O74" s="8" t="s">
        <v>538</v>
      </c>
      <c r="R74" s="8" t="s">
        <v>539</v>
      </c>
      <c r="S74" s="8">
        <v>433784458</v>
      </c>
      <c r="T74" s="8" t="s">
        <v>540</v>
      </c>
      <c r="AC74" s="8" t="s">
        <v>153</v>
      </c>
      <c r="AF74" s="9">
        <v>27582</v>
      </c>
      <c r="AG74" s="10">
        <v>1.9604166666666665</v>
      </c>
      <c r="AJ74" s="9">
        <v>41190</v>
      </c>
      <c r="AK74" s="11">
        <v>0.41666666666666669</v>
      </c>
      <c r="AP74" s="8" t="s">
        <v>113</v>
      </c>
      <c r="AQ74" s="8" t="s">
        <v>4</v>
      </c>
      <c r="AR74" s="8" t="s">
        <v>4</v>
      </c>
      <c r="AS74" s="8" t="s">
        <v>4</v>
      </c>
      <c r="AY74" s="8" t="s">
        <v>113</v>
      </c>
      <c r="AZ74" s="8" t="s">
        <v>4</v>
      </c>
      <c r="CF74" s="9"/>
      <c r="CG74" s="10"/>
      <c r="CJ74" s="9"/>
      <c r="CK74" s="11"/>
    </row>
    <row r="75" spans="1:102">
      <c r="D75" s="8" t="s">
        <v>541</v>
      </c>
    </row>
    <row r="76" spans="1:102">
      <c r="A76" s="8">
        <v>18561</v>
      </c>
      <c r="B76" s="8" t="s">
        <v>542</v>
      </c>
      <c r="C76" s="8" t="s">
        <v>543</v>
      </c>
      <c r="D76" s="8" t="s">
        <v>544</v>
      </c>
      <c r="E76" s="8" t="s">
        <v>106</v>
      </c>
      <c r="F76" s="8" t="s">
        <v>545</v>
      </c>
      <c r="G76" s="8" t="s">
        <v>544</v>
      </c>
      <c r="I76" s="8" t="s">
        <v>546</v>
      </c>
      <c r="J76" s="8" t="s">
        <v>547</v>
      </c>
      <c r="K76" s="8" t="s">
        <v>293</v>
      </c>
      <c r="L76" s="8">
        <v>6149</v>
      </c>
      <c r="M76" s="8" t="s">
        <v>61</v>
      </c>
      <c r="N76" s="8" t="s">
        <v>110</v>
      </c>
      <c r="R76" s="8" t="s">
        <v>548</v>
      </c>
      <c r="S76" s="8">
        <v>61430922970</v>
      </c>
      <c r="T76" s="8" t="s">
        <v>549</v>
      </c>
      <c r="V76" s="8">
        <v>3501</v>
      </c>
      <c r="W76" s="8" t="s">
        <v>550</v>
      </c>
      <c r="X76" s="8" t="s">
        <v>551</v>
      </c>
      <c r="Y76" s="8" t="s">
        <v>293</v>
      </c>
      <c r="Z76" s="8">
        <v>6149</v>
      </c>
      <c r="AA76" s="8" t="s">
        <v>61</v>
      </c>
      <c r="AB76" s="8" t="s">
        <v>110</v>
      </c>
      <c r="AC76" s="8" t="s">
        <v>56</v>
      </c>
      <c r="AF76" s="9">
        <v>29467</v>
      </c>
      <c r="AG76" s="10">
        <v>1.7506944444444443</v>
      </c>
      <c r="AJ76" s="9">
        <v>41192</v>
      </c>
      <c r="AK76" s="11">
        <v>0.41666666666666669</v>
      </c>
      <c r="AP76" s="8" t="s">
        <v>113</v>
      </c>
      <c r="AS76" s="8" t="s">
        <v>113</v>
      </c>
      <c r="AY76" s="8" t="s">
        <v>113</v>
      </c>
      <c r="CF76" s="9"/>
      <c r="CG76" s="10"/>
      <c r="CJ76" s="9"/>
      <c r="CK76" s="11"/>
    </row>
    <row r="77" spans="1:102">
      <c r="A77" s="8">
        <v>18565</v>
      </c>
      <c r="B77" s="8" t="s">
        <v>552</v>
      </c>
      <c r="C77" s="8" t="s">
        <v>553</v>
      </c>
      <c r="D77" s="8" t="s">
        <v>554</v>
      </c>
      <c r="E77" s="8" t="s">
        <v>106</v>
      </c>
      <c r="F77" s="8" t="s">
        <v>358</v>
      </c>
      <c r="G77" s="8" t="s">
        <v>554</v>
      </c>
      <c r="I77" s="8" t="s">
        <v>555</v>
      </c>
      <c r="J77" s="8" t="s">
        <v>556</v>
      </c>
      <c r="K77" s="8" t="s">
        <v>122</v>
      </c>
      <c r="L77" s="8">
        <v>2197</v>
      </c>
      <c r="O77" s="8">
        <v>96442247</v>
      </c>
      <c r="R77" s="8" t="s">
        <v>557</v>
      </c>
      <c r="S77" s="8">
        <v>478702303</v>
      </c>
      <c r="T77" s="8" t="s">
        <v>558</v>
      </c>
      <c r="AC77" s="8" t="s">
        <v>56</v>
      </c>
      <c r="AF77" s="9">
        <v>31787</v>
      </c>
      <c r="AG77" s="10">
        <v>1.4645833333333333</v>
      </c>
      <c r="AJ77" s="9">
        <v>41254</v>
      </c>
      <c r="AK77" s="11">
        <v>0.29305555555555557</v>
      </c>
      <c r="AP77" s="8" t="s">
        <v>113</v>
      </c>
      <c r="AS77" s="8" t="s">
        <v>113</v>
      </c>
      <c r="AT77" s="9">
        <v>43889</v>
      </c>
      <c r="AU77" s="8" t="s">
        <v>114</v>
      </c>
      <c r="AV77" s="8" t="s">
        <v>115</v>
      </c>
      <c r="AW77" s="10">
        <v>1.3756944444444443</v>
      </c>
      <c r="AX77" s="11">
        <v>0.25416666666666665</v>
      </c>
      <c r="AY77" s="8" t="s">
        <v>113</v>
      </c>
      <c r="CF77" s="9"/>
      <c r="CG77" s="10"/>
      <c r="CJ77" s="9"/>
      <c r="CK77" s="11"/>
      <c r="CT77" s="9"/>
      <c r="CW77" s="10"/>
      <c r="CX77" s="11"/>
    </row>
    <row r="78" spans="1:102">
      <c r="A78" s="8">
        <v>18576</v>
      </c>
      <c r="B78" s="8" t="s">
        <v>559</v>
      </c>
      <c r="C78" s="8" t="s">
        <v>560</v>
      </c>
      <c r="D78" s="8" t="s">
        <v>561</v>
      </c>
      <c r="E78" s="8" t="s">
        <v>376</v>
      </c>
      <c r="F78" s="8" t="s">
        <v>368</v>
      </c>
      <c r="G78" s="8" t="s">
        <v>562</v>
      </c>
      <c r="I78" s="8" t="s">
        <v>563</v>
      </c>
      <c r="J78" s="8" t="s">
        <v>564</v>
      </c>
      <c r="K78" s="8" t="s">
        <v>60</v>
      </c>
      <c r="L78" s="8">
        <v>3043</v>
      </c>
      <c r="S78" s="8">
        <v>406235030</v>
      </c>
      <c r="T78" s="8" t="s">
        <v>565</v>
      </c>
      <c r="AC78" s="8" t="s">
        <v>56</v>
      </c>
      <c r="AF78" s="9">
        <v>31046</v>
      </c>
      <c r="AG78" s="10">
        <v>1.5486111111111109</v>
      </c>
      <c r="AJ78" s="9">
        <v>41346</v>
      </c>
      <c r="AK78" s="11">
        <v>0.21458333333333335</v>
      </c>
      <c r="AT78" s="9">
        <v>43461</v>
      </c>
      <c r="AU78" s="8" t="s">
        <v>114</v>
      </c>
      <c r="AV78" s="8" t="s">
        <v>115</v>
      </c>
      <c r="AW78" s="10">
        <v>1.3826388888888888</v>
      </c>
      <c r="AX78" s="11">
        <v>0.21458333333333335</v>
      </c>
      <c r="CF78" s="9"/>
      <c r="CG78" s="10"/>
      <c r="CJ78" s="9"/>
      <c r="CK78" s="11"/>
      <c r="CT78" s="9"/>
      <c r="CW78" s="10"/>
      <c r="CX78" s="11"/>
    </row>
    <row r="79" spans="1:102">
      <c r="A79" s="8">
        <v>18581</v>
      </c>
      <c r="B79" s="8" t="s">
        <v>566</v>
      </c>
      <c r="C79" s="8" t="s">
        <v>567</v>
      </c>
      <c r="D79" s="8" t="s">
        <v>568</v>
      </c>
      <c r="E79" s="8" t="s">
        <v>106</v>
      </c>
      <c r="F79" s="8" t="s">
        <v>545</v>
      </c>
      <c r="G79" s="8" t="s">
        <v>568</v>
      </c>
      <c r="I79" s="8" t="s">
        <v>569</v>
      </c>
      <c r="J79" s="8" t="s">
        <v>570</v>
      </c>
      <c r="K79" s="8" t="s">
        <v>122</v>
      </c>
      <c r="L79" s="8">
        <v>2565</v>
      </c>
      <c r="M79" s="8" t="s">
        <v>61</v>
      </c>
      <c r="N79" s="8" t="s">
        <v>110</v>
      </c>
      <c r="O79" s="8" t="s">
        <v>571</v>
      </c>
      <c r="R79" s="8" t="s">
        <v>572</v>
      </c>
      <c r="S79" s="8">
        <v>421238031</v>
      </c>
      <c r="T79" s="8" t="s">
        <v>573</v>
      </c>
      <c r="AC79" s="8" t="s">
        <v>56</v>
      </c>
      <c r="AF79" s="9">
        <v>23537</v>
      </c>
      <c r="AG79" s="10">
        <v>2.4194444444444447</v>
      </c>
      <c r="AJ79" s="9">
        <v>41366</v>
      </c>
      <c r="AK79" s="11">
        <v>0.37916666666666665</v>
      </c>
      <c r="AP79" s="8" t="s">
        <v>113</v>
      </c>
      <c r="AQ79" s="8" t="s">
        <v>4</v>
      </c>
      <c r="AR79" s="8" t="s">
        <v>4</v>
      </c>
      <c r="AS79" s="8" t="s">
        <v>4</v>
      </c>
      <c r="AY79" s="8" t="s">
        <v>113</v>
      </c>
      <c r="CF79" s="9"/>
      <c r="CG79" s="10"/>
      <c r="CJ79" s="9"/>
      <c r="CK79" s="11"/>
    </row>
    <row r="80" spans="1:102">
      <c r="A80" s="8">
        <v>18589</v>
      </c>
      <c r="B80" s="8" t="s">
        <v>574</v>
      </c>
      <c r="C80" s="8" t="s">
        <v>575</v>
      </c>
      <c r="D80" s="8" t="s">
        <v>576</v>
      </c>
      <c r="E80" s="8" t="s">
        <v>106</v>
      </c>
      <c r="F80" s="8" t="s">
        <v>577</v>
      </c>
      <c r="G80" s="8" t="s">
        <v>576</v>
      </c>
      <c r="I80" s="8" t="s">
        <v>578</v>
      </c>
      <c r="J80" s="8" t="s">
        <v>579</v>
      </c>
      <c r="K80" s="8" t="s">
        <v>122</v>
      </c>
      <c r="L80" s="8">
        <v>2145</v>
      </c>
      <c r="M80" s="8" t="s">
        <v>61</v>
      </c>
      <c r="N80" s="8" t="s">
        <v>110</v>
      </c>
      <c r="R80" s="8" t="s">
        <v>580</v>
      </c>
      <c r="S80" s="8">
        <v>430998077</v>
      </c>
      <c r="T80" s="8" t="s">
        <v>581</v>
      </c>
      <c r="Y80" s="8" t="s">
        <v>270</v>
      </c>
      <c r="Z80" s="8">
        <v>9999</v>
      </c>
      <c r="AC80" s="8" t="s">
        <v>56</v>
      </c>
      <c r="AF80" s="9">
        <v>27206</v>
      </c>
      <c r="AG80" s="10">
        <v>2.0027777777777778</v>
      </c>
      <c r="AJ80" s="9">
        <v>41423</v>
      </c>
      <c r="AK80" s="11">
        <v>0.37847222222222227</v>
      </c>
      <c r="AP80" s="8" t="s">
        <v>113</v>
      </c>
      <c r="AS80" s="8" t="s">
        <v>113</v>
      </c>
      <c r="AY80" s="8" t="s">
        <v>113</v>
      </c>
      <c r="CF80" s="9"/>
      <c r="CG80" s="10"/>
      <c r="CJ80" s="9"/>
      <c r="CK80" s="11"/>
    </row>
    <row r="81" spans="1:102">
      <c r="D81" s="8" t="s">
        <v>582</v>
      </c>
    </row>
    <row r="82" spans="1:102">
      <c r="A82" s="8">
        <v>18593</v>
      </c>
      <c r="B82" s="8" t="s">
        <v>583</v>
      </c>
      <c r="C82" s="8" t="s">
        <v>584</v>
      </c>
      <c r="D82" s="8" t="s">
        <v>585</v>
      </c>
      <c r="E82" s="8" t="s">
        <v>376</v>
      </c>
      <c r="F82" s="8" t="s">
        <v>247</v>
      </c>
      <c r="G82" s="8" t="s">
        <v>585</v>
      </c>
      <c r="I82" s="8" t="s">
        <v>586</v>
      </c>
      <c r="J82" s="8" t="s">
        <v>587</v>
      </c>
      <c r="K82" s="8" t="s">
        <v>122</v>
      </c>
      <c r="L82" s="8">
        <v>2176</v>
      </c>
      <c r="R82" s="8" t="s">
        <v>588</v>
      </c>
      <c r="S82" s="8">
        <v>401738213</v>
      </c>
      <c r="T82" s="8" t="s">
        <v>589</v>
      </c>
      <c r="AC82" s="8" t="s">
        <v>56</v>
      </c>
      <c r="AF82" s="9">
        <v>31781</v>
      </c>
      <c r="AG82" s="10">
        <v>1.4645833333333333</v>
      </c>
      <c r="AJ82" s="9">
        <v>41442</v>
      </c>
      <c r="AK82" s="11">
        <v>0.21041666666666667</v>
      </c>
      <c r="AT82" s="9">
        <v>43365</v>
      </c>
      <c r="AU82" s="8" t="s">
        <v>114</v>
      </c>
      <c r="AV82" s="8" t="s">
        <v>115</v>
      </c>
      <c r="AW82" s="10">
        <v>1.2972222222222223</v>
      </c>
      <c r="AX82" s="11">
        <v>0.21041666666666667</v>
      </c>
      <c r="CF82" s="9"/>
      <c r="CG82" s="10"/>
      <c r="CJ82" s="9"/>
      <c r="CK82" s="11"/>
      <c r="CT82" s="9"/>
      <c r="CW82" s="10"/>
      <c r="CX82" s="11"/>
    </row>
    <row r="83" spans="1:102">
      <c r="A83" s="8">
        <v>18605</v>
      </c>
      <c r="B83" s="8" t="s">
        <v>590</v>
      </c>
      <c r="C83" s="8" t="s">
        <v>591</v>
      </c>
      <c r="D83" s="8" t="s">
        <v>592</v>
      </c>
      <c r="E83" s="8" t="s">
        <v>376</v>
      </c>
      <c r="F83" s="8" t="s">
        <v>129</v>
      </c>
      <c r="G83" s="8" t="s">
        <v>592</v>
      </c>
      <c r="I83" s="8" t="s">
        <v>593</v>
      </c>
      <c r="J83" s="8" t="s">
        <v>594</v>
      </c>
      <c r="K83" s="8" t="s">
        <v>122</v>
      </c>
      <c r="L83" s="8">
        <v>2208</v>
      </c>
      <c r="O83" s="8">
        <v>295548025</v>
      </c>
      <c r="R83" s="8" t="s">
        <v>595</v>
      </c>
      <c r="S83" s="8">
        <v>410551635</v>
      </c>
      <c r="T83" s="8" t="s">
        <v>596</v>
      </c>
      <c r="AC83" s="8" t="s">
        <v>56</v>
      </c>
      <c r="AF83" s="9">
        <v>28219</v>
      </c>
      <c r="AG83" s="10">
        <v>1.8791666666666667</v>
      </c>
      <c r="AJ83" s="9">
        <v>41589</v>
      </c>
      <c r="AK83" s="11">
        <v>0.20902777777777778</v>
      </c>
      <c r="AT83" s="9">
        <v>43453</v>
      </c>
      <c r="AU83" s="8" t="s">
        <v>114</v>
      </c>
      <c r="AV83" s="8" t="s">
        <v>115</v>
      </c>
      <c r="AW83" s="10">
        <v>1.7138888888888888</v>
      </c>
      <c r="AX83" s="11">
        <v>0.20902777777777778</v>
      </c>
      <c r="CF83" s="9"/>
      <c r="CG83" s="10"/>
      <c r="CJ83" s="9"/>
      <c r="CK83" s="11"/>
      <c r="CT83" s="9"/>
      <c r="CW83" s="10"/>
      <c r="CX83" s="11"/>
    </row>
    <row r="84" spans="1:102">
      <c r="A84" s="8">
        <v>18606</v>
      </c>
      <c r="B84" s="8" t="s">
        <v>597</v>
      </c>
      <c r="C84" s="8" t="s">
        <v>598</v>
      </c>
      <c r="D84" s="8" t="s">
        <v>599</v>
      </c>
      <c r="E84" s="8" t="s">
        <v>148</v>
      </c>
      <c r="F84" s="8" t="s">
        <v>600</v>
      </c>
      <c r="G84" s="8" t="s">
        <v>599</v>
      </c>
      <c r="I84" s="8" t="s">
        <v>601</v>
      </c>
      <c r="J84" s="8" t="s">
        <v>602</v>
      </c>
      <c r="K84" s="8" t="s">
        <v>60</v>
      </c>
      <c r="L84" s="8">
        <v>3133</v>
      </c>
      <c r="M84" s="8" t="s">
        <v>61</v>
      </c>
      <c r="N84" s="8" t="s">
        <v>110</v>
      </c>
      <c r="O84" s="8">
        <v>398038819</v>
      </c>
      <c r="R84" s="8" t="s">
        <v>603</v>
      </c>
      <c r="S84" s="8">
        <v>478838127</v>
      </c>
      <c r="T84" s="8" t="s">
        <v>604</v>
      </c>
      <c r="AC84" s="8" t="s">
        <v>153</v>
      </c>
      <c r="AF84" s="9">
        <v>27581</v>
      </c>
      <c r="AG84" s="10">
        <v>1.9604166666666665</v>
      </c>
      <c r="AJ84" s="9">
        <v>44076</v>
      </c>
      <c r="AK84" s="11">
        <v>0</v>
      </c>
      <c r="AP84" s="8" t="s">
        <v>113</v>
      </c>
      <c r="AQ84" s="8" t="s">
        <v>4</v>
      </c>
      <c r="AR84" s="8" t="s">
        <v>4</v>
      </c>
      <c r="AS84" s="8" t="s">
        <v>113</v>
      </c>
      <c r="AT84" s="9">
        <v>44092</v>
      </c>
      <c r="AU84" s="8" t="s">
        <v>114</v>
      </c>
      <c r="AV84" s="8" t="s">
        <v>115</v>
      </c>
      <c r="AW84" s="10">
        <v>1.8763888888888889</v>
      </c>
      <c r="AX84" s="11">
        <v>0</v>
      </c>
      <c r="AY84" s="8" t="s">
        <v>113</v>
      </c>
      <c r="AZ84" s="8" t="s">
        <v>4</v>
      </c>
      <c r="CF84" s="9"/>
      <c r="CG84" s="10"/>
      <c r="CJ84" s="9"/>
      <c r="CK84" s="11"/>
      <c r="CT84" s="9"/>
      <c r="CW84" s="10"/>
      <c r="CX84" s="11"/>
    </row>
    <row r="85" spans="1:102">
      <c r="D85" s="8" t="s">
        <v>605</v>
      </c>
    </row>
    <row r="86" spans="1:102">
      <c r="A86" s="8">
        <v>18607</v>
      </c>
      <c r="B86" s="8" t="s">
        <v>606</v>
      </c>
      <c r="C86" s="8" t="s">
        <v>607</v>
      </c>
      <c r="D86" s="8" t="s">
        <v>608</v>
      </c>
      <c r="E86" s="8" t="s">
        <v>106</v>
      </c>
      <c r="F86" s="8" t="s">
        <v>247</v>
      </c>
      <c r="G86" s="8" t="s">
        <v>608</v>
      </c>
      <c r="I86" s="8" t="s">
        <v>609</v>
      </c>
      <c r="J86" s="8" t="s">
        <v>610</v>
      </c>
      <c r="K86" s="8" t="s">
        <v>60</v>
      </c>
      <c r="L86" s="8">
        <v>3978</v>
      </c>
      <c r="M86" s="8" t="s">
        <v>61</v>
      </c>
      <c r="N86" s="8" t="s">
        <v>110</v>
      </c>
      <c r="R86" s="8" t="s">
        <v>611</v>
      </c>
      <c r="S86" s="8">
        <v>426603764</v>
      </c>
      <c r="T86" s="8" t="s">
        <v>612</v>
      </c>
      <c r="Y86" s="8" t="s">
        <v>270</v>
      </c>
      <c r="Z86" s="8">
        <v>9999</v>
      </c>
      <c r="AC86" s="8" t="s">
        <v>56</v>
      </c>
      <c r="AF86" s="9">
        <v>29298</v>
      </c>
      <c r="AG86" s="10">
        <v>1.7548611111111112</v>
      </c>
      <c r="AJ86" s="9">
        <v>41612</v>
      </c>
      <c r="AK86" s="11">
        <v>0.34027777777777773</v>
      </c>
      <c r="AP86" s="8" t="s">
        <v>113</v>
      </c>
      <c r="AS86" s="8" t="s">
        <v>113</v>
      </c>
      <c r="AY86" s="8" t="s">
        <v>113</v>
      </c>
      <c r="CF86" s="9"/>
      <c r="CG86" s="10"/>
      <c r="CJ86" s="9"/>
      <c r="CK86" s="11"/>
    </row>
    <row r="87" spans="1:102">
      <c r="A87" s="8">
        <v>18614</v>
      </c>
      <c r="B87" s="8" t="s">
        <v>613</v>
      </c>
      <c r="C87" s="8" t="s">
        <v>436</v>
      </c>
      <c r="D87" s="8" t="s">
        <v>498</v>
      </c>
      <c r="E87" s="8" t="s">
        <v>106</v>
      </c>
      <c r="F87" s="8" t="s">
        <v>129</v>
      </c>
      <c r="G87" s="8" t="s">
        <v>498</v>
      </c>
      <c r="I87" s="8" t="s">
        <v>614</v>
      </c>
      <c r="J87" s="8" t="s">
        <v>615</v>
      </c>
      <c r="K87" s="8" t="s">
        <v>122</v>
      </c>
      <c r="L87" s="8">
        <v>2146</v>
      </c>
      <c r="M87" s="8" t="s">
        <v>61</v>
      </c>
      <c r="N87" s="8" t="s">
        <v>110</v>
      </c>
      <c r="O87" s="8">
        <v>286264816</v>
      </c>
      <c r="R87" s="8" t="s">
        <v>616</v>
      </c>
      <c r="S87" s="8">
        <v>425851295</v>
      </c>
      <c r="T87" s="8" t="s">
        <v>617</v>
      </c>
      <c r="AC87" s="8" t="s">
        <v>56</v>
      </c>
      <c r="AF87" s="9">
        <v>30931</v>
      </c>
      <c r="AG87" s="10">
        <v>1.5840277777777778</v>
      </c>
      <c r="AJ87" s="9">
        <v>41667</v>
      </c>
      <c r="AK87" s="11">
        <v>0.33819444444444446</v>
      </c>
      <c r="AP87" s="8" t="s">
        <v>113</v>
      </c>
      <c r="AS87" s="8" t="s">
        <v>113</v>
      </c>
      <c r="AT87" s="9">
        <v>44824</v>
      </c>
      <c r="AU87" s="8" t="s">
        <v>114</v>
      </c>
      <c r="AV87" s="8" t="s">
        <v>115</v>
      </c>
      <c r="AW87" s="10">
        <v>1.5833333333333333</v>
      </c>
      <c r="AX87" s="11">
        <v>0.33819444444444446</v>
      </c>
      <c r="AY87" s="8" t="s">
        <v>113</v>
      </c>
      <c r="CF87" s="9"/>
      <c r="CG87" s="10"/>
      <c r="CJ87" s="9"/>
      <c r="CK87" s="11"/>
      <c r="CT87" s="9"/>
      <c r="CW87" s="10"/>
      <c r="CX87" s="11"/>
    </row>
    <row r="88" spans="1:102">
      <c r="A88" s="8">
        <v>18616</v>
      </c>
      <c r="B88" s="8" t="s">
        <v>618</v>
      </c>
      <c r="C88" s="8" t="s">
        <v>619</v>
      </c>
      <c r="D88" s="8" t="s">
        <v>620</v>
      </c>
      <c r="E88" s="8" t="s">
        <v>376</v>
      </c>
      <c r="F88" s="8" t="s">
        <v>129</v>
      </c>
      <c r="G88" s="8" t="s">
        <v>620</v>
      </c>
      <c r="I88" s="8" t="s">
        <v>621</v>
      </c>
      <c r="J88" s="8" t="s">
        <v>622</v>
      </c>
      <c r="K88" s="8" t="s">
        <v>60</v>
      </c>
      <c r="L88" s="8">
        <v>3083</v>
      </c>
      <c r="M88" s="8" t="s">
        <v>61</v>
      </c>
      <c r="N88" s="8" t="s">
        <v>110</v>
      </c>
      <c r="O88" s="8">
        <v>94669974</v>
      </c>
      <c r="R88" s="8" t="s">
        <v>623</v>
      </c>
      <c r="S88" s="8">
        <v>421616371</v>
      </c>
      <c r="T88" s="8" t="s">
        <v>624</v>
      </c>
      <c r="AC88" s="8" t="s">
        <v>56</v>
      </c>
      <c r="AF88" s="9">
        <v>32940</v>
      </c>
      <c r="AG88" s="10">
        <v>1.3381944444444445</v>
      </c>
      <c r="AJ88" s="9">
        <v>41694</v>
      </c>
      <c r="AK88" s="11">
        <v>0.33680555555555558</v>
      </c>
      <c r="AP88" s="8" t="s">
        <v>113</v>
      </c>
      <c r="AQ88" s="8" t="s">
        <v>4</v>
      </c>
      <c r="AR88" s="8" t="s">
        <v>4</v>
      </c>
      <c r="AS88" s="8" t="s">
        <v>4</v>
      </c>
      <c r="AT88" s="9">
        <v>44774</v>
      </c>
      <c r="AU88" s="8" t="s">
        <v>185</v>
      </c>
      <c r="AV88" s="8" t="s">
        <v>186</v>
      </c>
      <c r="AW88" s="10">
        <v>1.3361111111111112</v>
      </c>
      <c r="AX88" s="11">
        <v>0.33680555555555558</v>
      </c>
      <c r="CF88" s="9"/>
      <c r="CG88" s="10"/>
      <c r="CJ88" s="9"/>
      <c r="CK88" s="11"/>
      <c r="CT88" s="9"/>
      <c r="CW88" s="10"/>
      <c r="CX88" s="11"/>
    </row>
    <row r="89" spans="1:102">
      <c r="A89" s="8">
        <v>18618</v>
      </c>
      <c r="B89" s="8" t="s">
        <v>625</v>
      </c>
      <c r="C89" s="8" t="s">
        <v>626</v>
      </c>
      <c r="D89" s="8" t="s">
        <v>627</v>
      </c>
      <c r="E89" s="8" t="s">
        <v>106</v>
      </c>
      <c r="F89" s="8" t="s">
        <v>368</v>
      </c>
      <c r="G89" s="8" t="s">
        <v>627</v>
      </c>
      <c r="I89" s="8" t="s">
        <v>628</v>
      </c>
      <c r="J89" s="8" t="s">
        <v>629</v>
      </c>
      <c r="K89" s="8" t="s">
        <v>60</v>
      </c>
      <c r="L89" s="8">
        <v>3095</v>
      </c>
      <c r="M89" s="8" t="s">
        <v>61</v>
      </c>
      <c r="N89" s="8" t="s">
        <v>110</v>
      </c>
      <c r="R89" s="8" t="s">
        <v>630</v>
      </c>
      <c r="S89" s="8">
        <v>414882698</v>
      </c>
      <c r="T89" s="8" t="s">
        <v>631</v>
      </c>
      <c r="AC89" s="8" t="s">
        <v>56</v>
      </c>
      <c r="AF89" s="9">
        <v>28619</v>
      </c>
      <c r="AG89" s="10">
        <v>1.8368055555555556</v>
      </c>
      <c r="AJ89" s="9">
        <v>41710</v>
      </c>
      <c r="AK89" s="11">
        <v>0.29444444444444445</v>
      </c>
      <c r="AP89" s="8" t="s">
        <v>113</v>
      </c>
      <c r="AT89" s="9">
        <v>44414</v>
      </c>
      <c r="AU89" s="8" t="s">
        <v>114</v>
      </c>
      <c r="AV89" s="8" t="s">
        <v>115</v>
      </c>
      <c r="AW89" s="10">
        <v>1.7930555555555554</v>
      </c>
      <c r="AX89" s="11">
        <v>0.29444444444444445</v>
      </c>
      <c r="CF89" s="9"/>
      <c r="CG89" s="10"/>
      <c r="CJ89" s="9"/>
      <c r="CK89" s="11"/>
      <c r="CT89" s="9"/>
      <c r="CW89" s="10"/>
      <c r="CX89" s="11"/>
    </row>
    <row r="90" spans="1:102">
      <c r="A90" s="8">
        <v>18619</v>
      </c>
      <c r="B90" s="8" t="s">
        <v>632</v>
      </c>
      <c r="C90" s="8" t="s">
        <v>633</v>
      </c>
      <c r="D90" s="8" t="s">
        <v>634</v>
      </c>
      <c r="E90" s="8" t="s">
        <v>106</v>
      </c>
      <c r="F90" s="8" t="s">
        <v>635</v>
      </c>
      <c r="G90" s="8" t="s">
        <v>634</v>
      </c>
      <c r="I90" s="8" t="s">
        <v>636</v>
      </c>
      <c r="J90" s="8" t="s">
        <v>637</v>
      </c>
      <c r="K90" s="8" t="s">
        <v>122</v>
      </c>
      <c r="L90" s="8">
        <v>2170</v>
      </c>
      <c r="M90" s="8" t="s">
        <v>61</v>
      </c>
      <c r="N90" s="8" t="s">
        <v>110</v>
      </c>
      <c r="R90" s="8" t="s">
        <v>638</v>
      </c>
      <c r="S90" s="8">
        <v>433845102</v>
      </c>
      <c r="T90" s="8" t="s">
        <v>639</v>
      </c>
      <c r="AC90" s="8" t="s">
        <v>56</v>
      </c>
      <c r="AF90" s="9">
        <v>30520</v>
      </c>
      <c r="AG90" s="10">
        <v>1.6270833333333332</v>
      </c>
      <c r="AJ90" s="9">
        <v>41715</v>
      </c>
      <c r="AK90" s="11">
        <v>0.33819444444444446</v>
      </c>
      <c r="AP90" s="8" t="s">
        <v>113</v>
      </c>
      <c r="AQ90" s="8" t="s">
        <v>4</v>
      </c>
      <c r="AR90" s="8" t="s">
        <v>4</v>
      </c>
      <c r="AS90" s="8" t="s">
        <v>4</v>
      </c>
      <c r="AY90" s="8" t="s">
        <v>113</v>
      </c>
      <c r="CF90" s="9"/>
      <c r="CG90" s="10"/>
      <c r="CJ90" s="9"/>
      <c r="CK90" s="11"/>
    </row>
    <row r="91" spans="1:102">
      <c r="D91" s="8" t="s">
        <v>640</v>
      </c>
    </row>
    <row r="92" spans="1:102">
      <c r="A92" s="8">
        <v>18625</v>
      </c>
      <c r="B92" s="8" t="s">
        <v>641</v>
      </c>
      <c r="C92" s="8" t="s">
        <v>642</v>
      </c>
      <c r="D92" s="8" t="s">
        <v>643</v>
      </c>
      <c r="E92" s="8" t="s">
        <v>376</v>
      </c>
      <c r="F92" s="8" t="s">
        <v>644</v>
      </c>
      <c r="G92" s="8" t="s">
        <v>645</v>
      </c>
      <c r="I92" s="8" t="s">
        <v>646</v>
      </c>
      <c r="J92" s="8" t="s">
        <v>647</v>
      </c>
      <c r="K92" s="8" t="s">
        <v>60</v>
      </c>
      <c r="L92" s="8">
        <v>3132</v>
      </c>
      <c r="M92" s="8" t="s">
        <v>61</v>
      </c>
      <c r="N92" s="8" t="s">
        <v>110</v>
      </c>
      <c r="R92" s="8" t="s">
        <v>648</v>
      </c>
      <c r="S92" s="8">
        <v>421345755</v>
      </c>
      <c r="AC92" s="8" t="s">
        <v>56</v>
      </c>
      <c r="AF92" s="9">
        <v>29528</v>
      </c>
      <c r="AG92" s="10">
        <v>1.715972222222222</v>
      </c>
      <c r="AJ92" s="9">
        <v>41816</v>
      </c>
      <c r="AK92" s="11">
        <v>0.21111111111111111</v>
      </c>
      <c r="AP92" s="8" t="s">
        <v>113</v>
      </c>
      <c r="AT92" s="9">
        <v>43782</v>
      </c>
      <c r="AU92" s="8" t="s">
        <v>114</v>
      </c>
      <c r="AV92" s="8" t="s">
        <v>115</v>
      </c>
      <c r="AW92" s="10">
        <v>1.625</v>
      </c>
      <c r="AX92" s="11">
        <v>0.21111111111111111</v>
      </c>
      <c r="CF92" s="9"/>
      <c r="CG92" s="10"/>
      <c r="CJ92" s="9"/>
      <c r="CK92" s="11"/>
      <c r="CT92" s="9"/>
      <c r="CW92" s="10"/>
      <c r="CX92" s="11"/>
    </row>
    <row r="93" spans="1:102">
      <c r="A93" s="8">
        <v>18626</v>
      </c>
      <c r="B93" s="8" t="s">
        <v>649</v>
      </c>
      <c r="C93" s="8" t="s">
        <v>650</v>
      </c>
      <c r="D93" s="8" t="s">
        <v>651</v>
      </c>
      <c r="E93" s="8" t="s">
        <v>106</v>
      </c>
      <c r="F93" s="8" t="s">
        <v>129</v>
      </c>
      <c r="G93" s="8" t="s">
        <v>652</v>
      </c>
      <c r="I93" s="8" t="s">
        <v>653</v>
      </c>
      <c r="J93" s="8" t="s">
        <v>654</v>
      </c>
      <c r="K93" s="8" t="s">
        <v>60</v>
      </c>
      <c r="L93" s="8">
        <v>3978</v>
      </c>
      <c r="M93" s="8" t="s">
        <v>61</v>
      </c>
      <c r="N93" s="8" t="s">
        <v>110</v>
      </c>
      <c r="O93" s="8">
        <v>420764039</v>
      </c>
      <c r="R93" s="8" t="s">
        <v>655</v>
      </c>
      <c r="S93" s="8">
        <v>410198980</v>
      </c>
      <c r="T93" s="8" t="s">
        <v>656</v>
      </c>
      <c r="U93" s="8">
        <v>499009240</v>
      </c>
      <c r="V93" s="8">
        <v>410198980</v>
      </c>
      <c r="AC93" s="8" t="s">
        <v>56</v>
      </c>
      <c r="AF93" s="9">
        <v>29627</v>
      </c>
      <c r="AG93" s="10">
        <v>1.7138888888888888</v>
      </c>
      <c r="AJ93" s="9">
        <v>41828</v>
      </c>
      <c r="AK93" s="11">
        <v>0.3354166666666667</v>
      </c>
      <c r="AP93" s="8" t="s">
        <v>113</v>
      </c>
      <c r="AQ93" s="8" t="s">
        <v>4</v>
      </c>
      <c r="AR93" s="8" t="s">
        <v>4</v>
      </c>
      <c r="AS93" s="8" t="s">
        <v>4</v>
      </c>
      <c r="AY93" s="8" t="s">
        <v>4</v>
      </c>
      <c r="AZ93" s="8" t="s">
        <v>4</v>
      </c>
      <c r="CF93" s="9"/>
      <c r="CG93" s="10"/>
      <c r="CJ93" s="9"/>
      <c r="CK93" s="11"/>
    </row>
    <row r="94" spans="1:102">
      <c r="A94" s="8">
        <v>18629</v>
      </c>
      <c r="B94" s="8" t="s">
        <v>657</v>
      </c>
      <c r="C94" s="8" t="s">
        <v>658</v>
      </c>
      <c r="D94" s="8" t="s">
        <v>659</v>
      </c>
      <c r="E94" s="8" t="s">
        <v>106</v>
      </c>
      <c r="F94" s="8" t="s">
        <v>119</v>
      </c>
      <c r="G94" s="8" t="s">
        <v>659</v>
      </c>
      <c r="I94" s="8" t="s">
        <v>660</v>
      </c>
      <c r="J94" s="8" t="s">
        <v>661</v>
      </c>
      <c r="K94" s="8" t="s">
        <v>60</v>
      </c>
      <c r="L94" s="8">
        <v>3029</v>
      </c>
      <c r="R94" s="8" t="s">
        <v>662</v>
      </c>
      <c r="S94" s="8">
        <v>410690798</v>
      </c>
      <c r="T94" s="8" t="s">
        <v>663</v>
      </c>
      <c r="AC94" s="8" t="s">
        <v>56</v>
      </c>
      <c r="AF94" s="9">
        <v>33201</v>
      </c>
      <c r="AG94" s="10">
        <v>1.2993055555555555</v>
      </c>
      <c r="AJ94" s="9">
        <v>41834</v>
      </c>
      <c r="AK94" s="11">
        <v>0.17430555555555557</v>
      </c>
      <c r="AP94" s="8" t="s">
        <v>4</v>
      </c>
      <c r="AT94" s="9">
        <v>43637</v>
      </c>
      <c r="AU94" s="8" t="s">
        <v>114</v>
      </c>
      <c r="AV94" s="8" t="s">
        <v>115</v>
      </c>
      <c r="AW94" s="10">
        <v>1.1708333333333334</v>
      </c>
      <c r="AX94" s="11">
        <v>0.17430555555555557</v>
      </c>
      <c r="CF94" s="9"/>
      <c r="CG94" s="10"/>
      <c r="CJ94" s="9"/>
      <c r="CK94" s="11"/>
      <c r="CT94" s="9"/>
      <c r="CW94" s="10"/>
      <c r="CX94" s="11"/>
    </row>
    <row r="95" spans="1:102">
      <c r="A95" s="8">
        <v>18630</v>
      </c>
      <c r="B95" s="8" t="s">
        <v>664</v>
      </c>
      <c r="C95" s="8" t="s">
        <v>665</v>
      </c>
      <c r="D95" s="8" t="s">
        <v>666</v>
      </c>
      <c r="E95" s="8" t="s">
        <v>376</v>
      </c>
      <c r="F95" s="8" t="s">
        <v>667</v>
      </c>
      <c r="G95" s="8" t="s">
        <v>666</v>
      </c>
      <c r="I95" s="8" t="s">
        <v>668</v>
      </c>
      <c r="J95" s="8" t="s">
        <v>669</v>
      </c>
      <c r="K95" s="8" t="s">
        <v>122</v>
      </c>
      <c r="L95" s="8">
        <v>2566</v>
      </c>
      <c r="M95" s="8" t="s">
        <v>61</v>
      </c>
      <c r="N95" s="8" t="s">
        <v>110</v>
      </c>
      <c r="O95" s="8" t="s">
        <v>670</v>
      </c>
      <c r="R95" s="8" t="s">
        <v>671</v>
      </c>
      <c r="S95" s="8">
        <v>421634797</v>
      </c>
      <c r="T95" s="8" t="s">
        <v>672</v>
      </c>
      <c r="W95" s="8" t="s">
        <v>673</v>
      </c>
      <c r="X95" s="8" t="s">
        <v>669</v>
      </c>
      <c r="Y95" s="8" t="s">
        <v>122</v>
      </c>
      <c r="Z95" s="8">
        <v>2566</v>
      </c>
      <c r="AA95" s="8" t="s">
        <v>61</v>
      </c>
      <c r="AB95" s="8" t="s">
        <v>110</v>
      </c>
      <c r="AC95" s="8" t="s">
        <v>56</v>
      </c>
      <c r="AF95" s="9">
        <v>33870</v>
      </c>
      <c r="AG95" s="10">
        <v>1.2506944444444443</v>
      </c>
      <c r="AJ95" s="9">
        <v>41842</v>
      </c>
      <c r="AK95" s="11">
        <v>0.3354166666666667</v>
      </c>
      <c r="AP95" s="8" t="s">
        <v>113</v>
      </c>
      <c r="AS95" s="8" t="s">
        <v>113</v>
      </c>
      <c r="AY95" s="8" t="s">
        <v>113</v>
      </c>
      <c r="CF95" s="9"/>
      <c r="CG95" s="10"/>
      <c r="CJ95" s="9"/>
      <c r="CK95" s="11"/>
    </row>
    <row r="96" spans="1:102">
      <c r="D96" s="8" t="s">
        <v>169</v>
      </c>
    </row>
    <row r="97" spans="1:102">
      <c r="A97" s="8">
        <v>18631</v>
      </c>
      <c r="B97" s="8" t="s">
        <v>674</v>
      </c>
      <c r="C97" s="8" t="s">
        <v>675</v>
      </c>
      <c r="D97" s="8" t="s">
        <v>676</v>
      </c>
      <c r="E97" s="8" t="s">
        <v>106</v>
      </c>
      <c r="F97" s="8" t="s">
        <v>368</v>
      </c>
      <c r="G97" s="8" t="s">
        <v>676</v>
      </c>
      <c r="I97" s="8" t="s">
        <v>677</v>
      </c>
      <c r="J97" s="8" t="s">
        <v>678</v>
      </c>
      <c r="K97" s="8" t="s">
        <v>122</v>
      </c>
      <c r="L97" s="8">
        <v>2147</v>
      </c>
      <c r="M97" s="8" t="s">
        <v>61</v>
      </c>
      <c r="N97" s="8" t="s">
        <v>110</v>
      </c>
      <c r="R97" s="8" t="s">
        <v>679</v>
      </c>
      <c r="S97" s="8">
        <v>481126883</v>
      </c>
      <c r="AC97" s="8" t="s">
        <v>56</v>
      </c>
      <c r="AF97" s="9">
        <v>28986</v>
      </c>
      <c r="AG97" s="10">
        <v>1.7951388888888891</v>
      </c>
      <c r="AJ97" s="9">
        <v>41870</v>
      </c>
      <c r="AK97" s="11">
        <v>0.3347222222222222</v>
      </c>
      <c r="AP97" s="8" t="s">
        <v>113</v>
      </c>
      <c r="AS97" s="8" t="s">
        <v>113</v>
      </c>
      <c r="AY97" s="8" t="s">
        <v>113</v>
      </c>
      <c r="CF97" s="9"/>
      <c r="CG97" s="10"/>
      <c r="CJ97" s="9"/>
      <c r="CK97" s="11"/>
    </row>
    <row r="98" spans="1:102">
      <c r="A98" s="8">
        <v>18634</v>
      </c>
      <c r="B98" s="8" t="s">
        <v>680</v>
      </c>
      <c r="C98" s="8" t="s">
        <v>681</v>
      </c>
      <c r="D98" s="8" t="s">
        <v>682</v>
      </c>
      <c r="E98" s="8" t="s">
        <v>139</v>
      </c>
      <c r="F98" s="8" t="s">
        <v>683</v>
      </c>
      <c r="G98" s="8" t="s">
        <v>682</v>
      </c>
      <c r="I98" s="8" t="s">
        <v>684</v>
      </c>
      <c r="J98" s="8" t="s">
        <v>685</v>
      </c>
      <c r="K98" s="8" t="s">
        <v>293</v>
      </c>
      <c r="L98" s="8">
        <v>6164</v>
      </c>
      <c r="M98" s="8" t="s">
        <v>61</v>
      </c>
      <c r="N98" s="8" t="s">
        <v>110</v>
      </c>
      <c r="R98" s="8" t="s">
        <v>686</v>
      </c>
      <c r="S98" s="8">
        <v>452182011</v>
      </c>
      <c r="T98" s="8" t="s">
        <v>687</v>
      </c>
      <c r="W98" s="8" t="s">
        <v>684</v>
      </c>
      <c r="X98" s="8" t="s">
        <v>685</v>
      </c>
      <c r="Y98" s="8" t="s">
        <v>293</v>
      </c>
      <c r="Z98" s="8">
        <v>6164</v>
      </c>
      <c r="AA98" s="8" t="s">
        <v>61</v>
      </c>
      <c r="AB98" s="8" t="s">
        <v>110</v>
      </c>
      <c r="AC98" s="8" t="s">
        <v>56</v>
      </c>
      <c r="AF98" s="9">
        <v>32873</v>
      </c>
      <c r="AG98" s="10">
        <v>1.3402777777777777</v>
      </c>
      <c r="AJ98" s="9">
        <v>41920</v>
      </c>
      <c r="AK98" s="11">
        <v>0.33333333333333331</v>
      </c>
      <c r="AP98" s="8" t="s">
        <v>113</v>
      </c>
      <c r="AS98" s="8" t="s">
        <v>113</v>
      </c>
      <c r="AY98" s="8" t="s">
        <v>113</v>
      </c>
      <c r="CF98" s="9"/>
      <c r="CG98" s="10"/>
      <c r="CJ98" s="9"/>
      <c r="CK98" s="11"/>
    </row>
    <row r="99" spans="1:102">
      <c r="D99" s="8" t="s">
        <v>688</v>
      </c>
    </row>
    <row r="100" spans="1:102">
      <c r="A100" s="8">
        <v>18645</v>
      </c>
      <c r="B100" s="8" t="s">
        <v>689</v>
      </c>
      <c r="C100" s="8" t="s">
        <v>690</v>
      </c>
      <c r="D100" s="8" t="s">
        <v>691</v>
      </c>
      <c r="E100" s="8" t="s">
        <v>148</v>
      </c>
      <c r="F100" s="8" t="s">
        <v>692</v>
      </c>
      <c r="G100" s="8" t="s">
        <v>691</v>
      </c>
      <c r="I100" s="8" t="s">
        <v>693</v>
      </c>
      <c r="J100" s="8" t="s">
        <v>694</v>
      </c>
      <c r="K100" s="8" t="s">
        <v>240</v>
      </c>
      <c r="L100" s="8">
        <v>4503</v>
      </c>
      <c r="R100" s="8" t="s">
        <v>695</v>
      </c>
      <c r="S100" s="8">
        <v>435119019</v>
      </c>
      <c r="AC100" s="8" t="s">
        <v>153</v>
      </c>
      <c r="AF100" s="9">
        <v>29656</v>
      </c>
      <c r="AG100" s="10">
        <v>1.7131944444444445</v>
      </c>
      <c r="AJ100" s="9">
        <v>41974</v>
      </c>
      <c r="AK100" s="11">
        <v>0.16666666666666666</v>
      </c>
      <c r="AT100" s="9">
        <v>43462</v>
      </c>
      <c r="AU100" s="8" t="s">
        <v>114</v>
      </c>
      <c r="AV100" s="8" t="s">
        <v>115</v>
      </c>
      <c r="AW100" s="10">
        <v>1.5479166666666666</v>
      </c>
      <c r="AX100" s="11">
        <v>0.16666666666666666</v>
      </c>
      <c r="CF100" s="9"/>
      <c r="CG100" s="10"/>
      <c r="CJ100" s="9"/>
      <c r="CK100" s="11"/>
      <c r="CT100" s="9"/>
      <c r="CW100" s="10"/>
      <c r="CX100" s="11"/>
    </row>
    <row r="101" spans="1:102">
      <c r="D101" s="8" t="s">
        <v>696</v>
      </c>
    </row>
    <row r="102" spans="1:102">
      <c r="A102" s="8">
        <v>18646</v>
      </c>
      <c r="B102" s="8" t="s">
        <v>697</v>
      </c>
      <c r="C102" s="8" t="s">
        <v>698</v>
      </c>
      <c r="D102" s="8" t="s">
        <v>699</v>
      </c>
      <c r="E102" s="8" t="s">
        <v>106</v>
      </c>
      <c r="F102" s="8" t="s">
        <v>700</v>
      </c>
      <c r="G102" s="8" t="s">
        <v>699</v>
      </c>
      <c r="I102" s="8" t="s">
        <v>701</v>
      </c>
      <c r="J102" s="8" t="s">
        <v>702</v>
      </c>
      <c r="K102" s="8" t="s">
        <v>240</v>
      </c>
      <c r="L102" s="8">
        <v>4132</v>
      </c>
      <c r="M102" s="8" t="s">
        <v>61</v>
      </c>
      <c r="N102" s="8" t="s">
        <v>110</v>
      </c>
      <c r="O102" s="8">
        <v>738033379</v>
      </c>
      <c r="R102" s="8" t="s">
        <v>703</v>
      </c>
      <c r="S102" s="8">
        <v>433211217</v>
      </c>
      <c r="T102" s="8" t="s">
        <v>704</v>
      </c>
      <c r="W102" s="8" t="s">
        <v>705</v>
      </c>
      <c r="X102" s="8" t="s">
        <v>702</v>
      </c>
      <c r="Y102" s="8" t="s">
        <v>240</v>
      </c>
      <c r="Z102" s="8">
        <v>4132</v>
      </c>
      <c r="AA102" s="8" t="s">
        <v>61</v>
      </c>
      <c r="AB102" s="8" t="s">
        <v>110</v>
      </c>
      <c r="AC102" s="8" t="s">
        <v>56</v>
      </c>
      <c r="AF102" s="9">
        <v>29011</v>
      </c>
      <c r="AG102" s="10">
        <v>1.7944444444444445</v>
      </c>
      <c r="AJ102" s="9">
        <v>41701</v>
      </c>
      <c r="AK102" s="11">
        <v>0.33819444444444446</v>
      </c>
      <c r="AL102" s="9">
        <v>41701</v>
      </c>
      <c r="AP102" s="8" t="s">
        <v>113</v>
      </c>
      <c r="AQ102" s="8" t="s">
        <v>4</v>
      </c>
      <c r="AR102" s="8" t="s">
        <v>4</v>
      </c>
      <c r="AS102" s="8" t="s">
        <v>113</v>
      </c>
      <c r="AY102" s="8" t="s">
        <v>113</v>
      </c>
      <c r="AZ102" s="8" t="s">
        <v>4</v>
      </c>
      <c r="CF102" s="9"/>
      <c r="CG102" s="10"/>
      <c r="CJ102" s="9"/>
      <c r="CK102" s="11"/>
      <c r="CL102" s="9"/>
    </row>
    <row r="103" spans="1:102">
      <c r="D103" s="8" t="s">
        <v>706</v>
      </c>
    </row>
    <row r="104" spans="1:102">
      <c r="A104" s="8">
        <v>18647</v>
      </c>
      <c r="B104" s="8" t="s">
        <v>707</v>
      </c>
      <c r="C104" s="8" t="s">
        <v>708</v>
      </c>
      <c r="D104" s="8" t="s">
        <v>709</v>
      </c>
      <c r="E104" s="8" t="s">
        <v>217</v>
      </c>
      <c r="F104" s="8" t="s">
        <v>710</v>
      </c>
      <c r="G104" s="8" t="s">
        <v>709</v>
      </c>
      <c r="I104" s="8" t="s">
        <v>711</v>
      </c>
      <c r="J104" s="8" t="s">
        <v>712</v>
      </c>
      <c r="K104" s="8" t="s">
        <v>240</v>
      </c>
      <c r="L104" s="8">
        <v>4101</v>
      </c>
      <c r="M104" s="8" t="s">
        <v>61</v>
      </c>
      <c r="N104" s="8" t="s">
        <v>110</v>
      </c>
      <c r="O104" s="8">
        <v>418487996</v>
      </c>
      <c r="R104" s="8" t="s">
        <v>713</v>
      </c>
      <c r="S104" s="8">
        <v>400579607</v>
      </c>
      <c r="T104" s="8" t="s">
        <v>714</v>
      </c>
      <c r="AC104" s="8" t="s">
        <v>153</v>
      </c>
      <c r="AF104" s="9">
        <v>21216</v>
      </c>
      <c r="AG104" s="10">
        <v>2.6729166666666671</v>
      </c>
      <c r="AJ104" s="9">
        <v>41974</v>
      </c>
      <c r="AK104" s="11">
        <v>0.29930555555555555</v>
      </c>
      <c r="AP104" s="8" t="s">
        <v>113</v>
      </c>
      <c r="CF104" s="9"/>
      <c r="CG104" s="10"/>
      <c r="CJ104" s="9"/>
      <c r="CK104" s="11"/>
    </row>
    <row r="105" spans="1:102">
      <c r="D105" s="8" t="s">
        <v>715</v>
      </c>
    </row>
    <row r="106" spans="1:102">
      <c r="A106" s="8">
        <v>18649</v>
      </c>
      <c r="B106" s="8" t="s">
        <v>716</v>
      </c>
      <c r="C106" s="8" t="s">
        <v>717</v>
      </c>
      <c r="D106" s="8" t="s">
        <v>718</v>
      </c>
      <c r="E106" s="8" t="s">
        <v>106</v>
      </c>
      <c r="F106" s="8" t="s">
        <v>140</v>
      </c>
      <c r="G106" s="8" t="s">
        <v>718</v>
      </c>
      <c r="I106" s="8" t="s">
        <v>719</v>
      </c>
      <c r="J106" s="8" t="s">
        <v>720</v>
      </c>
      <c r="K106" s="8" t="s">
        <v>240</v>
      </c>
      <c r="L106" s="8">
        <v>4154</v>
      </c>
      <c r="M106" s="8" t="s">
        <v>61</v>
      </c>
      <c r="N106" s="8" t="s">
        <v>110</v>
      </c>
      <c r="R106" s="8" t="s">
        <v>721</v>
      </c>
      <c r="S106" s="8">
        <v>414650306</v>
      </c>
      <c r="T106" s="8" t="s">
        <v>722</v>
      </c>
      <c r="AC106" s="8" t="s">
        <v>56</v>
      </c>
      <c r="AF106" s="9">
        <v>22535</v>
      </c>
      <c r="AG106" s="10">
        <v>2.5423611111111111</v>
      </c>
      <c r="AJ106" s="9">
        <v>41801</v>
      </c>
      <c r="AK106" s="11">
        <v>0.33611111111111108</v>
      </c>
      <c r="AL106" s="9">
        <v>41801</v>
      </c>
      <c r="AP106" s="8" t="s">
        <v>113</v>
      </c>
      <c r="AQ106" s="8" t="s">
        <v>4</v>
      </c>
      <c r="AR106" s="8" t="s">
        <v>4</v>
      </c>
      <c r="AS106" s="8" t="s">
        <v>4</v>
      </c>
      <c r="AY106" s="8" t="s">
        <v>113</v>
      </c>
      <c r="AZ106" s="8" t="s">
        <v>4</v>
      </c>
      <c r="CF106" s="9"/>
      <c r="CG106" s="10"/>
      <c r="CJ106" s="9"/>
      <c r="CK106" s="11"/>
      <c r="CL106" s="9"/>
    </row>
    <row r="107" spans="1:102">
      <c r="A107" s="8">
        <v>18650</v>
      </c>
      <c r="B107" s="8" t="s">
        <v>723</v>
      </c>
      <c r="C107" s="8" t="s">
        <v>724</v>
      </c>
      <c r="D107" s="8" t="s">
        <v>725</v>
      </c>
      <c r="E107" s="8" t="s">
        <v>106</v>
      </c>
      <c r="F107" s="8" t="s">
        <v>700</v>
      </c>
      <c r="G107" s="8" t="s">
        <v>725</v>
      </c>
      <c r="I107" s="8" t="s">
        <v>726</v>
      </c>
      <c r="J107" s="8" t="s">
        <v>727</v>
      </c>
      <c r="K107" s="8" t="s">
        <v>240</v>
      </c>
      <c r="L107" s="8">
        <v>4164</v>
      </c>
      <c r="M107" s="8" t="s">
        <v>61</v>
      </c>
      <c r="N107" s="8" t="s">
        <v>110</v>
      </c>
      <c r="O107" s="8">
        <v>738202615</v>
      </c>
      <c r="R107" s="8" t="s">
        <v>728</v>
      </c>
      <c r="S107" s="8">
        <v>411213615</v>
      </c>
      <c r="T107" s="8" t="s">
        <v>729</v>
      </c>
      <c r="AC107" s="8" t="s">
        <v>56</v>
      </c>
      <c r="AF107" s="9">
        <v>23920</v>
      </c>
      <c r="AG107" s="10">
        <v>2.3777777777777778</v>
      </c>
      <c r="AJ107" s="9">
        <v>39727</v>
      </c>
      <c r="AK107" s="11">
        <v>0.58333333333333337</v>
      </c>
      <c r="AL107" s="9">
        <v>39727</v>
      </c>
      <c r="AP107" s="8" t="s">
        <v>113</v>
      </c>
      <c r="AQ107" s="8" t="s">
        <v>4</v>
      </c>
      <c r="AR107" s="8" t="s">
        <v>4</v>
      </c>
      <c r="AS107" s="8" t="s">
        <v>113</v>
      </c>
      <c r="AY107" s="8" t="s">
        <v>113</v>
      </c>
      <c r="AZ107" s="8" t="s">
        <v>4</v>
      </c>
      <c r="CF107" s="9"/>
      <c r="CG107" s="10"/>
      <c r="CJ107" s="9"/>
      <c r="CK107" s="11"/>
      <c r="CL107" s="9"/>
    </row>
    <row r="108" spans="1:102">
      <c r="D108" s="8" t="s">
        <v>730</v>
      </c>
    </row>
    <row r="109" spans="1:102">
      <c r="A109" s="8">
        <v>18651</v>
      </c>
      <c r="B109" s="8" t="s">
        <v>731</v>
      </c>
      <c r="C109" s="8" t="s">
        <v>732</v>
      </c>
      <c r="D109" s="8" t="s">
        <v>299</v>
      </c>
      <c r="E109" s="8" t="s">
        <v>148</v>
      </c>
      <c r="F109" s="8" t="s">
        <v>733</v>
      </c>
      <c r="G109" s="8" t="s">
        <v>299</v>
      </c>
      <c r="I109" s="8" t="s">
        <v>734</v>
      </c>
      <c r="J109" s="8" t="s">
        <v>735</v>
      </c>
      <c r="K109" s="8" t="s">
        <v>240</v>
      </c>
      <c r="L109" s="8">
        <v>4209</v>
      </c>
      <c r="R109" s="8" t="s">
        <v>736</v>
      </c>
      <c r="S109" s="8">
        <v>400755021</v>
      </c>
      <c r="AC109" s="8" t="s">
        <v>153</v>
      </c>
      <c r="AF109" s="9">
        <v>30691</v>
      </c>
      <c r="AG109" s="10">
        <v>1.5895833333333333</v>
      </c>
      <c r="AJ109" s="9">
        <v>41974</v>
      </c>
      <c r="AK109" s="11">
        <v>0.13263888888888889</v>
      </c>
      <c r="AT109" s="9">
        <v>43427</v>
      </c>
      <c r="AU109" s="8" t="s">
        <v>114</v>
      </c>
      <c r="AV109" s="8" t="s">
        <v>115</v>
      </c>
      <c r="AW109" s="10">
        <v>1.4236111111111109</v>
      </c>
      <c r="AX109" s="11">
        <v>0.13263888888888889</v>
      </c>
      <c r="CF109" s="9"/>
      <c r="CG109" s="10"/>
      <c r="CJ109" s="9"/>
      <c r="CK109" s="11"/>
      <c r="CT109" s="9"/>
      <c r="CW109" s="10"/>
      <c r="CX109" s="11"/>
    </row>
    <row r="110" spans="1:102">
      <c r="D110" s="8" t="s">
        <v>737</v>
      </c>
    </row>
    <row r="111" spans="1:102">
      <c r="A111" s="8">
        <v>18659</v>
      </c>
      <c r="B111" s="8" t="s">
        <v>738</v>
      </c>
      <c r="C111" s="8" t="s">
        <v>739</v>
      </c>
      <c r="D111" s="8" t="s">
        <v>740</v>
      </c>
      <c r="E111" s="8" t="s">
        <v>139</v>
      </c>
      <c r="F111" s="8" t="s">
        <v>368</v>
      </c>
      <c r="G111" s="8" t="s">
        <v>740</v>
      </c>
      <c r="I111" s="8" t="s">
        <v>741</v>
      </c>
      <c r="J111" s="8" t="s">
        <v>742</v>
      </c>
      <c r="K111" s="8" t="s">
        <v>122</v>
      </c>
      <c r="L111" s="8">
        <v>2018</v>
      </c>
      <c r="M111" s="8" t="s">
        <v>61</v>
      </c>
      <c r="N111" s="8" t="s">
        <v>110</v>
      </c>
      <c r="R111" s="8" t="s">
        <v>743</v>
      </c>
      <c r="S111" s="8">
        <v>478598869</v>
      </c>
      <c r="T111" s="8" t="s">
        <v>744</v>
      </c>
      <c r="AC111" s="8" t="s">
        <v>56</v>
      </c>
      <c r="AF111" s="9">
        <v>28724</v>
      </c>
      <c r="AG111" s="10">
        <v>1.8347222222222221</v>
      </c>
      <c r="AJ111" s="9">
        <v>42016</v>
      </c>
      <c r="AK111" s="11">
        <v>0.29791666666666666</v>
      </c>
      <c r="AP111" s="8" t="s">
        <v>113</v>
      </c>
      <c r="AS111" s="8" t="s">
        <v>113</v>
      </c>
      <c r="AY111" s="8" t="s">
        <v>113</v>
      </c>
      <c r="CF111" s="9"/>
      <c r="CG111" s="10"/>
      <c r="CJ111" s="9"/>
      <c r="CK111" s="11"/>
    </row>
    <row r="112" spans="1:102">
      <c r="A112" s="8">
        <v>18668</v>
      </c>
      <c r="B112" s="8" t="s">
        <v>745</v>
      </c>
      <c r="C112" s="8" t="s">
        <v>746</v>
      </c>
      <c r="D112" s="8" t="s">
        <v>747</v>
      </c>
      <c r="E112" s="8" t="s">
        <v>139</v>
      </c>
      <c r="F112" s="8" t="s">
        <v>107</v>
      </c>
      <c r="G112" s="8" t="s">
        <v>747</v>
      </c>
      <c r="I112" s="8" t="s">
        <v>748</v>
      </c>
      <c r="J112" s="8" t="s">
        <v>749</v>
      </c>
      <c r="K112" s="8" t="s">
        <v>60</v>
      </c>
      <c r="L112" s="8">
        <v>3155</v>
      </c>
      <c r="R112" s="8" t="s">
        <v>750</v>
      </c>
      <c r="S112" s="8">
        <v>473908853</v>
      </c>
      <c r="T112" s="8" t="s">
        <v>751</v>
      </c>
      <c r="AC112" s="8" t="s">
        <v>56</v>
      </c>
      <c r="AF112" s="9">
        <v>26530</v>
      </c>
      <c r="AG112" s="10">
        <v>2.0847222222222221</v>
      </c>
      <c r="AJ112" s="9">
        <v>42087</v>
      </c>
      <c r="AK112" s="11">
        <v>0.13055555555555556</v>
      </c>
      <c r="AT112" s="9">
        <v>43441</v>
      </c>
      <c r="AU112" s="8" t="s">
        <v>114</v>
      </c>
      <c r="AV112" s="8" t="s">
        <v>115</v>
      </c>
      <c r="AW112" s="10">
        <v>1.91875</v>
      </c>
      <c r="AX112" s="11">
        <v>0.13055555555555556</v>
      </c>
      <c r="CF112" s="9"/>
      <c r="CG112" s="10"/>
      <c r="CJ112" s="9"/>
      <c r="CK112" s="11"/>
      <c r="CT112" s="9"/>
      <c r="CW112" s="10"/>
      <c r="CX112" s="11"/>
    </row>
    <row r="113" spans="1:102">
      <c r="A113" s="8">
        <v>18670</v>
      </c>
      <c r="B113" s="8" t="s">
        <v>752</v>
      </c>
      <c r="C113" s="8" t="s">
        <v>753</v>
      </c>
      <c r="D113" s="8" t="s">
        <v>754</v>
      </c>
      <c r="E113" s="8" t="s">
        <v>106</v>
      </c>
      <c r="F113" s="8" t="s">
        <v>129</v>
      </c>
      <c r="G113" s="8" t="s">
        <v>754</v>
      </c>
      <c r="I113" s="8" t="s">
        <v>755</v>
      </c>
      <c r="J113" s="8" t="s">
        <v>756</v>
      </c>
      <c r="K113" s="8" t="s">
        <v>60</v>
      </c>
      <c r="L113" s="8">
        <v>3136</v>
      </c>
      <c r="O113" s="8">
        <v>97233910</v>
      </c>
      <c r="R113" s="8" t="s">
        <v>757</v>
      </c>
      <c r="S113" s="8">
        <v>410058539</v>
      </c>
      <c r="T113" s="8" t="s">
        <v>758</v>
      </c>
      <c r="AC113" s="8" t="s">
        <v>56</v>
      </c>
      <c r="AF113" s="9">
        <v>30886</v>
      </c>
      <c r="AG113" s="10">
        <v>1.5854166666666665</v>
      </c>
      <c r="AJ113" s="9">
        <v>42107</v>
      </c>
      <c r="AK113" s="11">
        <v>0.16944444444444443</v>
      </c>
      <c r="AP113" s="8" t="s">
        <v>4</v>
      </c>
      <c r="AT113" s="9">
        <v>43690</v>
      </c>
      <c r="AU113" s="8" t="s">
        <v>185</v>
      </c>
      <c r="AV113" s="8" t="s">
        <v>186</v>
      </c>
      <c r="AW113" s="10">
        <v>1.4583333333333333</v>
      </c>
      <c r="AX113" s="11">
        <v>0.16944444444444443</v>
      </c>
      <c r="CF113" s="9"/>
      <c r="CG113" s="10"/>
      <c r="CJ113" s="9"/>
      <c r="CK113" s="11"/>
      <c r="CT113" s="9"/>
      <c r="CW113" s="10"/>
      <c r="CX113" s="11"/>
    </row>
    <row r="114" spans="1:102">
      <c r="A114" s="8">
        <v>18679</v>
      </c>
      <c r="B114" s="8" t="s">
        <v>759</v>
      </c>
      <c r="C114" s="8" t="s">
        <v>760</v>
      </c>
      <c r="D114" s="8" t="s">
        <v>761</v>
      </c>
      <c r="E114" s="8" t="s">
        <v>148</v>
      </c>
      <c r="F114" s="8" t="s">
        <v>762</v>
      </c>
      <c r="G114" s="8" t="s">
        <v>761</v>
      </c>
      <c r="I114" s="8" t="s">
        <v>763</v>
      </c>
      <c r="J114" s="8" t="s">
        <v>764</v>
      </c>
      <c r="K114" s="8" t="s">
        <v>60</v>
      </c>
      <c r="L114" s="8">
        <v>3149</v>
      </c>
      <c r="M114" s="8" t="s">
        <v>61</v>
      </c>
      <c r="N114" s="8" t="s">
        <v>110</v>
      </c>
      <c r="O114" s="8" t="s">
        <v>765</v>
      </c>
      <c r="R114" s="8" t="s">
        <v>766</v>
      </c>
      <c r="S114" s="8" t="s">
        <v>767</v>
      </c>
      <c r="T114" s="8" t="s">
        <v>768</v>
      </c>
      <c r="Y114" s="8" t="s">
        <v>270</v>
      </c>
      <c r="Z114" s="8">
        <v>9999</v>
      </c>
      <c r="AC114" s="8" t="s">
        <v>153</v>
      </c>
      <c r="AF114" s="9">
        <v>24916</v>
      </c>
      <c r="AG114" s="10">
        <v>2.254861111111111</v>
      </c>
      <c r="AJ114" s="9">
        <v>42157</v>
      </c>
      <c r="AK114" s="11">
        <v>0.29444444444444445</v>
      </c>
      <c r="AP114" s="8" t="s">
        <v>113</v>
      </c>
      <c r="AS114" s="8" t="s">
        <v>113</v>
      </c>
      <c r="AY114" s="8" t="s">
        <v>113</v>
      </c>
      <c r="CF114" s="9"/>
      <c r="CG114" s="10"/>
      <c r="CJ114" s="9"/>
      <c r="CK114" s="11"/>
    </row>
    <row r="115" spans="1:102">
      <c r="D115" s="8" t="s">
        <v>769</v>
      </c>
    </row>
    <row r="116" spans="1:102">
      <c r="A116" s="8">
        <v>18683</v>
      </c>
      <c r="B116" s="8" t="s">
        <v>770</v>
      </c>
      <c r="C116" s="8" t="s">
        <v>771</v>
      </c>
      <c r="D116" s="8" t="s">
        <v>772</v>
      </c>
      <c r="E116" s="8" t="s">
        <v>106</v>
      </c>
      <c r="F116" s="8" t="s">
        <v>119</v>
      </c>
      <c r="G116" s="8" t="s">
        <v>773</v>
      </c>
      <c r="I116" s="8" t="s">
        <v>774</v>
      </c>
      <c r="J116" s="8" t="s">
        <v>775</v>
      </c>
      <c r="K116" s="8" t="s">
        <v>60</v>
      </c>
      <c r="L116" s="8">
        <v>3809</v>
      </c>
      <c r="M116" s="8" t="s">
        <v>61</v>
      </c>
      <c r="N116" s="8" t="s">
        <v>110</v>
      </c>
      <c r="R116" s="8" t="s">
        <v>776</v>
      </c>
      <c r="S116" s="8">
        <v>433939969</v>
      </c>
      <c r="T116" s="8" t="s">
        <v>777</v>
      </c>
      <c r="W116" s="8" t="s">
        <v>774</v>
      </c>
      <c r="X116" s="8" t="s">
        <v>775</v>
      </c>
      <c r="Y116" s="8" t="s">
        <v>60</v>
      </c>
      <c r="Z116" s="8">
        <v>3809</v>
      </c>
      <c r="AA116" s="8" t="s">
        <v>61</v>
      </c>
      <c r="AB116" s="8" t="s">
        <v>110</v>
      </c>
      <c r="AC116" s="8" t="s">
        <v>56</v>
      </c>
      <c r="AF116" s="9">
        <v>30085</v>
      </c>
      <c r="AG116" s="10">
        <v>1.6701388888888891</v>
      </c>
      <c r="AJ116" s="9">
        <v>42191</v>
      </c>
      <c r="AK116" s="11">
        <v>0.20902777777777778</v>
      </c>
      <c r="AP116" s="8" t="s">
        <v>113</v>
      </c>
      <c r="AQ116" s="8" t="s">
        <v>4</v>
      </c>
      <c r="AR116" s="8" t="s">
        <v>4</v>
      </c>
      <c r="AS116" s="8" t="s">
        <v>4</v>
      </c>
      <c r="AT116" s="9">
        <v>44061</v>
      </c>
      <c r="AU116" s="8" t="s">
        <v>185</v>
      </c>
      <c r="AV116" s="8" t="s">
        <v>186</v>
      </c>
      <c r="AW116" s="10">
        <v>1.5854166666666665</v>
      </c>
      <c r="AX116" s="11">
        <v>0.17291666666666669</v>
      </c>
      <c r="AY116" s="8" t="s">
        <v>113</v>
      </c>
      <c r="CF116" s="9"/>
      <c r="CG116" s="10"/>
      <c r="CJ116" s="9"/>
      <c r="CK116" s="11"/>
      <c r="CT116" s="9"/>
      <c r="CW116" s="10"/>
      <c r="CX116" s="11"/>
    </row>
    <row r="117" spans="1:102">
      <c r="A117" s="8">
        <v>18687</v>
      </c>
      <c r="B117" s="8" t="s">
        <v>778</v>
      </c>
      <c r="C117" s="8" t="s">
        <v>779</v>
      </c>
      <c r="D117" s="8" t="s">
        <v>780</v>
      </c>
      <c r="E117" s="8" t="s">
        <v>376</v>
      </c>
      <c r="F117" s="8" t="s">
        <v>781</v>
      </c>
      <c r="G117" s="8" t="s">
        <v>780</v>
      </c>
      <c r="I117" s="8" t="s">
        <v>782</v>
      </c>
      <c r="J117" s="8" t="s">
        <v>439</v>
      </c>
      <c r="K117" s="8" t="s">
        <v>122</v>
      </c>
      <c r="L117" s="8">
        <v>2148</v>
      </c>
      <c r="M117" s="8" t="s">
        <v>61</v>
      </c>
      <c r="N117" s="8" t="s">
        <v>110</v>
      </c>
      <c r="R117" s="8" t="s">
        <v>783</v>
      </c>
      <c r="S117" s="8">
        <v>409993296</v>
      </c>
      <c r="T117" s="8" t="s">
        <v>784</v>
      </c>
      <c r="AC117" s="8" t="s">
        <v>56</v>
      </c>
      <c r="AF117" s="9">
        <v>34142</v>
      </c>
      <c r="AG117" s="10">
        <v>1.211111111111111</v>
      </c>
      <c r="AJ117" s="9">
        <v>42219</v>
      </c>
      <c r="AK117" s="11">
        <v>0.29305555555555557</v>
      </c>
      <c r="AP117" s="8" t="s">
        <v>113</v>
      </c>
      <c r="AS117" s="8" t="s">
        <v>113</v>
      </c>
      <c r="AY117" s="8" t="s">
        <v>113</v>
      </c>
      <c r="CF117" s="9"/>
      <c r="CG117" s="10"/>
      <c r="CJ117" s="9"/>
      <c r="CK117" s="11"/>
    </row>
    <row r="118" spans="1:102">
      <c r="D118" s="8" t="s">
        <v>785</v>
      </c>
    </row>
    <row r="119" spans="1:102">
      <c r="A119" s="8">
        <v>18688</v>
      </c>
      <c r="B119" s="8" t="s">
        <v>786</v>
      </c>
      <c r="C119" s="8" t="s">
        <v>787</v>
      </c>
      <c r="D119" s="8" t="s">
        <v>788</v>
      </c>
      <c r="E119" s="8" t="s">
        <v>139</v>
      </c>
      <c r="F119" s="8" t="s">
        <v>789</v>
      </c>
      <c r="G119" s="8" t="s">
        <v>788</v>
      </c>
      <c r="I119" s="8" t="s">
        <v>790</v>
      </c>
      <c r="J119" s="8" t="s">
        <v>791</v>
      </c>
      <c r="K119" s="8" t="s">
        <v>122</v>
      </c>
      <c r="L119" s="8">
        <v>2065</v>
      </c>
      <c r="R119" s="8" t="s">
        <v>792</v>
      </c>
      <c r="S119" s="8">
        <v>412193125</v>
      </c>
      <c r="T119" s="8" t="s">
        <v>793</v>
      </c>
      <c r="AC119" s="8" t="s">
        <v>56</v>
      </c>
      <c r="AF119" s="9">
        <v>30836</v>
      </c>
      <c r="AG119" s="10">
        <v>1.5861111111111112</v>
      </c>
      <c r="AJ119" s="9">
        <v>42219</v>
      </c>
      <c r="AK119" s="11">
        <v>0.12847222222222224</v>
      </c>
      <c r="AT119" s="9">
        <v>43497</v>
      </c>
      <c r="AU119" s="8" t="s">
        <v>114</v>
      </c>
      <c r="AV119" s="8" t="s">
        <v>115</v>
      </c>
      <c r="AW119" s="10">
        <v>1.4215277777777777</v>
      </c>
      <c r="AX119" s="11">
        <v>0.12847222222222224</v>
      </c>
      <c r="CF119" s="9"/>
      <c r="CG119" s="10"/>
      <c r="CJ119" s="9"/>
      <c r="CK119" s="11"/>
      <c r="CT119" s="9"/>
      <c r="CW119" s="10"/>
      <c r="CX119" s="11"/>
    </row>
    <row r="120" spans="1:102">
      <c r="D120" s="8" t="s">
        <v>794</v>
      </c>
    </row>
    <row r="121" spans="1:102">
      <c r="A121" s="8">
        <v>18689</v>
      </c>
      <c r="B121" s="8" t="s">
        <v>795</v>
      </c>
      <c r="C121" s="8" t="s">
        <v>796</v>
      </c>
      <c r="D121" s="8" t="s">
        <v>796</v>
      </c>
      <c r="E121" s="8" t="s">
        <v>376</v>
      </c>
      <c r="F121" s="8" t="s">
        <v>797</v>
      </c>
      <c r="G121" s="8" t="s">
        <v>796</v>
      </c>
      <c r="H121" s="8" t="s">
        <v>798</v>
      </c>
      <c r="I121" s="8" t="s">
        <v>799</v>
      </c>
      <c r="J121" s="8" t="s">
        <v>800</v>
      </c>
      <c r="K121" s="8" t="s">
        <v>60</v>
      </c>
      <c r="L121" s="8">
        <v>3977</v>
      </c>
      <c r="R121" s="8" t="s">
        <v>801</v>
      </c>
      <c r="S121" s="8">
        <v>431979395</v>
      </c>
      <c r="T121" s="8" t="s">
        <v>802</v>
      </c>
      <c r="AC121" s="8" t="s">
        <v>56</v>
      </c>
      <c r="AF121" s="9">
        <v>32039</v>
      </c>
      <c r="AG121" s="10">
        <v>1.4590277777777778</v>
      </c>
      <c r="AJ121" s="9">
        <v>42234</v>
      </c>
      <c r="AK121" s="11">
        <v>0.13055555555555556</v>
      </c>
      <c r="AP121" s="8" t="s">
        <v>4</v>
      </c>
      <c r="AQ121" s="8" t="s">
        <v>4</v>
      </c>
      <c r="AR121" s="8" t="s">
        <v>4</v>
      </c>
      <c r="AS121" s="8" t="s">
        <v>113</v>
      </c>
      <c r="AT121" s="9">
        <v>43595</v>
      </c>
      <c r="AU121" s="8" t="s">
        <v>114</v>
      </c>
      <c r="AV121" s="8" t="s">
        <v>115</v>
      </c>
      <c r="AW121" s="10">
        <v>1.2965277777777777</v>
      </c>
      <c r="AX121" s="11">
        <v>0.13055555555555556</v>
      </c>
      <c r="AY121" s="8" t="s">
        <v>113</v>
      </c>
      <c r="CF121" s="9"/>
      <c r="CG121" s="10"/>
      <c r="CJ121" s="9"/>
      <c r="CK121" s="11"/>
      <c r="CT121" s="9"/>
      <c r="CW121" s="10"/>
      <c r="CX121" s="11"/>
    </row>
    <row r="122" spans="1:102">
      <c r="A122" s="8">
        <v>18691</v>
      </c>
      <c r="B122" s="8" t="s">
        <v>803</v>
      </c>
      <c r="C122" s="8" t="s">
        <v>804</v>
      </c>
      <c r="D122" s="8" t="s">
        <v>805</v>
      </c>
      <c r="E122" s="8" t="s">
        <v>106</v>
      </c>
      <c r="F122" s="8" t="s">
        <v>119</v>
      </c>
      <c r="G122" s="8" t="s">
        <v>805</v>
      </c>
      <c r="I122" s="8" t="s">
        <v>806</v>
      </c>
      <c r="J122" s="8" t="s">
        <v>807</v>
      </c>
      <c r="K122" s="8" t="s">
        <v>60</v>
      </c>
      <c r="L122" s="8">
        <v>3072</v>
      </c>
      <c r="R122" s="8" t="s">
        <v>808</v>
      </c>
      <c r="S122" s="8">
        <v>433689390</v>
      </c>
      <c r="T122" s="8" t="s">
        <v>809</v>
      </c>
      <c r="AC122" s="8" t="s">
        <v>56</v>
      </c>
      <c r="AF122" s="9">
        <v>32634</v>
      </c>
      <c r="AG122" s="10">
        <v>1.3784722222222223</v>
      </c>
      <c r="AJ122" s="9">
        <v>42254</v>
      </c>
      <c r="AK122" s="11">
        <v>9.0972222222222218E-2</v>
      </c>
      <c r="AT122" s="9">
        <v>43332</v>
      </c>
      <c r="AU122" s="8" t="s">
        <v>114</v>
      </c>
      <c r="AV122" s="8" t="s">
        <v>115</v>
      </c>
      <c r="AW122" s="10">
        <v>1.2104166666666667</v>
      </c>
      <c r="AX122" s="11">
        <v>9.0972222222222218E-2</v>
      </c>
      <c r="CF122" s="9"/>
      <c r="CG122" s="10"/>
      <c r="CJ122" s="9"/>
      <c r="CK122" s="11"/>
      <c r="CT122" s="9"/>
      <c r="CW122" s="10"/>
      <c r="CX122" s="11"/>
    </row>
    <row r="123" spans="1:102">
      <c r="A123" s="8">
        <v>18692</v>
      </c>
      <c r="B123" s="8" t="s">
        <v>810</v>
      </c>
      <c r="C123" s="8" t="s">
        <v>811</v>
      </c>
      <c r="D123" s="8" t="s">
        <v>812</v>
      </c>
      <c r="E123" s="8" t="s">
        <v>106</v>
      </c>
      <c r="F123" s="8" t="s">
        <v>797</v>
      </c>
      <c r="G123" s="8" t="s">
        <v>812</v>
      </c>
      <c r="I123" s="8" t="s">
        <v>813</v>
      </c>
      <c r="J123" s="8" t="s">
        <v>814</v>
      </c>
      <c r="K123" s="8" t="s">
        <v>60</v>
      </c>
      <c r="L123" s="8">
        <v>3173</v>
      </c>
      <c r="M123" s="8" t="s">
        <v>61</v>
      </c>
      <c r="N123" s="8" t="s">
        <v>110</v>
      </c>
      <c r="O123" s="8">
        <v>97956209</v>
      </c>
      <c r="R123" s="8" t="s">
        <v>815</v>
      </c>
      <c r="S123" s="8">
        <v>415113363</v>
      </c>
      <c r="T123" s="8" t="s">
        <v>816</v>
      </c>
      <c r="Y123" s="8" t="s">
        <v>270</v>
      </c>
      <c r="Z123" s="8">
        <v>9999</v>
      </c>
      <c r="AC123" s="8" t="s">
        <v>56</v>
      </c>
      <c r="AF123" s="9">
        <v>30499</v>
      </c>
      <c r="AG123" s="10">
        <v>1.6270833333333332</v>
      </c>
      <c r="AJ123" s="9">
        <v>42254</v>
      </c>
      <c r="AK123" s="11">
        <v>0.29166666666666669</v>
      </c>
      <c r="AP123" s="8" t="s">
        <v>113</v>
      </c>
      <c r="AS123" s="8" t="s">
        <v>113</v>
      </c>
      <c r="AT123" s="9">
        <v>44827</v>
      </c>
      <c r="AU123" s="8" t="s">
        <v>114</v>
      </c>
      <c r="AV123" s="8" t="s">
        <v>115</v>
      </c>
      <c r="AW123" s="10">
        <v>1.6263888888888889</v>
      </c>
      <c r="AX123" s="11">
        <v>0.29166666666666669</v>
      </c>
      <c r="AY123" s="8" t="s">
        <v>113</v>
      </c>
      <c r="CF123" s="9"/>
      <c r="CG123" s="10"/>
      <c r="CJ123" s="9"/>
      <c r="CK123" s="11"/>
      <c r="CT123" s="9"/>
      <c r="CW123" s="10"/>
      <c r="CX123" s="11"/>
    </row>
    <row r="124" spans="1:102">
      <c r="A124" s="8">
        <v>18696</v>
      </c>
      <c r="B124" s="8" t="s">
        <v>817</v>
      </c>
      <c r="C124" s="8" t="s">
        <v>818</v>
      </c>
      <c r="D124" s="8" t="s">
        <v>819</v>
      </c>
      <c r="E124" s="8" t="s">
        <v>106</v>
      </c>
      <c r="F124" s="8" t="s">
        <v>368</v>
      </c>
      <c r="G124" s="8" t="s">
        <v>820</v>
      </c>
      <c r="I124" s="8" t="s">
        <v>821</v>
      </c>
      <c r="J124" s="8" t="s">
        <v>822</v>
      </c>
      <c r="K124" s="8" t="s">
        <v>60</v>
      </c>
      <c r="L124" s="8">
        <v>3150</v>
      </c>
      <c r="M124" s="8" t="s">
        <v>61</v>
      </c>
      <c r="N124" s="8" t="s">
        <v>110</v>
      </c>
      <c r="R124" s="8" t="s">
        <v>823</v>
      </c>
      <c r="S124" s="8" t="s">
        <v>824</v>
      </c>
      <c r="U124" s="8">
        <v>388782136</v>
      </c>
      <c r="V124" s="8">
        <v>2136</v>
      </c>
      <c r="AC124" s="8" t="s">
        <v>56</v>
      </c>
      <c r="AF124" s="9">
        <v>22989</v>
      </c>
      <c r="AG124" s="10">
        <v>2.4652777777777777</v>
      </c>
      <c r="AJ124" s="9">
        <v>42275</v>
      </c>
      <c r="AK124" s="11">
        <v>0.13263888888888889</v>
      </c>
      <c r="AP124" s="8" t="s">
        <v>113</v>
      </c>
      <c r="AT124" s="9">
        <v>43733</v>
      </c>
      <c r="AU124" s="8" t="s">
        <v>185</v>
      </c>
      <c r="AV124" s="8" t="s">
        <v>186</v>
      </c>
      <c r="AW124" s="10">
        <v>2.3395833333333331</v>
      </c>
      <c r="AX124" s="11">
        <v>0.13263888888888889</v>
      </c>
      <c r="CF124" s="9"/>
      <c r="CG124" s="10"/>
      <c r="CJ124" s="9"/>
      <c r="CK124" s="11"/>
      <c r="CT124" s="9"/>
      <c r="CW124" s="10"/>
      <c r="CX124" s="11"/>
    </row>
    <row r="125" spans="1:102">
      <c r="A125" s="8">
        <v>18700</v>
      </c>
      <c r="B125" s="8" t="s">
        <v>825</v>
      </c>
      <c r="C125" s="8" t="s">
        <v>826</v>
      </c>
      <c r="D125" s="8" t="s">
        <v>827</v>
      </c>
      <c r="E125" s="8" t="s">
        <v>148</v>
      </c>
      <c r="F125" s="8" t="s">
        <v>129</v>
      </c>
      <c r="G125" s="8" t="s">
        <v>827</v>
      </c>
      <c r="I125" s="8" t="s">
        <v>828</v>
      </c>
      <c r="J125" s="8" t="s">
        <v>829</v>
      </c>
      <c r="K125" s="8" t="s">
        <v>240</v>
      </c>
      <c r="L125" s="8">
        <v>4115</v>
      </c>
      <c r="R125" s="8" t="s">
        <v>830</v>
      </c>
      <c r="S125" s="8">
        <v>410583464</v>
      </c>
      <c r="T125" s="8" t="s">
        <v>831</v>
      </c>
      <c r="AC125" s="8" t="s">
        <v>153</v>
      </c>
      <c r="AF125" s="9">
        <v>29831</v>
      </c>
      <c r="AG125" s="10">
        <v>1.7090277777777778</v>
      </c>
      <c r="AJ125" s="9">
        <v>42283</v>
      </c>
      <c r="AK125" s="11">
        <v>0.17291666666666669</v>
      </c>
      <c r="AP125" s="8" t="s">
        <v>113</v>
      </c>
      <c r="AS125" s="8" t="s">
        <v>113</v>
      </c>
      <c r="AT125" s="9">
        <v>44046</v>
      </c>
      <c r="AU125" s="8" t="s">
        <v>114</v>
      </c>
      <c r="AV125" s="8" t="s">
        <v>115</v>
      </c>
      <c r="AW125" s="10">
        <v>1.590972222222222</v>
      </c>
      <c r="AX125" s="11">
        <v>0.17291666666666669</v>
      </c>
      <c r="AY125" s="8" t="s">
        <v>113</v>
      </c>
      <c r="CF125" s="9"/>
      <c r="CG125" s="10"/>
      <c r="CJ125" s="9"/>
      <c r="CK125" s="11"/>
      <c r="CT125" s="9"/>
      <c r="CW125" s="10"/>
      <c r="CX125" s="11"/>
    </row>
    <row r="126" spans="1:102">
      <c r="A126" s="8">
        <v>18703</v>
      </c>
      <c r="B126" s="8" t="s">
        <v>832</v>
      </c>
      <c r="C126" s="8" t="s">
        <v>833</v>
      </c>
      <c r="D126" s="8" t="s">
        <v>834</v>
      </c>
      <c r="E126" s="8" t="s">
        <v>148</v>
      </c>
      <c r="F126" s="8" t="s">
        <v>835</v>
      </c>
      <c r="G126" s="8" t="s">
        <v>834</v>
      </c>
      <c r="I126" s="8" t="s">
        <v>836</v>
      </c>
      <c r="J126" s="8" t="s">
        <v>837</v>
      </c>
      <c r="K126" s="8" t="s">
        <v>240</v>
      </c>
      <c r="L126" s="8">
        <v>4012</v>
      </c>
      <c r="M126" s="8" t="s">
        <v>61</v>
      </c>
      <c r="N126" s="8" t="s">
        <v>110</v>
      </c>
      <c r="R126" s="8" t="s">
        <v>838</v>
      </c>
      <c r="S126" s="8">
        <v>422213642</v>
      </c>
      <c r="T126" s="8" t="s">
        <v>839</v>
      </c>
      <c r="AC126" s="8" t="s">
        <v>153</v>
      </c>
      <c r="AF126" s="9">
        <v>31700</v>
      </c>
      <c r="AG126" s="10">
        <v>1.5</v>
      </c>
      <c r="AJ126" s="9">
        <v>42289</v>
      </c>
      <c r="AK126" s="11">
        <v>0.29166666666666669</v>
      </c>
      <c r="AP126" s="8" t="s">
        <v>113</v>
      </c>
      <c r="AS126" s="8" t="s">
        <v>113</v>
      </c>
      <c r="AY126" s="8" t="s">
        <v>113</v>
      </c>
      <c r="CF126" s="9"/>
      <c r="CG126" s="10"/>
      <c r="CJ126" s="9"/>
      <c r="CK126" s="11"/>
    </row>
    <row r="127" spans="1:102">
      <c r="D127" s="8" t="s">
        <v>840</v>
      </c>
    </row>
    <row r="128" spans="1:102">
      <c r="A128" s="8">
        <v>18706</v>
      </c>
      <c r="B128" s="8" t="s">
        <v>841</v>
      </c>
      <c r="C128" s="8" t="s">
        <v>842</v>
      </c>
      <c r="D128" s="8" t="s">
        <v>843</v>
      </c>
      <c r="E128" s="8" t="s">
        <v>148</v>
      </c>
      <c r="F128" s="8" t="s">
        <v>274</v>
      </c>
      <c r="G128" s="8" t="s">
        <v>843</v>
      </c>
      <c r="I128" s="8" t="s">
        <v>844</v>
      </c>
      <c r="J128" s="8" t="s">
        <v>845</v>
      </c>
      <c r="K128" s="8" t="s">
        <v>122</v>
      </c>
      <c r="L128" s="8">
        <v>2198</v>
      </c>
      <c r="O128" s="8">
        <v>432593380</v>
      </c>
      <c r="R128" s="8" t="s">
        <v>846</v>
      </c>
      <c r="S128" s="8">
        <v>417420735</v>
      </c>
      <c r="T128" s="8" t="s">
        <v>847</v>
      </c>
      <c r="AC128" s="8" t="s">
        <v>153</v>
      </c>
      <c r="AF128" s="9">
        <v>29543</v>
      </c>
      <c r="AG128" s="10">
        <v>1.715972222222222</v>
      </c>
      <c r="AJ128" s="9">
        <v>42296</v>
      </c>
      <c r="AK128" s="11">
        <v>8.9583333333333334E-2</v>
      </c>
      <c r="AT128" s="9">
        <v>43315</v>
      </c>
      <c r="AU128" s="8" t="s">
        <v>114</v>
      </c>
      <c r="AV128" s="8" t="s">
        <v>115</v>
      </c>
      <c r="AW128" s="10">
        <v>1.5472222222222223</v>
      </c>
      <c r="AX128" s="11">
        <v>8.9583333333333334E-2</v>
      </c>
      <c r="CF128" s="9"/>
      <c r="CG128" s="10"/>
      <c r="CJ128" s="9"/>
      <c r="CK128" s="11"/>
      <c r="CT128" s="9"/>
      <c r="CW128" s="10"/>
      <c r="CX128" s="11"/>
    </row>
    <row r="129" spans="1:102">
      <c r="A129" s="8">
        <v>18712</v>
      </c>
      <c r="B129" s="8" t="s">
        <v>848</v>
      </c>
      <c r="C129" s="8" t="s">
        <v>849</v>
      </c>
      <c r="D129" s="8" t="s">
        <v>850</v>
      </c>
      <c r="E129" s="8" t="s">
        <v>106</v>
      </c>
      <c r="F129" s="8" t="s">
        <v>851</v>
      </c>
      <c r="G129" s="8" t="s">
        <v>850</v>
      </c>
      <c r="I129" s="8" t="s">
        <v>852</v>
      </c>
      <c r="J129" s="8" t="s">
        <v>853</v>
      </c>
      <c r="K129" s="8" t="s">
        <v>122</v>
      </c>
      <c r="L129" s="8">
        <v>2761</v>
      </c>
      <c r="R129" s="8" t="s">
        <v>854</v>
      </c>
      <c r="S129" s="8">
        <v>404452901</v>
      </c>
      <c r="T129" s="8" t="s">
        <v>855</v>
      </c>
      <c r="AC129" s="8" t="s">
        <v>56</v>
      </c>
      <c r="AF129" s="9">
        <v>30710</v>
      </c>
      <c r="AG129" s="10">
        <v>1.5895833333333333</v>
      </c>
      <c r="AJ129" s="9">
        <v>42348</v>
      </c>
      <c r="AK129" s="11">
        <v>0.1277777777777778</v>
      </c>
      <c r="AP129" s="8" t="s">
        <v>4</v>
      </c>
      <c r="AS129" s="8" t="s">
        <v>113</v>
      </c>
      <c r="AT129" s="9">
        <v>43573</v>
      </c>
      <c r="AU129" s="8" t="s">
        <v>114</v>
      </c>
      <c r="AV129" s="8" t="s">
        <v>115</v>
      </c>
      <c r="AW129" s="10">
        <v>1.4597222222222221</v>
      </c>
      <c r="AX129" s="11">
        <v>0.1277777777777778</v>
      </c>
      <c r="AY129" s="8" t="s">
        <v>113</v>
      </c>
      <c r="CF129" s="9"/>
      <c r="CG129" s="10"/>
      <c r="CJ129" s="9"/>
      <c r="CK129" s="11"/>
      <c r="CT129" s="9"/>
      <c r="CW129" s="10"/>
      <c r="CX129" s="11"/>
    </row>
    <row r="130" spans="1:102">
      <c r="D130" s="8" t="s">
        <v>856</v>
      </c>
    </row>
    <row r="131" spans="1:102">
      <c r="A131" s="8">
        <v>18713</v>
      </c>
      <c r="B131" s="8" t="s">
        <v>857</v>
      </c>
      <c r="C131" s="8" t="s">
        <v>858</v>
      </c>
      <c r="D131" s="8" t="s">
        <v>859</v>
      </c>
      <c r="E131" s="8" t="s">
        <v>106</v>
      </c>
      <c r="F131" s="8" t="s">
        <v>860</v>
      </c>
      <c r="G131" s="8" t="s">
        <v>859</v>
      </c>
      <c r="I131" s="8" t="s">
        <v>861</v>
      </c>
      <c r="J131" s="8" t="s">
        <v>862</v>
      </c>
      <c r="K131" s="8" t="s">
        <v>240</v>
      </c>
      <c r="L131" s="8">
        <v>4118</v>
      </c>
      <c r="M131" s="8" t="s">
        <v>61</v>
      </c>
      <c r="N131" s="8" t="s">
        <v>110</v>
      </c>
      <c r="R131" s="8" t="s">
        <v>863</v>
      </c>
      <c r="S131" s="8">
        <v>400529009</v>
      </c>
      <c r="T131" s="8" t="s">
        <v>864</v>
      </c>
      <c r="AC131" s="8" t="s">
        <v>56</v>
      </c>
      <c r="AF131" s="9">
        <v>28614</v>
      </c>
      <c r="AG131" s="10">
        <v>1.8368055555555556</v>
      </c>
      <c r="AJ131" s="9">
        <v>42352</v>
      </c>
      <c r="AK131" s="11">
        <v>0.25694444444444448</v>
      </c>
      <c r="AP131" s="8" t="s">
        <v>113</v>
      </c>
      <c r="AQ131" s="8" t="s">
        <v>4</v>
      </c>
      <c r="AR131" s="8" t="s">
        <v>4</v>
      </c>
      <c r="AS131" s="8" t="s">
        <v>4</v>
      </c>
      <c r="AY131" s="8" t="s">
        <v>113</v>
      </c>
      <c r="CF131" s="9"/>
      <c r="CG131" s="10"/>
      <c r="CJ131" s="9"/>
      <c r="CK131" s="11"/>
    </row>
    <row r="132" spans="1:102">
      <c r="D132" s="8" t="s">
        <v>865</v>
      </c>
    </row>
    <row r="133" spans="1:102">
      <c r="A133" s="8">
        <v>18714</v>
      </c>
      <c r="B133" s="8" t="s">
        <v>866</v>
      </c>
      <c r="C133" s="8" t="s">
        <v>867</v>
      </c>
      <c r="D133" s="8" t="s">
        <v>868</v>
      </c>
      <c r="E133" s="8" t="s">
        <v>148</v>
      </c>
      <c r="F133" s="8" t="s">
        <v>869</v>
      </c>
      <c r="G133" s="8" t="s">
        <v>868</v>
      </c>
      <c r="I133" s="8" t="s">
        <v>870</v>
      </c>
      <c r="J133" s="8" t="s">
        <v>871</v>
      </c>
      <c r="K133" s="8" t="s">
        <v>122</v>
      </c>
      <c r="L133" s="8">
        <v>2144</v>
      </c>
      <c r="R133" s="8" t="s">
        <v>872</v>
      </c>
      <c r="S133" s="8">
        <v>421061186</v>
      </c>
      <c r="T133" s="8" t="s">
        <v>873</v>
      </c>
      <c r="AC133" s="8" t="s">
        <v>153</v>
      </c>
      <c r="AF133" s="9">
        <v>33928</v>
      </c>
      <c r="AG133" s="10">
        <v>1.2159722222222222</v>
      </c>
      <c r="AJ133" s="9">
        <v>42373</v>
      </c>
      <c r="AK133" s="11">
        <v>8.8888888888888892E-2</v>
      </c>
      <c r="AT133" s="9">
        <v>43372</v>
      </c>
      <c r="AU133" s="8" t="s">
        <v>114</v>
      </c>
      <c r="AV133" s="8" t="s">
        <v>115</v>
      </c>
      <c r="AW133" s="10">
        <v>1.0486111111111112</v>
      </c>
      <c r="AX133" s="11">
        <v>8.8888888888888892E-2</v>
      </c>
      <c r="CF133" s="9"/>
      <c r="CG133" s="10"/>
      <c r="CJ133" s="9"/>
      <c r="CK133" s="11"/>
      <c r="CT133" s="9"/>
      <c r="CW133" s="10"/>
      <c r="CX133" s="11"/>
    </row>
    <row r="134" spans="1:102">
      <c r="D134" s="8" t="s">
        <v>874</v>
      </c>
    </row>
    <row r="135" spans="1:102">
      <c r="A135" s="8">
        <v>18716</v>
      </c>
      <c r="B135" s="8" t="s">
        <v>875</v>
      </c>
      <c r="C135" s="8" t="s">
        <v>876</v>
      </c>
      <c r="D135" s="8" t="s">
        <v>877</v>
      </c>
      <c r="E135" s="8" t="s">
        <v>148</v>
      </c>
      <c r="F135" s="8" t="s">
        <v>368</v>
      </c>
      <c r="G135" s="8" t="s">
        <v>877</v>
      </c>
      <c r="I135" s="8" t="s">
        <v>878</v>
      </c>
      <c r="J135" s="8" t="s">
        <v>879</v>
      </c>
      <c r="K135" s="8" t="s">
        <v>240</v>
      </c>
      <c r="L135" s="8">
        <v>4210</v>
      </c>
      <c r="M135" s="8" t="s">
        <v>61</v>
      </c>
      <c r="N135" s="8" t="s">
        <v>110</v>
      </c>
      <c r="R135" s="8" t="s">
        <v>880</v>
      </c>
      <c r="S135" s="8">
        <v>417246986</v>
      </c>
      <c r="T135" s="8" t="s">
        <v>881</v>
      </c>
      <c r="AC135" s="8" t="s">
        <v>153</v>
      </c>
      <c r="AF135" s="9">
        <v>29062</v>
      </c>
      <c r="AG135" s="10">
        <v>1.79375</v>
      </c>
      <c r="AJ135" s="9">
        <v>42380</v>
      </c>
      <c r="AK135" s="11">
        <v>0.25625000000000003</v>
      </c>
      <c r="AP135" s="8" t="s">
        <v>113</v>
      </c>
      <c r="AQ135" s="8" t="s">
        <v>4</v>
      </c>
      <c r="AR135" s="8" t="s">
        <v>4</v>
      </c>
      <c r="AS135" s="8" t="s">
        <v>4</v>
      </c>
      <c r="AY135" s="8" t="s">
        <v>113</v>
      </c>
      <c r="AZ135" s="8" t="s">
        <v>4</v>
      </c>
      <c r="CF135" s="9"/>
      <c r="CG135" s="10"/>
      <c r="CJ135" s="9"/>
      <c r="CK135" s="11"/>
    </row>
    <row r="136" spans="1:102">
      <c r="A136" s="8">
        <v>18719</v>
      </c>
      <c r="B136" s="8" t="s">
        <v>882</v>
      </c>
      <c r="C136" s="8" t="s">
        <v>883</v>
      </c>
      <c r="D136" s="8" t="s">
        <v>884</v>
      </c>
      <c r="E136" s="8" t="s">
        <v>106</v>
      </c>
      <c r="F136" s="8" t="s">
        <v>644</v>
      </c>
      <c r="G136" s="8" t="s">
        <v>884</v>
      </c>
      <c r="I136" s="8" t="s">
        <v>885</v>
      </c>
      <c r="J136" s="8" t="s">
        <v>886</v>
      </c>
      <c r="K136" s="8" t="s">
        <v>122</v>
      </c>
      <c r="L136" s="8">
        <v>2756</v>
      </c>
      <c r="O136" s="8">
        <v>245765284</v>
      </c>
      <c r="R136" s="8" t="s">
        <v>887</v>
      </c>
      <c r="S136" s="8">
        <v>447883132</v>
      </c>
      <c r="T136" s="8" t="s">
        <v>888</v>
      </c>
      <c r="AC136" s="8" t="s">
        <v>56</v>
      </c>
      <c r="AF136" s="9">
        <v>27246</v>
      </c>
      <c r="AG136" s="10">
        <v>2.0013888888888887</v>
      </c>
      <c r="AJ136" s="9">
        <v>42401</v>
      </c>
      <c r="AK136" s="11">
        <v>0.12638888888888888</v>
      </c>
      <c r="AP136" s="8" t="s">
        <v>4</v>
      </c>
      <c r="AT136" s="9">
        <v>43579</v>
      </c>
      <c r="AU136" s="8" t="s">
        <v>114</v>
      </c>
      <c r="AV136" s="8" t="s">
        <v>115</v>
      </c>
      <c r="AW136" s="10">
        <v>1.8388888888888888</v>
      </c>
      <c r="AX136" s="11">
        <v>0.12638888888888888</v>
      </c>
      <c r="CF136" s="9"/>
      <c r="CG136" s="10"/>
      <c r="CJ136" s="9"/>
      <c r="CK136" s="11"/>
      <c r="CT136" s="9"/>
      <c r="CW136" s="10"/>
      <c r="CX136" s="11"/>
    </row>
    <row r="137" spans="1:102">
      <c r="A137" s="8">
        <v>18720</v>
      </c>
      <c r="B137" s="8" t="s">
        <v>889</v>
      </c>
      <c r="C137" s="8" t="s">
        <v>890</v>
      </c>
      <c r="D137" s="8" t="s">
        <v>891</v>
      </c>
      <c r="E137" s="8" t="s">
        <v>376</v>
      </c>
      <c r="F137" s="8" t="s">
        <v>892</v>
      </c>
      <c r="G137" s="8" t="s">
        <v>891</v>
      </c>
      <c r="I137" s="8" t="s">
        <v>893</v>
      </c>
      <c r="J137" s="8" t="s">
        <v>894</v>
      </c>
      <c r="K137" s="8" t="s">
        <v>60</v>
      </c>
      <c r="L137" s="8">
        <v>3196</v>
      </c>
      <c r="R137" s="8" t="s">
        <v>895</v>
      </c>
      <c r="S137" s="8">
        <v>431126249</v>
      </c>
      <c r="T137" s="8" t="s">
        <v>896</v>
      </c>
      <c r="AC137" s="8" t="s">
        <v>56</v>
      </c>
      <c r="AF137" s="9">
        <v>32570</v>
      </c>
      <c r="AG137" s="10">
        <v>1.3798611111111112</v>
      </c>
      <c r="AJ137" s="9">
        <v>42404</v>
      </c>
      <c r="AK137" s="11">
        <v>0.12916666666666668</v>
      </c>
      <c r="AP137" s="8" t="s">
        <v>4</v>
      </c>
      <c r="AT137" s="9">
        <v>43683</v>
      </c>
      <c r="AU137" s="8" t="s">
        <v>185</v>
      </c>
      <c r="AV137" s="8" t="s">
        <v>186</v>
      </c>
      <c r="AW137" s="10">
        <v>1.2534722222222221</v>
      </c>
      <c r="AX137" s="11">
        <v>0.12916666666666668</v>
      </c>
      <c r="CF137" s="9"/>
      <c r="CG137" s="10"/>
      <c r="CJ137" s="9"/>
      <c r="CK137" s="11"/>
      <c r="CT137" s="9"/>
      <c r="CW137" s="10"/>
      <c r="CX137" s="11"/>
    </row>
    <row r="138" spans="1:102">
      <c r="D138" s="8" t="s">
        <v>897</v>
      </c>
    </row>
    <row r="139" spans="1:102">
      <c r="A139" s="8">
        <v>18721</v>
      </c>
      <c r="B139" s="8" t="s">
        <v>898</v>
      </c>
      <c r="C139" s="8" t="s">
        <v>899</v>
      </c>
      <c r="D139" s="8" t="s">
        <v>900</v>
      </c>
      <c r="E139" s="8" t="s">
        <v>106</v>
      </c>
      <c r="F139" s="8" t="s">
        <v>901</v>
      </c>
      <c r="G139" s="8" t="s">
        <v>900</v>
      </c>
      <c r="I139" s="8" t="s">
        <v>902</v>
      </c>
      <c r="J139" s="8" t="s">
        <v>903</v>
      </c>
      <c r="K139" s="8" t="s">
        <v>60</v>
      </c>
      <c r="L139" s="8">
        <v>3138</v>
      </c>
      <c r="M139" s="8" t="s">
        <v>61</v>
      </c>
      <c r="N139" s="8" t="s">
        <v>110</v>
      </c>
      <c r="R139" s="8" t="s">
        <v>904</v>
      </c>
      <c r="S139" s="8">
        <v>416161126</v>
      </c>
      <c r="T139" s="8" t="s">
        <v>905</v>
      </c>
      <c r="AC139" s="8" t="s">
        <v>56</v>
      </c>
      <c r="AF139" s="9">
        <v>23185</v>
      </c>
      <c r="AG139" s="10">
        <v>2.4611111111111112</v>
      </c>
      <c r="AJ139" s="9">
        <v>42415</v>
      </c>
      <c r="AK139" s="11">
        <v>0.25555555555555559</v>
      </c>
      <c r="AP139" s="8" t="s">
        <v>113</v>
      </c>
      <c r="AQ139" s="8" t="s">
        <v>4</v>
      </c>
      <c r="AR139" s="8" t="s">
        <v>4</v>
      </c>
      <c r="AS139" s="8" t="s">
        <v>4</v>
      </c>
      <c r="CF139" s="9"/>
      <c r="CG139" s="10"/>
      <c r="CJ139" s="9"/>
      <c r="CK139" s="11"/>
    </row>
    <row r="140" spans="1:102">
      <c r="D140" s="8" t="s">
        <v>906</v>
      </c>
    </row>
    <row r="141" spans="1:102">
      <c r="A141" s="8">
        <v>18723</v>
      </c>
      <c r="B141" s="8" t="s">
        <v>907</v>
      </c>
      <c r="C141" s="8" t="s">
        <v>908</v>
      </c>
      <c r="D141" s="8" t="s">
        <v>909</v>
      </c>
      <c r="E141" s="8" t="s">
        <v>376</v>
      </c>
      <c r="F141" s="8" t="s">
        <v>635</v>
      </c>
      <c r="G141" s="8" t="s">
        <v>909</v>
      </c>
      <c r="I141" s="8" t="s">
        <v>910</v>
      </c>
      <c r="J141" s="8" t="s">
        <v>911</v>
      </c>
      <c r="K141" s="8" t="s">
        <v>122</v>
      </c>
      <c r="L141" s="8">
        <v>2114</v>
      </c>
      <c r="R141" s="8" t="s">
        <v>912</v>
      </c>
      <c r="S141" s="8">
        <v>422100946</v>
      </c>
      <c r="T141" s="8" t="s">
        <v>913</v>
      </c>
      <c r="AC141" s="8" t="s">
        <v>56</v>
      </c>
      <c r="AF141" s="9">
        <v>34829</v>
      </c>
      <c r="AG141" s="10">
        <v>1.1284722222222221</v>
      </c>
      <c r="AJ141" s="9">
        <v>42443</v>
      </c>
      <c r="AK141" s="11">
        <v>8.6805555555555566E-2</v>
      </c>
      <c r="AT141" s="9">
        <v>43336</v>
      </c>
      <c r="AU141" s="8" t="s">
        <v>114</v>
      </c>
      <c r="AV141" s="8" t="s">
        <v>115</v>
      </c>
      <c r="AW141" s="11">
        <v>0.9604166666666667</v>
      </c>
      <c r="AX141" s="11">
        <v>8.6805555555555566E-2</v>
      </c>
      <c r="CF141" s="9"/>
      <c r="CG141" s="10"/>
      <c r="CJ141" s="9"/>
      <c r="CK141" s="11"/>
      <c r="CT141" s="9"/>
      <c r="CW141" s="11"/>
      <c r="CX141" s="11"/>
    </row>
    <row r="142" spans="1:102">
      <c r="D142" s="8" t="s">
        <v>914</v>
      </c>
    </row>
    <row r="143" spans="1:102">
      <c r="A143" s="8">
        <v>18726</v>
      </c>
      <c r="B143" s="8" t="s">
        <v>915</v>
      </c>
      <c r="C143" s="8" t="s">
        <v>916</v>
      </c>
      <c r="D143" s="8" t="s">
        <v>917</v>
      </c>
      <c r="E143" s="8" t="s">
        <v>139</v>
      </c>
      <c r="F143" s="8" t="s">
        <v>644</v>
      </c>
      <c r="G143" s="8" t="s">
        <v>917</v>
      </c>
      <c r="I143" s="8" t="s">
        <v>918</v>
      </c>
      <c r="J143" s="8" t="s">
        <v>919</v>
      </c>
      <c r="K143" s="8" t="s">
        <v>60</v>
      </c>
      <c r="L143" s="8">
        <v>3193</v>
      </c>
      <c r="M143" s="8" t="s">
        <v>61</v>
      </c>
      <c r="N143" s="8" t="s">
        <v>110</v>
      </c>
      <c r="R143" s="8" t="s">
        <v>920</v>
      </c>
      <c r="S143" s="8">
        <v>437321439</v>
      </c>
      <c r="T143" s="8" t="s">
        <v>921</v>
      </c>
      <c r="AC143" s="8" t="s">
        <v>56</v>
      </c>
      <c r="AF143" s="9">
        <v>24462</v>
      </c>
      <c r="AG143" s="10">
        <v>2.2986111111111112</v>
      </c>
      <c r="AJ143" s="9">
        <v>42471</v>
      </c>
      <c r="AK143" s="11">
        <v>0.25416666666666665</v>
      </c>
      <c r="AP143" s="8" t="s">
        <v>113</v>
      </c>
      <c r="CF143" s="9"/>
      <c r="CG143" s="10"/>
      <c r="CJ143" s="9"/>
      <c r="CK143" s="11"/>
    </row>
    <row r="144" spans="1:102">
      <c r="A144" s="8">
        <v>18727</v>
      </c>
      <c r="B144" s="8" t="s">
        <v>922</v>
      </c>
      <c r="C144" s="8" t="s">
        <v>923</v>
      </c>
      <c r="D144" s="8" t="s">
        <v>924</v>
      </c>
      <c r="E144" s="8" t="s">
        <v>106</v>
      </c>
      <c r="F144" s="8" t="s">
        <v>925</v>
      </c>
      <c r="G144" s="8" t="s">
        <v>924</v>
      </c>
      <c r="I144" s="8" t="s">
        <v>926</v>
      </c>
      <c r="J144" s="8" t="s">
        <v>756</v>
      </c>
      <c r="K144" s="8" t="s">
        <v>60</v>
      </c>
      <c r="L144" s="8">
        <v>3136</v>
      </c>
      <c r="O144" s="8">
        <v>397258518</v>
      </c>
      <c r="R144" s="8" t="s">
        <v>927</v>
      </c>
      <c r="S144" s="8">
        <v>416046723</v>
      </c>
      <c r="T144" s="8" t="s">
        <v>928</v>
      </c>
      <c r="AC144" s="8" t="s">
        <v>56</v>
      </c>
      <c r="AF144" s="9">
        <v>24908</v>
      </c>
      <c r="AG144" s="10">
        <v>2.254861111111111</v>
      </c>
      <c r="AJ144" s="9">
        <v>42500</v>
      </c>
      <c r="AK144" s="11">
        <v>0.125</v>
      </c>
      <c r="AP144" s="8" t="s">
        <v>4</v>
      </c>
      <c r="AT144" s="9">
        <v>43623</v>
      </c>
      <c r="AU144" s="8" t="s">
        <v>114</v>
      </c>
      <c r="AV144" s="8" t="s">
        <v>115</v>
      </c>
      <c r="AW144" s="10">
        <v>2.1263888888888887</v>
      </c>
      <c r="AX144" s="11">
        <v>0.125</v>
      </c>
      <c r="CF144" s="9"/>
      <c r="CG144" s="10"/>
      <c r="CJ144" s="9"/>
      <c r="CK144" s="11"/>
      <c r="CT144" s="9"/>
      <c r="CW144" s="10"/>
      <c r="CX144" s="11"/>
    </row>
    <row r="145" spans="1:102">
      <c r="D145" s="8" t="s">
        <v>929</v>
      </c>
    </row>
    <row r="146" spans="1:102">
      <c r="A146" s="8">
        <v>18728</v>
      </c>
      <c r="B146" s="8" t="s">
        <v>930</v>
      </c>
      <c r="C146" s="8" t="s">
        <v>931</v>
      </c>
      <c r="D146" s="8" t="s">
        <v>932</v>
      </c>
      <c r="E146" s="8" t="s">
        <v>148</v>
      </c>
      <c r="F146" s="8" t="s">
        <v>933</v>
      </c>
      <c r="G146" s="8" t="s">
        <v>934</v>
      </c>
      <c r="I146" s="8" t="s">
        <v>935</v>
      </c>
      <c r="J146" s="8" t="s">
        <v>936</v>
      </c>
      <c r="K146" s="8" t="s">
        <v>60</v>
      </c>
      <c r="L146" s="8">
        <v>3109</v>
      </c>
      <c r="M146" s="8" t="s">
        <v>61</v>
      </c>
      <c r="N146" s="8" t="s">
        <v>110</v>
      </c>
      <c r="R146" s="8" t="s">
        <v>937</v>
      </c>
      <c r="S146" s="8">
        <v>439806503</v>
      </c>
      <c r="AC146" s="8" t="s">
        <v>153</v>
      </c>
      <c r="AF146" s="9">
        <v>29588</v>
      </c>
      <c r="AG146" s="10">
        <v>1.7145833333333333</v>
      </c>
      <c r="AJ146" s="9">
        <v>42506</v>
      </c>
      <c r="AK146" s="11">
        <v>0.13194444444444445</v>
      </c>
      <c r="AP146" s="8" t="s">
        <v>113</v>
      </c>
      <c r="AT146" s="9">
        <v>43906</v>
      </c>
      <c r="AU146" s="8" t="s">
        <v>185</v>
      </c>
      <c r="AV146" s="8" t="s">
        <v>186</v>
      </c>
      <c r="AW146" s="10">
        <v>1.6263888888888889</v>
      </c>
      <c r="AX146" s="11">
        <v>0.13125000000000001</v>
      </c>
      <c r="CF146" s="9"/>
      <c r="CG146" s="10"/>
      <c r="CJ146" s="9"/>
      <c r="CK146" s="11"/>
      <c r="CT146" s="9"/>
      <c r="CW146" s="10"/>
      <c r="CX146" s="11"/>
    </row>
    <row r="147" spans="1:102">
      <c r="A147" s="8">
        <v>18729</v>
      </c>
      <c r="B147" s="8" t="s">
        <v>938</v>
      </c>
      <c r="C147" s="8" t="s">
        <v>939</v>
      </c>
      <c r="D147" s="8" t="s">
        <v>940</v>
      </c>
      <c r="E147" s="8" t="s">
        <v>376</v>
      </c>
      <c r="F147" s="8" t="s">
        <v>869</v>
      </c>
      <c r="G147" s="8" t="s">
        <v>941</v>
      </c>
      <c r="I147" s="8" t="s">
        <v>942</v>
      </c>
      <c r="J147" s="8" t="s">
        <v>943</v>
      </c>
      <c r="K147" s="8" t="s">
        <v>60</v>
      </c>
      <c r="L147" s="8">
        <v>3088</v>
      </c>
      <c r="M147" s="8" t="s">
        <v>61</v>
      </c>
      <c r="N147" s="8" t="s">
        <v>110</v>
      </c>
      <c r="R147" s="8" t="s">
        <v>944</v>
      </c>
      <c r="S147" s="8">
        <v>412556666</v>
      </c>
      <c r="T147" s="8" t="s">
        <v>945</v>
      </c>
      <c r="U147" s="8" t="s">
        <v>946</v>
      </c>
      <c r="V147" s="8">
        <v>2132</v>
      </c>
      <c r="W147" s="8" t="s">
        <v>942</v>
      </c>
      <c r="X147" s="8" t="s">
        <v>943</v>
      </c>
      <c r="Y147" s="8" t="s">
        <v>60</v>
      </c>
      <c r="Z147" s="8">
        <v>3088</v>
      </c>
      <c r="AA147" s="8" t="s">
        <v>61</v>
      </c>
      <c r="AB147" s="8" t="s">
        <v>110</v>
      </c>
      <c r="AC147" s="8" t="s">
        <v>56</v>
      </c>
      <c r="AF147" s="9">
        <v>26733</v>
      </c>
      <c r="AG147" s="10">
        <v>2.0465277777777779</v>
      </c>
      <c r="AJ147" s="9">
        <v>42513</v>
      </c>
      <c r="AK147" s="11">
        <v>0.21527777777777779</v>
      </c>
      <c r="AP147" s="8" t="s">
        <v>113</v>
      </c>
      <c r="AT147" s="9">
        <v>44645</v>
      </c>
      <c r="AU147" s="8" t="s">
        <v>114</v>
      </c>
      <c r="AV147" s="8" t="s">
        <v>115</v>
      </c>
      <c r="AW147" s="10">
        <v>2.0416666666666665</v>
      </c>
      <c r="AX147" s="11">
        <v>0.21527777777777779</v>
      </c>
      <c r="CF147" s="9"/>
      <c r="CG147" s="10"/>
      <c r="CJ147" s="9"/>
      <c r="CK147" s="11"/>
      <c r="CT147" s="9"/>
      <c r="CW147" s="10"/>
      <c r="CX147" s="11"/>
    </row>
    <row r="148" spans="1:102">
      <c r="D148" s="8" t="s">
        <v>484</v>
      </c>
    </row>
    <row r="149" spans="1:102">
      <c r="A149" s="8">
        <v>18730</v>
      </c>
      <c r="B149" s="8" t="s">
        <v>947</v>
      </c>
      <c r="C149" s="8" t="s">
        <v>948</v>
      </c>
      <c r="D149" s="8" t="s">
        <v>949</v>
      </c>
      <c r="E149" s="8" t="s">
        <v>139</v>
      </c>
      <c r="F149" s="8" t="s">
        <v>950</v>
      </c>
      <c r="G149" s="8" t="s">
        <v>949</v>
      </c>
      <c r="I149" s="8" t="s">
        <v>951</v>
      </c>
      <c r="J149" s="8" t="s">
        <v>952</v>
      </c>
      <c r="K149" s="8" t="s">
        <v>122</v>
      </c>
      <c r="L149" s="8">
        <v>2150</v>
      </c>
      <c r="R149" s="8" t="s">
        <v>953</v>
      </c>
      <c r="S149" s="8">
        <v>404190772</v>
      </c>
      <c r="T149" s="8" t="s">
        <v>954</v>
      </c>
      <c r="AC149" s="8" t="s">
        <v>56</v>
      </c>
      <c r="AF149" s="9">
        <v>29701</v>
      </c>
      <c r="AG149" s="10">
        <v>1.7125000000000001</v>
      </c>
      <c r="AJ149" s="9">
        <v>42527</v>
      </c>
      <c r="AK149" s="11">
        <v>8.8888888888888892E-2</v>
      </c>
      <c r="AT149" s="9">
        <v>43515</v>
      </c>
      <c r="AU149" s="8" t="s">
        <v>114</v>
      </c>
      <c r="AV149" s="8" t="s">
        <v>115</v>
      </c>
      <c r="AW149" s="10">
        <v>1.5479166666666666</v>
      </c>
      <c r="AX149" s="11">
        <v>8.8888888888888892E-2</v>
      </c>
      <c r="CF149" s="9"/>
      <c r="CG149" s="10"/>
      <c r="CJ149" s="9"/>
      <c r="CK149" s="11"/>
      <c r="CT149" s="9"/>
      <c r="CW149" s="10"/>
      <c r="CX149" s="11"/>
    </row>
    <row r="150" spans="1:102">
      <c r="D150" s="8" t="s">
        <v>955</v>
      </c>
    </row>
    <row r="151" spans="1:102">
      <c r="A151" s="8">
        <v>18733</v>
      </c>
      <c r="B151" s="8" t="s">
        <v>956</v>
      </c>
      <c r="C151" s="8" t="s">
        <v>957</v>
      </c>
      <c r="D151" s="8" t="s">
        <v>958</v>
      </c>
      <c r="E151" s="8" t="s">
        <v>106</v>
      </c>
      <c r="F151" s="8" t="s">
        <v>959</v>
      </c>
      <c r="G151" s="8" t="s">
        <v>958</v>
      </c>
      <c r="I151" s="8" t="s">
        <v>960</v>
      </c>
      <c r="J151" s="8" t="s">
        <v>523</v>
      </c>
      <c r="K151" s="8" t="s">
        <v>122</v>
      </c>
      <c r="L151" s="8">
        <v>2174</v>
      </c>
      <c r="M151" s="8" t="s">
        <v>61</v>
      </c>
      <c r="N151" s="8" t="s">
        <v>110</v>
      </c>
      <c r="R151" s="8" t="s">
        <v>961</v>
      </c>
      <c r="S151" s="8">
        <v>403144465</v>
      </c>
      <c r="T151" s="8" t="s">
        <v>962</v>
      </c>
      <c r="AC151" s="8" t="s">
        <v>56</v>
      </c>
      <c r="AF151" s="9">
        <v>29455</v>
      </c>
      <c r="AG151" s="10">
        <v>1.7513888888888889</v>
      </c>
      <c r="AJ151" s="9">
        <v>42562</v>
      </c>
      <c r="AK151" s="11">
        <v>0.25208333333333333</v>
      </c>
      <c r="AP151" s="8" t="s">
        <v>113</v>
      </c>
      <c r="AS151" s="8" t="s">
        <v>113</v>
      </c>
      <c r="AY151" s="8" t="s">
        <v>113</v>
      </c>
      <c r="CF151" s="9"/>
      <c r="CG151" s="10"/>
      <c r="CJ151" s="9"/>
      <c r="CK151" s="11"/>
    </row>
    <row r="152" spans="1:102">
      <c r="D152" s="8" t="s">
        <v>963</v>
      </c>
    </row>
    <row r="153" spans="1:102">
      <c r="A153" s="8">
        <v>18734</v>
      </c>
      <c r="B153" s="8" t="s">
        <v>964</v>
      </c>
      <c r="C153" s="8" t="s">
        <v>965</v>
      </c>
      <c r="D153" s="8" t="s">
        <v>966</v>
      </c>
      <c r="E153" s="8" t="s">
        <v>148</v>
      </c>
      <c r="F153" s="8" t="s">
        <v>967</v>
      </c>
      <c r="G153" s="8" t="s">
        <v>966</v>
      </c>
      <c r="I153" s="8" t="s">
        <v>968</v>
      </c>
      <c r="J153" s="8" t="s">
        <v>969</v>
      </c>
      <c r="K153" s="8" t="s">
        <v>240</v>
      </c>
      <c r="L153" s="8">
        <v>4502</v>
      </c>
      <c r="R153" s="8" t="s">
        <v>970</v>
      </c>
      <c r="S153" s="8">
        <v>405354655</v>
      </c>
      <c r="T153" s="8" t="s">
        <v>970</v>
      </c>
      <c r="AC153" s="8" t="s">
        <v>153</v>
      </c>
      <c r="AF153" s="9">
        <v>28433</v>
      </c>
      <c r="AG153" s="10">
        <v>1.840972222222222</v>
      </c>
      <c r="AJ153" s="9">
        <v>42569</v>
      </c>
      <c r="AK153" s="11">
        <v>0.16805555555555554</v>
      </c>
      <c r="AP153" s="8" t="s">
        <v>113</v>
      </c>
      <c r="AS153" s="8" t="s">
        <v>113</v>
      </c>
      <c r="AT153" s="9">
        <v>44104</v>
      </c>
      <c r="AU153" s="8" t="s">
        <v>114</v>
      </c>
      <c r="AV153" s="8" t="s">
        <v>115</v>
      </c>
      <c r="AW153" s="10">
        <v>1.7569444444444444</v>
      </c>
      <c r="AX153" s="11">
        <v>0.16805555555555554</v>
      </c>
      <c r="AY153" s="8" t="s">
        <v>113</v>
      </c>
      <c r="CF153" s="9"/>
      <c r="CG153" s="10"/>
      <c r="CJ153" s="9"/>
      <c r="CK153" s="11"/>
      <c r="CT153" s="9"/>
      <c r="CW153" s="10"/>
      <c r="CX153" s="11"/>
    </row>
    <row r="154" spans="1:102">
      <c r="D154" s="8" t="s">
        <v>696</v>
      </c>
    </row>
    <row r="155" spans="1:102">
      <c r="A155" s="8">
        <v>18736</v>
      </c>
      <c r="B155" s="8" t="s">
        <v>971</v>
      </c>
      <c r="C155" s="8" t="s">
        <v>972</v>
      </c>
      <c r="D155" s="8" t="s">
        <v>973</v>
      </c>
      <c r="E155" s="8" t="s">
        <v>106</v>
      </c>
      <c r="F155" s="8" t="s">
        <v>974</v>
      </c>
      <c r="G155" s="8" t="s">
        <v>973</v>
      </c>
      <c r="I155" s="8" t="s">
        <v>975</v>
      </c>
      <c r="J155" s="8" t="s">
        <v>976</v>
      </c>
      <c r="K155" s="8" t="s">
        <v>60</v>
      </c>
      <c r="L155" s="8">
        <v>3152</v>
      </c>
      <c r="M155" s="8" t="s">
        <v>61</v>
      </c>
      <c r="N155" s="8" t="s">
        <v>110</v>
      </c>
      <c r="R155" s="8" t="s">
        <v>977</v>
      </c>
      <c r="S155" s="8" t="s">
        <v>978</v>
      </c>
      <c r="T155" s="8" t="s">
        <v>979</v>
      </c>
      <c r="AC155" s="8" t="s">
        <v>56</v>
      </c>
      <c r="AF155" s="9">
        <v>26325</v>
      </c>
      <c r="AG155" s="10">
        <v>2.0895833333333331</v>
      </c>
      <c r="AJ155" s="9">
        <v>42618</v>
      </c>
      <c r="AK155" s="11">
        <v>0.25069444444444444</v>
      </c>
      <c r="AP155" s="8" t="s">
        <v>113</v>
      </c>
      <c r="AS155" s="8" t="s">
        <v>113</v>
      </c>
      <c r="AY155" s="8" t="s">
        <v>113</v>
      </c>
      <c r="CF155" s="9"/>
      <c r="CG155" s="10"/>
      <c r="CJ155" s="9"/>
      <c r="CK155" s="11"/>
    </row>
    <row r="156" spans="1:102">
      <c r="D156" s="8" t="s">
        <v>980</v>
      </c>
    </row>
    <row r="157" spans="1:102">
      <c r="A157" s="8">
        <v>18738</v>
      </c>
      <c r="B157" s="8" t="s">
        <v>981</v>
      </c>
      <c r="C157" s="8" t="s">
        <v>982</v>
      </c>
      <c r="D157" s="8" t="s">
        <v>983</v>
      </c>
      <c r="E157" s="8" t="s">
        <v>106</v>
      </c>
      <c r="F157" s="8" t="s">
        <v>984</v>
      </c>
      <c r="G157" s="8" t="s">
        <v>985</v>
      </c>
      <c r="I157" s="8" t="s">
        <v>986</v>
      </c>
      <c r="J157" s="8" t="s">
        <v>987</v>
      </c>
      <c r="K157" s="8" t="s">
        <v>60</v>
      </c>
      <c r="L157" s="8">
        <v>3806</v>
      </c>
      <c r="R157" s="8" t="s">
        <v>988</v>
      </c>
      <c r="S157" s="8">
        <v>430471300</v>
      </c>
      <c r="T157" s="8" t="s">
        <v>989</v>
      </c>
      <c r="AC157" s="8" t="s">
        <v>56</v>
      </c>
      <c r="AF157" s="9">
        <v>28022</v>
      </c>
      <c r="AG157" s="10">
        <v>1.9173611111111111</v>
      </c>
      <c r="AJ157" s="9">
        <v>42654</v>
      </c>
      <c r="AK157" s="11">
        <v>8.5416666666666655E-2</v>
      </c>
      <c r="AT157" s="9">
        <v>43491</v>
      </c>
      <c r="AU157" s="8" t="s">
        <v>185</v>
      </c>
      <c r="AV157" s="8" t="s">
        <v>186</v>
      </c>
      <c r="AW157" s="10">
        <v>1.752777777777778</v>
      </c>
      <c r="AX157" s="11">
        <v>8.5416666666666655E-2</v>
      </c>
      <c r="CF157" s="9"/>
      <c r="CG157" s="10"/>
      <c r="CJ157" s="9"/>
      <c r="CK157" s="11"/>
      <c r="CT157" s="9"/>
      <c r="CW157" s="10"/>
      <c r="CX157" s="11"/>
    </row>
    <row r="158" spans="1:102">
      <c r="A158" s="8">
        <v>18740</v>
      </c>
      <c r="B158" s="8" t="s">
        <v>990</v>
      </c>
      <c r="C158" s="8" t="s">
        <v>991</v>
      </c>
      <c r="D158" s="8" t="s">
        <v>992</v>
      </c>
      <c r="E158" s="8" t="s">
        <v>106</v>
      </c>
      <c r="F158" s="8" t="s">
        <v>993</v>
      </c>
      <c r="G158" s="8" t="s">
        <v>992</v>
      </c>
      <c r="I158" s="8" t="s">
        <v>994</v>
      </c>
      <c r="J158" s="8" t="s">
        <v>995</v>
      </c>
      <c r="K158" s="8" t="s">
        <v>60</v>
      </c>
      <c r="L158" s="8">
        <v>3752</v>
      </c>
      <c r="R158" s="8" t="s">
        <v>996</v>
      </c>
      <c r="S158" s="8">
        <v>430150848</v>
      </c>
      <c r="T158" s="8" t="s">
        <v>997</v>
      </c>
      <c r="AC158" s="8" t="s">
        <v>56</v>
      </c>
      <c r="AF158" s="9">
        <v>30500</v>
      </c>
      <c r="AG158" s="10">
        <v>1.6270833333333332</v>
      </c>
      <c r="AJ158" s="9">
        <v>42667</v>
      </c>
      <c r="AK158" s="11">
        <v>8.9583333333333334E-2</v>
      </c>
      <c r="AP158" s="8" t="s">
        <v>4</v>
      </c>
      <c r="AT158" s="9">
        <v>43683</v>
      </c>
      <c r="AU158" s="8" t="s">
        <v>185</v>
      </c>
      <c r="AV158" s="8" t="s">
        <v>186</v>
      </c>
      <c r="AW158" s="10">
        <v>1.5006944444444443</v>
      </c>
      <c r="AX158" s="11">
        <v>8.9583333333333334E-2</v>
      </c>
      <c r="CF158" s="9"/>
      <c r="CG158" s="10"/>
      <c r="CJ158" s="9"/>
      <c r="CK158" s="11"/>
      <c r="CT158" s="9"/>
      <c r="CW158" s="10"/>
      <c r="CX158" s="11"/>
    </row>
    <row r="159" spans="1:102">
      <c r="A159" s="8">
        <v>18741</v>
      </c>
      <c r="B159" s="8" t="s">
        <v>998</v>
      </c>
      <c r="C159" s="8" t="s">
        <v>787</v>
      </c>
      <c r="D159" s="8" t="s">
        <v>999</v>
      </c>
      <c r="E159" s="8" t="s">
        <v>139</v>
      </c>
      <c r="F159" s="8" t="s">
        <v>119</v>
      </c>
      <c r="G159" s="8" t="s">
        <v>1000</v>
      </c>
      <c r="I159" s="8" t="s">
        <v>1001</v>
      </c>
      <c r="J159" s="8" t="s">
        <v>764</v>
      </c>
      <c r="K159" s="8" t="s">
        <v>60</v>
      </c>
      <c r="L159" s="8">
        <v>3149</v>
      </c>
      <c r="M159" s="8" t="s">
        <v>61</v>
      </c>
      <c r="N159" s="8" t="s">
        <v>110</v>
      </c>
      <c r="R159" s="8" t="s">
        <v>1002</v>
      </c>
      <c r="S159" s="8">
        <v>434001850</v>
      </c>
      <c r="T159" s="8" t="s">
        <v>1003</v>
      </c>
      <c r="W159" s="8" t="s">
        <v>1001</v>
      </c>
      <c r="X159" s="8" t="s">
        <v>764</v>
      </c>
      <c r="Y159" s="8" t="s">
        <v>60</v>
      </c>
      <c r="Z159" s="8">
        <v>3149</v>
      </c>
      <c r="AA159" s="8" t="s">
        <v>61</v>
      </c>
      <c r="AB159" s="8" t="s">
        <v>110</v>
      </c>
      <c r="AC159" s="8" t="s">
        <v>56</v>
      </c>
      <c r="AF159" s="9">
        <v>33174</v>
      </c>
      <c r="AG159" s="10">
        <v>1.3333333333333333</v>
      </c>
      <c r="AJ159" s="9">
        <v>42667</v>
      </c>
      <c r="AK159" s="11">
        <v>0.25</v>
      </c>
      <c r="AP159" s="8" t="s">
        <v>113</v>
      </c>
      <c r="CF159" s="9"/>
      <c r="CG159" s="10"/>
      <c r="CJ159" s="9"/>
      <c r="CK159" s="11"/>
    </row>
    <row r="160" spans="1:102">
      <c r="A160" s="8">
        <v>18742</v>
      </c>
      <c r="B160" s="8" t="s">
        <v>1004</v>
      </c>
      <c r="C160" s="8" t="s">
        <v>1005</v>
      </c>
      <c r="D160" s="8" t="s">
        <v>1006</v>
      </c>
      <c r="E160" s="8" t="s">
        <v>106</v>
      </c>
      <c r="F160" s="8" t="s">
        <v>1007</v>
      </c>
      <c r="G160" s="8" t="s">
        <v>1006</v>
      </c>
      <c r="I160" s="8" t="s">
        <v>1008</v>
      </c>
      <c r="J160" s="8" t="s">
        <v>407</v>
      </c>
      <c r="K160" s="8" t="s">
        <v>60</v>
      </c>
      <c r="L160" s="8">
        <v>3134</v>
      </c>
      <c r="M160" s="8" t="s">
        <v>61</v>
      </c>
      <c r="N160" s="8" t="s">
        <v>110</v>
      </c>
      <c r="O160" s="8">
        <v>398790772</v>
      </c>
      <c r="R160" s="8" t="s">
        <v>1009</v>
      </c>
      <c r="S160" s="8">
        <v>412618077</v>
      </c>
      <c r="T160" s="8" t="s">
        <v>1010</v>
      </c>
      <c r="AC160" s="8" t="s">
        <v>56</v>
      </c>
      <c r="AF160" s="9">
        <v>27771</v>
      </c>
      <c r="AG160" s="10">
        <v>1.9229166666666666</v>
      </c>
      <c r="AJ160" s="9">
        <v>42661</v>
      </c>
      <c r="AK160" s="11">
        <v>0.13055555555555556</v>
      </c>
      <c r="AP160" s="8" t="s">
        <v>113</v>
      </c>
      <c r="AT160" s="9">
        <v>44022</v>
      </c>
      <c r="AU160" s="8" t="s">
        <v>114</v>
      </c>
      <c r="AV160" s="8" t="s">
        <v>115</v>
      </c>
      <c r="AW160" s="10">
        <v>1.8368055555555556</v>
      </c>
      <c r="AX160" s="11">
        <v>0.13055555555555556</v>
      </c>
      <c r="CF160" s="9"/>
      <c r="CG160" s="10"/>
      <c r="CJ160" s="9"/>
      <c r="CK160" s="11"/>
      <c r="CT160" s="9"/>
      <c r="CW160" s="10"/>
      <c r="CX160" s="11"/>
    </row>
    <row r="161" spans="1:102">
      <c r="A161" s="8">
        <v>18743</v>
      </c>
      <c r="B161" s="8" t="s">
        <v>1011</v>
      </c>
      <c r="C161" s="8" t="s">
        <v>1012</v>
      </c>
      <c r="D161" s="8" t="s">
        <v>305</v>
      </c>
      <c r="E161" s="8" t="s">
        <v>148</v>
      </c>
      <c r="F161" s="8" t="s">
        <v>1013</v>
      </c>
      <c r="G161" s="8" t="s">
        <v>1014</v>
      </c>
      <c r="I161" s="8" t="s">
        <v>1015</v>
      </c>
      <c r="J161" s="8" t="s">
        <v>1016</v>
      </c>
      <c r="K161" s="8" t="s">
        <v>122</v>
      </c>
      <c r="L161" s="8">
        <v>2141</v>
      </c>
      <c r="M161" s="8" t="s">
        <v>61</v>
      </c>
      <c r="N161" s="8" t="s">
        <v>110</v>
      </c>
      <c r="R161" s="8" t="s">
        <v>1017</v>
      </c>
      <c r="S161" s="8">
        <v>403185686</v>
      </c>
      <c r="T161" s="8" t="s">
        <v>1018</v>
      </c>
      <c r="AC161" s="8" t="s">
        <v>153</v>
      </c>
      <c r="AF161" s="9">
        <v>32911</v>
      </c>
      <c r="AG161" s="10">
        <v>1.3388888888888888</v>
      </c>
      <c r="AJ161" s="9">
        <v>42660</v>
      </c>
      <c r="AK161" s="11">
        <v>9.0277777777777776E-2</v>
      </c>
      <c r="AP161" s="8" t="s">
        <v>113</v>
      </c>
      <c r="AT161" s="9">
        <v>43712</v>
      </c>
      <c r="AU161" s="8" t="s">
        <v>114</v>
      </c>
      <c r="AV161" s="8" t="s">
        <v>115</v>
      </c>
      <c r="AW161" s="10">
        <v>1.2125000000000001</v>
      </c>
      <c r="AX161" s="11">
        <v>9.0277777777777776E-2</v>
      </c>
      <c r="CF161" s="9"/>
      <c r="CG161" s="10"/>
      <c r="CJ161" s="9"/>
      <c r="CK161" s="11"/>
      <c r="CT161" s="9"/>
      <c r="CW161" s="10"/>
      <c r="CX161" s="11"/>
    </row>
    <row r="162" spans="1:102">
      <c r="D162" s="8" t="s">
        <v>1019</v>
      </c>
    </row>
    <row r="163" spans="1:102">
      <c r="A163" s="8">
        <v>18744</v>
      </c>
      <c r="B163" s="8" t="s">
        <v>1020</v>
      </c>
      <c r="C163" s="8" t="s">
        <v>1021</v>
      </c>
      <c r="D163" s="8" t="s">
        <v>1022</v>
      </c>
      <c r="E163" s="8" t="s">
        <v>376</v>
      </c>
      <c r="F163" s="8" t="s">
        <v>140</v>
      </c>
      <c r="G163" s="8" t="s">
        <v>1022</v>
      </c>
      <c r="I163" s="8" t="s">
        <v>1023</v>
      </c>
      <c r="J163" s="8" t="s">
        <v>1024</v>
      </c>
      <c r="K163" s="8" t="s">
        <v>60</v>
      </c>
      <c r="L163" s="8">
        <v>3181</v>
      </c>
      <c r="R163" s="8" t="s">
        <v>1025</v>
      </c>
      <c r="S163" s="8">
        <v>438373520</v>
      </c>
      <c r="T163" s="8" t="s">
        <v>1026</v>
      </c>
      <c r="AC163" s="8" t="s">
        <v>56</v>
      </c>
      <c r="AF163" s="9">
        <v>30935</v>
      </c>
      <c r="AG163" s="10">
        <v>1.5840277777777778</v>
      </c>
      <c r="AJ163" s="9">
        <v>42668</v>
      </c>
      <c r="AK163" s="11">
        <v>9.0277777777777776E-2</v>
      </c>
      <c r="AP163" s="8" t="s">
        <v>113</v>
      </c>
      <c r="AT163" s="9">
        <v>43703</v>
      </c>
      <c r="AU163" s="8" t="s">
        <v>185</v>
      </c>
      <c r="AV163" s="8" t="s">
        <v>186</v>
      </c>
      <c r="AW163" s="10">
        <v>1.4243055555555555</v>
      </c>
      <c r="AX163" s="11">
        <v>9.0277777777777776E-2</v>
      </c>
      <c r="CF163" s="9"/>
      <c r="CG163" s="10"/>
      <c r="CJ163" s="9"/>
      <c r="CK163" s="11"/>
      <c r="CT163" s="9"/>
      <c r="CW163" s="10"/>
      <c r="CX163" s="11"/>
    </row>
    <row r="164" spans="1:102">
      <c r="A164" s="8">
        <v>18748</v>
      </c>
      <c r="B164" s="8" t="s">
        <v>1027</v>
      </c>
      <c r="C164" s="8" t="s">
        <v>1028</v>
      </c>
      <c r="D164" s="8" t="s">
        <v>208</v>
      </c>
      <c r="E164" s="8" t="s">
        <v>148</v>
      </c>
      <c r="F164" s="8" t="s">
        <v>1029</v>
      </c>
      <c r="G164" s="8" t="s">
        <v>208</v>
      </c>
      <c r="I164" s="8" t="s">
        <v>1030</v>
      </c>
      <c r="J164" s="8" t="s">
        <v>1031</v>
      </c>
      <c r="K164" s="8" t="s">
        <v>60</v>
      </c>
      <c r="L164" s="8">
        <v>3786</v>
      </c>
      <c r="R164" s="8" t="s">
        <v>1032</v>
      </c>
      <c r="S164" s="8">
        <v>417354826</v>
      </c>
      <c r="T164" s="8" t="s">
        <v>1033</v>
      </c>
      <c r="AC164" s="8" t="s">
        <v>153</v>
      </c>
      <c r="AF164" s="9">
        <v>25676</v>
      </c>
      <c r="AG164" s="10">
        <v>2.1708333333333334</v>
      </c>
      <c r="AJ164" s="9">
        <v>42690</v>
      </c>
      <c r="AK164" s="11">
        <v>8.8888888888888892E-2</v>
      </c>
      <c r="AP164" s="8" t="s">
        <v>4</v>
      </c>
      <c r="AT164" s="9">
        <v>43683</v>
      </c>
      <c r="AU164" s="8" t="s">
        <v>185</v>
      </c>
      <c r="AV164" s="8" t="s">
        <v>186</v>
      </c>
      <c r="AW164" s="10">
        <v>2.0437499999999997</v>
      </c>
      <c r="AX164" s="11">
        <v>8.8888888888888892E-2</v>
      </c>
      <c r="CF164" s="9"/>
      <c r="CG164" s="10"/>
      <c r="CJ164" s="9"/>
      <c r="CK164" s="11"/>
      <c r="CT164" s="9"/>
      <c r="CW164" s="10"/>
      <c r="CX164" s="11"/>
    </row>
    <row r="165" spans="1:102">
      <c r="D165" s="8" t="s">
        <v>1034</v>
      </c>
    </row>
    <row r="166" spans="1:102">
      <c r="A166" s="8">
        <v>18750</v>
      </c>
      <c r="B166" s="8" t="s">
        <v>1035</v>
      </c>
      <c r="C166" s="8" t="s">
        <v>1036</v>
      </c>
      <c r="D166" s="8" t="s">
        <v>1037</v>
      </c>
      <c r="E166" s="8" t="s">
        <v>148</v>
      </c>
      <c r="F166" s="8" t="s">
        <v>1038</v>
      </c>
      <c r="G166" s="8" t="s">
        <v>1037</v>
      </c>
      <c r="I166" s="8" t="s">
        <v>1039</v>
      </c>
      <c r="J166" s="8" t="s">
        <v>1040</v>
      </c>
      <c r="K166" s="8" t="s">
        <v>60</v>
      </c>
      <c r="L166" s="8">
        <v>3151</v>
      </c>
      <c r="M166" s="8" t="s">
        <v>61</v>
      </c>
      <c r="N166" s="8" t="s">
        <v>110</v>
      </c>
      <c r="O166" s="8">
        <v>398844126</v>
      </c>
      <c r="R166" s="8" t="s">
        <v>1041</v>
      </c>
      <c r="S166" s="8">
        <v>437612137</v>
      </c>
      <c r="T166" s="8" t="s">
        <v>1042</v>
      </c>
      <c r="AC166" s="8" t="s">
        <v>153</v>
      </c>
      <c r="AF166" s="9">
        <v>27012</v>
      </c>
      <c r="AG166" s="10">
        <v>2.0069444444444442</v>
      </c>
      <c r="AJ166" s="9">
        <v>42699</v>
      </c>
      <c r="AK166" s="11">
        <v>0.13263888888888889</v>
      </c>
      <c r="AP166" s="8" t="s">
        <v>113</v>
      </c>
      <c r="AT166" s="9">
        <v>44155</v>
      </c>
      <c r="AU166" s="8" t="s">
        <v>114</v>
      </c>
      <c r="AV166" s="8" t="s">
        <v>115</v>
      </c>
      <c r="AW166" s="10">
        <v>1.9243055555555555</v>
      </c>
      <c r="AX166" s="11">
        <v>0.13263888888888889</v>
      </c>
      <c r="CF166" s="9"/>
      <c r="CG166" s="10"/>
      <c r="CJ166" s="9"/>
      <c r="CK166" s="11"/>
      <c r="CT166" s="9"/>
      <c r="CW166" s="10"/>
      <c r="CX166" s="11"/>
    </row>
    <row r="167" spans="1:102">
      <c r="D167" s="8" t="s">
        <v>1043</v>
      </c>
    </row>
    <row r="168" spans="1:102">
      <c r="A168" s="8">
        <v>18751</v>
      </c>
      <c r="B168" s="8" t="s">
        <v>1044</v>
      </c>
      <c r="C168" s="8" t="s">
        <v>1045</v>
      </c>
      <c r="D168" s="8" t="s">
        <v>1046</v>
      </c>
      <c r="E168" s="8" t="s">
        <v>139</v>
      </c>
      <c r="F168" s="8" t="s">
        <v>119</v>
      </c>
      <c r="G168" s="8" t="s">
        <v>1046</v>
      </c>
      <c r="I168" s="8" t="s">
        <v>1047</v>
      </c>
      <c r="J168" s="8" t="s">
        <v>1048</v>
      </c>
      <c r="K168" s="8" t="s">
        <v>60</v>
      </c>
      <c r="L168" s="8">
        <v>3174</v>
      </c>
      <c r="R168" s="8" t="s">
        <v>1049</v>
      </c>
      <c r="S168" s="8">
        <v>433757400</v>
      </c>
      <c r="T168" s="8" t="s">
        <v>1050</v>
      </c>
      <c r="AC168" s="8" t="s">
        <v>56</v>
      </c>
      <c r="AF168" s="9">
        <v>29867</v>
      </c>
      <c r="AG168" s="10">
        <v>1.7083333333333333</v>
      </c>
      <c r="AJ168" s="9">
        <v>42703</v>
      </c>
      <c r="AK168" s="11">
        <v>8.4722222222222213E-2</v>
      </c>
      <c r="AT168" s="9">
        <v>43504</v>
      </c>
      <c r="AU168" s="8" t="s">
        <v>114</v>
      </c>
      <c r="AV168" s="8" t="s">
        <v>115</v>
      </c>
      <c r="AW168" s="10">
        <v>1.5444444444444445</v>
      </c>
      <c r="AX168" s="11">
        <v>8.4722222222222213E-2</v>
      </c>
      <c r="CF168" s="9"/>
      <c r="CG168" s="10"/>
      <c r="CJ168" s="9"/>
      <c r="CK168" s="11"/>
      <c r="CT168" s="9"/>
      <c r="CW168" s="10"/>
      <c r="CX168" s="11"/>
    </row>
    <row r="169" spans="1:102">
      <c r="A169" s="8">
        <v>18752</v>
      </c>
      <c r="B169" s="8" t="s">
        <v>1051</v>
      </c>
      <c r="C169" s="8" t="s">
        <v>1052</v>
      </c>
      <c r="D169" s="8" t="s">
        <v>634</v>
      </c>
      <c r="E169" s="8" t="s">
        <v>139</v>
      </c>
      <c r="F169" s="8" t="s">
        <v>700</v>
      </c>
      <c r="G169" s="8" t="s">
        <v>634</v>
      </c>
      <c r="I169" s="8" t="s">
        <v>1053</v>
      </c>
      <c r="J169" s="8" t="s">
        <v>1054</v>
      </c>
      <c r="K169" s="8" t="s">
        <v>60</v>
      </c>
      <c r="L169" s="8">
        <v>3131</v>
      </c>
      <c r="M169" s="8" t="s">
        <v>61</v>
      </c>
      <c r="N169" s="8" t="s">
        <v>110</v>
      </c>
      <c r="O169" s="8" t="s">
        <v>1055</v>
      </c>
      <c r="R169" s="8" t="s">
        <v>1056</v>
      </c>
      <c r="S169" s="8">
        <v>418338360</v>
      </c>
      <c r="T169" s="8" t="s">
        <v>1057</v>
      </c>
      <c r="AC169" s="8" t="s">
        <v>56</v>
      </c>
      <c r="AF169" s="9">
        <v>26398</v>
      </c>
      <c r="AG169" s="10">
        <v>2.0874999999999999</v>
      </c>
      <c r="AJ169" s="9">
        <v>42709</v>
      </c>
      <c r="AK169" s="11">
        <v>0.16666666666666666</v>
      </c>
      <c r="AP169" s="8" t="s">
        <v>113</v>
      </c>
      <c r="AT169" s="9">
        <v>44187</v>
      </c>
      <c r="AU169" s="8" t="s">
        <v>185</v>
      </c>
      <c r="AV169" s="8" t="s">
        <v>186</v>
      </c>
      <c r="AW169" s="10">
        <v>2.0055555555555555</v>
      </c>
      <c r="AX169" s="11">
        <v>0.16666666666666666</v>
      </c>
      <c r="CF169" s="9"/>
      <c r="CG169" s="10"/>
      <c r="CJ169" s="9"/>
      <c r="CK169" s="11"/>
      <c r="CT169" s="9"/>
      <c r="CW169" s="10"/>
      <c r="CX169" s="11"/>
    </row>
    <row r="170" spans="1:102">
      <c r="D170" s="8" t="s">
        <v>262</v>
      </c>
    </row>
    <row r="171" spans="1:102">
      <c r="A171" s="8">
        <v>18760</v>
      </c>
      <c r="B171" s="8" t="s">
        <v>1058</v>
      </c>
      <c r="C171" s="8" t="s">
        <v>1059</v>
      </c>
      <c r="D171" s="8" t="s">
        <v>1060</v>
      </c>
      <c r="E171" s="8" t="s">
        <v>376</v>
      </c>
      <c r="F171" s="8" t="s">
        <v>309</v>
      </c>
      <c r="G171" s="8" t="s">
        <v>1061</v>
      </c>
      <c r="I171" s="8" t="s">
        <v>1062</v>
      </c>
      <c r="J171" s="8" t="s">
        <v>1063</v>
      </c>
      <c r="K171" s="8" t="s">
        <v>122</v>
      </c>
      <c r="L171" s="8">
        <v>2154</v>
      </c>
      <c r="R171" s="8" t="s">
        <v>1064</v>
      </c>
      <c r="S171" s="8">
        <v>423811894</v>
      </c>
      <c r="T171" s="8" t="s">
        <v>1065</v>
      </c>
      <c r="AC171" s="8" t="s">
        <v>56</v>
      </c>
      <c r="AF171" s="9">
        <v>30553</v>
      </c>
      <c r="AG171" s="10">
        <v>1.6263888888888889</v>
      </c>
      <c r="AJ171" s="9">
        <v>42744</v>
      </c>
      <c r="AK171" s="11">
        <v>4.7222222222222221E-2</v>
      </c>
      <c r="AT171" s="9">
        <v>43374</v>
      </c>
      <c r="AU171" s="8" t="s">
        <v>114</v>
      </c>
      <c r="AV171" s="8" t="s">
        <v>115</v>
      </c>
      <c r="AW171" s="10">
        <v>1.4590277777777778</v>
      </c>
      <c r="AX171" s="11">
        <v>4.7222222222222221E-2</v>
      </c>
      <c r="CF171" s="9"/>
      <c r="CG171" s="10"/>
      <c r="CJ171" s="9"/>
      <c r="CK171" s="11"/>
      <c r="CT171" s="9"/>
      <c r="CW171" s="10"/>
      <c r="CX171" s="11"/>
    </row>
    <row r="172" spans="1:102">
      <c r="A172" s="8">
        <v>18761</v>
      </c>
      <c r="B172" s="8" t="s">
        <v>1066</v>
      </c>
      <c r="C172" s="8" t="s">
        <v>1067</v>
      </c>
      <c r="D172" s="8" t="s">
        <v>1068</v>
      </c>
      <c r="E172" s="8" t="s">
        <v>148</v>
      </c>
      <c r="F172" s="8" t="s">
        <v>327</v>
      </c>
      <c r="G172" s="8" t="s">
        <v>1068</v>
      </c>
      <c r="I172" s="8" t="s">
        <v>1069</v>
      </c>
      <c r="J172" s="8" t="s">
        <v>1070</v>
      </c>
      <c r="K172" s="8" t="s">
        <v>60</v>
      </c>
      <c r="L172" s="8">
        <v>3175</v>
      </c>
      <c r="R172" s="8" t="s">
        <v>1071</v>
      </c>
      <c r="S172" s="8">
        <v>422067408</v>
      </c>
      <c r="T172" s="8" t="s">
        <v>1072</v>
      </c>
      <c r="AC172" s="8" t="s">
        <v>153</v>
      </c>
      <c r="AF172" s="9">
        <v>33514</v>
      </c>
      <c r="AG172" s="10">
        <v>1.2916666666666667</v>
      </c>
      <c r="AJ172" s="9">
        <v>42744</v>
      </c>
      <c r="AK172" s="11">
        <v>4.7916666666666663E-2</v>
      </c>
      <c r="AT172" s="9">
        <v>43385</v>
      </c>
      <c r="AU172" s="8" t="s">
        <v>114</v>
      </c>
      <c r="AV172" s="8" t="s">
        <v>115</v>
      </c>
      <c r="AW172" s="10">
        <v>1.125</v>
      </c>
      <c r="AX172" s="11">
        <v>4.7916666666666663E-2</v>
      </c>
      <c r="CF172" s="9"/>
      <c r="CG172" s="10"/>
      <c r="CJ172" s="9"/>
      <c r="CK172" s="11"/>
      <c r="CT172" s="9"/>
      <c r="CW172" s="10"/>
      <c r="CX172" s="11"/>
    </row>
    <row r="173" spans="1:102">
      <c r="A173" s="8">
        <v>18764</v>
      </c>
      <c r="B173" s="8" t="s">
        <v>1073</v>
      </c>
      <c r="C173" s="8" t="s">
        <v>1074</v>
      </c>
      <c r="D173" s="8" t="s">
        <v>1075</v>
      </c>
      <c r="E173" s="8" t="s">
        <v>376</v>
      </c>
      <c r="F173" s="8" t="s">
        <v>119</v>
      </c>
      <c r="G173" s="8" t="s">
        <v>1075</v>
      </c>
      <c r="I173" s="8" t="s">
        <v>1076</v>
      </c>
      <c r="J173" s="8" t="s">
        <v>1077</v>
      </c>
      <c r="K173" s="8" t="s">
        <v>60</v>
      </c>
      <c r="L173" s="8">
        <v>3081</v>
      </c>
      <c r="M173" s="8" t="s">
        <v>61</v>
      </c>
      <c r="N173" s="8" t="s">
        <v>110</v>
      </c>
      <c r="R173" s="8" t="s">
        <v>1078</v>
      </c>
      <c r="S173" s="8">
        <v>404787182</v>
      </c>
      <c r="AC173" s="8" t="s">
        <v>56</v>
      </c>
      <c r="AF173" s="9">
        <v>33840</v>
      </c>
      <c r="AG173" s="10">
        <v>1.2513888888888889</v>
      </c>
      <c r="AJ173" s="9">
        <v>42794</v>
      </c>
      <c r="AK173" s="11">
        <v>0.21180555555555555</v>
      </c>
      <c r="AP173" s="8" t="s">
        <v>113</v>
      </c>
      <c r="AS173" s="8" t="s">
        <v>113</v>
      </c>
      <c r="AT173" s="9">
        <v>44772</v>
      </c>
      <c r="AU173" s="8" t="s">
        <v>114</v>
      </c>
      <c r="AV173" s="8" t="s">
        <v>115</v>
      </c>
      <c r="AW173" s="10">
        <v>1.2159722222222222</v>
      </c>
      <c r="AX173" s="11">
        <v>0.21180555555555555</v>
      </c>
      <c r="AY173" s="8" t="s">
        <v>113</v>
      </c>
      <c r="CF173" s="9"/>
      <c r="CG173" s="10"/>
      <c r="CJ173" s="9"/>
      <c r="CK173" s="11"/>
      <c r="CT173" s="9"/>
      <c r="CW173" s="10"/>
      <c r="CX173" s="11"/>
    </row>
    <row r="174" spans="1:102">
      <c r="A174" s="8">
        <v>18766</v>
      </c>
      <c r="B174" s="8" t="s">
        <v>1079</v>
      </c>
      <c r="C174" s="8" t="s">
        <v>1080</v>
      </c>
      <c r="D174" s="8" t="s">
        <v>1081</v>
      </c>
      <c r="E174" s="8" t="s">
        <v>148</v>
      </c>
      <c r="F174" s="8" t="s">
        <v>1082</v>
      </c>
      <c r="G174" s="8" t="s">
        <v>1081</v>
      </c>
      <c r="I174" s="8" t="s">
        <v>1083</v>
      </c>
      <c r="J174" s="8" t="s">
        <v>1084</v>
      </c>
      <c r="K174" s="8" t="s">
        <v>60</v>
      </c>
      <c r="L174" s="8">
        <v>3789</v>
      </c>
      <c r="M174" s="8" t="s">
        <v>61</v>
      </c>
      <c r="N174" s="8" t="s">
        <v>110</v>
      </c>
      <c r="R174" s="8" t="s">
        <v>1085</v>
      </c>
      <c r="S174" s="8" t="s">
        <v>1086</v>
      </c>
      <c r="T174" s="8" t="s">
        <v>1087</v>
      </c>
      <c r="AC174" s="8" t="s">
        <v>153</v>
      </c>
      <c r="AF174" s="9">
        <v>29993</v>
      </c>
      <c r="AG174" s="10">
        <v>1.6722222222222223</v>
      </c>
      <c r="AJ174" s="9">
        <v>42825</v>
      </c>
      <c r="AK174" s="11">
        <v>0.125</v>
      </c>
      <c r="AP174" s="8" t="s">
        <v>113</v>
      </c>
      <c r="AT174" s="9">
        <v>43930</v>
      </c>
      <c r="AU174" s="8" t="s">
        <v>114</v>
      </c>
      <c r="AV174" s="8" t="s">
        <v>115</v>
      </c>
      <c r="AW174" s="10">
        <v>1.5840277777777778</v>
      </c>
      <c r="AX174" s="11">
        <v>0.125</v>
      </c>
      <c r="CF174" s="9"/>
      <c r="CG174" s="10"/>
      <c r="CJ174" s="9"/>
      <c r="CK174" s="11"/>
      <c r="CT174" s="9"/>
      <c r="CW174" s="10"/>
      <c r="CX174" s="11"/>
    </row>
    <row r="175" spans="1:102">
      <c r="A175" s="8">
        <v>18769</v>
      </c>
      <c r="B175" s="8" t="s">
        <v>1088</v>
      </c>
      <c r="C175" s="8" t="s">
        <v>1089</v>
      </c>
      <c r="D175" s="8" t="s">
        <v>1090</v>
      </c>
      <c r="E175" s="8" t="s">
        <v>376</v>
      </c>
      <c r="F175" s="8" t="s">
        <v>107</v>
      </c>
      <c r="G175" s="8" t="s">
        <v>1090</v>
      </c>
      <c r="I175" s="8" t="s">
        <v>1091</v>
      </c>
      <c r="J175" s="8" t="s">
        <v>1092</v>
      </c>
      <c r="K175" s="8" t="s">
        <v>60</v>
      </c>
      <c r="L175" s="8">
        <v>3124</v>
      </c>
      <c r="R175" s="8" t="s">
        <v>1093</v>
      </c>
      <c r="S175" s="8">
        <v>449098837</v>
      </c>
      <c r="T175" s="8" t="s">
        <v>1094</v>
      </c>
      <c r="AC175" s="8" t="s">
        <v>56</v>
      </c>
      <c r="AF175" s="9">
        <v>33088</v>
      </c>
      <c r="AG175" s="10">
        <v>1.3347222222222221</v>
      </c>
      <c r="AJ175" s="9">
        <v>42856</v>
      </c>
      <c r="AK175" s="11">
        <v>4.6527777777777779E-2</v>
      </c>
      <c r="AT175" s="9">
        <v>43448</v>
      </c>
      <c r="AU175" s="8" t="s">
        <v>114</v>
      </c>
      <c r="AV175" s="8" t="s">
        <v>115</v>
      </c>
      <c r="AW175" s="10">
        <v>1.1694444444444445</v>
      </c>
      <c r="AX175" s="11">
        <v>4.6527777777777779E-2</v>
      </c>
      <c r="CF175" s="9"/>
      <c r="CG175" s="10"/>
      <c r="CJ175" s="9"/>
      <c r="CK175" s="11"/>
      <c r="CT175" s="9"/>
      <c r="CW175" s="10"/>
      <c r="CX175" s="11"/>
    </row>
    <row r="176" spans="1:102">
      <c r="A176" s="8">
        <v>18770</v>
      </c>
      <c r="B176" s="8" t="s">
        <v>1095</v>
      </c>
      <c r="C176" s="8" t="s">
        <v>1096</v>
      </c>
      <c r="D176" s="8" t="s">
        <v>1097</v>
      </c>
      <c r="E176" s="8" t="s">
        <v>376</v>
      </c>
      <c r="F176" s="8" t="s">
        <v>129</v>
      </c>
      <c r="G176" s="8" t="s">
        <v>1097</v>
      </c>
      <c r="I176" s="8" t="s">
        <v>1098</v>
      </c>
      <c r="J176" s="8" t="s">
        <v>1099</v>
      </c>
      <c r="K176" s="8" t="s">
        <v>60</v>
      </c>
      <c r="L176" s="8">
        <v>3192</v>
      </c>
      <c r="M176" s="8" t="s">
        <v>61</v>
      </c>
      <c r="N176" s="8" t="s">
        <v>110</v>
      </c>
      <c r="R176" s="8" t="s">
        <v>1100</v>
      </c>
      <c r="S176" s="8">
        <v>435680213</v>
      </c>
      <c r="T176" s="8" t="s">
        <v>1101</v>
      </c>
      <c r="Y176" s="8" t="s">
        <v>270</v>
      </c>
      <c r="Z176" s="8">
        <v>9999</v>
      </c>
      <c r="AC176" s="8" t="s">
        <v>56</v>
      </c>
      <c r="AF176" s="9">
        <v>29851</v>
      </c>
      <c r="AG176" s="10">
        <v>1.7090277777777778</v>
      </c>
      <c r="AJ176" s="9">
        <v>42863</v>
      </c>
      <c r="AK176" s="11">
        <v>0.20972222222222223</v>
      </c>
      <c r="AP176" s="8" t="s">
        <v>113</v>
      </c>
      <c r="AQ176" s="8" t="s">
        <v>4</v>
      </c>
      <c r="AR176" s="8" t="s">
        <v>4</v>
      </c>
      <c r="AS176" s="8" t="s">
        <v>4</v>
      </c>
      <c r="AT176" s="9">
        <v>44757</v>
      </c>
      <c r="AU176" s="8" t="s">
        <v>114</v>
      </c>
      <c r="AV176" s="8" t="s">
        <v>115</v>
      </c>
      <c r="AW176" s="10">
        <v>1.6729166666666666</v>
      </c>
      <c r="AX176" s="11">
        <v>0.20972222222222223</v>
      </c>
      <c r="AY176" s="8" t="s">
        <v>4</v>
      </c>
      <c r="CF176" s="9"/>
      <c r="CG176" s="10"/>
      <c r="CJ176" s="9"/>
      <c r="CK176" s="11"/>
      <c r="CT176" s="9"/>
      <c r="CW176" s="10"/>
      <c r="CX176" s="11"/>
    </row>
    <row r="177" spans="1:102">
      <c r="A177" s="8">
        <v>18772</v>
      </c>
      <c r="B177" s="8" t="s">
        <v>1102</v>
      </c>
      <c r="C177" s="8" t="s">
        <v>1103</v>
      </c>
      <c r="D177" s="8" t="s">
        <v>1104</v>
      </c>
      <c r="E177" s="8" t="s">
        <v>148</v>
      </c>
      <c r="F177" s="8" t="s">
        <v>797</v>
      </c>
      <c r="G177" s="8" t="s">
        <v>1105</v>
      </c>
      <c r="I177" s="8" t="s">
        <v>1106</v>
      </c>
      <c r="J177" s="8" t="s">
        <v>1107</v>
      </c>
      <c r="K177" s="8" t="s">
        <v>60</v>
      </c>
      <c r="L177" s="8">
        <v>3806</v>
      </c>
      <c r="M177" s="8" t="s">
        <v>61</v>
      </c>
      <c r="N177" s="8" t="s">
        <v>110</v>
      </c>
      <c r="R177" s="8" t="s">
        <v>1108</v>
      </c>
      <c r="S177" s="8">
        <v>400863865</v>
      </c>
      <c r="T177" s="8" t="s">
        <v>1109</v>
      </c>
      <c r="AC177" s="8" t="s">
        <v>153</v>
      </c>
      <c r="AF177" s="9">
        <v>25290</v>
      </c>
      <c r="AG177" s="10">
        <v>2.2131944444444445</v>
      </c>
      <c r="AJ177" s="9">
        <v>42863</v>
      </c>
      <c r="AK177" s="11">
        <v>0.21111111111111111</v>
      </c>
      <c r="AP177" s="8" t="s">
        <v>113</v>
      </c>
      <c r="AT177" s="9">
        <v>44820</v>
      </c>
      <c r="AU177" s="8" t="s">
        <v>114</v>
      </c>
      <c r="AV177" s="8" t="s">
        <v>115</v>
      </c>
      <c r="AW177" s="10">
        <v>2.2118055555555558</v>
      </c>
      <c r="AX177" s="11">
        <v>0.21111111111111111</v>
      </c>
      <c r="CF177" s="9"/>
      <c r="CG177" s="10"/>
      <c r="CJ177" s="9"/>
      <c r="CK177" s="11"/>
      <c r="CT177" s="9"/>
      <c r="CW177" s="10"/>
      <c r="CX177" s="11"/>
    </row>
    <row r="178" spans="1:102">
      <c r="A178" s="8">
        <v>18777</v>
      </c>
      <c r="B178" s="8" t="s">
        <v>1110</v>
      </c>
      <c r="C178" s="8" t="s">
        <v>1111</v>
      </c>
      <c r="D178" s="8" t="s">
        <v>1112</v>
      </c>
      <c r="E178" s="8" t="s">
        <v>376</v>
      </c>
      <c r="F178" s="8" t="s">
        <v>358</v>
      </c>
      <c r="G178" s="8" t="s">
        <v>1113</v>
      </c>
      <c r="I178" s="8" t="s">
        <v>1114</v>
      </c>
      <c r="J178" s="8" t="s">
        <v>1115</v>
      </c>
      <c r="K178" s="8" t="s">
        <v>240</v>
      </c>
      <c r="L178" s="8">
        <v>4178</v>
      </c>
      <c r="M178" s="8" t="s">
        <v>61</v>
      </c>
      <c r="N178" s="8" t="s">
        <v>110</v>
      </c>
      <c r="R178" s="8" t="s">
        <v>1116</v>
      </c>
      <c r="S178" s="8" t="s">
        <v>1117</v>
      </c>
      <c r="T178" s="8" t="s">
        <v>1118</v>
      </c>
      <c r="AC178" s="8" t="s">
        <v>56</v>
      </c>
      <c r="AF178" s="9">
        <v>29704</v>
      </c>
      <c r="AG178" s="10">
        <v>1.7125000000000001</v>
      </c>
      <c r="AJ178" s="9">
        <v>42877</v>
      </c>
      <c r="AK178" s="11">
        <v>8.4722222222222213E-2</v>
      </c>
      <c r="AP178" s="8" t="s">
        <v>4</v>
      </c>
      <c r="AS178" s="8" t="s">
        <v>113</v>
      </c>
      <c r="AT178" s="9">
        <v>43670</v>
      </c>
      <c r="AU178" s="8" t="s">
        <v>114</v>
      </c>
      <c r="AV178" s="8" t="s">
        <v>115</v>
      </c>
      <c r="AW178" s="10">
        <v>1.5847222222222221</v>
      </c>
      <c r="AX178" s="11">
        <v>8.4722222222222213E-2</v>
      </c>
      <c r="AY178" s="8" t="s">
        <v>113</v>
      </c>
      <c r="CF178" s="9"/>
      <c r="CG178" s="10"/>
      <c r="CJ178" s="9"/>
      <c r="CK178" s="11"/>
      <c r="CT178" s="9"/>
      <c r="CW178" s="10"/>
      <c r="CX178" s="11"/>
    </row>
    <row r="179" spans="1:102">
      <c r="A179" s="8">
        <v>18779</v>
      </c>
      <c r="B179" s="8" t="s">
        <v>1119</v>
      </c>
      <c r="C179" s="8" t="s">
        <v>1120</v>
      </c>
      <c r="D179" s="8" t="s">
        <v>1121</v>
      </c>
      <c r="E179" s="8" t="s">
        <v>106</v>
      </c>
      <c r="F179" s="8" t="s">
        <v>129</v>
      </c>
      <c r="G179" s="8" t="s">
        <v>1121</v>
      </c>
      <c r="I179" s="8" t="s">
        <v>1122</v>
      </c>
      <c r="J179" s="8" t="s">
        <v>1123</v>
      </c>
      <c r="K179" s="8" t="s">
        <v>122</v>
      </c>
      <c r="L179" s="8">
        <v>2153</v>
      </c>
      <c r="R179" s="8" t="s">
        <v>1124</v>
      </c>
      <c r="T179" s="8" t="s">
        <v>1125</v>
      </c>
      <c r="AC179" s="8" t="s">
        <v>56</v>
      </c>
      <c r="AF179" s="9">
        <v>27297</v>
      </c>
      <c r="AG179" s="10">
        <v>2.0006944444444446</v>
      </c>
      <c r="AJ179" s="9">
        <v>42884</v>
      </c>
      <c r="AK179" s="11">
        <v>4.2361111111111106E-2</v>
      </c>
      <c r="AT179" s="9">
        <v>43301</v>
      </c>
      <c r="AU179" s="8" t="s">
        <v>114</v>
      </c>
      <c r="AV179" s="8" t="s">
        <v>115</v>
      </c>
      <c r="AW179" s="10">
        <v>1.7979166666666666</v>
      </c>
      <c r="AX179" s="11">
        <v>4.2361111111111106E-2</v>
      </c>
      <c r="CF179" s="9"/>
      <c r="CG179" s="10"/>
      <c r="CJ179" s="9"/>
      <c r="CK179" s="11"/>
      <c r="CT179" s="9"/>
      <c r="CW179" s="10"/>
      <c r="CX179" s="11"/>
    </row>
    <row r="180" spans="1:102">
      <c r="A180" s="8">
        <v>18780</v>
      </c>
      <c r="B180" s="8" t="s">
        <v>1126</v>
      </c>
      <c r="C180" s="8" t="s">
        <v>1127</v>
      </c>
      <c r="D180" s="8" t="s">
        <v>1128</v>
      </c>
      <c r="E180" s="8" t="s">
        <v>376</v>
      </c>
      <c r="F180" s="8" t="s">
        <v>129</v>
      </c>
      <c r="G180" s="8" t="s">
        <v>1128</v>
      </c>
      <c r="I180" s="8" t="s">
        <v>1129</v>
      </c>
      <c r="J180" s="8" t="s">
        <v>1130</v>
      </c>
      <c r="K180" s="8" t="s">
        <v>60</v>
      </c>
      <c r="L180" s="8">
        <v>3032</v>
      </c>
      <c r="R180" s="8" t="s">
        <v>1131</v>
      </c>
      <c r="S180" s="8">
        <v>416899589</v>
      </c>
      <c r="T180" s="8" t="s">
        <v>1132</v>
      </c>
      <c r="AC180" s="8" t="s">
        <v>56</v>
      </c>
      <c r="AF180" s="9">
        <v>33724</v>
      </c>
      <c r="AG180" s="10">
        <v>1.2541666666666667</v>
      </c>
      <c r="AJ180" s="9">
        <v>42891</v>
      </c>
      <c r="AK180" s="11">
        <v>4.2361111111111106E-2</v>
      </c>
      <c r="AT180" s="9">
        <v>43294</v>
      </c>
      <c r="AU180" s="8" t="s">
        <v>114</v>
      </c>
      <c r="AV180" s="8" t="s">
        <v>115</v>
      </c>
      <c r="AW180" s="10">
        <v>1.0847222222222224</v>
      </c>
      <c r="AX180" s="11">
        <v>4.2361111111111106E-2</v>
      </c>
      <c r="CF180" s="9"/>
      <c r="CG180" s="10"/>
      <c r="CJ180" s="9"/>
      <c r="CK180" s="11"/>
      <c r="CT180" s="9"/>
      <c r="CW180" s="10"/>
      <c r="CX180" s="11"/>
    </row>
    <row r="181" spans="1:102">
      <c r="A181" s="8">
        <v>18781</v>
      </c>
      <c r="B181" s="8" t="s">
        <v>1133</v>
      </c>
      <c r="C181" s="8" t="s">
        <v>1134</v>
      </c>
      <c r="D181" s="8" t="s">
        <v>1135</v>
      </c>
      <c r="E181" s="8" t="s">
        <v>106</v>
      </c>
      <c r="F181" s="8" t="s">
        <v>521</v>
      </c>
      <c r="G181" s="8" t="s">
        <v>1135</v>
      </c>
      <c r="I181" s="8" t="s">
        <v>1136</v>
      </c>
      <c r="J181" s="8" t="s">
        <v>1137</v>
      </c>
      <c r="K181" s="8" t="s">
        <v>122</v>
      </c>
      <c r="L181" s="8">
        <v>2145</v>
      </c>
      <c r="M181" s="8" t="s">
        <v>61</v>
      </c>
      <c r="N181" s="8" t="s">
        <v>110</v>
      </c>
      <c r="R181" s="8" t="s">
        <v>1138</v>
      </c>
      <c r="S181" s="8">
        <v>469255332</v>
      </c>
      <c r="T181" s="8" t="s">
        <v>1139</v>
      </c>
      <c r="AC181" s="8" t="s">
        <v>56</v>
      </c>
      <c r="AF181" s="9">
        <v>30971</v>
      </c>
      <c r="AG181" s="10">
        <v>1.5833333333333333</v>
      </c>
      <c r="AJ181" s="9">
        <v>42891</v>
      </c>
      <c r="AK181" s="11">
        <v>0.21111111111111111</v>
      </c>
      <c r="AP181" s="8" t="s">
        <v>113</v>
      </c>
      <c r="AS181" s="8" t="s">
        <v>113</v>
      </c>
      <c r="AY181" s="8" t="s">
        <v>113</v>
      </c>
      <c r="CF181" s="9"/>
      <c r="CG181" s="10"/>
      <c r="CJ181" s="9"/>
      <c r="CK181" s="11"/>
    </row>
    <row r="182" spans="1:102">
      <c r="A182" s="8">
        <v>18782</v>
      </c>
      <c r="B182" s="8" t="s">
        <v>1140</v>
      </c>
      <c r="C182" s="8" t="s">
        <v>1141</v>
      </c>
      <c r="D182" s="8" t="s">
        <v>1142</v>
      </c>
      <c r="E182" s="8" t="s">
        <v>376</v>
      </c>
      <c r="F182" s="8" t="s">
        <v>545</v>
      </c>
      <c r="G182" s="8" t="s">
        <v>1142</v>
      </c>
      <c r="I182" s="8" t="s">
        <v>1143</v>
      </c>
      <c r="J182" s="8" t="s">
        <v>749</v>
      </c>
      <c r="K182" s="8" t="s">
        <v>60</v>
      </c>
      <c r="L182" s="8">
        <v>3155</v>
      </c>
      <c r="R182" s="8" t="s">
        <v>1144</v>
      </c>
      <c r="S182" s="8" t="s">
        <v>1145</v>
      </c>
      <c r="T182" s="8" t="s">
        <v>1146</v>
      </c>
      <c r="AC182" s="8" t="s">
        <v>56</v>
      </c>
      <c r="AF182" s="9">
        <v>32063</v>
      </c>
      <c r="AG182" s="10">
        <v>1.4583333333333333</v>
      </c>
      <c r="AJ182" s="9">
        <v>42899</v>
      </c>
      <c r="AK182" s="11">
        <v>4.7222222222222221E-2</v>
      </c>
      <c r="AP182" s="8" t="s">
        <v>4</v>
      </c>
      <c r="AT182" s="9">
        <v>43532</v>
      </c>
      <c r="AU182" s="8" t="s">
        <v>114</v>
      </c>
      <c r="AV182" s="8" t="s">
        <v>115</v>
      </c>
      <c r="AW182" s="10">
        <v>1.2944444444444445</v>
      </c>
      <c r="AX182" s="11">
        <v>4.7222222222222221E-2</v>
      </c>
      <c r="CF182" s="9"/>
      <c r="CG182" s="10"/>
      <c r="CJ182" s="9"/>
      <c r="CK182" s="11"/>
      <c r="CT182" s="9"/>
      <c r="CW182" s="10"/>
      <c r="CX182" s="11"/>
    </row>
    <row r="183" spans="1:102">
      <c r="A183" s="8">
        <v>18784</v>
      </c>
      <c r="B183" s="8" t="s">
        <v>1147</v>
      </c>
      <c r="C183" s="8" t="s">
        <v>1148</v>
      </c>
      <c r="D183" s="8" t="s">
        <v>1149</v>
      </c>
      <c r="E183" s="8" t="s">
        <v>376</v>
      </c>
      <c r="F183" s="8" t="s">
        <v>1150</v>
      </c>
      <c r="G183" s="8" t="s">
        <v>1149</v>
      </c>
      <c r="I183" s="8" t="s">
        <v>1151</v>
      </c>
      <c r="J183" s="8" t="s">
        <v>1152</v>
      </c>
      <c r="K183" s="8" t="s">
        <v>60</v>
      </c>
      <c r="L183" s="8">
        <v>3148</v>
      </c>
      <c r="O183" s="8">
        <v>95697384</v>
      </c>
      <c r="R183" s="8" t="s">
        <v>1153</v>
      </c>
      <c r="S183" s="8">
        <v>426665821</v>
      </c>
      <c r="T183" s="8" t="s">
        <v>1154</v>
      </c>
      <c r="AC183" s="8" t="s">
        <v>56</v>
      </c>
      <c r="AF183" s="9">
        <v>33178</v>
      </c>
      <c r="AG183" s="10">
        <v>1.3333333333333333</v>
      </c>
      <c r="AJ183" s="9">
        <v>42900</v>
      </c>
      <c r="AK183" s="11">
        <v>4.8611111111111112E-2</v>
      </c>
      <c r="AP183" s="8" t="s">
        <v>4</v>
      </c>
      <c r="AT183" s="9">
        <v>43588</v>
      </c>
      <c r="AU183" s="8" t="s">
        <v>114</v>
      </c>
      <c r="AV183" s="8" t="s">
        <v>115</v>
      </c>
      <c r="AW183" s="10">
        <v>1.1708333333333334</v>
      </c>
      <c r="AX183" s="11">
        <v>4.8611111111111112E-2</v>
      </c>
      <c r="CF183" s="9"/>
      <c r="CG183" s="10"/>
      <c r="CJ183" s="9"/>
      <c r="CK183" s="11"/>
      <c r="CT183" s="9"/>
      <c r="CW183" s="10"/>
      <c r="CX183" s="11"/>
    </row>
    <row r="184" spans="1:102">
      <c r="D184" s="8" t="s">
        <v>1155</v>
      </c>
    </row>
    <row r="185" spans="1:102">
      <c r="A185" s="8">
        <v>18786</v>
      </c>
      <c r="B185" s="8" t="s">
        <v>1156</v>
      </c>
      <c r="C185" s="8" t="s">
        <v>1157</v>
      </c>
      <c r="D185" s="8" t="s">
        <v>1158</v>
      </c>
      <c r="E185" s="8" t="s">
        <v>106</v>
      </c>
      <c r="F185" s="8" t="s">
        <v>1159</v>
      </c>
      <c r="G185" s="8" t="s">
        <v>1158</v>
      </c>
      <c r="I185" s="8" t="s">
        <v>1160</v>
      </c>
      <c r="J185" s="8" t="s">
        <v>1161</v>
      </c>
      <c r="K185" s="8" t="s">
        <v>60</v>
      </c>
      <c r="L185" s="8">
        <v>3136</v>
      </c>
      <c r="R185" s="8" t="s">
        <v>1162</v>
      </c>
      <c r="S185" s="8">
        <v>411517242</v>
      </c>
      <c r="T185" s="8" t="s">
        <v>1163</v>
      </c>
      <c r="AC185" s="8" t="s">
        <v>56</v>
      </c>
      <c r="AF185" s="9">
        <v>25552</v>
      </c>
      <c r="AG185" s="10">
        <v>2.1736111111111112</v>
      </c>
      <c r="AJ185" s="9">
        <v>42934</v>
      </c>
      <c r="AK185" s="11">
        <v>4.7222222222222221E-2</v>
      </c>
      <c r="AP185" s="8" t="s">
        <v>4</v>
      </c>
      <c r="AT185" s="9">
        <v>43546</v>
      </c>
      <c r="AU185" s="8" t="s">
        <v>114</v>
      </c>
      <c r="AV185" s="8" t="s">
        <v>115</v>
      </c>
      <c r="AW185" s="10">
        <v>2.0437499999999997</v>
      </c>
      <c r="AX185" s="11">
        <v>4.7222222222222221E-2</v>
      </c>
      <c r="CF185" s="9"/>
      <c r="CG185" s="10"/>
      <c r="CJ185" s="9"/>
      <c r="CK185" s="11"/>
      <c r="CT185" s="9"/>
      <c r="CW185" s="10"/>
      <c r="CX185" s="11"/>
    </row>
    <row r="186" spans="1:102">
      <c r="D186" s="8" t="s">
        <v>1164</v>
      </c>
    </row>
    <row r="187" spans="1:102">
      <c r="A187" s="8">
        <v>18788</v>
      </c>
      <c r="B187" s="8" t="s">
        <v>1165</v>
      </c>
      <c r="C187" s="8" t="s">
        <v>1166</v>
      </c>
      <c r="D187" s="8" t="s">
        <v>1167</v>
      </c>
      <c r="E187" s="8" t="s">
        <v>139</v>
      </c>
      <c r="F187" s="8" t="s">
        <v>129</v>
      </c>
      <c r="G187" s="8" t="s">
        <v>1168</v>
      </c>
      <c r="I187" s="8" t="s">
        <v>1169</v>
      </c>
      <c r="J187" s="8" t="s">
        <v>1170</v>
      </c>
      <c r="K187" s="8" t="s">
        <v>60</v>
      </c>
      <c r="L187" s="8">
        <v>3053</v>
      </c>
      <c r="M187" s="8" t="s">
        <v>61</v>
      </c>
      <c r="N187" s="8" t="s">
        <v>110</v>
      </c>
      <c r="R187" s="8" t="s">
        <v>1171</v>
      </c>
      <c r="S187" s="8">
        <v>409347353</v>
      </c>
      <c r="T187" s="8" t="s">
        <v>1172</v>
      </c>
      <c r="W187" s="8" t="s">
        <v>1173</v>
      </c>
      <c r="X187" s="8" t="s">
        <v>1174</v>
      </c>
      <c r="Y187" s="8" t="s">
        <v>60</v>
      </c>
      <c r="Z187" s="8">
        <v>3053</v>
      </c>
      <c r="AA187" s="8" t="s">
        <v>61</v>
      </c>
      <c r="AB187" s="8" t="s">
        <v>110</v>
      </c>
      <c r="AC187" s="8" t="s">
        <v>56</v>
      </c>
      <c r="AF187" s="9">
        <v>18332</v>
      </c>
      <c r="AG187" s="10">
        <v>3.004861111111111</v>
      </c>
      <c r="AJ187" s="9">
        <v>42948</v>
      </c>
      <c r="AK187" s="11">
        <v>0.12986111111111112</v>
      </c>
      <c r="AP187" s="8" t="s">
        <v>113</v>
      </c>
      <c r="AQ187" s="8" t="s">
        <v>4</v>
      </c>
      <c r="AR187" s="8" t="s">
        <v>4</v>
      </c>
      <c r="AS187" s="8" t="s">
        <v>113</v>
      </c>
      <c r="AT187" s="9">
        <v>44274</v>
      </c>
      <c r="AU187" s="8" t="s">
        <v>114</v>
      </c>
      <c r="AV187" s="8" t="s">
        <v>115</v>
      </c>
      <c r="AW187" s="10">
        <v>2.9583333333333335</v>
      </c>
      <c r="AX187" s="11">
        <v>0.12986111111111112</v>
      </c>
      <c r="AY187" s="8" t="s">
        <v>113</v>
      </c>
      <c r="CF187" s="9"/>
      <c r="CG187" s="10"/>
      <c r="CJ187" s="9"/>
      <c r="CK187" s="11"/>
      <c r="CT187" s="9"/>
      <c r="CW187" s="10"/>
      <c r="CX187" s="11"/>
    </row>
    <row r="188" spans="1:102">
      <c r="A188" s="8">
        <v>18789</v>
      </c>
      <c r="B188" s="8" t="s">
        <v>1175</v>
      </c>
      <c r="C188" s="8" t="s">
        <v>1176</v>
      </c>
      <c r="D188" s="8" t="s">
        <v>1177</v>
      </c>
      <c r="E188" s="8" t="s">
        <v>148</v>
      </c>
      <c r="F188" s="8" t="s">
        <v>309</v>
      </c>
      <c r="G188" s="8" t="s">
        <v>1037</v>
      </c>
      <c r="I188" s="8" t="s">
        <v>1178</v>
      </c>
      <c r="J188" s="8" t="s">
        <v>1179</v>
      </c>
      <c r="K188" s="8" t="s">
        <v>60</v>
      </c>
      <c r="L188" s="8">
        <v>3437</v>
      </c>
      <c r="M188" s="8" t="s">
        <v>61</v>
      </c>
      <c r="N188" s="8" t="s">
        <v>110</v>
      </c>
      <c r="R188" s="8" t="s">
        <v>1180</v>
      </c>
      <c r="S188" s="8">
        <v>438158988</v>
      </c>
      <c r="AC188" s="8" t="s">
        <v>153</v>
      </c>
      <c r="AF188" s="9">
        <v>25534</v>
      </c>
      <c r="AG188" s="10">
        <v>2.1743055555555553</v>
      </c>
      <c r="AJ188" s="9">
        <v>42968</v>
      </c>
      <c r="AK188" s="11">
        <v>0.1277777777777778</v>
      </c>
      <c r="AP188" s="8" t="s">
        <v>113</v>
      </c>
      <c r="AT188" s="9">
        <v>44211</v>
      </c>
      <c r="AU188" s="8" t="s">
        <v>114</v>
      </c>
      <c r="AV188" s="8" t="s">
        <v>115</v>
      </c>
      <c r="AW188" s="10">
        <v>2.1256944444444446</v>
      </c>
      <c r="AX188" s="11">
        <v>0.1277777777777778</v>
      </c>
      <c r="CF188" s="9"/>
      <c r="CG188" s="10"/>
      <c r="CJ188" s="9"/>
      <c r="CK188" s="11"/>
      <c r="CT188" s="9"/>
      <c r="CW188" s="10"/>
      <c r="CX188" s="11"/>
    </row>
    <row r="189" spans="1:102">
      <c r="A189" s="8">
        <v>18790</v>
      </c>
      <c r="B189" s="8" t="s">
        <v>1181</v>
      </c>
      <c r="C189" s="8" t="s">
        <v>1182</v>
      </c>
      <c r="D189" s="8" t="s">
        <v>1183</v>
      </c>
      <c r="E189" s="8" t="s">
        <v>148</v>
      </c>
      <c r="F189" s="8" t="s">
        <v>368</v>
      </c>
      <c r="G189" s="8" t="s">
        <v>1184</v>
      </c>
      <c r="I189" s="8" t="s">
        <v>1185</v>
      </c>
      <c r="J189" s="8" t="s">
        <v>1186</v>
      </c>
      <c r="K189" s="8" t="s">
        <v>293</v>
      </c>
      <c r="L189" s="8">
        <v>6107</v>
      </c>
      <c r="M189" s="8" t="s">
        <v>61</v>
      </c>
      <c r="N189" s="8" t="s">
        <v>110</v>
      </c>
      <c r="R189" s="8" t="s">
        <v>1187</v>
      </c>
      <c r="S189" s="8">
        <v>413972736</v>
      </c>
      <c r="T189" s="8" t="s">
        <v>1188</v>
      </c>
      <c r="Y189" s="8" t="s">
        <v>270</v>
      </c>
      <c r="Z189" s="8">
        <v>9999</v>
      </c>
      <c r="AC189" s="8" t="s">
        <v>153</v>
      </c>
      <c r="AF189" s="9">
        <v>33760</v>
      </c>
      <c r="AG189" s="10">
        <v>1.2527777777777778</v>
      </c>
      <c r="AJ189" s="9">
        <v>42975</v>
      </c>
      <c r="AK189" s="11">
        <v>0.20833333333333334</v>
      </c>
      <c r="AP189" s="8" t="s">
        <v>113</v>
      </c>
      <c r="AS189" s="8" t="s">
        <v>113</v>
      </c>
      <c r="AT189" s="9">
        <v>44819</v>
      </c>
      <c r="AU189" s="8" t="s">
        <v>114</v>
      </c>
      <c r="AV189" s="8" t="s">
        <v>115</v>
      </c>
      <c r="AW189" s="10">
        <v>1.2520833333333334</v>
      </c>
      <c r="AX189" s="11">
        <v>0.17430555555555557</v>
      </c>
      <c r="AY189" s="8" t="s">
        <v>113</v>
      </c>
      <c r="CF189" s="9"/>
      <c r="CG189" s="10"/>
      <c r="CJ189" s="9"/>
      <c r="CK189" s="11"/>
      <c r="CT189" s="9"/>
      <c r="CW189" s="10"/>
      <c r="CX189" s="11"/>
    </row>
    <row r="190" spans="1:102">
      <c r="A190" s="8">
        <v>18791</v>
      </c>
      <c r="B190" s="8" t="s">
        <v>1189</v>
      </c>
      <c r="C190" s="8" t="s">
        <v>1190</v>
      </c>
      <c r="D190" s="8" t="s">
        <v>940</v>
      </c>
      <c r="E190" s="8" t="s">
        <v>139</v>
      </c>
      <c r="F190" s="8" t="s">
        <v>368</v>
      </c>
      <c r="G190" s="8" t="s">
        <v>941</v>
      </c>
      <c r="I190" s="8" t="s">
        <v>1191</v>
      </c>
      <c r="J190" s="8" t="s">
        <v>1192</v>
      </c>
      <c r="K190" s="8" t="s">
        <v>293</v>
      </c>
      <c r="L190" s="8">
        <v>6063</v>
      </c>
      <c r="M190" s="8" t="s">
        <v>61</v>
      </c>
      <c r="N190" s="8" t="s">
        <v>110</v>
      </c>
      <c r="R190" s="8" t="s">
        <v>1193</v>
      </c>
      <c r="S190" s="8">
        <v>61407927585</v>
      </c>
      <c r="T190" s="8" t="s">
        <v>1194</v>
      </c>
      <c r="W190" s="8" t="s">
        <v>1191</v>
      </c>
      <c r="X190" s="8" t="s">
        <v>1192</v>
      </c>
      <c r="Y190" s="8" t="s">
        <v>293</v>
      </c>
      <c r="Z190" s="8">
        <v>6063</v>
      </c>
      <c r="AA190" s="8" t="s">
        <v>61</v>
      </c>
      <c r="AB190" s="8" t="s">
        <v>110</v>
      </c>
      <c r="AC190" s="8" t="s">
        <v>56</v>
      </c>
      <c r="AF190" s="9">
        <v>32166</v>
      </c>
      <c r="AG190" s="10">
        <v>1.4229166666666666</v>
      </c>
      <c r="AJ190" s="9">
        <v>42989</v>
      </c>
      <c r="AK190" s="11">
        <v>0.20902777777777778</v>
      </c>
      <c r="AP190" s="8" t="s">
        <v>113</v>
      </c>
      <c r="AS190" s="8" t="s">
        <v>113</v>
      </c>
      <c r="AY190" s="8" t="s">
        <v>113</v>
      </c>
      <c r="CF190" s="9"/>
      <c r="CG190" s="10"/>
      <c r="CJ190" s="9"/>
      <c r="CK190" s="11"/>
    </row>
    <row r="191" spans="1:102">
      <c r="A191" s="8">
        <v>18792</v>
      </c>
      <c r="B191" s="8" t="s">
        <v>1195</v>
      </c>
      <c r="C191" s="8" t="s">
        <v>1196</v>
      </c>
      <c r="D191" s="8" t="s">
        <v>1197</v>
      </c>
      <c r="E191" s="8" t="s">
        <v>376</v>
      </c>
      <c r="F191" s="8" t="s">
        <v>984</v>
      </c>
      <c r="G191" s="8" t="s">
        <v>1197</v>
      </c>
      <c r="I191" s="8" t="s">
        <v>1198</v>
      </c>
      <c r="J191" s="8" t="s">
        <v>472</v>
      </c>
      <c r="K191" s="8" t="s">
        <v>293</v>
      </c>
      <c r="L191" s="8">
        <v>6170</v>
      </c>
      <c r="M191" s="8" t="s">
        <v>61</v>
      </c>
      <c r="N191" s="8" t="s">
        <v>110</v>
      </c>
      <c r="R191" s="8" t="s">
        <v>1199</v>
      </c>
      <c r="S191" s="8">
        <v>490706283</v>
      </c>
      <c r="T191" s="8" t="s">
        <v>1200</v>
      </c>
      <c r="Y191" s="8" t="s">
        <v>270</v>
      </c>
      <c r="Z191" s="8">
        <v>9999</v>
      </c>
      <c r="AC191" s="8" t="s">
        <v>56</v>
      </c>
      <c r="AF191" s="9">
        <v>27287</v>
      </c>
      <c r="AG191" s="10">
        <v>2.0006944444444446</v>
      </c>
      <c r="AJ191" s="9">
        <v>43004</v>
      </c>
      <c r="AK191" s="11">
        <v>0.20902777777777778</v>
      </c>
      <c r="AP191" s="8" t="s">
        <v>113</v>
      </c>
      <c r="AS191" s="8" t="s">
        <v>113</v>
      </c>
      <c r="AY191" s="8" t="s">
        <v>113</v>
      </c>
      <c r="CF191" s="9"/>
      <c r="CG191" s="10"/>
      <c r="CJ191" s="9"/>
      <c r="CK191" s="11"/>
    </row>
    <row r="192" spans="1:102">
      <c r="A192" s="8">
        <v>18793</v>
      </c>
      <c r="B192" s="8" t="s">
        <v>1201</v>
      </c>
      <c r="C192" s="8" t="s">
        <v>1202</v>
      </c>
      <c r="D192" s="8" t="s">
        <v>265</v>
      </c>
      <c r="E192" s="8" t="s">
        <v>106</v>
      </c>
      <c r="F192" s="8" t="s">
        <v>1203</v>
      </c>
      <c r="G192" s="8" t="s">
        <v>265</v>
      </c>
      <c r="I192" s="8" t="s">
        <v>1204</v>
      </c>
      <c r="J192" s="8" t="s">
        <v>602</v>
      </c>
      <c r="K192" s="8" t="s">
        <v>60</v>
      </c>
      <c r="L192" s="8">
        <v>3133</v>
      </c>
      <c r="M192" s="8" t="s">
        <v>61</v>
      </c>
      <c r="N192" s="8" t="s">
        <v>110</v>
      </c>
      <c r="R192" s="8" t="s">
        <v>1205</v>
      </c>
      <c r="S192" s="8">
        <v>452060562</v>
      </c>
      <c r="T192" s="8" t="s">
        <v>1206</v>
      </c>
      <c r="AC192" s="8" t="s">
        <v>56</v>
      </c>
      <c r="AF192" s="9">
        <v>24304</v>
      </c>
      <c r="AG192" s="10">
        <v>2.3354166666666667</v>
      </c>
      <c r="AJ192" s="9">
        <v>43015</v>
      </c>
      <c r="AK192" s="11">
        <v>0.20833333333333334</v>
      </c>
      <c r="AP192" s="8" t="s">
        <v>113</v>
      </c>
      <c r="AS192" s="8" t="s">
        <v>113</v>
      </c>
      <c r="AY192" s="8" t="s">
        <v>113</v>
      </c>
      <c r="CF192" s="9"/>
      <c r="CG192" s="10"/>
      <c r="CJ192" s="9"/>
      <c r="CK192" s="11"/>
    </row>
    <row r="193" spans="1:102">
      <c r="D193" s="8" t="s">
        <v>1207</v>
      </c>
    </row>
    <row r="194" spans="1:102">
      <c r="A194" s="8">
        <v>18794</v>
      </c>
      <c r="B194" s="8" t="s">
        <v>1208</v>
      </c>
      <c r="C194" s="8" t="s">
        <v>1209</v>
      </c>
      <c r="D194" s="8" t="s">
        <v>1210</v>
      </c>
      <c r="E194" s="8" t="s">
        <v>376</v>
      </c>
      <c r="F194" s="8" t="s">
        <v>545</v>
      </c>
      <c r="G194" s="8" t="s">
        <v>1210</v>
      </c>
      <c r="I194" s="8" t="s">
        <v>1211</v>
      </c>
      <c r="J194" s="8" t="s">
        <v>1212</v>
      </c>
      <c r="K194" s="8" t="s">
        <v>293</v>
      </c>
      <c r="L194" s="8">
        <v>6053</v>
      </c>
      <c r="M194" s="8" t="s">
        <v>61</v>
      </c>
      <c r="N194" s="8" t="s">
        <v>110</v>
      </c>
      <c r="R194" s="8" t="s">
        <v>1213</v>
      </c>
      <c r="S194" s="8">
        <v>412212571</v>
      </c>
      <c r="T194" s="8" t="s">
        <v>1214</v>
      </c>
      <c r="AC194" s="8" t="s">
        <v>56</v>
      </c>
      <c r="AF194" s="9">
        <v>34557</v>
      </c>
      <c r="AG194" s="10">
        <v>1.1680555555555556</v>
      </c>
      <c r="AJ194" s="9">
        <v>43026</v>
      </c>
      <c r="AK194" s="11">
        <v>0.1277777777777778</v>
      </c>
      <c r="AP194" s="8" t="s">
        <v>113</v>
      </c>
      <c r="AQ194" s="8" t="s">
        <v>4</v>
      </c>
      <c r="AR194" s="8" t="s">
        <v>4</v>
      </c>
      <c r="AS194" s="8" t="s">
        <v>4</v>
      </c>
      <c r="AT194" s="9">
        <v>44260</v>
      </c>
      <c r="AU194" s="8" t="s">
        <v>114</v>
      </c>
      <c r="AV194" s="8" t="s">
        <v>115</v>
      </c>
      <c r="AW194" s="10">
        <v>1.0875000000000001</v>
      </c>
      <c r="AX194" s="11">
        <v>0.1277777777777778</v>
      </c>
      <c r="CF194" s="9"/>
      <c r="CG194" s="10"/>
      <c r="CJ194" s="9"/>
      <c r="CK194" s="11"/>
      <c r="CT194" s="9"/>
      <c r="CW194" s="10"/>
      <c r="CX194" s="11"/>
    </row>
    <row r="195" spans="1:102">
      <c r="A195" s="8">
        <v>18795</v>
      </c>
      <c r="B195" s="8" t="s">
        <v>1215</v>
      </c>
      <c r="C195" s="8" t="s">
        <v>1216</v>
      </c>
      <c r="D195" s="8" t="s">
        <v>1217</v>
      </c>
      <c r="E195" s="8" t="s">
        <v>148</v>
      </c>
      <c r="F195" s="8" t="s">
        <v>274</v>
      </c>
      <c r="G195" s="8" t="s">
        <v>1217</v>
      </c>
      <c r="I195" s="8" t="s">
        <v>1218</v>
      </c>
      <c r="J195" s="8" t="s">
        <v>1219</v>
      </c>
      <c r="K195" s="8" t="s">
        <v>60</v>
      </c>
      <c r="L195" s="8">
        <v>3094</v>
      </c>
      <c r="M195" s="8" t="s">
        <v>61</v>
      </c>
      <c r="N195" s="8" t="s">
        <v>110</v>
      </c>
      <c r="R195" s="8" t="s">
        <v>1220</v>
      </c>
      <c r="S195" s="8">
        <v>411253750</v>
      </c>
      <c r="T195" s="8" t="s">
        <v>1221</v>
      </c>
      <c r="AC195" s="8" t="s">
        <v>153</v>
      </c>
      <c r="AF195" s="9">
        <v>29582</v>
      </c>
      <c r="AG195" s="10">
        <v>1.7152777777777777</v>
      </c>
      <c r="AJ195" s="9">
        <v>43045</v>
      </c>
      <c r="AK195" s="11">
        <v>0.17222222222222225</v>
      </c>
      <c r="AP195" s="8" t="s">
        <v>113</v>
      </c>
      <c r="AQ195" s="8" t="s">
        <v>4</v>
      </c>
      <c r="AR195" s="8" t="s">
        <v>4</v>
      </c>
      <c r="AS195" s="8" t="s">
        <v>4</v>
      </c>
      <c r="AT195" s="9">
        <v>44774</v>
      </c>
      <c r="AU195" s="8" t="s">
        <v>185</v>
      </c>
      <c r="AV195" s="8" t="s">
        <v>186</v>
      </c>
      <c r="AW195" s="10">
        <v>1.7131944444444445</v>
      </c>
      <c r="AX195" s="11">
        <v>0.17222222222222225</v>
      </c>
      <c r="AY195" s="8" t="s">
        <v>113</v>
      </c>
      <c r="CF195" s="9"/>
      <c r="CG195" s="10"/>
      <c r="CJ195" s="9"/>
      <c r="CK195" s="11"/>
      <c r="CT195" s="9"/>
      <c r="CW195" s="10"/>
      <c r="CX195" s="11"/>
    </row>
    <row r="196" spans="1:102">
      <c r="A196" s="8">
        <v>18796</v>
      </c>
      <c r="B196" s="8" t="s">
        <v>1222</v>
      </c>
      <c r="C196" s="8" t="s">
        <v>1223</v>
      </c>
      <c r="D196" s="8" t="s">
        <v>1224</v>
      </c>
      <c r="E196" s="8" t="s">
        <v>106</v>
      </c>
      <c r="F196" s="8" t="s">
        <v>129</v>
      </c>
      <c r="G196" s="8" t="s">
        <v>1224</v>
      </c>
      <c r="I196" s="8" t="s">
        <v>1225</v>
      </c>
      <c r="J196" s="8" t="s">
        <v>976</v>
      </c>
      <c r="K196" s="8" t="s">
        <v>60</v>
      </c>
      <c r="L196" s="8">
        <v>3152</v>
      </c>
      <c r="M196" s="8" t="s">
        <v>61</v>
      </c>
      <c r="N196" s="8" t="s">
        <v>110</v>
      </c>
      <c r="R196" s="8" t="s">
        <v>1226</v>
      </c>
      <c r="S196" s="8">
        <v>409259288</v>
      </c>
      <c r="T196" s="8" t="s">
        <v>1227</v>
      </c>
      <c r="AC196" s="8" t="s">
        <v>56</v>
      </c>
      <c r="AF196" s="9">
        <v>23773</v>
      </c>
      <c r="AG196" s="10">
        <v>2.3812500000000001</v>
      </c>
      <c r="AJ196" s="9">
        <v>43047</v>
      </c>
      <c r="AK196" s="11">
        <v>8.9583333333333334E-2</v>
      </c>
      <c r="AP196" s="8" t="s">
        <v>113</v>
      </c>
      <c r="AS196" s="8" t="s">
        <v>113</v>
      </c>
      <c r="AT196" s="9">
        <v>44064</v>
      </c>
      <c r="AU196" s="8" t="s">
        <v>114</v>
      </c>
      <c r="AV196" s="8" t="s">
        <v>115</v>
      </c>
      <c r="AW196" s="10">
        <v>2.2958333333333334</v>
      </c>
      <c r="AX196" s="11">
        <v>8.9583333333333334E-2</v>
      </c>
      <c r="AY196" s="8" t="s">
        <v>113</v>
      </c>
      <c r="CF196" s="9"/>
      <c r="CG196" s="10"/>
      <c r="CJ196" s="9"/>
      <c r="CK196" s="11"/>
      <c r="CT196" s="9"/>
      <c r="CW196" s="10"/>
      <c r="CX196" s="11"/>
    </row>
    <row r="197" spans="1:102">
      <c r="A197" s="8">
        <v>18797</v>
      </c>
      <c r="B197" s="8" t="s">
        <v>1228</v>
      </c>
      <c r="C197" s="8" t="s">
        <v>1229</v>
      </c>
      <c r="D197" s="8" t="s">
        <v>1230</v>
      </c>
      <c r="E197" s="8" t="s">
        <v>139</v>
      </c>
      <c r="F197" s="8" t="s">
        <v>1007</v>
      </c>
      <c r="G197" s="8" t="s">
        <v>1230</v>
      </c>
      <c r="I197" s="8" t="s">
        <v>1231</v>
      </c>
      <c r="J197" s="8" t="s">
        <v>1232</v>
      </c>
      <c r="K197" s="8" t="s">
        <v>60</v>
      </c>
      <c r="L197" s="8">
        <v>3131</v>
      </c>
      <c r="M197" s="8" t="s">
        <v>61</v>
      </c>
      <c r="N197" s="8" t="s">
        <v>110</v>
      </c>
      <c r="R197" s="8" t="s">
        <v>1233</v>
      </c>
      <c r="S197" s="8">
        <v>432925120</v>
      </c>
      <c r="T197" s="8" t="s">
        <v>1234</v>
      </c>
      <c r="W197" s="8" t="s">
        <v>1231</v>
      </c>
      <c r="X197" s="8" t="s">
        <v>1232</v>
      </c>
      <c r="Y197" s="8" t="s">
        <v>60</v>
      </c>
      <c r="Z197" s="8">
        <v>3131</v>
      </c>
      <c r="AA197" s="8" t="s">
        <v>61</v>
      </c>
      <c r="AB197" s="8" t="s">
        <v>110</v>
      </c>
      <c r="AC197" s="8" t="s">
        <v>56</v>
      </c>
      <c r="AF197" s="9">
        <v>33382</v>
      </c>
      <c r="AG197" s="10">
        <v>1.2951388888888888</v>
      </c>
      <c r="AJ197" s="9">
        <v>43047</v>
      </c>
      <c r="AK197" s="11">
        <v>0.17430555555555557</v>
      </c>
      <c r="AP197" s="8" t="s">
        <v>113</v>
      </c>
      <c r="AS197" s="8" t="s">
        <v>113</v>
      </c>
      <c r="AY197" s="8" t="s">
        <v>113</v>
      </c>
      <c r="CF197" s="9"/>
      <c r="CG197" s="10"/>
      <c r="CJ197" s="9"/>
      <c r="CK197" s="11"/>
    </row>
    <row r="198" spans="1:102">
      <c r="A198" s="8">
        <v>18798</v>
      </c>
      <c r="B198" s="8" t="s">
        <v>1235</v>
      </c>
      <c r="C198" s="8" t="s">
        <v>1236</v>
      </c>
      <c r="D198" s="8" t="s">
        <v>1237</v>
      </c>
      <c r="E198" s="8" t="s">
        <v>376</v>
      </c>
      <c r="F198" s="8" t="s">
        <v>107</v>
      </c>
      <c r="G198" s="8" t="s">
        <v>1237</v>
      </c>
      <c r="I198" s="8" t="s">
        <v>1238</v>
      </c>
      <c r="J198" s="8" t="s">
        <v>1239</v>
      </c>
      <c r="K198" s="8" t="s">
        <v>293</v>
      </c>
      <c r="L198" s="8">
        <v>6171</v>
      </c>
      <c r="R198" s="8" t="s">
        <v>1240</v>
      </c>
      <c r="S198" s="8">
        <v>423223854</v>
      </c>
      <c r="T198" s="8" t="s">
        <v>1241</v>
      </c>
      <c r="AC198" s="8" t="s">
        <v>56</v>
      </c>
      <c r="AF198" s="9">
        <v>30683</v>
      </c>
      <c r="AG198" s="10">
        <v>1.5895833333333333</v>
      </c>
      <c r="AJ198" s="9">
        <v>43047</v>
      </c>
      <c r="AK198" s="11">
        <v>4.2361111111111106E-2</v>
      </c>
      <c r="AT198" s="9">
        <v>43442</v>
      </c>
      <c r="AU198" s="8" t="s">
        <v>114</v>
      </c>
      <c r="AV198" s="8" t="s">
        <v>115</v>
      </c>
      <c r="AW198" s="10">
        <v>1.4243055555555555</v>
      </c>
      <c r="AX198" s="11">
        <v>4.2361111111111106E-2</v>
      </c>
      <c r="CF198" s="9"/>
      <c r="CG198" s="10"/>
      <c r="CJ198" s="9"/>
      <c r="CK198" s="11"/>
      <c r="CT198" s="9"/>
      <c r="CW198" s="10"/>
      <c r="CX198" s="11"/>
    </row>
    <row r="199" spans="1:102">
      <c r="A199" s="8">
        <v>18799</v>
      </c>
      <c r="B199" s="8" t="s">
        <v>1242</v>
      </c>
      <c r="C199" s="8" t="s">
        <v>1243</v>
      </c>
      <c r="D199" s="8" t="s">
        <v>1244</v>
      </c>
      <c r="E199" s="8" t="s">
        <v>139</v>
      </c>
      <c r="F199" s="8" t="s">
        <v>545</v>
      </c>
      <c r="G199" s="8" t="s">
        <v>1244</v>
      </c>
      <c r="I199" s="8" t="s">
        <v>1245</v>
      </c>
      <c r="J199" s="8" t="s">
        <v>1246</v>
      </c>
      <c r="K199" s="8" t="s">
        <v>122</v>
      </c>
      <c r="L199" s="8">
        <v>2112</v>
      </c>
      <c r="M199" s="8" t="s">
        <v>61</v>
      </c>
      <c r="N199" s="8" t="s">
        <v>110</v>
      </c>
      <c r="R199" s="8" t="s">
        <v>1247</v>
      </c>
      <c r="S199" s="8">
        <v>406221018</v>
      </c>
      <c r="T199" s="8" t="s">
        <v>1248</v>
      </c>
      <c r="Y199" s="8" t="s">
        <v>270</v>
      </c>
      <c r="Z199" s="8">
        <v>9999</v>
      </c>
      <c r="AC199" s="8" t="s">
        <v>56</v>
      </c>
      <c r="AF199" s="9">
        <v>32434</v>
      </c>
      <c r="AG199" s="10">
        <v>1.4166666666666667</v>
      </c>
      <c r="AJ199" s="9">
        <v>43045</v>
      </c>
      <c r="AK199" s="11">
        <v>0.12916666666666668</v>
      </c>
      <c r="AP199" s="8" t="s">
        <v>113</v>
      </c>
      <c r="AS199" s="8" t="s">
        <v>113</v>
      </c>
      <c r="AT199" s="9">
        <v>44335</v>
      </c>
      <c r="AU199" s="8" t="s">
        <v>1249</v>
      </c>
      <c r="AV199" s="8" t="s">
        <v>1250</v>
      </c>
      <c r="AW199" s="10">
        <v>1.3381944444444445</v>
      </c>
      <c r="AX199" s="11">
        <v>0.12916666666666668</v>
      </c>
      <c r="AY199" s="8" t="s">
        <v>113</v>
      </c>
      <c r="CF199" s="9"/>
      <c r="CG199" s="10"/>
      <c r="CJ199" s="9"/>
      <c r="CK199" s="11"/>
      <c r="CT199" s="9"/>
      <c r="CW199" s="10"/>
      <c r="CX199" s="11"/>
    </row>
    <row r="200" spans="1:102">
      <c r="A200" s="8">
        <v>18802</v>
      </c>
      <c r="B200" s="8" t="s">
        <v>1251</v>
      </c>
      <c r="C200" s="8" t="s">
        <v>1252</v>
      </c>
      <c r="D200" s="8" t="s">
        <v>1253</v>
      </c>
      <c r="E200" s="8" t="s">
        <v>376</v>
      </c>
      <c r="F200" s="8" t="s">
        <v>119</v>
      </c>
      <c r="G200" s="8" t="s">
        <v>1253</v>
      </c>
      <c r="I200" s="8" t="s">
        <v>1254</v>
      </c>
      <c r="J200" s="8" t="s">
        <v>1255</v>
      </c>
      <c r="K200" s="8" t="s">
        <v>60</v>
      </c>
      <c r="L200" s="8">
        <v>3135</v>
      </c>
      <c r="R200" s="8" t="s">
        <v>1256</v>
      </c>
      <c r="S200" s="8">
        <v>408326131</v>
      </c>
      <c r="T200" s="8" t="s">
        <v>1257</v>
      </c>
      <c r="AC200" s="8" t="s">
        <v>56</v>
      </c>
      <c r="AF200" s="9">
        <v>24792</v>
      </c>
      <c r="AG200" s="10">
        <v>2.2576388888888888</v>
      </c>
      <c r="AJ200" s="9">
        <v>43059</v>
      </c>
      <c r="AK200" s="11">
        <v>5.5555555555555558E-3</v>
      </c>
      <c r="AT200" s="9">
        <v>43322</v>
      </c>
      <c r="AU200" s="8" t="s">
        <v>114</v>
      </c>
      <c r="AV200" s="8" t="s">
        <v>115</v>
      </c>
      <c r="AW200" s="10">
        <v>2.088888888888889</v>
      </c>
      <c r="AX200" s="11">
        <v>5.5555555555555558E-3</v>
      </c>
      <c r="CF200" s="9"/>
      <c r="CG200" s="10"/>
      <c r="CJ200" s="9"/>
      <c r="CK200" s="11"/>
      <c r="CT200" s="9"/>
      <c r="CW200" s="10"/>
      <c r="CX200" s="11"/>
    </row>
    <row r="201" spans="1:102">
      <c r="A201" s="8">
        <v>18803</v>
      </c>
      <c r="B201" s="8" t="s">
        <v>1258</v>
      </c>
      <c r="C201" s="8" t="s">
        <v>436</v>
      </c>
      <c r="D201" s="8" t="s">
        <v>805</v>
      </c>
      <c r="E201" s="8" t="s">
        <v>106</v>
      </c>
      <c r="F201" s="8" t="s">
        <v>119</v>
      </c>
      <c r="G201" s="8" t="s">
        <v>1259</v>
      </c>
      <c r="I201" s="8" t="s">
        <v>1260</v>
      </c>
      <c r="J201" s="8" t="s">
        <v>439</v>
      </c>
      <c r="K201" s="8" t="s">
        <v>122</v>
      </c>
      <c r="L201" s="8">
        <v>2148</v>
      </c>
      <c r="M201" s="8" t="s">
        <v>61</v>
      </c>
      <c r="N201" s="8" t="s">
        <v>110</v>
      </c>
      <c r="R201" s="8" t="s">
        <v>1261</v>
      </c>
      <c r="S201" s="8">
        <v>449629798</v>
      </c>
      <c r="T201" s="8" t="s">
        <v>1262</v>
      </c>
      <c r="W201" s="8" t="s">
        <v>1260</v>
      </c>
      <c r="X201" s="8" t="s">
        <v>439</v>
      </c>
      <c r="Y201" s="8" t="s">
        <v>122</v>
      </c>
      <c r="Z201" s="8">
        <v>2148</v>
      </c>
      <c r="AA201" s="8" t="s">
        <v>61</v>
      </c>
      <c r="AB201" s="8" t="s">
        <v>110</v>
      </c>
      <c r="AC201" s="8" t="s">
        <v>56</v>
      </c>
      <c r="AF201" s="9">
        <v>29486</v>
      </c>
      <c r="AG201" s="10">
        <v>1.7506944444444443</v>
      </c>
      <c r="AJ201" s="9">
        <v>43059</v>
      </c>
      <c r="AK201" s="11">
        <v>4.9305555555555554E-2</v>
      </c>
      <c r="AP201" s="8" t="s">
        <v>113</v>
      </c>
      <c r="AS201" s="8" t="s">
        <v>113</v>
      </c>
      <c r="AT201" s="9">
        <v>43784</v>
      </c>
      <c r="AU201" s="8" t="s">
        <v>114</v>
      </c>
      <c r="AV201" s="8" t="s">
        <v>115</v>
      </c>
      <c r="AW201" s="10">
        <v>1.6256944444444443</v>
      </c>
      <c r="AX201" s="11">
        <v>4.9305555555555554E-2</v>
      </c>
      <c r="AY201" s="8" t="s">
        <v>113</v>
      </c>
      <c r="CF201" s="9"/>
      <c r="CG201" s="10"/>
      <c r="CJ201" s="9"/>
      <c r="CK201" s="11"/>
      <c r="CT201" s="9"/>
      <c r="CW201" s="10"/>
      <c r="CX201" s="11"/>
    </row>
    <row r="202" spans="1:102">
      <c r="A202" s="8">
        <v>18804</v>
      </c>
      <c r="B202" s="8" t="s">
        <v>1263</v>
      </c>
      <c r="C202" s="8" t="s">
        <v>1264</v>
      </c>
      <c r="D202" s="8" t="s">
        <v>1265</v>
      </c>
      <c r="E202" s="8" t="s">
        <v>139</v>
      </c>
      <c r="F202" s="8" t="s">
        <v>333</v>
      </c>
      <c r="G202" s="8" t="s">
        <v>1265</v>
      </c>
      <c r="I202" s="8" t="s">
        <v>1266</v>
      </c>
      <c r="J202" s="8" t="s">
        <v>1267</v>
      </c>
      <c r="K202" s="8" t="s">
        <v>122</v>
      </c>
      <c r="L202" s="8">
        <v>2766</v>
      </c>
      <c r="R202" s="8" t="s">
        <v>1268</v>
      </c>
      <c r="S202" s="8" t="s">
        <v>1269</v>
      </c>
      <c r="T202" s="8" t="s">
        <v>1270</v>
      </c>
      <c r="AC202" s="8" t="s">
        <v>56</v>
      </c>
      <c r="AF202" s="9">
        <v>33048</v>
      </c>
      <c r="AG202" s="10">
        <v>1.3361111111111112</v>
      </c>
      <c r="AJ202" s="9">
        <v>43066</v>
      </c>
      <c r="AK202" s="11">
        <v>4.8611111111111112E-2</v>
      </c>
      <c r="AP202" s="8" t="s">
        <v>113</v>
      </c>
      <c r="AS202" s="8" t="s">
        <v>113</v>
      </c>
      <c r="AT202" s="9">
        <v>43753</v>
      </c>
      <c r="AU202" s="8" t="s">
        <v>114</v>
      </c>
      <c r="AV202" s="8" t="s">
        <v>115</v>
      </c>
      <c r="AW202" s="10">
        <v>1.2104166666666667</v>
      </c>
      <c r="AX202" s="11">
        <v>4.8611111111111112E-2</v>
      </c>
      <c r="AY202" s="8" t="s">
        <v>113</v>
      </c>
      <c r="CF202" s="9"/>
      <c r="CG202" s="10"/>
      <c r="CJ202" s="9"/>
      <c r="CK202" s="11"/>
      <c r="CT202" s="9"/>
      <c r="CW202" s="10"/>
      <c r="CX202" s="11"/>
    </row>
    <row r="203" spans="1:102">
      <c r="A203" s="8">
        <v>18805</v>
      </c>
      <c r="B203" s="8" t="s">
        <v>1271</v>
      </c>
      <c r="C203" s="8" t="s">
        <v>1272</v>
      </c>
      <c r="D203" s="8" t="s">
        <v>1273</v>
      </c>
      <c r="E203" s="8" t="s">
        <v>376</v>
      </c>
      <c r="F203" s="8" t="s">
        <v>1038</v>
      </c>
      <c r="G203" s="8" t="s">
        <v>1273</v>
      </c>
      <c r="I203" s="8" t="s">
        <v>1274</v>
      </c>
      <c r="J203" s="8" t="s">
        <v>1275</v>
      </c>
      <c r="K203" s="8" t="s">
        <v>60</v>
      </c>
      <c r="L203" s="8">
        <v>3084</v>
      </c>
      <c r="M203" s="8" t="s">
        <v>61</v>
      </c>
      <c r="N203" s="8" t="s">
        <v>110</v>
      </c>
      <c r="O203" s="8">
        <v>394552746</v>
      </c>
      <c r="R203" s="8" t="s">
        <v>1276</v>
      </c>
      <c r="S203" s="8">
        <v>425808490</v>
      </c>
      <c r="T203" s="8" t="s">
        <v>1277</v>
      </c>
      <c r="AC203" s="8" t="s">
        <v>56</v>
      </c>
      <c r="AF203" s="9">
        <v>33647</v>
      </c>
      <c r="AG203" s="10">
        <v>1.2555555555555555</v>
      </c>
      <c r="AJ203" s="9">
        <v>43067</v>
      </c>
      <c r="AK203" s="11">
        <v>0.17430555555555557</v>
      </c>
      <c r="AP203" s="8" t="s">
        <v>113</v>
      </c>
      <c r="AQ203" s="8" t="s">
        <v>4</v>
      </c>
      <c r="AR203" s="8" t="s">
        <v>4</v>
      </c>
      <c r="AS203" s="8" t="s">
        <v>4</v>
      </c>
      <c r="AY203" s="8" t="s">
        <v>4</v>
      </c>
      <c r="AZ203" s="8" t="s">
        <v>4</v>
      </c>
      <c r="CF203" s="9"/>
      <c r="CG203" s="10"/>
      <c r="CJ203" s="9"/>
      <c r="CK203" s="11"/>
    </row>
    <row r="204" spans="1:102">
      <c r="D204" s="8" t="s">
        <v>1278</v>
      </c>
    </row>
    <row r="205" spans="1:102">
      <c r="A205" s="8">
        <v>18806</v>
      </c>
      <c r="B205" s="8" t="s">
        <v>1279</v>
      </c>
      <c r="C205" s="8" t="s">
        <v>1280</v>
      </c>
      <c r="D205" s="8" t="s">
        <v>1281</v>
      </c>
      <c r="E205" s="8" t="s">
        <v>148</v>
      </c>
      <c r="F205" s="8" t="s">
        <v>119</v>
      </c>
      <c r="G205" s="8" t="s">
        <v>1281</v>
      </c>
      <c r="I205" s="8" t="s">
        <v>1282</v>
      </c>
      <c r="J205" s="8" t="s">
        <v>1283</v>
      </c>
      <c r="K205" s="8" t="s">
        <v>122</v>
      </c>
      <c r="L205" s="8">
        <v>2558</v>
      </c>
      <c r="M205" s="8" t="s">
        <v>61</v>
      </c>
      <c r="N205" s="8" t="s">
        <v>110</v>
      </c>
      <c r="R205" s="8" t="s">
        <v>1284</v>
      </c>
      <c r="S205" s="8">
        <v>431247885</v>
      </c>
      <c r="T205" s="8" t="s">
        <v>1285</v>
      </c>
      <c r="AC205" s="8" t="s">
        <v>153</v>
      </c>
      <c r="AF205" s="9">
        <v>32396</v>
      </c>
      <c r="AG205" s="10">
        <v>1.4173611111111111</v>
      </c>
      <c r="AJ205" s="9">
        <v>43080</v>
      </c>
      <c r="AK205" s="11">
        <v>8.7500000000000008E-2</v>
      </c>
      <c r="AP205" s="8" t="s">
        <v>113</v>
      </c>
      <c r="AQ205" s="8" t="s">
        <v>4</v>
      </c>
      <c r="AR205" s="8" t="s">
        <v>4</v>
      </c>
      <c r="AS205" s="8" t="s">
        <v>4</v>
      </c>
      <c r="AT205" s="9">
        <v>44015</v>
      </c>
      <c r="AU205" s="8" t="s">
        <v>114</v>
      </c>
      <c r="AV205" s="8" t="s">
        <v>115</v>
      </c>
      <c r="AW205" s="10">
        <v>1.2979166666666666</v>
      </c>
      <c r="AX205" s="11">
        <v>8.7500000000000008E-2</v>
      </c>
      <c r="AY205" s="8" t="s">
        <v>113</v>
      </c>
      <c r="CF205" s="9"/>
      <c r="CG205" s="10"/>
      <c r="CJ205" s="9"/>
      <c r="CK205" s="11"/>
      <c r="CT205" s="9"/>
      <c r="CW205" s="10"/>
      <c r="CX205" s="11"/>
    </row>
    <row r="206" spans="1:102">
      <c r="A206" s="8">
        <v>18807</v>
      </c>
      <c r="B206" s="8" t="s">
        <v>1286</v>
      </c>
      <c r="C206" s="8" t="s">
        <v>1287</v>
      </c>
      <c r="D206" s="8" t="s">
        <v>1288</v>
      </c>
      <c r="E206" s="8" t="s">
        <v>376</v>
      </c>
      <c r="F206" s="8" t="s">
        <v>762</v>
      </c>
      <c r="G206" s="8" t="s">
        <v>1288</v>
      </c>
      <c r="I206" s="8" t="s">
        <v>1289</v>
      </c>
      <c r="J206" s="8" t="s">
        <v>1290</v>
      </c>
      <c r="K206" s="8" t="s">
        <v>122</v>
      </c>
      <c r="L206" s="8">
        <v>2042</v>
      </c>
      <c r="R206" s="8" t="s">
        <v>1291</v>
      </c>
      <c r="S206" s="8">
        <v>420385346</v>
      </c>
      <c r="T206" s="8" t="s">
        <v>1292</v>
      </c>
      <c r="AC206" s="8" t="s">
        <v>56</v>
      </c>
      <c r="AF206" s="9">
        <v>30772</v>
      </c>
      <c r="AG206" s="10">
        <v>1.5881944444444445</v>
      </c>
      <c r="AJ206" s="9">
        <v>43080</v>
      </c>
      <c r="AK206" s="11">
        <v>4.4444444444444446E-2</v>
      </c>
      <c r="AP206" s="8" t="s">
        <v>4</v>
      </c>
      <c r="AT206" s="9">
        <v>43588</v>
      </c>
      <c r="AU206" s="8" t="s">
        <v>114</v>
      </c>
      <c r="AV206" s="8" t="s">
        <v>115</v>
      </c>
      <c r="AW206" s="10">
        <v>1.4590277777777778</v>
      </c>
      <c r="AX206" s="11">
        <v>4.4444444444444446E-2</v>
      </c>
      <c r="CF206" s="9"/>
      <c r="CG206" s="10"/>
      <c r="CJ206" s="9"/>
      <c r="CK206" s="11"/>
      <c r="CT206" s="9"/>
      <c r="CW206" s="10"/>
      <c r="CX206" s="11"/>
    </row>
    <row r="207" spans="1:102">
      <c r="D207" s="8" t="s">
        <v>1293</v>
      </c>
    </row>
    <row r="208" spans="1:102">
      <c r="A208" s="8">
        <v>18808</v>
      </c>
      <c r="B208" s="8" t="s">
        <v>1294</v>
      </c>
      <c r="C208" s="8" t="s">
        <v>1295</v>
      </c>
      <c r="D208" s="8" t="s">
        <v>1296</v>
      </c>
      <c r="E208" s="8" t="s">
        <v>106</v>
      </c>
      <c r="F208" s="8" t="s">
        <v>933</v>
      </c>
      <c r="G208" s="8" t="s">
        <v>1296</v>
      </c>
      <c r="I208" s="8" t="s">
        <v>1297</v>
      </c>
      <c r="J208" s="8" t="s">
        <v>1298</v>
      </c>
      <c r="K208" s="8" t="s">
        <v>60</v>
      </c>
      <c r="L208" s="8">
        <v>3183</v>
      </c>
      <c r="M208" s="8" t="s">
        <v>61</v>
      </c>
      <c r="N208" s="8" t="s">
        <v>110</v>
      </c>
      <c r="R208" s="8" t="s">
        <v>1299</v>
      </c>
      <c r="S208" s="8">
        <v>469098447</v>
      </c>
      <c r="T208" s="8" t="s">
        <v>1300</v>
      </c>
      <c r="Y208" s="8" t="s">
        <v>270</v>
      </c>
      <c r="Z208" s="8">
        <v>9999</v>
      </c>
      <c r="AC208" s="8" t="s">
        <v>56</v>
      </c>
      <c r="AF208" s="9">
        <v>29022</v>
      </c>
      <c r="AG208" s="10">
        <v>1.7944444444444445</v>
      </c>
      <c r="AJ208" s="9">
        <v>43084</v>
      </c>
      <c r="AK208" s="11">
        <v>0.12916666666666668</v>
      </c>
      <c r="AP208" s="8" t="s">
        <v>113</v>
      </c>
      <c r="AS208" s="8" t="s">
        <v>113</v>
      </c>
      <c r="AT208" s="9">
        <v>44377</v>
      </c>
      <c r="AU208" s="8" t="s">
        <v>114</v>
      </c>
      <c r="AV208" s="8" t="s">
        <v>115</v>
      </c>
      <c r="AW208" s="10">
        <v>1.75</v>
      </c>
      <c r="AX208" s="11">
        <v>0.12916666666666668</v>
      </c>
      <c r="AY208" s="8" t="s">
        <v>113</v>
      </c>
      <c r="CF208" s="9"/>
      <c r="CG208" s="10"/>
      <c r="CJ208" s="9"/>
      <c r="CK208" s="11"/>
      <c r="CT208" s="9"/>
      <c r="CW208" s="10"/>
      <c r="CX208" s="11"/>
    </row>
    <row r="209" spans="1:102">
      <c r="A209" s="8">
        <v>18809</v>
      </c>
      <c r="B209" s="8" t="s">
        <v>1301</v>
      </c>
      <c r="C209" s="8" t="s">
        <v>1302</v>
      </c>
      <c r="D209" s="8" t="s">
        <v>1303</v>
      </c>
      <c r="E209" s="8" t="s">
        <v>106</v>
      </c>
      <c r="F209" s="8" t="s">
        <v>129</v>
      </c>
      <c r="G209" s="8" t="s">
        <v>1303</v>
      </c>
      <c r="I209" s="8" t="s">
        <v>1304</v>
      </c>
      <c r="J209" s="8" t="s">
        <v>1305</v>
      </c>
      <c r="K209" s="8" t="s">
        <v>293</v>
      </c>
      <c r="L209" s="8">
        <v>6060</v>
      </c>
      <c r="R209" s="8" t="s">
        <v>1306</v>
      </c>
      <c r="S209" s="8">
        <v>450371141</v>
      </c>
      <c r="T209" s="8" t="s">
        <v>1307</v>
      </c>
      <c r="AC209" s="8" t="s">
        <v>56</v>
      </c>
      <c r="AF209" s="9">
        <v>31213</v>
      </c>
      <c r="AG209" s="10">
        <v>1.5444444444444445</v>
      </c>
      <c r="AJ209" s="9">
        <v>43088</v>
      </c>
      <c r="AK209" s="11">
        <v>4.8611111111111112E-2</v>
      </c>
      <c r="AP209" s="8" t="s">
        <v>113</v>
      </c>
      <c r="AS209" s="8" t="s">
        <v>113</v>
      </c>
      <c r="AT209" s="9">
        <v>43758</v>
      </c>
      <c r="AU209" s="8" t="s">
        <v>114</v>
      </c>
      <c r="AV209" s="8" t="s">
        <v>115</v>
      </c>
      <c r="AW209" s="10">
        <v>1.4194444444444445</v>
      </c>
      <c r="AX209" s="11">
        <v>4.8611111111111112E-2</v>
      </c>
      <c r="AY209" s="8" t="s">
        <v>113</v>
      </c>
      <c r="CF209" s="9"/>
      <c r="CG209" s="10"/>
      <c r="CJ209" s="9"/>
      <c r="CK209" s="11"/>
      <c r="CT209" s="9"/>
      <c r="CW209" s="10"/>
      <c r="CX209" s="11"/>
    </row>
    <row r="210" spans="1:102">
      <c r="A210" s="8">
        <v>18810</v>
      </c>
      <c r="B210" s="8" t="s">
        <v>1308</v>
      </c>
      <c r="C210" s="8" t="s">
        <v>1309</v>
      </c>
      <c r="D210" s="8" t="s">
        <v>1310</v>
      </c>
      <c r="E210" s="8" t="s">
        <v>106</v>
      </c>
      <c r="F210" s="8" t="s">
        <v>309</v>
      </c>
      <c r="G210" s="8" t="s">
        <v>1310</v>
      </c>
      <c r="I210" s="8" t="s">
        <v>1311</v>
      </c>
      <c r="J210" s="8" t="s">
        <v>1312</v>
      </c>
      <c r="K210" s="8" t="s">
        <v>60</v>
      </c>
      <c r="L210" s="8">
        <v>3127</v>
      </c>
      <c r="R210" s="8" t="s">
        <v>1313</v>
      </c>
      <c r="S210" s="8">
        <v>451514832</v>
      </c>
      <c r="T210" s="8" t="s">
        <v>1314</v>
      </c>
      <c r="AC210" s="8" t="s">
        <v>56</v>
      </c>
      <c r="AF210" s="9">
        <v>31370</v>
      </c>
      <c r="AG210" s="10">
        <v>1.5076388888888888</v>
      </c>
      <c r="AJ210" s="9">
        <v>43112</v>
      </c>
      <c r="AK210" s="11">
        <v>4.8611111111111112E-3</v>
      </c>
      <c r="AT210" s="9">
        <v>43337</v>
      </c>
      <c r="AU210" s="8" t="s">
        <v>114</v>
      </c>
      <c r="AV210" s="8" t="s">
        <v>115</v>
      </c>
      <c r="AW210" s="10">
        <v>1.3395833333333333</v>
      </c>
      <c r="AX210" s="11">
        <v>4.8611111111111112E-3</v>
      </c>
      <c r="CF210" s="9"/>
      <c r="CG210" s="10"/>
      <c r="CJ210" s="9"/>
      <c r="CK210" s="11"/>
      <c r="CT210" s="9"/>
      <c r="CW210" s="10"/>
      <c r="CX210" s="11"/>
    </row>
    <row r="211" spans="1:102">
      <c r="A211" s="8">
        <v>18812</v>
      </c>
      <c r="B211" s="8" t="s">
        <v>1315</v>
      </c>
      <c r="C211" s="8" t="s">
        <v>1316</v>
      </c>
      <c r="D211" s="8" t="s">
        <v>1317</v>
      </c>
      <c r="E211" s="8" t="s">
        <v>376</v>
      </c>
      <c r="F211" s="8" t="s">
        <v>933</v>
      </c>
      <c r="G211" s="8" t="s">
        <v>1317</v>
      </c>
      <c r="I211" s="8" t="s">
        <v>1318</v>
      </c>
      <c r="J211" s="8" t="s">
        <v>1319</v>
      </c>
      <c r="K211" s="8" t="s">
        <v>60</v>
      </c>
      <c r="L211" s="8">
        <v>3114</v>
      </c>
      <c r="R211" s="8" t="s">
        <v>1320</v>
      </c>
      <c r="S211" s="8">
        <v>413856598</v>
      </c>
      <c r="T211" s="8" t="s">
        <v>1321</v>
      </c>
      <c r="AC211" s="8" t="s">
        <v>56</v>
      </c>
      <c r="AF211" s="9">
        <v>35404</v>
      </c>
      <c r="AG211" s="10">
        <v>1.0486111111111112</v>
      </c>
      <c r="AJ211" s="9">
        <v>43129</v>
      </c>
      <c r="AK211" s="11">
        <v>4.1666666666666664E-2</v>
      </c>
      <c r="AT211" s="9">
        <v>43504</v>
      </c>
      <c r="AU211" s="8" t="s">
        <v>114</v>
      </c>
      <c r="AV211" s="8" t="s">
        <v>115</v>
      </c>
      <c r="AW211" s="11">
        <v>0.91805555555555562</v>
      </c>
      <c r="AX211" s="11">
        <v>4.1666666666666664E-2</v>
      </c>
      <c r="CF211" s="9"/>
      <c r="CG211" s="10"/>
      <c r="CJ211" s="9"/>
      <c r="CK211" s="11"/>
      <c r="CT211" s="9"/>
      <c r="CW211" s="11"/>
      <c r="CX211" s="11"/>
    </row>
    <row r="212" spans="1:102">
      <c r="A212" s="8">
        <v>18813</v>
      </c>
      <c r="B212" s="8" t="s">
        <v>1322</v>
      </c>
      <c r="C212" s="8" t="s">
        <v>1202</v>
      </c>
      <c r="D212" s="8" t="s">
        <v>1323</v>
      </c>
      <c r="E212" s="8" t="s">
        <v>106</v>
      </c>
      <c r="F212" s="8" t="s">
        <v>1324</v>
      </c>
      <c r="G212" s="8" t="s">
        <v>1323</v>
      </c>
      <c r="I212" s="8" t="s">
        <v>1325</v>
      </c>
      <c r="J212" s="8" t="s">
        <v>1326</v>
      </c>
      <c r="K212" s="8" t="s">
        <v>122</v>
      </c>
      <c r="L212" s="8">
        <v>2035</v>
      </c>
      <c r="R212" s="8" t="s">
        <v>1327</v>
      </c>
      <c r="S212" s="8">
        <v>401700046</v>
      </c>
      <c r="T212" s="8" t="s">
        <v>1328</v>
      </c>
      <c r="AC212" s="8" t="s">
        <v>56</v>
      </c>
      <c r="AF212" s="9">
        <v>27042</v>
      </c>
      <c r="AG212" s="10">
        <v>2.0062500000000001</v>
      </c>
      <c r="AJ212" s="9">
        <v>43136</v>
      </c>
      <c r="AK212" s="11">
        <v>4.9305555555555554E-2</v>
      </c>
      <c r="AP212" s="8" t="s">
        <v>113</v>
      </c>
      <c r="AT212" s="9">
        <v>43858</v>
      </c>
      <c r="AU212" s="8" t="s">
        <v>185</v>
      </c>
      <c r="AV212" s="8" t="s">
        <v>186</v>
      </c>
      <c r="AW212" s="10">
        <v>1.9166666666666667</v>
      </c>
      <c r="AX212" s="11">
        <v>4.9305555555555554E-2</v>
      </c>
      <c r="CF212" s="9"/>
      <c r="CG212" s="10"/>
      <c r="CJ212" s="9"/>
      <c r="CK212" s="11"/>
      <c r="CT212" s="9"/>
      <c r="CW212" s="10"/>
      <c r="CX212" s="11"/>
    </row>
    <row r="213" spans="1:102">
      <c r="D213" s="8" t="s">
        <v>1329</v>
      </c>
    </row>
    <row r="214" spans="1:102">
      <c r="A214" s="8">
        <v>18814</v>
      </c>
      <c r="B214" s="8" t="s">
        <v>1330</v>
      </c>
      <c r="C214" s="8" t="s">
        <v>1331</v>
      </c>
      <c r="D214" s="8" t="s">
        <v>1332</v>
      </c>
      <c r="E214" s="8" t="s">
        <v>376</v>
      </c>
      <c r="F214" s="8" t="s">
        <v>446</v>
      </c>
      <c r="G214" s="8" t="s">
        <v>1332</v>
      </c>
      <c r="I214" s="8" t="s">
        <v>1333</v>
      </c>
      <c r="J214" s="8" t="s">
        <v>1334</v>
      </c>
      <c r="K214" s="8" t="s">
        <v>60</v>
      </c>
      <c r="L214" s="8">
        <v>3135</v>
      </c>
      <c r="M214" s="8" t="s">
        <v>61</v>
      </c>
      <c r="N214" s="8" t="s">
        <v>110</v>
      </c>
      <c r="R214" s="8" t="s">
        <v>1335</v>
      </c>
      <c r="S214" s="8">
        <v>402488439</v>
      </c>
      <c r="T214" s="8" t="s">
        <v>1336</v>
      </c>
      <c r="W214" s="8" t="s">
        <v>1333</v>
      </c>
      <c r="X214" s="8" t="s">
        <v>1334</v>
      </c>
      <c r="Y214" s="8" t="s">
        <v>60</v>
      </c>
      <c r="Z214" s="8">
        <v>3135</v>
      </c>
      <c r="AA214" s="8" t="s">
        <v>61</v>
      </c>
      <c r="AB214" s="8" t="s">
        <v>110</v>
      </c>
      <c r="AC214" s="8" t="s">
        <v>56</v>
      </c>
      <c r="AF214" s="9">
        <v>32979</v>
      </c>
      <c r="AG214" s="10">
        <v>1.3375000000000001</v>
      </c>
      <c r="AJ214" s="9">
        <v>43143</v>
      </c>
      <c r="AK214" s="11">
        <v>0.13194444444444445</v>
      </c>
      <c r="AP214" s="8" t="s">
        <v>113</v>
      </c>
      <c r="AT214" s="9">
        <v>44553</v>
      </c>
      <c r="AU214" s="8" t="s">
        <v>114</v>
      </c>
      <c r="AV214" s="8" t="s">
        <v>115</v>
      </c>
      <c r="AW214" s="10">
        <v>1.2972222222222223</v>
      </c>
      <c r="AX214" s="11">
        <v>0.13194444444444445</v>
      </c>
      <c r="CF214" s="9"/>
      <c r="CG214" s="10"/>
      <c r="CJ214" s="9"/>
      <c r="CK214" s="11"/>
      <c r="CT214" s="9"/>
      <c r="CW214" s="10"/>
      <c r="CX214" s="11"/>
    </row>
    <row r="215" spans="1:102">
      <c r="D215" s="8" t="s">
        <v>1337</v>
      </c>
    </row>
    <row r="216" spans="1:102">
      <c r="A216" s="8">
        <v>18815</v>
      </c>
      <c r="B216" s="8" t="s">
        <v>1338</v>
      </c>
      <c r="C216" s="8" t="s">
        <v>1339</v>
      </c>
      <c r="D216" s="8" t="s">
        <v>1340</v>
      </c>
      <c r="E216" s="8" t="s">
        <v>106</v>
      </c>
      <c r="F216" s="8" t="s">
        <v>797</v>
      </c>
      <c r="G216" s="8" t="s">
        <v>1340</v>
      </c>
      <c r="I216" s="8" t="s">
        <v>1341</v>
      </c>
      <c r="J216" s="8" t="s">
        <v>1342</v>
      </c>
      <c r="K216" s="8" t="s">
        <v>60</v>
      </c>
      <c r="L216" s="8">
        <v>3132</v>
      </c>
      <c r="R216" s="8" t="s">
        <v>1343</v>
      </c>
      <c r="S216" s="8">
        <v>451119184</v>
      </c>
      <c r="T216" s="8" t="s">
        <v>1344</v>
      </c>
      <c r="AC216" s="8" t="s">
        <v>56</v>
      </c>
      <c r="AF216" s="9">
        <v>31030</v>
      </c>
      <c r="AG216" s="10">
        <v>1.5486111111111109</v>
      </c>
      <c r="AJ216" s="9">
        <v>43158</v>
      </c>
      <c r="AK216" s="11">
        <v>4.5138888888888888E-2</v>
      </c>
      <c r="AP216" s="8" t="s">
        <v>4</v>
      </c>
      <c r="AT216" s="9">
        <v>43683</v>
      </c>
      <c r="AU216" s="8" t="s">
        <v>185</v>
      </c>
      <c r="AV216" s="8" t="s">
        <v>186</v>
      </c>
      <c r="AW216" s="10">
        <v>1.4215277777777777</v>
      </c>
      <c r="AX216" s="11">
        <v>4.5138888888888888E-2</v>
      </c>
      <c r="CF216" s="9"/>
      <c r="CG216" s="10"/>
      <c r="CJ216" s="9"/>
      <c r="CK216" s="11"/>
      <c r="CT216" s="9"/>
      <c r="CW216" s="10"/>
      <c r="CX216" s="11"/>
    </row>
    <row r="217" spans="1:102">
      <c r="A217" s="8">
        <v>18817</v>
      </c>
      <c r="B217" s="8" t="s">
        <v>1345</v>
      </c>
      <c r="C217" s="8" t="s">
        <v>1346</v>
      </c>
      <c r="D217" s="8" t="s">
        <v>1046</v>
      </c>
      <c r="E217" s="8" t="s">
        <v>376</v>
      </c>
      <c r="F217" s="8" t="s">
        <v>1347</v>
      </c>
      <c r="G217" s="8" t="s">
        <v>1348</v>
      </c>
      <c r="I217" s="8" t="s">
        <v>1349</v>
      </c>
      <c r="J217" s="8" t="s">
        <v>1350</v>
      </c>
      <c r="K217" s="8" t="s">
        <v>240</v>
      </c>
      <c r="L217" s="8">
        <v>4131</v>
      </c>
      <c r="R217" s="8" t="s">
        <v>1351</v>
      </c>
      <c r="S217" s="8">
        <v>433348396</v>
      </c>
      <c r="T217" s="8" t="s">
        <v>1352</v>
      </c>
      <c r="AC217" s="8" t="s">
        <v>56</v>
      </c>
      <c r="AF217" s="9">
        <v>35259</v>
      </c>
      <c r="AG217" s="10">
        <v>1.0854166666666667</v>
      </c>
      <c r="AJ217" s="9">
        <v>43165</v>
      </c>
      <c r="AK217" s="11">
        <v>4.1666666666666666E-3</v>
      </c>
      <c r="AT217" s="9">
        <v>43363</v>
      </c>
      <c r="AU217" s="8" t="s">
        <v>114</v>
      </c>
      <c r="AV217" s="8" t="s">
        <v>115</v>
      </c>
      <c r="AW217" s="11">
        <v>0.91805555555555562</v>
      </c>
      <c r="AX217" s="11">
        <v>4.1666666666666666E-3</v>
      </c>
      <c r="CF217" s="9"/>
      <c r="CG217" s="10"/>
      <c r="CJ217" s="9"/>
      <c r="CK217" s="11"/>
      <c r="CT217" s="9"/>
      <c r="CW217" s="11"/>
      <c r="CX217" s="11"/>
    </row>
    <row r="218" spans="1:102">
      <c r="D218" s="8" t="s">
        <v>1353</v>
      </c>
    </row>
    <row r="219" spans="1:102">
      <c r="A219" s="8">
        <v>18818</v>
      </c>
      <c r="B219" s="8" t="s">
        <v>1354</v>
      </c>
      <c r="C219" s="8" t="s">
        <v>1355</v>
      </c>
      <c r="D219" s="8" t="s">
        <v>1356</v>
      </c>
      <c r="E219" s="8" t="s">
        <v>148</v>
      </c>
      <c r="F219" s="8" t="s">
        <v>1357</v>
      </c>
      <c r="G219" s="8" t="s">
        <v>1356</v>
      </c>
      <c r="I219" s="8" t="s">
        <v>1358</v>
      </c>
      <c r="J219" s="8" t="s">
        <v>1359</v>
      </c>
      <c r="K219" s="8" t="s">
        <v>240</v>
      </c>
      <c r="L219" s="8">
        <v>4169</v>
      </c>
      <c r="R219" s="8" t="s">
        <v>1360</v>
      </c>
      <c r="S219" s="8">
        <v>477704733</v>
      </c>
      <c r="AC219" s="8" t="s">
        <v>153</v>
      </c>
      <c r="AF219" s="9">
        <v>31414</v>
      </c>
      <c r="AG219" s="10">
        <v>1.5062499999999999</v>
      </c>
      <c r="AJ219" s="9">
        <v>43199</v>
      </c>
      <c r="AK219" s="11">
        <v>6.2499999999999995E-3</v>
      </c>
      <c r="AT219" s="9">
        <v>43488</v>
      </c>
      <c r="AU219" s="8" t="s">
        <v>114</v>
      </c>
      <c r="AV219" s="8" t="s">
        <v>115</v>
      </c>
      <c r="AW219" s="10">
        <v>1.375</v>
      </c>
      <c r="AX219" s="11">
        <v>6.2499999999999995E-3</v>
      </c>
      <c r="CF219" s="9"/>
      <c r="CG219" s="10"/>
      <c r="CJ219" s="9"/>
      <c r="CK219" s="11"/>
      <c r="CT219" s="9"/>
      <c r="CW219" s="10"/>
      <c r="CX219" s="11"/>
    </row>
    <row r="220" spans="1:102">
      <c r="D220" s="8" t="s">
        <v>932</v>
      </c>
    </row>
    <row r="221" spans="1:102">
      <c r="A221" s="8">
        <v>18819</v>
      </c>
      <c r="B221" s="8" t="s">
        <v>1361</v>
      </c>
      <c r="C221" s="8" t="s">
        <v>1362</v>
      </c>
      <c r="D221" s="8" t="s">
        <v>1363</v>
      </c>
      <c r="E221" s="8" t="s">
        <v>106</v>
      </c>
      <c r="F221" s="8" t="s">
        <v>797</v>
      </c>
      <c r="G221" s="8" t="s">
        <v>1363</v>
      </c>
      <c r="I221" s="8" t="s">
        <v>1364</v>
      </c>
      <c r="J221" s="8" t="s">
        <v>1365</v>
      </c>
      <c r="K221" s="8" t="s">
        <v>293</v>
      </c>
      <c r="L221" s="8">
        <v>6107</v>
      </c>
      <c r="M221" s="8" t="s">
        <v>61</v>
      </c>
      <c r="N221" s="8" t="s">
        <v>110</v>
      </c>
      <c r="R221" s="8" t="s">
        <v>1366</v>
      </c>
      <c r="S221" s="8">
        <v>404122407</v>
      </c>
      <c r="T221" s="8" t="s">
        <v>1367</v>
      </c>
      <c r="AC221" s="8" t="s">
        <v>56</v>
      </c>
      <c r="AF221" s="9">
        <v>30621</v>
      </c>
      <c r="AG221" s="10">
        <v>1.625</v>
      </c>
      <c r="AJ221" s="9">
        <v>43199</v>
      </c>
      <c r="AK221" s="11">
        <v>8.4027777777777771E-2</v>
      </c>
      <c r="AP221" s="8" t="s">
        <v>113</v>
      </c>
      <c r="AS221" s="8" t="s">
        <v>113</v>
      </c>
      <c r="AT221" s="9">
        <v>43980</v>
      </c>
      <c r="AU221" s="8" t="s">
        <v>114</v>
      </c>
      <c r="AV221" s="8" t="s">
        <v>115</v>
      </c>
      <c r="AW221" s="10">
        <v>1.5041666666666667</v>
      </c>
      <c r="AX221" s="11">
        <v>8.4027777777777771E-2</v>
      </c>
      <c r="AY221" s="8" t="s">
        <v>113</v>
      </c>
      <c r="CF221" s="9"/>
      <c r="CG221" s="10"/>
      <c r="CJ221" s="9"/>
      <c r="CK221" s="11"/>
      <c r="CT221" s="9"/>
      <c r="CW221" s="10"/>
      <c r="CX221" s="11"/>
    </row>
    <row r="222" spans="1:102">
      <c r="A222" s="8">
        <v>18820</v>
      </c>
      <c r="B222" s="8" t="s">
        <v>1368</v>
      </c>
      <c r="C222" s="8" t="s">
        <v>1369</v>
      </c>
      <c r="D222" s="8" t="s">
        <v>1370</v>
      </c>
      <c r="E222" s="8" t="s">
        <v>376</v>
      </c>
      <c r="F222" s="8" t="s">
        <v>368</v>
      </c>
      <c r="G222" s="8" t="s">
        <v>1370</v>
      </c>
      <c r="I222" s="8" t="s">
        <v>1371</v>
      </c>
      <c r="J222" s="8" t="s">
        <v>407</v>
      </c>
      <c r="K222" s="8" t="s">
        <v>60</v>
      </c>
      <c r="L222" s="8">
        <v>3134</v>
      </c>
      <c r="M222" s="8" t="s">
        <v>61</v>
      </c>
      <c r="N222" s="8" t="s">
        <v>110</v>
      </c>
      <c r="R222" s="8" t="s">
        <v>1372</v>
      </c>
      <c r="S222" s="8">
        <v>430986498</v>
      </c>
      <c r="T222" s="8" t="s">
        <v>1373</v>
      </c>
      <c r="Y222" s="8" t="s">
        <v>270</v>
      </c>
      <c r="Z222" s="8">
        <v>9999</v>
      </c>
      <c r="AC222" s="8" t="s">
        <v>56</v>
      </c>
      <c r="AF222" s="9">
        <v>32875</v>
      </c>
      <c r="AG222" s="10">
        <v>1.3395833333333333</v>
      </c>
      <c r="AJ222" s="9">
        <v>43213</v>
      </c>
      <c r="AK222" s="11">
        <v>0.13263888888888889</v>
      </c>
      <c r="AP222" s="8" t="s">
        <v>113</v>
      </c>
      <c r="AQ222" s="8" t="s">
        <v>4</v>
      </c>
      <c r="AR222" s="8" t="s">
        <v>4</v>
      </c>
      <c r="AS222" s="8" t="s">
        <v>4</v>
      </c>
      <c r="AT222" s="9">
        <v>44664</v>
      </c>
      <c r="AU222" s="8" t="s">
        <v>114</v>
      </c>
      <c r="AV222" s="8" t="s">
        <v>115</v>
      </c>
      <c r="AW222" s="10">
        <v>1.3354166666666665</v>
      </c>
      <c r="AX222" s="11">
        <v>0.13263888888888889</v>
      </c>
      <c r="CF222" s="9"/>
      <c r="CG222" s="10"/>
      <c r="CJ222" s="9"/>
      <c r="CK222" s="11"/>
      <c r="CT222" s="9"/>
      <c r="CW222" s="10"/>
      <c r="CX222" s="11"/>
    </row>
    <row r="223" spans="1:102">
      <c r="A223" s="8">
        <v>18821</v>
      </c>
      <c r="B223" s="8" t="s">
        <v>1374</v>
      </c>
      <c r="C223" s="8" t="s">
        <v>1375</v>
      </c>
      <c r="D223" s="8" t="s">
        <v>1376</v>
      </c>
      <c r="E223" s="8" t="s">
        <v>376</v>
      </c>
      <c r="F223" s="8" t="s">
        <v>274</v>
      </c>
      <c r="G223" s="8" t="s">
        <v>1376</v>
      </c>
      <c r="I223" s="8" t="s">
        <v>1377</v>
      </c>
      <c r="J223" s="8" t="s">
        <v>1378</v>
      </c>
      <c r="K223" s="8" t="s">
        <v>122</v>
      </c>
      <c r="L223" s="8">
        <v>2176</v>
      </c>
      <c r="R223" s="8" t="s">
        <v>1379</v>
      </c>
      <c r="S223" s="8">
        <v>449792327</v>
      </c>
      <c r="T223" s="8" t="s">
        <v>1380</v>
      </c>
      <c r="AC223" s="8" t="s">
        <v>56</v>
      </c>
      <c r="AF223" s="9">
        <v>34183</v>
      </c>
      <c r="AG223" s="10">
        <v>1.2097222222222224</v>
      </c>
      <c r="AJ223" s="9">
        <v>43220</v>
      </c>
      <c r="AK223" s="11">
        <v>4.4444444444444446E-2</v>
      </c>
      <c r="AP223" s="8" t="s">
        <v>113</v>
      </c>
      <c r="AS223" s="8" t="s">
        <v>113</v>
      </c>
      <c r="AT223" s="9">
        <v>43725</v>
      </c>
      <c r="AU223" s="8" t="s">
        <v>114</v>
      </c>
      <c r="AV223" s="8" t="s">
        <v>115</v>
      </c>
      <c r="AW223" s="10">
        <v>1.0840277777777778</v>
      </c>
      <c r="AX223" s="11">
        <v>4.4444444444444446E-2</v>
      </c>
      <c r="AY223" s="8" t="s">
        <v>113</v>
      </c>
      <c r="CF223" s="9"/>
      <c r="CG223" s="10"/>
      <c r="CJ223" s="9"/>
      <c r="CK223" s="11"/>
      <c r="CT223" s="9"/>
      <c r="CW223" s="10"/>
      <c r="CX223" s="11"/>
    </row>
    <row r="224" spans="1:102">
      <c r="A224" s="8">
        <v>18822</v>
      </c>
      <c r="B224" s="8" t="s">
        <v>1381</v>
      </c>
      <c r="C224" s="8" t="s">
        <v>1382</v>
      </c>
      <c r="D224" s="8" t="s">
        <v>1383</v>
      </c>
      <c r="E224" s="8" t="s">
        <v>106</v>
      </c>
      <c r="F224" s="8" t="s">
        <v>119</v>
      </c>
      <c r="G224" s="8" t="s">
        <v>1383</v>
      </c>
      <c r="I224" s="8" t="s">
        <v>1384</v>
      </c>
      <c r="J224" s="8" t="s">
        <v>1232</v>
      </c>
      <c r="K224" s="8" t="s">
        <v>60</v>
      </c>
      <c r="L224" s="8">
        <v>3131</v>
      </c>
      <c r="M224" s="8" t="s">
        <v>61</v>
      </c>
      <c r="N224" s="8" t="s">
        <v>110</v>
      </c>
      <c r="R224" s="8" t="s">
        <v>1385</v>
      </c>
      <c r="S224" s="8">
        <v>487340292</v>
      </c>
      <c r="T224" s="8" t="s">
        <v>1386</v>
      </c>
      <c r="Y224" s="8" t="s">
        <v>270</v>
      </c>
      <c r="Z224" s="8">
        <v>9999</v>
      </c>
      <c r="AC224" s="8" t="s">
        <v>56</v>
      </c>
      <c r="AF224" s="9">
        <v>31839</v>
      </c>
      <c r="AG224" s="10">
        <v>1.4631944444444445</v>
      </c>
      <c r="AJ224" s="9">
        <v>43228</v>
      </c>
      <c r="AK224" s="11">
        <v>0.17013888888888887</v>
      </c>
      <c r="AP224" s="8" t="s">
        <v>113</v>
      </c>
      <c r="AS224" s="8" t="s">
        <v>113</v>
      </c>
      <c r="AY224" s="8" t="s">
        <v>113</v>
      </c>
      <c r="CF224" s="9"/>
      <c r="CG224" s="10"/>
      <c r="CJ224" s="9"/>
      <c r="CK224" s="11"/>
    </row>
    <row r="225" spans="1:102">
      <c r="A225" s="8">
        <v>18823</v>
      </c>
      <c r="B225" s="8" t="s">
        <v>1387</v>
      </c>
      <c r="C225" s="8" t="s">
        <v>1388</v>
      </c>
      <c r="D225" s="8" t="s">
        <v>1389</v>
      </c>
      <c r="E225" s="8" t="s">
        <v>148</v>
      </c>
      <c r="F225" s="8" t="s">
        <v>140</v>
      </c>
      <c r="G225" s="8" t="s">
        <v>1389</v>
      </c>
      <c r="I225" s="8" t="s">
        <v>1390</v>
      </c>
      <c r="J225" s="8" t="s">
        <v>1391</v>
      </c>
      <c r="K225" s="8" t="s">
        <v>293</v>
      </c>
      <c r="L225" s="8">
        <v>6164</v>
      </c>
      <c r="M225" s="8" t="s">
        <v>61</v>
      </c>
      <c r="N225" s="8" t="s">
        <v>110</v>
      </c>
      <c r="R225" s="8" t="s">
        <v>1392</v>
      </c>
      <c r="S225" s="8">
        <v>451079523</v>
      </c>
      <c r="T225" s="8" t="s">
        <v>1393</v>
      </c>
      <c r="AC225" s="8" t="s">
        <v>153</v>
      </c>
      <c r="AF225" s="9">
        <v>33190</v>
      </c>
      <c r="AG225" s="10">
        <v>1.2993055555555555</v>
      </c>
      <c r="AJ225" s="9">
        <v>43222</v>
      </c>
      <c r="AK225" s="11">
        <v>0.17013888888888887</v>
      </c>
      <c r="AP225" s="8" t="s">
        <v>113</v>
      </c>
      <c r="AS225" s="8" t="s">
        <v>113</v>
      </c>
      <c r="AY225" s="8" t="s">
        <v>113</v>
      </c>
      <c r="CF225" s="9"/>
      <c r="CG225" s="10"/>
      <c r="CJ225" s="9"/>
      <c r="CK225" s="11"/>
    </row>
    <row r="226" spans="1:102">
      <c r="A226" s="8">
        <v>18824</v>
      </c>
      <c r="B226" s="8" t="s">
        <v>1394</v>
      </c>
      <c r="C226" s="8" t="s">
        <v>1395</v>
      </c>
      <c r="D226" s="8" t="s">
        <v>1396</v>
      </c>
      <c r="E226" s="8" t="s">
        <v>139</v>
      </c>
      <c r="F226" s="8" t="s">
        <v>470</v>
      </c>
      <c r="G226" s="8" t="s">
        <v>1397</v>
      </c>
      <c r="I226" s="8" t="s">
        <v>1398</v>
      </c>
      <c r="J226" s="8" t="s">
        <v>516</v>
      </c>
      <c r="K226" s="8" t="s">
        <v>60</v>
      </c>
      <c r="L226" s="8">
        <v>3188</v>
      </c>
      <c r="M226" s="8" t="s">
        <v>61</v>
      </c>
      <c r="N226" s="8" t="s">
        <v>110</v>
      </c>
      <c r="R226" s="8" t="s">
        <v>1399</v>
      </c>
      <c r="S226" s="8">
        <v>425780720</v>
      </c>
      <c r="T226" s="8" t="s">
        <v>1400</v>
      </c>
      <c r="AC226" s="8" t="s">
        <v>56</v>
      </c>
      <c r="AF226" s="9">
        <v>25205</v>
      </c>
      <c r="AG226" s="10">
        <v>2.2145833333333331</v>
      </c>
      <c r="AJ226" s="9">
        <v>43229</v>
      </c>
      <c r="AK226" s="11">
        <v>0.16805555555555554</v>
      </c>
      <c r="AP226" s="8" t="s">
        <v>113</v>
      </c>
      <c r="AS226" s="8" t="s">
        <v>113</v>
      </c>
      <c r="AT226" s="9">
        <v>44765</v>
      </c>
      <c r="AU226" s="8" t="s">
        <v>114</v>
      </c>
      <c r="AV226" s="8" t="s">
        <v>115</v>
      </c>
      <c r="AW226" s="10">
        <v>2.2124999999999999</v>
      </c>
      <c r="AX226" s="11">
        <v>0.1673611111111111</v>
      </c>
      <c r="AY226" s="8" t="s">
        <v>113</v>
      </c>
      <c r="CF226" s="9"/>
      <c r="CG226" s="10"/>
      <c r="CJ226" s="9"/>
      <c r="CK226" s="11"/>
      <c r="CT226" s="9"/>
      <c r="CW226" s="10"/>
      <c r="CX226" s="11"/>
    </row>
    <row r="227" spans="1:102">
      <c r="D227" s="8" t="s">
        <v>1401</v>
      </c>
    </row>
    <row r="228" spans="1:102">
      <c r="A228" s="8">
        <v>18825</v>
      </c>
      <c r="B228" s="8" t="s">
        <v>1402</v>
      </c>
      <c r="C228" s="8" t="s">
        <v>1403</v>
      </c>
      <c r="D228" s="8" t="s">
        <v>1404</v>
      </c>
      <c r="E228" s="8" t="s">
        <v>148</v>
      </c>
      <c r="F228" s="8" t="s">
        <v>327</v>
      </c>
      <c r="G228" s="8" t="s">
        <v>1404</v>
      </c>
      <c r="I228" s="8" t="s">
        <v>1405</v>
      </c>
      <c r="J228" s="8" t="s">
        <v>1406</v>
      </c>
      <c r="K228" s="8" t="s">
        <v>60</v>
      </c>
      <c r="L228" s="8">
        <v>3073</v>
      </c>
      <c r="M228" s="8" t="s">
        <v>61</v>
      </c>
      <c r="N228" s="8" t="s">
        <v>110</v>
      </c>
      <c r="R228" s="8" t="s">
        <v>1407</v>
      </c>
      <c r="S228" s="8">
        <v>432728748</v>
      </c>
      <c r="T228" s="8" t="s">
        <v>1408</v>
      </c>
      <c r="AC228" s="8" t="s">
        <v>153</v>
      </c>
      <c r="AF228" s="9">
        <v>28225</v>
      </c>
      <c r="AG228" s="10">
        <v>1.8791666666666667</v>
      </c>
      <c r="AJ228" s="9">
        <v>43241</v>
      </c>
      <c r="AK228" s="11">
        <v>0.1277777777777778</v>
      </c>
      <c r="AP228" s="8" t="s">
        <v>113</v>
      </c>
      <c r="AS228" s="8" t="s">
        <v>113</v>
      </c>
      <c r="AT228" s="9">
        <v>44488</v>
      </c>
      <c r="AU228" s="8" t="s">
        <v>114</v>
      </c>
      <c r="AV228" s="8" t="s">
        <v>115</v>
      </c>
      <c r="AW228" s="10">
        <v>1.8375000000000001</v>
      </c>
      <c r="AX228" s="11">
        <v>0.1277777777777778</v>
      </c>
      <c r="AY228" s="8" t="s">
        <v>113</v>
      </c>
      <c r="CF228" s="9"/>
      <c r="CG228" s="10"/>
      <c r="CJ228" s="9"/>
      <c r="CK228" s="11"/>
      <c r="CT228" s="9"/>
      <c r="CW228" s="10"/>
      <c r="CX228" s="11"/>
    </row>
    <row r="229" spans="1:102">
      <c r="A229" s="8">
        <v>18826</v>
      </c>
      <c r="B229" s="8" t="s">
        <v>1409</v>
      </c>
      <c r="C229" s="8" t="s">
        <v>1410</v>
      </c>
      <c r="D229" s="8" t="s">
        <v>1411</v>
      </c>
      <c r="E229" s="8" t="s">
        <v>376</v>
      </c>
      <c r="F229" s="8" t="s">
        <v>521</v>
      </c>
      <c r="G229" s="8" t="s">
        <v>1412</v>
      </c>
      <c r="I229" s="8" t="s">
        <v>1413</v>
      </c>
      <c r="J229" s="8" t="s">
        <v>1414</v>
      </c>
      <c r="K229" s="8" t="s">
        <v>60</v>
      </c>
      <c r="L229" s="8">
        <v>3168</v>
      </c>
      <c r="R229" s="8" t="s">
        <v>1415</v>
      </c>
      <c r="S229" s="8">
        <v>423262704</v>
      </c>
      <c r="T229" s="8" t="s">
        <v>1416</v>
      </c>
      <c r="AC229" s="8" t="s">
        <v>56</v>
      </c>
      <c r="AF229" s="9">
        <v>31307</v>
      </c>
      <c r="AG229" s="10">
        <v>1.5423611111111111</v>
      </c>
      <c r="AJ229" s="9">
        <v>43244</v>
      </c>
      <c r="AK229" s="11">
        <v>6.2499999999999995E-3</v>
      </c>
      <c r="AP229" s="8" t="s">
        <v>4</v>
      </c>
      <c r="AT229" s="9">
        <v>43532</v>
      </c>
      <c r="AU229" s="8" t="s">
        <v>114</v>
      </c>
      <c r="AV229" s="8" t="s">
        <v>115</v>
      </c>
      <c r="AW229" s="10">
        <v>1.3784722222222223</v>
      </c>
      <c r="AX229" s="11">
        <v>6.2499999999999995E-3</v>
      </c>
      <c r="CF229" s="9"/>
      <c r="CG229" s="10"/>
      <c r="CJ229" s="9"/>
      <c r="CK229" s="11"/>
      <c r="CT229" s="9"/>
      <c r="CW229" s="10"/>
      <c r="CX229" s="11"/>
    </row>
    <row r="230" spans="1:102">
      <c r="A230" s="8">
        <v>18827</v>
      </c>
      <c r="B230" s="8" t="s">
        <v>1417</v>
      </c>
      <c r="C230" s="8" t="s">
        <v>1418</v>
      </c>
      <c r="D230" s="8" t="s">
        <v>1419</v>
      </c>
      <c r="E230" s="8" t="s">
        <v>139</v>
      </c>
      <c r="F230" s="8" t="s">
        <v>545</v>
      </c>
      <c r="G230" s="8" t="s">
        <v>1419</v>
      </c>
      <c r="I230" s="8" t="s">
        <v>1420</v>
      </c>
      <c r="J230" s="8" t="s">
        <v>943</v>
      </c>
      <c r="K230" s="8" t="s">
        <v>60</v>
      </c>
      <c r="L230" s="8">
        <v>3088</v>
      </c>
      <c r="M230" s="8" t="s">
        <v>61</v>
      </c>
      <c r="N230" s="8" t="s">
        <v>110</v>
      </c>
      <c r="R230" s="8" t="s">
        <v>1421</v>
      </c>
      <c r="S230" s="8">
        <v>432629032</v>
      </c>
      <c r="T230" s="8" t="s">
        <v>1422</v>
      </c>
      <c r="W230" s="8" t="s">
        <v>1423</v>
      </c>
      <c r="X230" s="8" t="s">
        <v>943</v>
      </c>
      <c r="Y230" s="8" t="s">
        <v>60</v>
      </c>
      <c r="Z230" s="8">
        <v>3088</v>
      </c>
      <c r="AA230" s="8" t="s">
        <v>61</v>
      </c>
      <c r="AB230" s="8" t="s">
        <v>110</v>
      </c>
      <c r="AC230" s="8" t="s">
        <v>153</v>
      </c>
      <c r="AF230" s="9">
        <v>32146</v>
      </c>
      <c r="AG230" s="10">
        <v>1.4229166666666666</v>
      </c>
      <c r="AJ230" s="9">
        <v>43244</v>
      </c>
      <c r="AK230" s="11">
        <v>0.17013888888888887</v>
      </c>
      <c r="AP230" s="8" t="s">
        <v>113</v>
      </c>
      <c r="AS230" s="8" t="s">
        <v>113</v>
      </c>
      <c r="AY230" s="8" t="s">
        <v>113</v>
      </c>
      <c r="CF230" s="9"/>
      <c r="CG230" s="10"/>
      <c r="CJ230" s="9"/>
      <c r="CK230" s="11"/>
    </row>
    <row r="231" spans="1:102">
      <c r="A231" s="8">
        <v>18828</v>
      </c>
      <c r="B231" s="8" t="s">
        <v>1424</v>
      </c>
      <c r="C231" s="8" t="s">
        <v>1425</v>
      </c>
      <c r="D231" s="8" t="s">
        <v>1426</v>
      </c>
      <c r="E231" s="8" t="s">
        <v>106</v>
      </c>
      <c r="F231" s="8" t="s">
        <v>119</v>
      </c>
      <c r="G231" s="8" t="s">
        <v>1426</v>
      </c>
      <c r="I231" s="8" t="s">
        <v>1427</v>
      </c>
      <c r="J231" s="8" t="s">
        <v>1428</v>
      </c>
      <c r="K231" s="8" t="s">
        <v>122</v>
      </c>
      <c r="L231" s="8">
        <v>2119</v>
      </c>
      <c r="R231" s="8" t="s">
        <v>1429</v>
      </c>
      <c r="S231" s="8">
        <v>447628468</v>
      </c>
      <c r="T231" s="8" t="s">
        <v>1429</v>
      </c>
      <c r="AC231" s="8" t="s">
        <v>56</v>
      </c>
      <c r="AF231" s="9">
        <v>26243</v>
      </c>
      <c r="AG231" s="10">
        <v>2.0909722222222222</v>
      </c>
      <c r="AJ231" s="9">
        <v>43248</v>
      </c>
      <c r="AK231" s="11">
        <v>4.4444444444444446E-2</v>
      </c>
      <c r="AP231" s="8" t="s">
        <v>113</v>
      </c>
      <c r="AT231" s="9">
        <v>43753</v>
      </c>
      <c r="AU231" s="8" t="s">
        <v>114</v>
      </c>
      <c r="AV231" s="8" t="s">
        <v>115</v>
      </c>
      <c r="AW231" s="10">
        <v>1.965972222222222</v>
      </c>
      <c r="AX231" s="11">
        <v>4.4444444444444446E-2</v>
      </c>
      <c r="CF231" s="9"/>
      <c r="CG231" s="10"/>
      <c r="CJ231" s="9"/>
      <c r="CK231" s="11"/>
      <c r="CT231" s="9"/>
      <c r="CW231" s="10"/>
      <c r="CX231" s="11"/>
    </row>
    <row r="232" spans="1:102">
      <c r="A232" s="8">
        <v>18829</v>
      </c>
      <c r="B232" s="8" t="s">
        <v>1430</v>
      </c>
      <c r="C232" s="8" t="s">
        <v>1431</v>
      </c>
      <c r="D232" s="8" t="s">
        <v>1432</v>
      </c>
      <c r="E232" s="8" t="s">
        <v>148</v>
      </c>
      <c r="F232" s="8" t="s">
        <v>1433</v>
      </c>
      <c r="G232" s="8" t="s">
        <v>1432</v>
      </c>
      <c r="I232" s="8" t="s">
        <v>1434</v>
      </c>
      <c r="J232" s="8" t="s">
        <v>1107</v>
      </c>
      <c r="K232" s="8" t="s">
        <v>60</v>
      </c>
      <c r="L232" s="8">
        <v>3806</v>
      </c>
      <c r="M232" s="8" t="s">
        <v>61</v>
      </c>
      <c r="N232" s="8" t="s">
        <v>110</v>
      </c>
      <c r="R232" s="8" t="s">
        <v>1435</v>
      </c>
      <c r="S232" s="8">
        <v>431578175</v>
      </c>
      <c r="T232" s="8" t="s">
        <v>1436</v>
      </c>
      <c r="AC232" s="8" t="s">
        <v>153</v>
      </c>
      <c r="AF232" s="9">
        <v>34794</v>
      </c>
      <c r="AG232" s="10">
        <v>1.1291666666666667</v>
      </c>
      <c r="AJ232" s="9">
        <v>43255</v>
      </c>
      <c r="AK232" s="11">
        <v>0.16944444444444443</v>
      </c>
      <c r="AP232" s="8" t="s">
        <v>113</v>
      </c>
      <c r="AS232" s="8" t="s">
        <v>113</v>
      </c>
      <c r="AY232" s="8" t="s">
        <v>113</v>
      </c>
      <c r="CF232" s="9"/>
      <c r="CG232" s="10"/>
      <c r="CJ232" s="9"/>
      <c r="CK232" s="11"/>
    </row>
    <row r="233" spans="1:102">
      <c r="D233" s="8" t="s">
        <v>1437</v>
      </c>
    </row>
    <row r="234" spans="1:102">
      <c r="A234" s="8">
        <v>18830</v>
      </c>
      <c r="B234" s="8" t="s">
        <v>1438</v>
      </c>
      <c r="C234" s="8" t="s">
        <v>1439</v>
      </c>
      <c r="D234" s="8" t="s">
        <v>1440</v>
      </c>
      <c r="E234" s="8" t="s">
        <v>106</v>
      </c>
      <c r="F234" s="8" t="s">
        <v>368</v>
      </c>
      <c r="G234" s="8" t="s">
        <v>1440</v>
      </c>
      <c r="I234" s="8" t="s">
        <v>1441</v>
      </c>
      <c r="J234" s="8" t="s">
        <v>647</v>
      </c>
      <c r="K234" s="8" t="s">
        <v>60</v>
      </c>
      <c r="L234" s="8">
        <v>3132</v>
      </c>
      <c r="M234" s="8" t="s">
        <v>61</v>
      </c>
      <c r="N234" s="8" t="s">
        <v>110</v>
      </c>
      <c r="R234" s="8" t="s">
        <v>1442</v>
      </c>
      <c r="S234" s="8">
        <v>450581544</v>
      </c>
      <c r="T234" s="8" t="s">
        <v>1443</v>
      </c>
      <c r="W234" s="8" t="s">
        <v>1441</v>
      </c>
      <c r="X234" s="8" t="s">
        <v>647</v>
      </c>
      <c r="Y234" s="8" t="s">
        <v>60</v>
      </c>
      <c r="Z234" s="8">
        <v>3132</v>
      </c>
      <c r="AA234" s="8" t="s">
        <v>61</v>
      </c>
      <c r="AB234" s="8" t="s">
        <v>110</v>
      </c>
      <c r="AC234" s="8" t="s">
        <v>56</v>
      </c>
      <c r="AF234" s="9">
        <v>30367</v>
      </c>
      <c r="AG234" s="10">
        <v>1.6305555555555555</v>
      </c>
      <c r="AJ234" s="9">
        <v>43251</v>
      </c>
      <c r="AK234" s="11">
        <v>0.1673611111111111</v>
      </c>
      <c r="AP234" s="8" t="s">
        <v>113</v>
      </c>
      <c r="AS234" s="8" t="s">
        <v>113</v>
      </c>
      <c r="AT234" s="9">
        <v>44742</v>
      </c>
      <c r="AU234" s="8" t="s">
        <v>185</v>
      </c>
      <c r="AV234" s="8" t="s">
        <v>186</v>
      </c>
      <c r="AW234" s="10">
        <v>1.627777777777778</v>
      </c>
      <c r="AX234" s="11">
        <v>0.1673611111111111</v>
      </c>
      <c r="AY234" s="8" t="s">
        <v>113</v>
      </c>
      <c r="CF234" s="9"/>
      <c r="CG234" s="10"/>
      <c r="CJ234" s="9"/>
      <c r="CK234" s="11"/>
      <c r="CT234" s="9"/>
      <c r="CW234" s="10"/>
      <c r="CX234" s="11"/>
    </row>
    <row r="235" spans="1:102">
      <c r="A235" s="8">
        <v>18831</v>
      </c>
      <c r="B235" s="8" t="s">
        <v>1444</v>
      </c>
      <c r="C235" s="8" t="s">
        <v>1445</v>
      </c>
      <c r="D235" s="8" t="s">
        <v>1446</v>
      </c>
      <c r="E235" s="8" t="s">
        <v>106</v>
      </c>
      <c r="F235" s="8" t="s">
        <v>119</v>
      </c>
      <c r="G235" s="8" t="s">
        <v>1446</v>
      </c>
      <c r="I235" s="8" t="s">
        <v>1447</v>
      </c>
      <c r="J235" s="8" t="s">
        <v>1448</v>
      </c>
      <c r="K235" s="8" t="s">
        <v>122</v>
      </c>
      <c r="L235" s="8">
        <v>2146</v>
      </c>
      <c r="M235" s="8" t="s">
        <v>61</v>
      </c>
      <c r="N235" s="8" t="s">
        <v>110</v>
      </c>
      <c r="R235" s="8" t="s">
        <v>1449</v>
      </c>
      <c r="S235" s="8">
        <v>449567051</v>
      </c>
      <c r="T235" s="8" t="s">
        <v>1450</v>
      </c>
      <c r="Y235" s="8" t="s">
        <v>270</v>
      </c>
      <c r="Z235" s="8">
        <v>9999</v>
      </c>
      <c r="AC235" s="8" t="s">
        <v>56</v>
      </c>
      <c r="AF235" s="9">
        <v>31138</v>
      </c>
      <c r="AG235" s="10">
        <v>1.5465277777777777</v>
      </c>
      <c r="AJ235" s="9">
        <v>43265</v>
      </c>
      <c r="AK235" s="11">
        <v>0.16944444444444443</v>
      </c>
      <c r="AP235" s="8" t="s">
        <v>113</v>
      </c>
      <c r="AS235" s="8" t="s">
        <v>113</v>
      </c>
      <c r="AY235" s="8" t="s">
        <v>113</v>
      </c>
      <c r="CF235" s="9"/>
      <c r="CG235" s="10"/>
      <c r="CJ235" s="9"/>
      <c r="CK235" s="11"/>
    </row>
    <row r="236" spans="1:102">
      <c r="A236" s="8">
        <v>18832</v>
      </c>
      <c r="B236" s="8" t="s">
        <v>1451</v>
      </c>
      <c r="C236" s="8" t="s">
        <v>1209</v>
      </c>
      <c r="D236" s="8" t="s">
        <v>1452</v>
      </c>
      <c r="E236" s="8" t="s">
        <v>139</v>
      </c>
      <c r="F236" s="8" t="s">
        <v>545</v>
      </c>
      <c r="G236" s="8" t="s">
        <v>1452</v>
      </c>
      <c r="I236" s="8" t="s">
        <v>1453</v>
      </c>
      <c r="J236" s="8" t="s">
        <v>1454</v>
      </c>
      <c r="K236" s="8" t="s">
        <v>293</v>
      </c>
      <c r="L236" s="8">
        <v>6152</v>
      </c>
      <c r="M236" s="8" t="s">
        <v>61</v>
      </c>
      <c r="N236" s="8" t="s">
        <v>110</v>
      </c>
      <c r="R236" s="8" t="s">
        <v>1455</v>
      </c>
      <c r="S236" s="8">
        <v>422281634</v>
      </c>
      <c r="T236" s="8" t="s">
        <v>1456</v>
      </c>
      <c r="W236" s="8" t="s">
        <v>1457</v>
      </c>
      <c r="X236" s="8" t="s">
        <v>1458</v>
      </c>
      <c r="Y236" s="8" t="s">
        <v>293</v>
      </c>
      <c r="Z236" s="8">
        <v>6102</v>
      </c>
      <c r="AA236" s="8" t="s">
        <v>61</v>
      </c>
      <c r="AB236" s="8" t="s">
        <v>110</v>
      </c>
      <c r="AC236" s="8" t="s">
        <v>56</v>
      </c>
      <c r="AF236" s="9">
        <v>33085</v>
      </c>
      <c r="AG236" s="10">
        <v>1.3354166666666665</v>
      </c>
      <c r="AJ236" s="9">
        <v>43311</v>
      </c>
      <c r="AK236" s="11">
        <v>8.819444444444445E-2</v>
      </c>
      <c r="AP236" s="8" t="s">
        <v>113</v>
      </c>
      <c r="AS236" s="8" t="s">
        <v>113</v>
      </c>
      <c r="AT236" s="9">
        <v>44259</v>
      </c>
      <c r="AU236" s="8" t="s">
        <v>114</v>
      </c>
      <c r="AV236" s="8" t="s">
        <v>115</v>
      </c>
      <c r="AW236" s="10">
        <v>1.2548611111111112</v>
      </c>
      <c r="AX236" s="11">
        <v>8.7500000000000008E-2</v>
      </c>
      <c r="AY236" s="8" t="s">
        <v>113</v>
      </c>
      <c r="CF236" s="9"/>
      <c r="CG236" s="10"/>
      <c r="CJ236" s="9"/>
      <c r="CK236" s="11"/>
      <c r="CT236" s="9"/>
      <c r="CW236" s="10"/>
      <c r="CX236" s="11"/>
    </row>
    <row r="237" spans="1:102">
      <c r="A237" s="8">
        <v>18833</v>
      </c>
      <c r="B237" s="8" t="s">
        <v>1459</v>
      </c>
      <c r="C237" s="8" t="s">
        <v>1460</v>
      </c>
      <c r="D237" s="8" t="s">
        <v>1461</v>
      </c>
      <c r="E237" s="8" t="s">
        <v>376</v>
      </c>
      <c r="F237" s="8" t="s">
        <v>933</v>
      </c>
      <c r="G237" s="8" t="s">
        <v>1461</v>
      </c>
      <c r="I237" s="8" t="s">
        <v>1462</v>
      </c>
      <c r="J237" s="8" t="s">
        <v>1463</v>
      </c>
      <c r="K237" s="8" t="s">
        <v>60</v>
      </c>
      <c r="L237" s="8">
        <v>3174</v>
      </c>
      <c r="M237" s="8" t="s">
        <v>61</v>
      </c>
      <c r="N237" s="8" t="s">
        <v>110</v>
      </c>
      <c r="R237" s="8" t="s">
        <v>1464</v>
      </c>
      <c r="S237" s="8">
        <v>421828112</v>
      </c>
      <c r="T237" s="8" t="s">
        <v>1465</v>
      </c>
      <c r="AC237" s="8" t="s">
        <v>56</v>
      </c>
      <c r="AF237" s="9">
        <v>31307</v>
      </c>
      <c r="AG237" s="10">
        <v>1.5423611111111111</v>
      </c>
      <c r="AJ237" s="9">
        <v>43333</v>
      </c>
      <c r="AK237" s="11">
        <v>0.12638888888888888</v>
      </c>
      <c r="AP237" s="8" t="s">
        <v>113</v>
      </c>
      <c r="AQ237" s="8" t="s">
        <v>4</v>
      </c>
      <c r="AR237" s="8" t="s">
        <v>4</v>
      </c>
      <c r="AS237" s="8" t="s">
        <v>4</v>
      </c>
      <c r="AT237" s="9">
        <v>44491</v>
      </c>
      <c r="AU237" s="8" t="s">
        <v>114</v>
      </c>
      <c r="AV237" s="8" t="s">
        <v>115</v>
      </c>
      <c r="AW237" s="10">
        <v>1.5006944444444443</v>
      </c>
      <c r="AX237" s="11">
        <v>0.12638888888888888</v>
      </c>
      <c r="AY237" s="8" t="s">
        <v>113</v>
      </c>
      <c r="CF237" s="9"/>
      <c r="CG237" s="10"/>
      <c r="CJ237" s="9"/>
      <c r="CK237" s="11"/>
      <c r="CT237" s="9"/>
      <c r="CW237" s="10"/>
      <c r="CX237" s="11"/>
    </row>
    <row r="238" spans="1:102">
      <c r="A238" s="8">
        <v>18834</v>
      </c>
      <c r="B238" s="8" t="s">
        <v>1466</v>
      </c>
      <c r="C238" s="8" t="s">
        <v>1467</v>
      </c>
      <c r="D238" s="8" t="s">
        <v>1468</v>
      </c>
      <c r="E238" s="8" t="s">
        <v>148</v>
      </c>
      <c r="F238" s="8" t="s">
        <v>333</v>
      </c>
      <c r="G238" s="8" t="s">
        <v>1468</v>
      </c>
      <c r="I238" s="8" t="s">
        <v>1469</v>
      </c>
      <c r="J238" s="8" t="s">
        <v>1470</v>
      </c>
      <c r="K238" s="8" t="s">
        <v>60</v>
      </c>
      <c r="L238" s="8">
        <v>3125</v>
      </c>
      <c r="M238" s="8" t="s">
        <v>61</v>
      </c>
      <c r="N238" s="8" t="s">
        <v>110</v>
      </c>
      <c r="R238" s="8" t="s">
        <v>1471</v>
      </c>
      <c r="S238" s="8">
        <v>438883413</v>
      </c>
      <c r="T238" s="8" t="s">
        <v>1472</v>
      </c>
      <c r="Y238" s="8" t="s">
        <v>270</v>
      </c>
      <c r="Z238" s="8">
        <v>9999</v>
      </c>
      <c r="AC238" s="8" t="s">
        <v>153</v>
      </c>
      <c r="AF238" s="9">
        <v>33677</v>
      </c>
      <c r="AG238" s="10">
        <v>1.2548611111111112</v>
      </c>
      <c r="AJ238" s="9">
        <v>43329</v>
      </c>
      <c r="AK238" s="11">
        <v>0.13055555555555556</v>
      </c>
      <c r="AP238" s="8" t="s">
        <v>113</v>
      </c>
      <c r="AS238" s="8" t="s">
        <v>113</v>
      </c>
      <c r="AT238" s="9">
        <v>44689</v>
      </c>
      <c r="AU238" s="8" t="s">
        <v>114</v>
      </c>
      <c r="AV238" s="8" t="s">
        <v>115</v>
      </c>
      <c r="AW238" s="10">
        <v>1.2506944444444443</v>
      </c>
      <c r="AX238" s="11">
        <v>0.13055555555555556</v>
      </c>
      <c r="AY238" s="8" t="s">
        <v>113</v>
      </c>
      <c r="CF238" s="9"/>
      <c r="CG238" s="10"/>
      <c r="CJ238" s="9"/>
      <c r="CK238" s="11"/>
      <c r="CT238" s="9"/>
      <c r="CW238" s="10"/>
      <c r="CX238" s="11"/>
    </row>
    <row r="239" spans="1:102">
      <c r="A239" s="8">
        <v>18835</v>
      </c>
      <c r="B239" s="8" t="s">
        <v>1473</v>
      </c>
      <c r="C239" s="8" t="s">
        <v>1474</v>
      </c>
      <c r="D239" s="8" t="s">
        <v>1475</v>
      </c>
      <c r="E239" s="8" t="s">
        <v>148</v>
      </c>
      <c r="F239" s="8" t="s">
        <v>1476</v>
      </c>
      <c r="G239" s="8" t="s">
        <v>1475</v>
      </c>
      <c r="I239" s="8" t="s">
        <v>1477</v>
      </c>
      <c r="J239" s="8" t="s">
        <v>1478</v>
      </c>
      <c r="K239" s="8" t="s">
        <v>122</v>
      </c>
      <c r="L239" s="8">
        <v>2161</v>
      </c>
      <c r="O239" s="8" t="s">
        <v>1479</v>
      </c>
      <c r="R239" s="8" t="s">
        <v>1480</v>
      </c>
      <c r="S239" s="8">
        <v>450344786</v>
      </c>
      <c r="T239" s="8" t="s">
        <v>1481</v>
      </c>
      <c r="AC239" s="8" t="s">
        <v>153</v>
      </c>
      <c r="AF239" s="9">
        <v>29018</v>
      </c>
      <c r="AG239" s="10">
        <v>1.7944444444444445</v>
      </c>
      <c r="AJ239" s="9">
        <v>43346</v>
      </c>
      <c r="AK239" s="11">
        <v>2.0833333333333333E-3</v>
      </c>
      <c r="AT239" s="9">
        <v>43441</v>
      </c>
      <c r="AU239" s="8" t="s">
        <v>114</v>
      </c>
      <c r="AV239" s="8" t="s">
        <v>115</v>
      </c>
      <c r="AW239" s="10">
        <v>1.6284722222222223</v>
      </c>
      <c r="AX239" s="11">
        <v>2.0833333333333333E-3</v>
      </c>
      <c r="CF239" s="9"/>
      <c r="CG239" s="10"/>
      <c r="CJ239" s="9"/>
      <c r="CK239" s="11"/>
      <c r="CT239" s="9"/>
      <c r="CW239" s="10"/>
      <c r="CX239" s="11"/>
    </row>
    <row r="240" spans="1:102">
      <c r="D240" s="8" t="s">
        <v>1482</v>
      </c>
    </row>
    <row r="241" spans="1:102">
      <c r="A241" s="8">
        <v>18836</v>
      </c>
      <c r="B241" s="8" t="s">
        <v>1483</v>
      </c>
      <c r="C241" s="8" t="s">
        <v>1484</v>
      </c>
      <c r="D241" s="8" t="s">
        <v>1485</v>
      </c>
      <c r="E241" s="8" t="s">
        <v>106</v>
      </c>
      <c r="F241" s="8" t="s">
        <v>119</v>
      </c>
      <c r="G241" s="8" t="s">
        <v>1485</v>
      </c>
      <c r="I241" s="8" t="s">
        <v>1486</v>
      </c>
      <c r="J241" s="8" t="s">
        <v>637</v>
      </c>
      <c r="K241" s="8" t="s">
        <v>122</v>
      </c>
      <c r="L241" s="8">
        <v>2170</v>
      </c>
      <c r="M241" s="8" t="s">
        <v>61</v>
      </c>
      <c r="N241" s="8" t="s">
        <v>110</v>
      </c>
      <c r="R241" s="8" t="s">
        <v>1487</v>
      </c>
      <c r="S241" s="8" t="s">
        <v>1488</v>
      </c>
      <c r="T241" s="8" t="s">
        <v>1489</v>
      </c>
      <c r="AC241" s="8" t="s">
        <v>56</v>
      </c>
      <c r="AF241" s="9">
        <v>28998</v>
      </c>
      <c r="AG241" s="10">
        <v>1.7951388888888891</v>
      </c>
      <c r="AJ241" s="9">
        <v>43353</v>
      </c>
      <c r="AK241" s="11">
        <v>0.1673611111111111</v>
      </c>
      <c r="AP241" s="8" t="s">
        <v>113</v>
      </c>
      <c r="AQ241" s="8" t="s">
        <v>4</v>
      </c>
      <c r="AR241" s="8" t="s">
        <v>4</v>
      </c>
      <c r="AS241" s="8" t="s">
        <v>4</v>
      </c>
      <c r="AY241" s="8" t="s">
        <v>113</v>
      </c>
      <c r="CF241" s="9"/>
      <c r="CG241" s="10"/>
      <c r="CJ241" s="9"/>
      <c r="CK241" s="11"/>
    </row>
    <row r="242" spans="1:102">
      <c r="A242" s="8">
        <v>18837</v>
      </c>
      <c r="B242" s="8" t="s">
        <v>1490</v>
      </c>
      <c r="C242" s="8" t="s">
        <v>1491</v>
      </c>
      <c r="D242" s="8" t="s">
        <v>1492</v>
      </c>
      <c r="E242" s="8" t="s">
        <v>376</v>
      </c>
      <c r="F242" s="8" t="s">
        <v>140</v>
      </c>
      <c r="G242" s="8" t="s">
        <v>1493</v>
      </c>
      <c r="I242" s="8" t="s">
        <v>1494</v>
      </c>
      <c r="J242" s="8" t="s">
        <v>1495</v>
      </c>
      <c r="K242" s="8" t="s">
        <v>240</v>
      </c>
      <c r="L242" s="8">
        <v>4208</v>
      </c>
      <c r="M242" s="8" t="s">
        <v>61</v>
      </c>
      <c r="N242" s="8" t="s">
        <v>110</v>
      </c>
      <c r="R242" s="8" t="s">
        <v>1496</v>
      </c>
      <c r="S242" s="8">
        <v>423771425</v>
      </c>
      <c r="T242" s="8" t="s">
        <v>1497</v>
      </c>
      <c r="W242" s="8" t="s">
        <v>1494</v>
      </c>
      <c r="X242" s="8" t="s">
        <v>1495</v>
      </c>
      <c r="Y242" s="8" t="s">
        <v>240</v>
      </c>
      <c r="Z242" s="8">
        <v>4017</v>
      </c>
      <c r="AA242" s="8" t="s">
        <v>61</v>
      </c>
      <c r="AB242" s="8" t="s">
        <v>110</v>
      </c>
      <c r="AC242" s="8" t="s">
        <v>56</v>
      </c>
      <c r="AF242" s="9">
        <v>30389</v>
      </c>
      <c r="AG242" s="10">
        <v>1.6298611111111112</v>
      </c>
      <c r="AJ242" s="9">
        <v>43376</v>
      </c>
      <c r="AK242" s="11">
        <v>8.6111111111111124E-2</v>
      </c>
      <c r="AP242" s="8" t="s">
        <v>113</v>
      </c>
      <c r="AS242" s="8" t="s">
        <v>113</v>
      </c>
      <c r="AT242" s="9">
        <v>44248</v>
      </c>
      <c r="AU242" s="8" t="s">
        <v>114</v>
      </c>
      <c r="AV242" s="8" t="s">
        <v>115</v>
      </c>
      <c r="AW242" s="10">
        <v>1.5493055555555555</v>
      </c>
      <c r="AX242" s="11">
        <v>8.6111111111111124E-2</v>
      </c>
      <c r="AY242" s="8" t="s">
        <v>113</v>
      </c>
      <c r="CF242" s="9"/>
      <c r="CG242" s="10"/>
      <c r="CJ242" s="9"/>
      <c r="CK242" s="11"/>
      <c r="CT242" s="9"/>
      <c r="CW242" s="10"/>
      <c r="CX242" s="11"/>
    </row>
    <row r="243" spans="1:102">
      <c r="A243" s="8">
        <v>18838</v>
      </c>
      <c r="B243" s="8" t="s">
        <v>1498</v>
      </c>
      <c r="C243" s="8" t="s">
        <v>1499</v>
      </c>
      <c r="D243" s="8" t="s">
        <v>1500</v>
      </c>
      <c r="E243" s="8" t="s">
        <v>139</v>
      </c>
      <c r="F243" s="8" t="s">
        <v>274</v>
      </c>
      <c r="G243" s="8" t="s">
        <v>1500</v>
      </c>
      <c r="I243" s="8" t="s">
        <v>1501</v>
      </c>
      <c r="J243" s="8" t="s">
        <v>1502</v>
      </c>
      <c r="K243" s="8" t="s">
        <v>240</v>
      </c>
      <c r="L243" s="8">
        <v>4170</v>
      </c>
      <c r="M243" s="8" t="s">
        <v>61</v>
      </c>
      <c r="N243" s="8" t="s">
        <v>110</v>
      </c>
      <c r="R243" s="8" t="s">
        <v>1503</v>
      </c>
      <c r="S243" s="8">
        <v>417012869</v>
      </c>
      <c r="Y243" s="8" t="s">
        <v>270</v>
      </c>
      <c r="Z243" s="8">
        <v>9999</v>
      </c>
      <c r="AC243" s="8" t="s">
        <v>56</v>
      </c>
      <c r="AF243" s="9">
        <v>29463</v>
      </c>
      <c r="AG243" s="10">
        <v>1.7513888888888889</v>
      </c>
      <c r="AJ243" s="9">
        <v>43375</v>
      </c>
      <c r="AK243" s="11">
        <v>0.12638888888888888</v>
      </c>
      <c r="AP243" s="8" t="s">
        <v>113</v>
      </c>
      <c r="AS243" s="8" t="s">
        <v>113</v>
      </c>
      <c r="AT243" s="9">
        <v>44539</v>
      </c>
      <c r="AU243" s="8" t="s">
        <v>114</v>
      </c>
      <c r="AV243" s="8" t="s">
        <v>115</v>
      </c>
      <c r="AW243" s="10">
        <v>1.7104166666666665</v>
      </c>
      <c r="AX243" s="11">
        <v>0.12569444444444444</v>
      </c>
      <c r="AY243" s="8" t="s">
        <v>113</v>
      </c>
      <c r="CF243" s="9"/>
      <c r="CG243" s="10"/>
      <c r="CJ243" s="9"/>
      <c r="CK243" s="11"/>
      <c r="CT243" s="9"/>
      <c r="CW243" s="10"/>
      <c r="CX243" s="11"/>
    </row>
    <row r="244" spans="1:102">
      <c r="A244" s="8">
        <v>18839</v>
      </c>
      <c r="B244" s="8" t="s">
        <v>1504</v>
      </c>
      <c r="C244" s="8" t="s">
        <v>1505</v>
      </c>
      <c r="D244" s="8" t="s">
        <v>1506</v>
      </c>
      <c r="E244" s="8" t="s">
        <v>376</v>
      </c>
      <c r="F244" s="8" t="s">
        <v>119</v>
      </c>
      <c r="G244" s="8" t="s">
        <v>1506</v>
      </c>
      <c r="I244" s="8" t="s">
        <v>1507</v>
      </c>
      <c r="J244" s="8" t="s">
        <v>1508</v>
      </c>
      <c r="K244" s="8" t="s">
        <v>240</v>
      </c>
      <c r="L244" s="8">
        <v>4169</v>
      </c>
      <c r="M244" s="8" t="s">
        <v>61</v>
      </c>
      <c r="N244" s="8" t="s">
        <v>110</v>
      </c>
      <c r="R244" s="8" t="s">
        <v>1509</v>
      </c>
      <c r="S244" s="8">
        <v>433240215</v>
      </c>
      <c r="T244" s="8" t="s">
        <v>1510</v>
      </c>
      <c r="AC244" s="8" t="s">
        <v>56</v>
      </c>
      <c r="AF244" s="9">
        <v>29886</v>
      </c>
      <c r="AG244" s="10">
        <v>1.7083333333333333</v>
      </c>
      <c r="AJ244" s="9">
        <v>43376</v>
      </c>
      <c r="AK244" s="11">
        <v>0.16666666666666666</v>
      </c>
      <c r="AP244" s="8" t="s">
        <v>113</v>
      </c>
      <c r="AS244" s="8" t="s">
        <v>113</v>
      </c>
      <c r="AY244" s="8" t="s">
        <v>113</v>
      </c>
      <c r="CF244" s="9"/>
      <c r="CG244" s="10"/>
      <c r="CJ244" s="9"/>
      <c r="CK244" s="11"/>
    </row>
    <row r="245" spans="1:102">
      <c r="A245" s="8">
        <v>18840</v>
      </c>
      <c r="B245" s="8" t="s">
        <v>1511</v>
      </c>
      <c r="C245" s="8" t="s">
        <v>1512</v>
      </c>
      <c r="D245" s="8" t="s">
        <v>1513</v>
      </c>
      <c r="E245" s="8" t="s">
        <v>106</v>
      </c>
      <c r="F245" s="8" t="s">
        <v>327</v>
      </c>
      <c r="G245" s="8" t="s">
        <v>1513</v>
      </c>
      <c r="I245" s="8" t="s">
        <v>1514</v>
      </c>
      <c r="J245" s="8" t="s">
        <v>1515</v>
      </c>
      <c r="K245" s="8" t="s">
        <v>122</v>
      </c>
      <c r="L245" s="8">
        <v>2770</v>
      </c>
      <c r="R245" s="8" t="s">
        <v>1516</v>
      </c>
      <c r="S245" s="8">
        <v>490941465</v>
      </c>
      <c r="T245" s="8" t="s">
        <v>1517</v>
      </c>
      <c r="AC245" s="8" t="s">
        <v>56</v>
      </c>
      <c r="AF245" s="9">
        <v>31662</v>
      </c>
      <c r="AG245" s="10">
        <v>1.5006944444444443</v>
      </c>
      <c r="AJ245" s="9">
        <v>43382</v>
      </c>
      <c r="AK245" s="11">
        <v>6.2499999999999995E-3</v>
      </c>
      <c r="AP245" s="8" t="s">
        <v>4</v>
      </c>
      <c r="AS245" s="8" t="s">
        <v>113</v>
      </c>
      <c r="AT245" s="9">
        <v>43683</v>
      </c>
      <c r="AU245" s="8" t="s">
        <v>185</v>
      </c>
      <c r="AV245" s="8" t="s">
        <v>186</v>
      </c>
      <c r="AW245" s="10">
        <v>1.340972222222222</v>
      </c>
      <c r="AX245" s="11">
        <v>6.2499999999999995E-3</v>
      </c>
      <c r="AY245" s="8" t="s">
        <v>113</v>
      </c>
      <c r="CF245" s="9"/>
      <c r="CG245" s="10"/>
      <c r="CJ245" s="9"/>
      <c r="CK245" s="11"/>
      <c r="CT245" s="9"/>
      <c r="CW245" s="10"/>
      <c r="CX245" s="11"/>
    </row>
    <row r="246" spans="1:102">
      <c r="A246" s="8">
        <v>18841</v>
      </c>
      <c r="B246" s="8" t="s">
        <v>1518</v>
      </c>
      <c r="C246" s="8" t="s">
        <v>1519</v>
      </c>
      <c r="D246" s="8" t="s">
        <v>1520</v>
      </c>
      <c r="E246" s="8" t="s">
        <v>106</v>
      </c>
      <c r="F246" s="8" t="s">
        <v>247</v>
      </c>
      <c r="G246" s="8" t="s">
        <v>1521</v>
      </c>
      <c r="I246" s="8" t="s">
        <v>1522</v>
      </c>
      <c r="J246" s="8" t="s">
        <v>1523</v>
      </c>
      <c r="K246" s="8" t="s">
        <v>60</v>
      </c>
      <c r="L246" s="8">
        <v>3137</v>
      </c>
      <c r="M246" s="8" t="s">
        <v>61</v>
      </c>
      <c r="N246" s="8" t="s">
        <v>110</v>
      </c>
      <c r="R246" s="8" t="s">
        <v>1524</v>
      </c>
      <c r="S246" s="8">
        <v>402344353</v>
      </c>
      <c r="T246" s="8" t="s">
        <v>1525</v>
      </c>
      <c r="Y246" s="8" t="s">
        <v>270</v>
      </c>
      <c r="Z246" s="8">
        <v>9999</v>
      </c>
      <c r="AC246" s="8" t="s">
        <v>56</v>
      </c>
      <c r="AF246" s="9">
        <v>30306</v>
      </c>
      <c r="AG246" s="10">
        <v>1.6319444444444444</v>
      </c>
      <c r="AJ246" s="9">
        <v>43383</v>
      </c>
      <c r="AK246" s="11">
        <v>0.16666666666666666</v>
      </c>
      <c r="AP246" s="8" t="s">
        <v>113</v>
      </c>
      <c r="AQ246" s="8" t="s">
        <v>4</v>
      </c>
      <c r="AR246" s="8" t="s">
        <v>4</v>
      </c>
      <c r="AS246" s="8" t="s">
        <v>4</v>
      </c>
      <c r="CF246" s="9"/>
      <c r="CG246" s="10"/>
      <c r="CJ246" s="9"/>
      <c r="CK246" s="11"/>
    </row>
    <row r="247" spans="1:102">
      <c r="A247" s="8">
        <v>18842</v>
      </c>
      <c r="B247" s="8" t="s">
        <v>1526</v>
      </c>
      <c r="C247" s="8" t="s">
        <v>1527</v>
      </c>
      <c r="D247" s="8" t="s">
        <v>1528</v>
      </c>
      <c r="E247" s="8" t="s">
        <v>376</v>
      </c>
      <c r="F247" s="8" t="s">
        <v>545</v>
      </c>
      <c r="G247" s="8" t="s">
        <v>1528</v>
      </c>
      <c r="I247" s="8" t="s">
        <v>1529</v>
      </c>
      <c r="J247" s="8" t="s">
        <v>1530</v>
      </c>
      <c r="K247" s="8" t="s">
        <v>60</v>
      </c>
      <c r="L247" s="8">
        <v>3156</v>
      </c>
      <c r="R247" s="8" t="s">
        <v>1531</v>
      </c>
      <c r="S247" s="8">
        <v>424784592</v>
      </c>
      <c r="T247" s="8" t="s">
        <v>1532</v>
      </c>
      <c r="AC247" s="8" t="s">
        <v>56</v>
      </c>
      <c r="AF247" s="9">
        <v>32992</v>
      </c>
      <c r="AG247" s="10">
        <v>1.3375000000000001</v>
      </c>
      <c r="AJ247" s="9">
        <v>43390</v>
      </c>
      <c r="AK247" s="11">
        <v>4.1666666666666666E-3</v>
      </c>
      <c r="AP247" s="8" t="s">
        <v>4</v>
      </c>
      <c r="AT247" s="9">
        <v>43595</v>
      </c>
      <c r="AU247" s="8" t="s">
        <v>114</v>
      </c>
      <c r="AV247" s="8" t="s">
        <v>115</v>
      </c>
      <c r="AW247" s="10">
        <v>1.2083333333333333</v>
      </c>
      <c r="AX247" s="11">
        <v>4.1666666666666666E-3</v>
      </c>
      <c r="CF247" s="9"/>
      <c r="CG247" s="10"/>
      <c r="CJ247" s="9"/>
      <c r="CK247" s="11"/>
      <c r="CT247" s="9"/>
      <c r="CW247" s="10"/>
      <c r="CX247" s="11"/>
    </row>
    <row r="248" spans="1:102">
      <c r="A248" s="8">
        <v>18843</v>
      </c>
      <c r="B248" s="8" t="s">
        <v>1533</v>
      </c>
      <c r="C248" s="8" t="s">
        <v>1534</v>
      </c>
      <c r="D248" s="8" t="s">
        <v>1535</v>
      </c>
      <c r="E248" s="8" t="s">
        <v>148</v>
      </c>
      <c r="F248" s="8" t="s">
        <v>797</v>
      </c>
      <c r="G248" s="8" t="s">
        <v>1536</v>
      </c>
      <c r="I248" s="8" t="s">
        <v>1537</v>
      </c>
      <c r="J248" s="8" t="s">
        <v>1538</v>
      </c>
      <c r="K248" s="8" t="s">
        <v>60</v>
      </c>
      <c r="L248" s="8">
        <v>3976</v>
      </c>
      <c r="M248" s="8" t="s">
        <v>61</v>
      </c>
      <c r="N248" s="8" t="s">
        <v>110</v>
      </c>
      <c r="R248" s="8" t="s">
        <v>1539</v>
      </c>
      <c r="S248" s="8">
        <v>469724798</v>
      </c>
      <c r="T248" s="8" t="s">
        <v>1540</v>
      </c>
      <c r="AC248" s="8" t="s">
        <v>153</v>
      </c>
      <c r="AF248" s="9">
        <v>27344</v>
      </c>
      <c r="AG248" s="10">
        <v>1.965972222222222</v>
      </c>
      <c r="AJ248" s="9">
        <v>43390</v>
      </c>
      <c r="AK248" s="11">
        <v>7.6388888888888886E-3</v>
      </c>
      <c r="AP248" s="8" t="s">
        <v>113</v>
      </c>
      <c r="AT248" s="9">
        <v>43733</v>
      </c>
      <c r="AU248" s="8" t="s">
        <v>185</v>
      </c>
      <c r="AV248" s="8" t="s">
        <v>186</v>
      </c>
      <c r="AW248" s="10">
        <v>1.8402777777777777</v>
      </c>
      <c r="AX248" s="11">
        <v>7.6388888888888886E-3</v>
      </c>
      <c r="CF248" s="9"/>
      <c r="CG248" s="10"/>
      <c r="CJ248" s="9"/>
      <c r="CK248" s="11"/>
      <c r="CT248" s="9"/>
      <c r="CW248" s="10"/>
      <c r="CX248" s="11"/>
    </row>
    <row r="249" spans="1:102">
      <c r="A249" s="8">
        <v>18844</v>
      </c>
      <c r="B249" s="8" t="s">
        <v>1541</v>
      </c>
      <c r="C249" s="8" t="s">
        <v>1542</v>
      </c>
      <c r="D249" s="8" t="s">
        <v>1543</v>
      </c>
      <c r="E249" s="8" t="s">
        <v>148</v>
      </c>
      <c r="F249" s="8" t="s">
        <v>274</v>
      </c>
      <c r="G249" s="8" t="s">
        <v>1543</v>
      </c>
      <c r="I249" s="8" t="s">
        <v>1544</v>
      </c>
      <c r="J249" s="8" t="s">
        <v>1545</v>
      </c>
      <c r="K249" s="8" t="s">
        <v>122</v>
      </c>
      <c r="L249" s="8">
        <v>2130</v>
      </c>
      <c r="R249" s="8" t="s">
        <v>1546</v>
      </c>
      <c r="S249" s="8">
        <v>434987545</v>
      </c>
      <c r="T249" s="8" t="s">
        <v>1547</v>
      </c>
      <c r="AC249" s="8" t="s">
        <v>153</v>
      </c>
      <c r="AF249" s="9">
        <v>31899</v>
      </c>
      <c r="AG249" s="10">
        <v>1.4618055555555556</v>
      </c>
      <c r="AJ249" s="9">
        <v>43397</v>
      </c>
      <c r="AK249" s="11">
        <v>0</v>
      </c>
      <c r="AT249" s="9">
        <v>43419</v>
      </c>
      <c r="AU249" s="8" t="s">
        <v>114</v>
      </c>
      <c r="AV249" s="8" t="s">
        <v>115</v>
      </c>
      <c r="AW249" s="10">
        <v>1.2958333333333334</v>
      </c>
      <c r="AX249" s="11">
        <v>0</v>
      </c>
      <c r="CF249" s="9"/>
      <c r="CG249" s="10"/>
      <c r="CJ249" s="9"/>
      <c r="CK249" s="11"/>
      <c r="CT249" s="9"/>
      <c r="CW249" s="10"/>
      <c r="CX249" s="11"/>
    </row>
    <row r="250" spans="1:102">
      <c r="A250" s="8">
        <v>18845</v>
      </c>
      <c r="B250" s="8" t="s">
        <v>1548</v>
      </c>
      <c r="C250" s="8" t="s">
        <v>1549</v>
      </c>
      <c r="D250" s="8" t="s">
        <v>1550</v>
      </c>
      <c r="E250" s="8" t="s">
        <v>106</v>
      </c>
      <c r="F250" s="8" t="s">
        <v>333</v>
      </c>
      <c r="G250" s="8" t="s">
        <v>1550</v>
      </c>
      <c r="I250" s="8" t="s">
        <v>1551</v>
      </c>
      <c r="J250" s="8" t="s">
        <v>1552</v>
      </c>
      <c r="K250" s="8" t="s">
        <v>122</v>
      </c>
      <c r="L250" s="8">
        <v>2155</v>
      </c>
      <c r="M250" s="8" t="s">
        <v>61</v>
      </c>
      <c r="N250" s="8" t="s">
        <v>110</v>
      </c>
      <c r="R250" s="8" t="s">
        <v>1553</v>
      </c>
      <c r="S250" s="8">
        <v>437070906</v>
      </c>
      <c r="T250" s="8" t="s">
        <v>1553</v>
      </c>
      <c r="AC250" s="8" t="s">
        <v>56</v>
      </c>
      <c r="AF250" s="9">
        <v>27264</v>
      </c>
      <c r="AG250" s="10">
        <v>2.0013888888888887</v>
      </c>
      <c r="AJ250" s="9">
        <v>43409</v>
      </c>
      <c r="AK250" s="11">
        <v>0.13125000000000001</v>
      </c>
      <c r="AP250" s="8" t="s">
        <v>113</v>
      </c>
      <c r="AQ250" s="8" t="s">
        <v>4</v>
      </c>
      <c r="AR250" s="8" t="s">
        <v>4</v>
      </c>
      <c r="AS250" s="8" t="s">
        <v>4</v>
      </c>
      <c r="AT250" s="9">
        <v>44792</v>
      </c>
      <c r="AU250" s="8" t="s">
        <v>114</v>
      </c>
      <c r="AV250" s="8" t="s">
        <v>115</v>
      </c>
      <c r="AW250" s="10">
        <v>1.965972222222222</v>
      </c>
      <c r="AX250" s="11">
        <v>0.13125000000000001</v>
      </c>
      <c r="AY250" s="8" t="s">
        <v>113</v>
      </c>
      <c r="CF250" s="9"/>
      <c r="CG250" s="10"/>
      <c r="CJ250" s="9"/>
      <c r="CK250" s="11"/>
      <c r="CT250" s="9"/>
      <c r="CW250" s="10"/>
      <c r="CX250" s="11"/>
    </row>
    <row r="251" spans="1:102">
      <c r="A251" s="8">
        <v>18846</v>
      </c>
      <c r="B251" s="8" t="s">
        <v>1554</v>
      </c>
      <c r="C251" s="8" t="s">
        <v>1555</v>
      </c>
      <c r="D251" s="8" t="s">
        <v>868</v>
      </c>
      <c r="E251" s="8" t="s">
        <v>148</v>
      </c>
      <c r="F251" s="8" t="s">
        <v>368</v>
      </c>
      <c r="G251" s="8" t="s">
        <v>868</v>
      </c>
      <c r="I251" s="8" t="s">
        <v>1556</v>
      </c>
      <c r="J251" s="8" t="s">
        <v>1557</v>
      </c>
      <c r="K251" s="8" t="s">
        <v>60</v>
      </c>
      <c r="L251" s="8">
        <v>3106</v>
      </c>
      <c r="R251" s="8" t="s">
        <v>1558</v>
      </c>
      <c r="S251" s="8">
        <v>466472746</v>
      </c>
      <c r="T251" s="8" t="s">
        <v>1559</v>
      </c>
      <c r="AC251" s="8" t="s">
        <v>153</v>
      </c>
      <c r="AF251" s="9">
        <v>26982</v>
      </c>
      <c r="AG251" s="10">
        <v>2.0076388888888888</v>
      </c>
      <c r="AJ251" s="9">
        <v>43437</v>
      </c>
      <c r="AK251" s="11">
        <v>6.2499999999999995E-3</v>
      </c>
      <c r="AP251" s="8" t="s">
        <v>113</v>
      </c>
      <c r="AT251" s="9">
        <v>43727</v>
      </c>
      <c r="AU251" s="8" t="s">
        <v>114</v>
      </c>
      <c r="AV251" s="8" t="s">
        <v>115</v>
      </c>
      <c r="AW251" s="10">
        <v>1.8819444444444444</v>
      </c>
      <c r="AX251" s="11">
        <v>6.2499999999999995E-3</v>
      </c>
      <c r="CF251" s="9"/>
      <c r="CG251" s="10"/>
      <c r="CJ251" s="9"/>
      <c r="CK251" s="11"/>
      <c r="CT251" s="9"/>
      <c r="CW251" s="10"/>
      <c r="CX251" s="11"/>
    </row>
    <row r="252" spans="1:102">
      <c r="A252" s="8">
        <v>18847</v>
      </c>
      <c r="B252" s="8" t="s">
        <v>1560</v>
      </c>
      <c r="C252" s="8" t="s">
        <v>1561</v>
      </c>
      <c r="D252" s="8" t="s">
        <v>105</v>
      </c>
      <c r="E252" s="8" t="s">
        <v>376</v>
      </c>
      <c r="F252" s="8" t="s">
        <v>107</v>
      </c>
      <c r="G252" s="8" t="s">
        <v>105</v>
      </c>
      <c r="I252" s="8" t="s">
        <v>1562</v>
      </c>
      <c r="J252" s="8" t="s">
        <v>1563</v>
      </c>
      <c r="K252" s="8" t="s">
        <v>122</v>
      </c>
      <c r="L252" s="8">
        <v>2176</v>
      </c>
      <c r="M252" s="8" t="s">
        <v>61</v>
      </c>
      <c r="N252" s="8" t="s">
        <v>110</v>
      </c>
      <c r="R252" s="8" t="s">
        <v>1564</v>
      </c>
      <c r="S252" s="8">
        <v>421801523</v>
      </c>
      <c r="T252" s="8" t="s">
        <v>1565</v>
      </c>
      <c r="Y252" s="8" t="s">
        <v>270</v>
      </c>
      <c r="Z252" s="8">
        <v>9999</v>
      </c>
      <c r="AC252" s="8" t="s">
        <v>56</v>
      </c>
      <c r="AF252" s="9">
        <v>35023</v>
      </c>
      <c r="AG252" s="10">
        <v>1.0909722222222222</v>
      </c>
      <c r="AJ252" s="9">
        <v>43441</v>
      </c>
      <c r="AK252" s="11">
        <v>0.12847222222222224</v>
      </c>
      <c r="AP252" s="8" t="s">
        <v>113</v>
      </c>
      <c r="AS252" s="8" t="s">
        <v>113</v>
      </c>
      <c r="AT252" s="9">
        <v>44706</v>
      </c>
      <c r="AU252" s="8" t="s">
        <v>114</v>
      </c>
      <c r="AV252" s="8" t="s">
        <v>115</v>
      </c>
      <c r="AW252" s="10">
        <v>1.0875000000000001</v>
      </c>
      <c r="AX252" s="11">
        <v>0.12847222222222224</v>
      </c>
      <c r="AY252" s="8" t="s">
        <v>113</v>
      </c>
      <c r="CF252" s="9"/>
      <c r="CG252" s="10"/>
      <c r="CJ252" s="9"/>
      <c r="CK252" s="11"/>
      <c r="CT252" s="9"/>
      <c r="CW252" s="10"/>
      <c r="CX252" s="11"/>
    </row>
    <row r="253" spans="1:102">
      <c r="A253" s="8">
        <v>18848</v>
      </c>
      <c r="B253" s="8" t="s">
        <v>1566</v>
      </c>
      <c r="C253" s="8" t="s">
        <v>1567</v>
      </c>
      <c r="D253" s="8" t="s">
        <v>1568</v>
      </c>
      <c r="E253" s="8" t="s">
        <v>139</v>
      </c>
      <c r="F253" s="8" t="s">
        <v>1569</v>
      </c>
      <c r="G253" s="8" t="s">
        <v>1570</v>
      </c>
      <c r="I253" s="8" t="s">
        <v>1571</v>
      </c>
      <c r="J253" s="8" t="s">
        <v>407</v>
      </c>
      <c r="K253" s="8" t="s">
        <v>60</v>
      </c>
      <c r="L253" s="8">
        <v>3134</v>
      </c>
      <c r="M253" s="8" t="s">
        <v>61</v>
      </c>
      <c r="N253" s="8" t="s">
        <v>110</v>
      </c>
      <c r="R253" s="8" t="s">
        <v>1572</v>
      </c>
      <c r="S253" s="8">
        <v>402001683</v>
      </c>
      <c r="T253" s="8" t="s">
        <v>1573</v>
      </c>
      <c r="W253" s="8" t="s">
        <v>1571</v>
      </c>
      <c r="X253" s="8" t="s">
        <v>407</v>
      </c>
      <c r="Y253" s="8" t="s">
        <v>60</v>
      </c>
      <c r="AA253" s="8" t="s">
        <v>61</v>
      </c>
      <c r="AB253" s="8" t="s">
        <v>110</v>
      </c>
      <c r="AC253" s="8" t="s">
        <v>56</v>
      </c>
      <c r="AF253" s="9">
        <v>23601</v>
      </c>
      <c r="AG253" s="10">
        <v>2.4180555555555556</v>
      </c>
      <c r="AJ253" s="9">
        <v>43451</v>
      </c>
      <c r="AK253" s="11">
        <v>8.3333333333333329E-2</v>
      </c>
      <c r="AP253" s="8" t="s">
        <v>113</v>
      </c>
      <c r="AS253" s="8" t="s">
        <v>113</v>
      </c>
      <c r="AT253" s="9">
        <v>44197</v>
      </c>
      <c r="AU253" s="8" t="s">
        <v>114</v>
      </c>
      <c r="AV253" s="8" t="s">
        <v>115</v>
      </c>
      <c r="AW253" s="10">
        <v>2.3361111111111112</v>
      </c>
      <c r="AX253" s="11">
        <v>8.3333333333333329E-2</v>
      </c>
      <c r="AY253" s="8" t="s">
        <v>113</v>
      </c>
      <c r="CF253" s="9"/>
      <c r="CG253" s="10"/>
      <c r="CJ253" s="9"/>
      <c r="CK253" s="11"/>
      <c r="CT253" s="9"/>
      <c r="CW253" s="10"/>
      <c r="CX253" s="11"/>
    </row>
    <row r="254" spans="1:102">
      <c r="D254" s="8" t="s">
        <v>1574</v>
      </c>
    </row>
    <row r="255" spans="1:102">
      <c r="A255" s="8">
        <v>18850</v>
      </c>
      <c r="B255" s="8" t="s">
        <v>1575</v>
      </c>
      <c r="C255" s="8" t="s">
        <v>1576</v>
      </c>
      <c r="D255" s="8" t="s">
        <v>1224</v>
      </c>
      <c r="E255" s="8" t="s">
        <v>106</v>
      </c>
      <c r="F255" s="8" t="s">
        <v>129</v>
      </c>
      <c r="G255" s="8" t="s">
        <v>1224</v>
      </c>
      <c r="I255" s="8" t="s">
        <v>1577</v>
      </c>
      <c r="J255" s="8" t="s">
        <v>1578</v>
      </c>
      <c r="K255" s="8" t="s">
        <v>240</v>
      </c>
      <c r="L255" s="8">
        <v>4012</v>
      </c>
      <c r="M255" s="8" t="s">
        <v>61</v>
      </c>
      <c r="N255" s="8" t="s">
        <v>110</v>
      </c>
      <c r="R255" s="8" t="s">
        <v>1579</v>
      </c>
      <c r="S255" s="8">
        <v>466991109</v>
      </c>
      <c r="T255" s="8" t="s">
        <v>1580</v>
      </c>
      <c r="W255" s="8" t="s">
        <v>1581</v>
      </c>
      <c r="X255" s="8" t="s">
        <v>1578</v>
      </c>
      <c r="Y255" s="8" t="s">
        <v>240</v>
      </c>
      <c r="Z255" s="8">
        <v>4012</v>
      </c>
      <c r="AA255" s="8" t="s">
        <v>61</v>
      </c>
      <c r="AB255" s="8" t="s">
        <v>110</v>
      </c>
      <c r="AC255" s="8" t="s">
        <v>56</v>
      </c>
      <c r="AF255" s="9">
        <v>21851</v>
      </c>
      <c r="AG255" s="10">
        <v>2.625</v>
      </c>
      <c r="AJ255" s="9">
        <v>43467</v>
      </c>
      <c r="AK255" s="11">
        <v>0.13125000000000001</v>
      </c>
      <c r="AP255" s="8" t="s">
        <v>113</v>
      </c>
      <c r="AS255" s="8" t="s">
        <v>113</v>
      </c>
      <c r="AY255" s="8" t="s">
        <v>113</v>
      </c>
      <c r="CF255" s="9"/>
      <c r="CG255" s="10"/>
      <c r="CJ255" s="9"/>
      <c r="CK255" s="11"/>
    </row>
    <row r="256" spans="1:102">
      <c r="A256" s="8">
        <v>18851</v>
      </c>
      <c r="B256" s="8" t="s">
        <v>1582</v>
      </c>
      <c r="C256" s="8" t="s">
        <v>1583</v>
      </c>
      <c r="D256" s="8" t="s">
        <v>1584</v>
      </c>
      <c r="E256" s="8" t="s">
        <v>148</v>
      </c>
      <c r="F256" s="8" t="s">
        <v>129</v>
      </c>
      <c r="G256" s="8" t="s">
        <v>1584</v>
      </c>
      <c r="I256" s="8" t="s">
        <v>1585</v>
      </c>
      <c r="J256" s="8" t="s">
        <v>1586</v>
      </c>
      <c r="K256" s="8" t="s">
        <v>60</v>
      </c>
      <c r="L256" s="8">
        <v>3809</v>
      </c>
      <c r="R256" s="8" t="s">
        <v>1587</v>
      </c>
      <c r="S256" s="8">
        <v>431644050</v>
      </c>
      <c r="T256" s="8" t="s">
        <v>1588</v>
      </c>
      <c r="AC256" s="8" t="s">
        <v>153</v>
      </c>
      <c r="AF256" s="9">
        <v>36732</v>
      </c>
      <c r="AG256" s="11">
        <v>0.91875000000000007</v>
      </c>
      <c r="AJ256" s="9">
        <v>43458</v>
      </c>
      <c r="AK256" s="11">
        <v>0</v>
      </c>
      <c r="AT256" s="9">
        <v>43472</v>
      </c>
      <c r="AU256" s="8" t="s">
        <v>114</v>
      </c>
      <c r="AV256" s="8" t="s">
        <v>115</v>
      </c>
      <c r="AW256" s="11">
        <v>0.75347222222222221</v>
      </c>
      <c r="AX256" s="11">
        <v>0</v>
      </c>
      <c r="CF256" s="9"/>
      <c r="CG256" s="11"/>
      <c r="CJ256" s="9"/>
      <c r="CK256" s="11"/>
      <c r="CT256" s="9"/>
      <c r="CW256" s="11"/>
      <c r="CX256" s="11"/>
    </row>
    <row r="257" spans="1:102">
      <c r="A257" s="8">
        <v>18852</v>
      </c>
      <c r="B257" s="8" t="s">
        <v>1589</v>
      </c>
      <c r="C257" s="8" t="s">
        <v>1590</v>
      </c>
      <c r="D257" s="8" t="s">
        <v>1591</v>
      </c>
      <c r="E257" s="8" t="s">
        <v>106</v>
      </c>
      <c r="F257" s="8" t="s">
        <v>247</v>
      </c>
      <c r="G257" s="8" t="s">
        <v>1591</v>
      </c>
      <c r="I257" s="8" t="s">
        <v>1592</v>
      </c>
      <c r="J257" s="8" t="s">
        <v>1593</v>
      </c>
      <c r="K257" s="8" t="s">
        <v>122</v>
      </c>
      <c r="L257" s="8">
        <v>2145</v>
      </c>
      <c r="R257" s="8" t="s">
        <v>1594</v>
      </c>
      <c r="S257" s="8">
        <v>450526200</v>
      </c>
      <c r="T257" s="8" t="s">
        <v>1595</v>
      </c>
      <c r="AC257" s="8" t="s">
        <v>56</v>
      </c>
      <c r="AF257" s="9">
        <v>30059</v>
      </c>
      <c r="AG257" s="10">
        <v>1.6708333333333334</v>
      </c>
      <c r="AJ257" s="9">
        <v>43461</v>
      </c>
      <c r="AK257" s="11">
        <v>1.3888888888888889E-3</v>
      </c>
      <c r="AP257" s="8" t="s">
        <v>4</v>
      </c>
      <c r="AT257" s="9">
        <v>43543</v>
      </c>
      <c r="AU257" s="8" t="s">
        <v>114</v>
      </c>
      <c r="AV257" s="8" t="s">
        <v>115</v>
      </c>
      <c r="AW257" s="10">
        <v>1.5076388888888888</v>
      </c>
      <c r="AX257" s="11">
        <v>1.3888888888888889E-3</v>
      </c>
      <c r="CF257" s="9"/>
      <c r="CG257" s="10"/>
      <c r="CJ257" s="9"/>
      <c r="CK257" s="11"/>
      <c r="CT257" s="9"/>
      <c r="CW257" s="10"/>
      <c r="CX257" s="11"/>
    </row>
    <row r="258" spans="1:102">
      <c r="A258" s="8">
        <v>18853</v>
      </c>
      <c r="B258" s="8" t="s">
        <v>1596</v>
      </c>
      <c r="C258" s="8" t="s">
        <v>1597</v>
      </c>
      <c r="D258" s="8" t="s">
        <v>769</v>
      </c>
      <c r="E258" s="8" t="s">
        <v>148</v>
      </c>
      <c r="F258" s="8" t="s">
        <v>129</v>
      </c>
      <c r="G258" s="8" t="s">
        <v>769</v>
      </c>
      <c r="I258" s="8" t="s">
        <v>1598</v>
      </c>
      <c r="J258" s="8" t="s">
        <v>1599</v>
      </c>
      <c r="K258" s="8" t="s">
        <v>60</v>
      </c>
      <c r="L258" s="8">
        <v>3162</v>
      </c>
      <c r="M258" s="8" t="s">
        <v>61</v>
      </c>
      <c r="N258" s="8" t="s">
        <v>110</v>
      </c>
      <c r="R258" s="8" t="s">
        <v>1600</v>
      </c>
      <c r="S258" s="8">
        <v>413622359</v>
      </c>
      <c r="T258" s="8" t="s">
        <v>2983</v>
      </c>
      <c r="U258" s="8">
        <v>413622359</v>
      </c>
      <c r="AC258" s="8" t="s">
        <v>153</v>
      </c>
      <c r="AF258" s="9">
        <v>23231</v>
      </c>
      <c r="AG258" s="10">
        <v>2.4597222222222221</v>
      </c>
      <c r="AJ258" s="9">
        <v>43472</v>
      </c>
      <c r="AK258" s="11">
        <v>0.13125000000000001</v>
      </c>
      <c r="AP258" s="8" t="s">
        <v>113</v>
      </c>
      <c r="CF258" s="9"/>
      <c r="CG258" s="10"/>
      <c r="CJ258" s="9"/>
      <c r="CK258" s="11"/>
    </row>
    <row r="259" spans="1:102">
      <c r="A259" s="8">
        <v>18854</v>
      </c>
      <c r="B259" s="8" t="s">
        <v>1601</v>
      </c>
      <c r="C259" s="8" t="s">
        <v>1602</v>
      </c>
      <c r="D259" s="8" t="s">
        <v>1603</v>
      </c>
      <c r="E259" s="8" t="s">
        <v>376</v>
      </c>
      <c r="F259" s="8" t="s">
        <v>247</v>
      </c>
      <c r="G259" s="8" t="s">
        <v>1603</v>
      </c>
      <c r="I259" s="8" t="s">
        <v>1604</v>
      </c>
      <c r="J259" s="8" t="s">
        <v>1605</v>
      </c>
      <c r="K259" s="8" t="s">
        <v>122</v>
      </c>
      <c r="L259" s="8">
        <v>2151</v>
      </c>
      <c r="M259" s="8" t="s">
        <v>61</v>
      </c>
      <c r="N259" s="8" t="s">
        <v>110</v>
      </c>
      <c r="R259" s="8" t="s">
        <v>1606</v>
      </c>
      <c r="S259" s="8">
        <v>421414500</v>
      </c>
      <c r="T259" s="8" t="s">
        <v>1607</v>
      </c>
      <c r="AC259" s="8" t="s">
        <v>56</v>
      </c>
      <c r="AF259" s="9">
        <v>33769</v>
      </c>
      <c r="AG259" s="10">
        <v>1.2527777777777778</v>
      </c>
      <c r="AJ259" s="9">
        <v>43474</v>
      </c>
      <c r="AK259" s="11">
        <v>0.12708333333333333</v>
      </c>
      <c r="AP259" s="8" t="s">
        <v>113</v>
      </c>
      <c r="AQ259" s="8" t="s">
        <v>4</v>
      </c>
      <c r="AR259" s="8" t="s">
        <v>4</v>
      </c>
      <c r="AS259" s="8" t="s">
        <v>4</v>
      </c>
      <c r="AT259" s="9">
        <v>44679</v>
      </c>
      <c r="AU259" s="8" t="s">
        <v>114</v>
      </c>
      <c r="AV259" s="8" t="s">
        <v>115</v>
      </c>
      <c r="AW259" s="10">
        <v>1.2152777777777779</v>
      </c>
      <c r="AX259" s="11">
        <v>0.12708333333333333</v>
      </c>
      <c r="AY259" s="8" t="s">
        <v>113</v>
      </c>
      <c r="CF259" s="9"/>
      <c r="CG259" s="10"/>
      <c r="CJ259" s="9"/>
      <c r="CK259" s="11"/>
      <c r="CT259" s="9"/>
      <c r="CW259" s="10"/>
      <c r="CX259" s="11"/>
    </row>
    <row r="260" spans="1:102">
      <c r="A260" s="8">
        <v>18855</v>
      </c>
      <c r="B260" s="8" t="s">
        <v>1608</v>
      </c>
      <c r="C260" s="8" t="s">
        <v>1609</v>
      </c>
      <c r="D260" s="8" t="s">
        <v>1610</v>
      </c>
      <c r="E260" s="8" t="s">
        <v>376</v>
      </c>
      <c r="F260" s="8" t="s">
        <v>274</v>
      </c>
      <c r="G260" s="8" t="s">
        <v>1610</v>
      </c>
      <c r="I260" s="8" t="s">
        <v>1611</v>
      </c>
      <c r="J260" s="8" t="s">
        <v>1612</v>
      </c>
      <c r="K260" s="8" t="s">
        <v>240</v>
      </c>
      <c r="L260" s="8">
        <v>4131</v>
      </c>
      <c r="M260" s="8" t="s">
        <v>61</v>
      </c>
      <c r="N260" s="8" t="s">
        <v>110</v>
      </c>
      <c r="R260" s="8" t="s">
        <v>1613</v>
      </c>
      <c r="S260" s="8">
        <v>420577147</v>
      </c>
      <c r="T260" s="8" t="s">
        <v>1614</v>
      </c>
      <c r="W260" s="8" t="s">
        <v>1611</v>
      </c>
      <c r="X260" s="8" t="s">
        <v>1612</v>
      </c>
      <c r="Y260" s="8" t="s">
        <v>240</v>
      </c>
      <c r="Z260" s="8">
        <v>4131</v>
      </c>
      <c r="AA260" s="8" t="s">
        <v>61</v>
      </c>
      <c r="AB260" s="8" t="s">
        <v>110</v>
      </c>
      <c r="AC260" s="8" t="s">
        <v>56</v>
      </c>
      <c r="AF260" s="9">
        <v>31429</v>
      </c>
      <c r="AG260" s="10">
        <v>1.5062499999999999</v>
      </c>
      <c r="AJ260" s="9">
        <v>43481</v>
      </c>
      <c r="AK260" s="11">
        <v>8.4027777777777771E-2</v>
      </c>
      <c r="AP260" s="8" t="s">
        <v>113</v>
      </c>
      <c r="AS260" s="8" t="s">
        <v>113</v>
      </c>
      <c r="AT260" s="9">
        <v>44252</v>
      </c>
      <c r="AU260" s="8" t="s">
        <v>114</v>
      </c>
      <c r="AV260" s="8" t="s">
        <v>115</v>
      </c>
      <c r="AW260" s="10">
        <v>1.4590277777777778</v>
      </c>
      <c r="AX260" s="11">
        <v>4.7916666666666663E-2</v>
      </c>
      <c r="AY260" s="8" t="s">
        <v>113</v>
      </c>
      <c r="CF260" s="9"/>
      <c r="CG260" s="10"/>
      <c r="CJ260" s="9"/>
      <c r="CK260" s="11"/>
      <c r="CT260" s="9"/>
      <c r="CW260" s="10"/>
      <c r="CX260" s="11"/>
    </row>
    <row r="261" spans="1:102">
      <c r="A261" s="8">
        <v>18856</v>
      </c>
      <c r="B261" s="8" t="s">
        <v>1615</v>
      </c>
      <c r="C261" s="8" t="s">
        <v>1616</v>
      </c>
      <c r="D261" s="8" t="s">
        <v>1617</v>
      </c>
      <c r="E261" s="8" t="s">
        <v>139</v>
      </c>
      <c r="F261" s="8" t="s">
        <v>274</v>
      </c>
      <c r="G261" s="8" t="s">
        <v>1617</v>
      </c>
      <c r="I261" s="8" t="s">
        <v>1618</v>
      </c>
      <c r="J261" s="8" t="s">
        <v>1619</v>
      </c>
      <c r="K261" s="8" t="s">
        <v>240</v>
      </c>
      <c r="L261" s="8">
        <v>4067</v>
      </c>
      <c r="R261" s="8" t="s">
        <v>1620</v>
      </c>
      <c r="S261" s="8">
        <v>490167357</v>
      </c>
      <c r="T261" s="8" t="s">
        <v>1621</v>
      </c>
      <c r="AC261" s="8" t="s">
        <v>56</v>
      </c>
      <c r="AF261" s="9">
        <v>35749</v>
      </c>
      <c r="AG261" s="10">
        <v>1.007638888888889</v>
      </c>
      <c r="AJ261" s="9">
        <v>43480</v>
      </c>
      <c r="AK261" s="11">
        <v>6.2499999999999995E-3</v>
      </c>
      <c r="AP261" s="8" t="s">
        <v>113</v>
      </c>
      <c r="AS261" s="8" t="s">
        <v>113</v>
      </c>
      <c r="AT261" s="9">
        <v>43770</v>
      </c>
      <c r="AU261" s="8" t="s">
        <v>114</v>
      </c>
      <c r="AV261" s="8" t="s">
        <v>115</v>
      </c>
      <c r="AW261" s="11">
        <v>0.88263888888888886</v>
      </c>
      <c r="AX261" s="11">
        <v>6.2499999999999995E-3</v>
      </c>
      <c r="AY261" s="8" t="s">
        <v>113</v>
      </c>
      <c r="CF261" s="9"/>
      <c r="CG261" s="10"/>
      <c r="CJ261" s="9"/>
      <c r="CK261" s="11"/>
      <c r="CT261" s="9"/>
      <c r="CW261" s="11"/>
      <c r="CX261" s="11"/>
    </row>
    <row r="262" spans="1:102">
      <c r="A262" s="8">
        <v>18857</v>
      </c>
      <c r="B262" s="8" t="s">
        <v>1622</v>
      </c>
      <c r="C262" s="8" t="s">
        <v>1623</v>
      </c>
      <c r="D262" s="8" t="s">
        <v>1624</v>
      </c>
      <c r="E262" s="8" t="s">
        <v>148</v>
      </c>
      <c r="F262" s="8" t="s">
        <v>119</v>
      </c>
      <c r="G262" s="8" t="s">
        <v>1624</v>
      </c>
      <c r="I262" s="8" t="s">
        <v>1625</v>
      </c>
      <c r="J262" s="8" t="s">
        <v>1626</v>
      </c>
      <c r="K262" s="8" t="s">
        <v>60</v>
      </c>
      <c r="L262" s="8">
        <v>3169</v>
      </c>
      <c r="M262" s="8" t="s">
        <v>61</v>
      </c>
      <c r="N262" s="8" t="s">
        <v>110</v>
      </c>
      <c r="R262" s="8" t="s">
        <v>1627</v>
      </c>
      <c r="S262" s="8">
        <v>491033335</v>
      </c>
      <c r="T262" s="8" t="s">
        <v>1628</v>
      </c>
      <c r="Y262" s="8" t="s">
        <v>270</v>
      </c>
      <c r="Z262" s="8">
        <v>9999</v>
      </c>
      <c r="AC262" s="8" t="s">
        <v>153</v>
      </c>
      <c r="AF262" s="9">
        <v>34009</v>
      </c>
      <c r="AG262" s="10">
        <v>1.2138888888888888</v>
      </c>
      <c r="AJ262" s="9">
        <v>43479</v>
      </c>
      <c r="AK262" s="11">
        <v>8.5416666666666655E-2</v>
      </c>
      <c r="AP262" s="8" t="s">
        <v>113</v>
      </c>
      <c r="AS262" s="8" t="s">
        <v>113</v>
      </c>
      <c r="AT262" s="9">
        <v>44313</v>
      </c>
      <c r="AU262" s="8" t="s">
        <v>114</v>
      </c>
      <c r="AV262" s="8" t="s">
        <v>115</v>
      </c>
      <c r="AW262" s="10">
        <v>1.1680555555555556</v>
      </c>
      <c r="AX262" s="11">
        <v>8.5416666666666655E-2</v>
      </c>
      <c r="AY262" s="8" t="s">
        <v>113</v>
      </c>
      <c r="CF262" s="9"/>
      <c r="CG262" s="10"/>
      <c r="CJ262" s="9"/>
      <c r="CK262" s="11"/>
      <c r="CT262" s="9"/>
      <c r="CW262" s="10"/>
      <c r="CX262" s="11"/>
    </row>
    <row r="263" spans="1:102">
      <c r="A263" s="8">
        <v>18858</v>
      </c>
      <c r="B263" s="8" t="s">
        <v>1629</v>
      </c>
      <c r="C263" s="8" t="s">
        <v>1630</v>
      </c>
      <c r="D263" s="8" t="s">
        <v>1631</v>
      </c>
      <c r="E263" s="8" t="s">
        <v>376</v>
      </c>
      <c r="F263" s="8" t="s">
        <v>1632</v>
      </c>
      <c r="G263" s="8" t="s">
        <v>1631</v>
      </c>
      <c r="I263" s="8" t="s">
        <v>1633</v>
      </c>
      <c r="J263" s="8" t="s">
        <v>1634</v>
      </c>
      <c r="K263" s="8" t="s">
        <v>240</v>
      </c>
      <c r="L263" s="8">
        <v>4567</v>
      </c>
      <c r="M263" s="8" t="s">
        <v>61</v>
      </c>
      <c r="N263" s="8" t="s">
        <v>110</v>
      </c>
      <c r="R263" s="8" t="s">
        <v>1635</v>
      </c>
      <c r="S263" s="8">
        <v>423006336</v>
      </c>
      <c r="T263" s="8" t="s">
        <v>1636</v>
      </c>
      <c r="Y263" s="8" t="s">
        <v>270</v>
      </c>
      <c r="Z263" s="8">
        <v>9999</v>
      </c>
      <c r="AC263" s="8" t="s">
        <v>56</v>
      </c>
      <c r="AF263" s="9">
        <v>33756</v>
      </c>
      <c r="AG263" s="10">
        <v>1.2534722222222221</v>
      </c>
      <c r="AJ263" s="9">
        <v>43482</v>
      </c>
      <c r="AK263" s="11">
        <v>0.13125000000000001</v>
      </c>
      <c r="AP263" s="8" t="s">
        <v>113</v>
      </c>
      <c r="AS263" s="8" t="s">
        <v>113</v>
      </c>
      <c r="AY263" s="8" t="s">
        <v>113</v>
      </c>
      <c r="CF263" s="9"/>
      <c r="CG263" s="10"/>
      <c r="CJ263" s="9"/>
      <c r="CK263" s="11"/>
    </row>
    <row r="264" spans="1:102">
      <c r="A264" s="8">
        <v>18859</v>
      </c>
      <c r="B264" s="8" t="s">
        <v>1637</v>
      </c>
      <c r="C264" s="8" t="s">
        <v>1638</v>
      </c>
      <c r="D264" s="8" t="s">
        <v>1639</v>
      </c>
      <c r="E264" s="8" t="s">
        <v>376</v>
      </c>
      <c r="F264" s="8" t="s">
        <v>1640</v>
      </c>
      <c r="G264" s="8" t="s">
        <v>1639</v>
      </c>
      <c r="I264" s="8" t="s">
        <v>1641</v>
      </c>
      <c r="J264" s="8" t="s">
        <v>1642</v>
      </c>
      <c r="K264" s="8" t="s">
        <v>240</v>
      </c>
      <c r="L264" s="8">
        <v>4019</v>
      </c>
      <c r="S264" s="8">
        <v>431176134</v>
      </c>
      <c r="AC264" s="8" t="s">
        <v>56</v>
      </c>
      <c r="AF264" s="9">
        <v>29438</v>
      </c>
      <c r="AG264" s="10">
        <v>1.7513888888888889</v>
      </c>
      <c r="AJ264" s="9">
        <v>43482</v>
      </c>
      <c r="AK264" s="11">
        <v>6.9444444444444441E-3</v>
      </c>
      <c r="AP264" s="8" t="s">
        <v>4</v>
      </c>
      <c r="AS264" s="8" t="s">
        <v>113</v>
      </c>
      <c r="AT264" s="9">
        <v>43811</v>
      </c>
      <c r="AU264" s="8" t="s">
        <v>114</v>
      </c>
      <c r="AV264" s="8" t="s">
        <v>115</v>
      </c>
      <c r="AW264" s="10">
        <v>1.627777777777778</v>
      </c>
      <c r="AX264" s="11">
        <v>6.9444444444444441E-3</v>
      </c>
      <c r="AY264" s="8" t="s">
        <v>113</v>
      </c>
      <c r="CF264" s="9"/>
      <c r="CG264" s="10"/>
      <c r="CJ264" s="9"/>
      <c r="CK264" s="11"/>
      <c r="CT264" s="9"/>
      <c r="CW264" s="10"/>
      <c r="CX264" s="11"/>
    </row>
    <row r="265" spans="1:102">
      <c r="D265" s="8" t="s">
        <v>1643</v>
      </c>
    </row>
    <row r="266" spans="1:102">
      <c r="A266" s="8">
        <v>18860</v>
      </c>
      <c r="B266" s="8" t="s">
        <v>1644</v>
      </c>
      <c r="C266" s="8" t="s">
        <v>1645</v>
      </c>
      <c r="D266" s="8" t="s">
        <v>1104</v>
      </c>
      <c r="E266" s="8" t="s">
        <v>148</v>
      </c>
      <c r="F266" s="8" t="s">
        <v>1013</v>
      </c>
      <c r="G266" s="8" t="s">
        <v>1104</v>
      </c>
      <c r="I266" s="8" t="s">
        <v>1646</v>
      </c>
      <c r="J266" s="8" t="s">
        <v>1647</v>
      </c>
      <c r="K266" s="8" t="s">
        <v>60</v>
      </c>
      <c r="L266" s="8">
        <v>3187</v>
      </c>
      <c r="M266" s="8" t="s">
        <v>61</v>
      </c>
      <c r="N266" s="8" t="s">
        <v>110</v>
      </c>
      <c r="O266" s="8" t="s">
        <v>1648</v>
      </c>
      <c r="R266" s="8" t="s">
        <v>1649</v>
      </c>
      <c r="S266" s="8">
        <v>484732332</v>
      </c>
      <c r="T266" s="8" t="s">
        <v>1649</v>
      </c>
      <c r="U266" s="8">
        <v>484732332</v>
      </c>
      <c r="V266" s="8" t="s">
        <v>1650</v>
      </c>
      <c r="W266" s="8" t="s">
        <v>1646</v>
      </c>
      <c r="X266" s="8" t="s">
        <v>1647</v>
      </c>
      <c r="Y266" s="8" t="s">
        <v>60</v>
      </c>
      <c r="Z266" s="8">
        <v>3187</v>
      </c>
      <c r="AA266" s="8" t="s">
        <v>61</v>
      </c>
      <c r="AB266" s="8" t="s">
        <v>110</v>
      </c>
      <c r="AC266" s="8" t="s">
        <v>153</v>
      </c>
      <c r="AF266" s="9">
        <v>24235</v>
      </c>
      <c r="AG266" s="10">
        <v>2.3368055555555558</v>
      </c>
      <c r="AJ266" s="9">
        <v>43490</v>
      </c>
      <c r="AK266" s="11">
        <v>8.7500000000000008E-2</v>
      </c>
      <c r="AP266" s="8" t="s">
        <v>113</v>
      </c>
      <c r="AT266" s="9">
        <v>44428</v>
      </c>
      <c r="AU266" s="8" t="s">
        <v>114</v>
      </c>
      <c r="AV266" s="8" t="s">
        <v>115</v>
      </c>
      <c r="AW266" s="10">
        <v>2.2937499999999997</v>
      </c>
      <c r="AX266" s="11">
        <v>8.7500000000000008E-2</v>
      </c>
      <c r="CF266" s="9"/>
      <c r="CG266" s="10"/>
      <c r="CJ266" s="9"/>
      <c r="CK266" s="11"/>
      <c r="CT266" s="9"/>
      <c r="CW266" s="10"/>
      <c r="CX266" s="11"/>
    </row>
    <row r="267" spans="1:102">
      <c r="D267" s="8" t="s">
        <v>1651</v>
      </c>
    </row>
    <row r="268" spans="1:102">
      <c r="A268" s="8">
        <v>18861</v>
      </c>
      <c r="B268" s="8" t="s">
        <v>1652</v>
      </c>
      <c r="C268" s="8" t="s">
        <v>804</v>
      </c>
      <c r="D268" s="8" t="s">
        <v>1259</v>
      </c>
      <c r="E268" s="8" t="s">
        <v>106</v>
      </c>
      <c r="F268" s="8" t="s">
        <v>119</v>
      </c>
      <c r="G268" s="8" t="s">
        <v>1259</v>
      </c>
      <c r="I268" s="8" t="s">
        <v>1653</v>
      </c>
      <c r="J268" s="8" t="s">
        <v>1654</v>
      </c>
      <c r="K268" s="8" t="s">
        <v>60</v>
      </c>
      <c r="L268" s="8">
        <v>3750</v>
      </c>
      <c r="M268" s="8" t="s">
        <v>61</v>
      </c>
      <c r="N268" s="8" t="s">
        <v>110</v>
      </c>
      <c r="R268" s="8" t="s">
        <v>1655</v>
      </c>
      <c r="S268" s="8">
        <v>433689390</v>
      </c>
      <c r="T268" s="8" t="s">
        <v>1656</v>
      </c>
      <c r="U268" s="8">
        <v>499001881</v>
      </c>
      <c r="AC268" s="8" t="s">
        <v>56</v>
      </c>
      <c r="AF268" s="9">
        <v>32634</v>
      </c>
      <c r="AG268" s="10">
        <v>1.3784722222222223</v>
      </c>
      <c r="AJ268" s="9">
        <v>43490</v>
      </c>
      <c r="AK268" s="11">
        <v>0.12916666666666668</v>
      </c>
      <c r="AP268" s="8" t="s">
        <v>113</v>
      </c>
      <c r="AQ268" s="8" t="s">
        <v>4</v>
      </c>
      <c r="AR268" s="8" t="s">
        <v>4</v>
      </c>
      <c r="AS268" s="8" t="s">
        <v>4</v>
      </c>
      <c r="AT268" s="9">
        <v>44782</v>
      </c>
      <c r="AU268" s="8" t="s">
        <v>114</v>
      </c>
      <c r="AV268" s="8" t="s">
        <v>115</v>
      </c>
      <c r="AW268" s="10">
        <v>1.3770833333333332</v>
      </c>
      <c r="AX268" s="11">
        <v>0.125</v>
      </c>
      <c r="AY268" s="8" t="s">
        <v>4</v>
      </c>
      <c r="CF268" s="9"/>
      <c r="CG268" s="10"/>
      <c r="CJ268" s="9"/>
      <c r="CK268" s="11"/>
      <c r="CT268" s="9"/>
      <c r="CW268" s="10"/>
      <c r="CX268" s="11"/>
    </row>
    <row r="269" spans="1:102">
      <c r="A269" s="8">
        <v>18862</v>
      </c>
      <c r="B269" s="8" t="s">
        <v>1657</v>
      </c>
      <c r="C269" s="8" t="s">
        <v>1658</v>
      </c>
      <c r="D269" s="8" t="s">
        <v>1659</v>
      </c>
      <c r="E269" s="8" t="s">
        <v>376</v>
      </c>
      <c r="F269" s="8" t="s">
        <v>119</v>
      </c>
      <c r="G269" s="8" t="s">
        <v>1659</v>
      </c>
      <c r="I269" s="8" t="s">
        <v>1660</v>
      </c>
      <c r="J269" s="8" t="s">
        <v>1661</v>
      </c>
      <c r="K269" s="8" t="s">
        <v>122</v>
      </c>
      <c r="L269" s="8">
        <v>2171</v>
      </c>
      <c r="M269" s="8" t="s">
        <v>61</v>
      </c>
      <c r="N269" s="8" t="s">
        <v>110</v>
      </c>
      <c r="R269" s="8" t="s">
        <v>1662</v>
      </c>
      <c r="S269" s="8">
        <v>424121414</v>
      </c>
      <c r="T269" s="8" t="s">
        <v>1663</v>
      </c>
      <c r="AC269" s="8" t="s">
        <v>56</v>
      </c>
      <c r="AF269" s="9">
        <v>33586</v>
      </c>
      <c r="AG269" s="10">
        <v>1.2569444444444444</v>
      </c>
      <c r="AJ269" s="9">
        <v>43495</v>
      </c>
      <c r="AK269" s="11">
        <v>0.13125000000000001</v>
      </c>
      <c r="AP269" s="8" t="s">
        <v>113</v>
      </c>
      <c r="AQ269" s="8" t="s">
        <v>4</v>
      </c>
      <c r="AR269" s="8" t="s">
        <v>4</v>
      </c>
      <c r="AS269" s="8" t="s">
        <v>4</v>
      </c>
      <c r="AY269" s="8" t="s">
        <v>113</v>
      </c>
      <c r="AZ269" s="8" t="s">
        <v>4</v>
      </c>
      <c r="CF269" s="9"/>
      <c r="CG269" s="10"/>
      <c r="CJ269" s="9"/>
      <c r="CK269" s="11"/>
    </row>
    <row r="270" spans="1:102">
      <c r="A270" s="8">
        <v>18863</v>
      </c>
      <c r="B270" s="8" t="s">
        <v>1664</v>
      </c>
      <c r="C270" s="8" t="s">
        <v>1665</v>
      </c>
      <c r="D270" s="8" t="s">
        <v>1666</v>
      </c>
      <c r="E270" s="8" t="s">
        <v>376</v>
      </c>
      <c r="F270" s="8" t="s">
        <v>119</v>
      </c>
      <c r="G270" s="8" t="s">
        <v>1666</v>
      </c>
      <c r="I270" s="8" t="s">
        <v>1667</v>
      </c>
      <c r="J270" s="8" t="s">
        <v>1668</v>
      </c>
      <c r="K270" s="8" t="s">
        <v>60</v>
      </c>
      <c r="L270" s="8">
        <v>3124</v>
      </c>
      <c r="M270" s="8" t="s">
        <v>61</v>
      </c>
      <c r="N270" s="8" t="s">
        <v>110</v>
      </c>
      <c r="R270" s="8" t="s">
        <v>1669</v>
      </c>
      <c r="S270" s="8">
        <v>431891716</v>
      </c>
      <c r="T270" s="8" t="s">
        <v>1670</v>
      </c>
      <c r="AC270" s="8" t="s">
        <v>56</v>
      </c>
      <c r="AF270" s="9">
        <v>34610</v>
      </c>
      <c r="AG270" s="10">
        <v>1.1666666666666667</v>
      </c>
      <c r="AJ270" s="9">
        <v>43500</v>
      </c>
      <c r="AK270" s="11">
        <v>4.4444444444444446E-2</v>
      </c>
      <c r="AP270" s="8" t="s">
        <v>113</v>
      </c>
      <c r="AQ270" s="8" t="s">
        <v>4</v>
      </c>
      <c r="AR270" s="8" t="s">
        <v>4</v>
      </c>
      <c r="AS270" s="8" t="s">
        <v>4</v>
      </c>
      <c r="AT270" s="9">
        <v>43986</v>
      </c>
      <c r="AU270" s="8" t="s">
        <v>185</v>
      </c>
      <c r="AV270" s="8" t="s">
        <v>186</v>
      </c>
      <c r="AW270" s="10">
        <v>1.0472222222222223</v>
      </c>
      <c r="AX270" s="11">
        <v>4.4444444444444446E-2</v>
      </c>
      <c r="CF270" s="9"/>
      <c r="CG270" s="10"/>
      <c r="CJ270" s="9"/>
      <c r="CK270" s="11"/>
      <c r="CT270" s="9"/>
      <c r="CW270" s="10"/>
      <c r="CX270" s="11"/>
    </row>
    <row r="271" spans="1:102">
      <c r="A271" s="8">
        <v>18864</v>
      </c>
      <c r="B271" s="8" t="s">
        <v>1671</v>
      </c>
      <c r="C271" s="8" t="s">
        <v>452</v>
      </c>
      <c r="D271" s="8" t="s">
        <v>1672</v>
      </c>
      <c r="E271" s="8" t="s">
        <v>106</v>
      </c>
      <c r="F271" s="8" t="s">
        <v>119</v>
      </c>
      <c r="G271" s="8" t="s">
        <v>1672</v>
      </c>
      <c r="I271" s="8" t="s">
        <v>1673</v>
      </c>
      <c r="J271" s="8" t="s">
        <v>1674</v>
      </c>
      <c r="K271" s="8" t="s">
        <v>60</v>
      </c>
      <c r="L271" s="8">
        <v>3082</v>
      </c>
      <c r="M271" s="8" t="s">
        <v>61</v>
      </c>
      <c r="N271" s="8" t="s">
        <v>110</v>
      </c>
      <c r="R271" s="8" t="s">
        <v>1675</v>
      </c>
      <c r="S271" s="8">
        <v>401455380</v>
      </c>
      <c r="T271" s="8" t="s">
        <v>1676</v>
      </c>
      <c r="AC271" s="8" t="s">
        <v>56</v>
      </c>
      <c r="AF271" s="9">
        <v>32045</v>
      </c>
      <c r="AG271" s="10">
        <v>1.4590277777777778</v>
      </c>
      <c r="AJ271" s="9">
        <v>43518</v>
      </c>
      <c r="AK271" s="11">
        <v>4.8611111111111112E-2</v>
      </c>
      <c r="AP271" s="8" t="s">
        <v>113</v>
      </c>
      <c r="AR271" s="8" t="s">
        <v>4</v>
      </c>
      <c r="AS271" s="8" t="s">
        <v>113</v>
      </c>
      <c r="AT271" s="9">
        <v>44197</v>
      </c>
      <c r="AU271" s="8" t="s">
        <v>114</v>
      </c>
      <c r="AV271" s="8" t="s">
        <v>115</v>
      </c>
      <c r="AW271" s="10">
        <v>1.3770833333333332</v>
      </c>
      <c r="AX271" s="11">
        <v>4.8611111111111112E-2</v>
      </c>
      <c r="AY271" s="8" t="s">
        <v>113</v>
      </c>
      <c r="CF271" s="9"/>
      <c r="CG271" s="10"/>
      <c r="CJ271" s="9"/>
      <c r="CK271" s="11"/>
      <c r="CT271" s="9"/>
      <c r="CW271" s="10"/>
      <c r="CX271" s="11"/>
    </row>
    <row r="272" spans="1:102">
      <c r="A272" s="8">
        <v>18865</v>
      </c>
      <c r="B272" s="8" t="s">
        <v>1677</v>
      </c>
      <c r="C272" s="8" t="s">
        <v>1678</v>
      </c>
      <c r="D272" s="8" t="s">
        <v>1666</v>
      </c>
      <c r="E272" s="8" t="s">
        <v>139</v>
      </c>
      <c r="F272" s="8" t="s">
        <v>119</v>
      </c>
      <c r="G272" s="8" t="s">
        <v>1666</v>
      </c>
      <c r="I272" s="8" t="s">
        <v>1679</v>
      </c>
      <c r="J272" s="8" t="s">
        <v>1680</v>
      </c>
      <c r="K272" s="8" t="s">
        <v>122</v>
      </c>
      <c r="L272" s="8">
        <v>2217</v>
      </c>
      <c r="M272" s="8" t="s">
        <v>61</v>
      </c>
      <c r="N272" s="8" t="s">
        <v>110</v>
      </c>
      <c r="R272" s="8" t="s">
        <v>1681</v>
      </c>
      <c r="S272" s="8">
        <v>433705693</v>
      </c>
      <c r="T272" s="8" t="s">
        <v>1682</v>
      </c>
      <c r="AC272" s="8" t="s">
        <v>56</v>
      </c>
      <c r="AF272" s="9">
        <v>31857</v>
      </c>
      <c r="AG272" s="10">
        <v>1.4631944444444445</v>
      </c>
      <c r="AJ272" s="9">
        <v>43524</v>
      </c>
      <c r="AK272" s="11">
        <v>4.1666666666666666E-3</v>
      </c>
      <c r="AP272" s="8" t="s">
        <v>113</v>
      </c>
      <c r="AR272" s="8" t="s">
        <v>4</v>
      </c>
      <c r="AS272" s="8" t="s">
        <v>4</v>
      </c>
      <c r="AT272" s="9">
        <v>43704</v>
      </c>
      <c r="AU272" s="8" t="s">
        <v>1683</v>
      </c>
      <c r="AV272" s="8" t="s">
        <v>1684</v>
      </c>
      <c r="AW272" s="10">
        <v>1.3368055555555556</v>
      </c>
      <c r="AX272" s="11">
        <v>4.1666666666666666E-3</v>
      </c>
      <c r="CF272" s="9"/>
      <c r="CG272" s="10"/>
      <c r="CJ272" s="9"/>
      <c r="CK272" s="11"/>
      <c r="CT272" s="9"/>
      <c r="CW272" s="10"/>
      <c r="CX272" s="11"/>
    </row>
    <row r="273" spans="1:102">
      <c r="A273" s="8">
        <v>18866</v>
      </c>
      <c r="B273" s="8" t="s">
        <v>1685</v>
      </c>
      <c r="C273" s="8" t="s">
        <v>1686</v>
      </c>
      <c r="D273" s="8" t="s">
        <v>1687</v>
      </c>
      <c r="E273" s="8" t="s">
        <v>106</v>
      </c>
      <c r="F273" s="8" t="s">
        <v>368</v>
      </c>
      <c r="G273" s="8" t="s">
        <v>1687</v>
      </c>
      <c r="I273" s="8" t="s">
        <v>1688</v>
      </c>
      <c r="J273" s="8" t="s">
        <v>1689</v>
      </c>
      <c r="K273" s="8" t="s">
        <v>122</v>
      </c>
      <c r="L273" s="8">
        <v>2760</v>
      </c>
      <c r="M273" s="8" t="s">
        <v>61</v>
      </c>
      <c r="N273" s="8" t="s">
        <v>110</v>
      </c>
      <c r="R273" s="8" t="s">
        <v>1690</v>
      </c>
      <c r="S273" s="8">
        <v>420732221</v>
      </c>
      <c r="T273" s="8" t="s">
        <v>1691</v>
      </c>
      <c r="W273" s="8" t="s">
        <v>1692</v>
      </c>
      <c r="X273" s="8" t="s">
        <v>1689</v>
      </c>
      <c r="Y273" s="8" t="s">
        <v>122</v>
      </c>
      <c r="Z273" s="8">
        <v>2760</v>
      </c>
      <c r="AA273" s="8" t="s">
        <v>61</v>
      </c>
      <c r="AB273" s="8" t="s">
        <v>110</v>
      </c>
      <c r="AC273" s="8" t="s">
        <v>56</v>
      </c>
      <c r="AF273" s="9">
        <v>30581</v>
      </c>
      <c r="AG273" s="10">
        <v>1.6256944444444443</v>
      </c>
      <c r="AJ273" s="9">
        <v>43528</v>
      </c>
      <c r="AK273" s="11">
        <v>0.12986111111111112</v>
      </c>
      <c r="AP273" s="8" t="s">
        <v>113</v>
      </c>
      <c r="AR273" s="8" t="s">
        <v>4</v>
      </c>
      <c r="AS273" s="8" t="s">
        <v>113</v>
      </c>
      <c r="AY273" s="8" t="s">
        <v>113</v>
      </c>
      <c r="CF273" s="9"/>
      <c r="CG273" s="10"/>
      <c r="CJ273" s="9"/>
      <c r="CK273" s="11"/>
    </row>
    <row r="274" spans="1:102">
      <c r="A274" s="8">
        <v>18867</v>
      </c>
      <c r="B274" s="8" t="s">
        <v>1693</v>
      </c>
      <c r="C274" s="8" t="s">
        <v>1694</v>
      </c>
      <c r="D274" s="8" t="s">
        <v>1695</v>
      </c>
      <c r="E274" s="8" t="s">
        <v>106</v>
      </c>
      <c r="F274" s="8" t="s">
        <v>129</v>
      </c>
      <c r="G274" s="8" t="s">
        <v>1695</v>
      </c>
      <c r="I274" s="8" t="s">
        <v>1696</v>
      </c>
      <c r="J274" s="8" t="s">
        <v>1697</v>
      </c>
      <c r="K274" s="8" t="s">
        <v>60</v>
      </c>
      <c r="L274" s="8">
        <v>3165</v>
      </c>
      <c r="M274" s="8" t="s">
        <v>61</v>
      </c>
      <c r="N274" s="8" t="s">
        <v>110</v>
      </c>
      <c r="R274" s="8" t="s">
        <v>1698</v>
      </c>
      <c r="S274" s="8">
        <v>434670054</v>
      </c>
      <c r="T274" s="8" t="s">
        <v>1699</v>
      </c>
      <c r="AC274" s="8" t="s">
        <v>56</v>
      </c>
      <c r="AF274" s="9">
        <v>33421</v>
      </c>
      <c r="AG274" s="10">
        <v>1.29375</v>
      </c>
      <c r="AJ274" s="9">
        <v>43536</v>
      </c>
      <c r="AK274" s="11">
        <v>8.819444444444445E-2</v>
      </c>
      <c r="AP274" s="8" t="s">
        <v>113</v>
      </c>
      <c r="AR274" s="8" t="s">
        <v>4</v>
      </c>
      <c r="AS274" s="8" t="s">
        <v>4</v>
      </c>
      <c r="AT274" s="9">
        <v>44482</v>
      </c>
      <c r="AU274" s="8" t="s">
        <v>114</v>
      </c>
      <c r="AV274" s="8" t="s">
        <v>115</v>
      </c>
      <c r="AW274" s="10">
        <v>1.2520833333333334</v>
      </c>
      <c r="AX274" s="11">
        <v>8.3333333333333329E-2</v>
      </c>
      <c r="CF274" s="9"/>
      <c r="CG274" s="10"/>
      <c r="CJ274" s="9"/>
      <c r="CK274" s="11"/>
      <c r="CT274" s="9"/>
      <c r="CW274" s="10"/>
      <c r="CX274" s="11"/>
    </row>
    <row r="275" spans="1:102">
      <c r="A275" s="8">
        <v>18868</v>
      </c>
      <c r="B275" s="8" t="s">
        <v>1700</v>
      </c>
      <c r="C275" s="8" t="s">
        <v>1701</v>
      </c>
      <c r="D275" s="8" t="s">
        <v>1702</v>
      </c>
      <c r="E275" s="8" t="s">
        <v>106</v>
      </c>
      <c r="F275" s="8" t="s">
        <v>446</v>
      </c>
      <c r="G275" s="8" t="s">
        <v>1702</v>
      </c>
      <c r="I275" s="8" t="s">
        <v>1703</v>
      </c>
      <c r="J275" s="8" t="s">
        <v>976</v>
      </c>
      <c r="K275" s="8" t="s">
        <v>60</v>
      </c>
      <c r="L275" s="8">
        <v>3152</v>
      </c>
      <c r="M275" s="8" t="s">
        <v>61</v>
      </c>
      <c r="N275" s="8" t="s">
        <v>110</v>
      </c>
      <c r="R275" s="8" t="s">
        <v>1704</v>
      </c>
      <c r="S275" s="8">
        <v>409945008</v>
      </c>
      <c r="T275" s="8" t="s">
        <v>1705</v>
      </c>
      <c r="AC275" s="8" t="s">
        <v>56</v>
      </c>
      <c r="AF275" s="9">
        <v>27582</v>
      </c>
      <c r="AG275" s="10">
        <v>1.9604166666666665</v>
      </c>
      <c r="AJ275" s="9">
        <v>43536</v>
      </c>
      <c r="AK275" s="11">
        <v>1.3888888888888889E-3</v>
      </c>
      <c r="AP275" s="8" t="s">
        <v>4</v>
      </c>
      <c r="AR275" s="8" t="s">
        <v>4</v>
      </c>
      <c r="AS275" s="8" t="s">
        <v>4</v>
      </c>
      <c r="AT275" s="9">
        <v>43602</v>
      </c>
      <c r="AU275" s="8" t="s">
        <v>114</v>
      </c>
      <c r="AV275" s="8" t="s">
        <v>115</v>
      </c>
      <c r="AW275" s="10">
        <v>1.7986111111111109</v>
      </c>
      <c r="AX275" s="11">
        <v>1.3888888888888889E-3</v>
      </c>
      <c r="CF275" s="9"/>
      <c r="CG275" s="10"/>
      <c r="CJ275" s="9"/>
      <c r="CK275" s="11"/>
      <c r="CT275" s="9"/>
      <c r="CW275" s="10"/>
      <c r="CX275" s="11"/>
    </row>
    <row r="276" spans="1:102">
      <c r="D276" s="8" t="s">
        <v>1706</v>
      </c>
    </row>
    <row r="277" spans="1:102">
      <c r="A277" s="8">
        <v>18869</v>
      </c>
      <c r="B277" s="8" t="s">
        <v>1707</v>
      </c>
      <c r="C277" s="8" t="s">
        <v>1708</v>
      </c>
      <c r="D277" s="8" t="s">
        <v>1709</v>
      </c>
      <c r="E277" s="8" t="s">
        <v>148</v>
      </c>
      <c r="F277" s="8" t="s">
        <v>129</v>
      </c>
      <c r="G277" s="8" t="s">
        <v>1709</v>
      </c>
      <c r="I277" s="8" t="s">
        <v>1710</v>
      </c>
      <c r="J277" s="8" t="s">
        <v>1711</v>
      </c>
      <c r="K277" s="8" t="s">
        <v>122</v>
      </c>
      <c r="L277" s="8">
        <v>2205</v>
      </c>
      <c r="M277" s="8" t="s">
        <v>61</v>
      </c>
      <c r="N277" s="8" t="s">
        <v>110</v>
      </c>
      <c r="R277" s="8" t="s">
        <v>1712</v>
      </c>
      <c r="S277" s="8">
        <v>414218188</v>
      </c>
      <c r="T277" s="8" t="s">
        <v>1713</v>
      </c>
      <c r="AC277" s="8" t="s">
        <v>153</v>
      </c>
      <c r="AF277" s="9">
        <v>34963</v>
      </c>
      <c r="AG277" s="10">
        <v>1.1256944444444443</v>
      </c>
      <c r="AJ277" s="9">
        <v>43542</v>
      </c>
      <c r="AK277" s="11">
        <v>6.9444444444444441E-3</v>
      </c>
      <c r="AP277" s="8" t="s">
        <v>113</v>
      </c>
      <c r="AR277" s="8" t="s">
        <v>4</v>
      </c>
      <c r="AS277" s="8" t="s">
        <v>113</v>
      </c>
      <c r="AT277" s="9">
        <v>43868</v>
      </c>
      <c r="AU277" s="8" t="s">
        <v>114</v>
      </c>
      <c r="AV277" s="8" t="s">
        <v>115</v>
      </c>
      <c r="AW277" s="10">
        <v>1.0027777777777778</v>
      </c>
      <c r="AX277" s="11">
        <v>6.9444444444444441E-3</v>
      </c>
      <c r="AY277" s="8" t="s">
        <v>113</v>
      </c>
      <c r="CF277" s="9"/>
      <c r="CG277" s="10"/>
      <c r="CJ277" s="9"/>
      <c r="CK277" s="11"/>
      <c r="CT277" s="9"/>
      <c r="CW277" s="10"/>
      <c r="CX277" s="11"/>
    </row>
    <row r="278" spans="1:102">
      <c r="A278" s="8">
        <v>18870</v>
      </c>
      <c r="B278" s="8" t="s">
        <v>1714</v>
      </c>
      <c r="C278" s="8" t="s">
        <v>1715</v>
      </c>
      <c r="D278" s="8" t="s">
        <v>1716</v>
      </c>
      <c r="E278" s="8" t="s">
        <v>106</v>
      </c>
      <c r="F278" s="8" t="s">
        <v>1007</v>
      </c>
      <c r="G278" s="8" t="s">
        <v>1716</v>
      </c>
      <c r="I278" s="8" t="s">
        <v>1717</v>
      </c>
      <c r="J278" s="8" t="s">
        <v>1552</v>
      </c>
      <c r="K278" s="8" t="s">
        <v>122</v>
      </c>
      <c r="L278" s="8">
        <v>2155</v>
      </c>
      <c r="M278" s="8" t="s">
        <v>61</v>
      </c>
      <c r="N278" s="8" t="s">
        <v>110</v>
      </c>
      <c r="R278" s="8" t="s">
        <v>1718</v>
      </c>
      <c r="S278" s="8">
        <v>417650440</v>
      </c>
      <c r="T278" s="8" t="s">
        <v>1719</v>
      </c>
      <c r="AC278" s="8" t="s">
        <v>56</v>
      </c>
      <c r="AF278" s="9">
        <v>28522</v>
      </c>
      <c r="AG278" s="10">
        <v>1.8395833333333333</v>
      </c>
      <c r="AJ278" s="9">
        <v>43550</v>
      </c>
      <c r="AK278" s="11">
        <v>4.1666666666666666E-3</v>
      </c>
      <c r="AP278" s="8" t="s">
        <v>113</v>
      </c>
      <c r="AR278" s="8" t="s">
        <v>4</v>
      </c>
      <c r="AS278" s="8" t="s">
        <v>113</v>
      </c>
      <c r="AT278" s="9">
        <v>43748</v>
      </c>
      <c r="AU278" s="8" t="s">
        <v>114</v>
      </c>
      <c r="AV278" s="8" t="s">
        <v>115</v>
      </c>
      <c r="AW278" s="10">
        <v>1.7138888888888888</v>
      </c>
      <c r="AX278" s="11">
        <v>4.1666666666666666E-3</v>
      </c>
      <c r="AY278" s="8" t="s">
        <v>113</v>
      </c>
      <c r="CF278" s="9"/>
      <c r="CG278" s="10"/>
      <c r="CJ278" s="9"/>
      <c r="CK278" s="11"/>
      <c r="CT278" s="9"/>
      <c r="CW278" s="10"/>
      <c r="CX278" s="11"/>
    </row>
    <row r="279" spans="1:102">
      <c r="A279" s="8">
        <v>18871</v>
      </c>
      <c r="B279" s="8" t="s">
        <v>1720</v>
      </c>
      <c r="C279" s="8" t="s">
        <v>1721</v>
      </c>
      <c r="D279" s="8" t="s">
        <v>1722</v>
      </c>
      <c r="E279" s="8" t="s">
        <v>106</v>
      </c>
      <c r="F279" s="8" t="s">
        <v>797</v>
      </c>
      <c r="G279" s="8" t="s">
        <v>1722</v>
      </c>
      <c r="I279" s="8" t="s">
        <v>1723</v>
      </c>
      <c r="J279" s="8" t="s">
        <v>1724</v>
      </c>
      <c r="K279" s="8" t="s">
        <v>122</v>
      </c>
      <c r="L279" s="8">
        <v>2145</v>
      </c>
      <c r="M279" s="8" t="s">
        <v>61</v>
      </c>
      <c r="N279" s="8" t="s">
        <v>110</v>
      </c>
      <c r="R279" s="8" t="s">
        <v>1725</v>
      </c>
      <c r="S279" s="8">
        <v>450097330</v>
      </c>
      <c r="T279" s="8" t="s">
        <v>1726</v>
      </c>
      <c r="U279" s="8">
        <v>61287186812</v>
      </c>
      <c r="V279" s="8">
        <v>6812</v>
      </c>
      <c r="AC279" s="8" t="s">
        <v>56</v>
      </c>
      <c r="AF279" s="9">
        <v>28313</v>
      </c>
      <c r="AG279" s="10">
        <v>1.8770833333333332</v>
      </c>
      <c r="AJ279" s="9">
        <v>43550</v>
      </c>
      <c r="AK279" s="11">
        <v>0.12986111111111112</v>
      </c>
      <c r="AP279" s="8" t="s">
        <v>113</v>
      </c>
      <c r="AQ279" s="8" t="s">
        <v>4</v>
      </c>
      <c r="AR279" s="8" t="s">
        <v>4</v>
      </c>
      <c r="AS279" s="8" t="s">
        <v>4</v>
      </c>
      <c r="AY279" s="8" t="s">
        <v>4</v>
      </c>
      <c r="CF279" s="9"/>
      <c r="CG279" s="10"/>
      <c r="CJ279" s="9"/>
      <c r="CK279" s="11"/>
    </row>
    <row r="280" spans="1:102">
      <c r="A280" s="8">
        <v>18872</v>
      </c>
      <c r="B280" s="8" t="s">
        <v>1727</v>
      </c>
      <c r="C280" s="8" t="s">
        <v>1728</v>
      </c>
      <c r="D280" s="8" t="s">
        <v>1729</v>
      </c>
      <c r="E280" s="8" t="s">
        <v>106</v>
      </c>
      <c r="F280" s="8" t="s">
        <v>119</v>
      </c>
      <c r="G280" s="8" t="s">
        <v>1729</v>
      </c>
      <c r="I280" s="8" t="s">
        <v>1730</v>
      </c>
      <c r="J280" s="8" t="s">
        <v>1731</v>
      </c>
      <c r="K280" s="8" t="s">
        <v>60</v>
      </c>
      <c r="L280" s="8">
        <v>3217</v>
      </c>
      <c r="M280" s="8" t="s">
        <v>61</v>
      </c>
      <c r="N280" s="8" t="s">
        <v>110</v>
      </c>
      <c r="R280" s="8" t="s">
        <v>1732</v>
      </c>
      <c r="S280" s="8">
        <v>431645950</v>
      </c>
      <c r="T280" s="8" t="s">
        <v>1733</v>
      </c>
      <c r="AC280" s="8" t="s">
        <v>56</v>
      </c>
      <c r="AF280" s="9">
        <v>31844</v>
      </c>
      <c r="AG280" s="10">
        <v>1.4631944444444445</v>
      </c>
      <c r="AJ280" s="9">
        <v>43557</v>
      </c>
      <c r="AK280" s="11">
        <v>4.5138888888888888E-2</v>
      </c>
      <c r="AP280" s="8" t="s">
        <v>113</v>
      </c>
      <c r="AR280" s="8" t="s">
        <v>4</v>
      </c>
      <c r="AS280" s="8" t="s">
        <v>113</v>
      </c>
      <c r="AT280" s="9">
        <v>44085</v>
      </c>
      <c r="AU280" s="8" t="s">
        <v>114</v>
      </c>
      <c r="AV280" s="8" t="s">
        <v>115</v>
      </c>
      <c r="AW280" s="10">
        <v>1.3791666666666667</v>
      </c>
      <c r="AX280" s="11">
        <v>4.5138888888888888E-2</v>
      </c>
      <c r="AY280" s="8" t="s">
        <v>113</v>
      </c>
      <c r="CF280" s="9"/>
      <c r="CG280" s="10"/>
      <c r="CJ280" s="9"/>
      <c r="CK280" s="11"/>
      <c r="CT280" s="9"/>
      <c r="CW280" s="10"/>
      <c r="CX280" s="11"/>
    </row>
    <row r="281" spans="1:102">
      <c r="A281" s="8">
        <v>18873</v>
      </c>
      <c r="B281" s="8" t="s">
        <v>1734</v>
      </c>
      <c r="C281" s="8" t="s">
        <v>1735</v>
      </c>
      <c r="D281" s="8" t="s">
        <v>1736</v>
      </c>
      <c r="E281" s="8" t="s">
        <v>148</v>
      </c>
      <c r="F281" s="8" t="s">
        <v>1737</v>
      </c>
      <c r="G281" s="8" t="s">
        <v>1736</v>
      </c>
      <c r="I281" s="8" t="s">
        <v>1738</v>
      </c>
      <c r="J281" s="8" t="s">
        <v>862</v>
      </c>
      <c r="K281" s="8" t="s">
        <v>122</v>
      </c>
      <c r="L281" s="8">
        <v>2143</v>
      </c>
      <c r="M281" s="8" t="s">
        <v>61</v>
      </c>
      <c r="N281" s="8" t="s">
        <v>110</v>
      </c>
      <c r="R281" s="8" t="s">
        <v>1739</v>
      </c>
      <c r="S281" s="8">
        <v>450086786</v>
      </c>
      <c r="T281" s="8" t="s">
        <v>1740</v>
      </c>
      <c r="AC281" s="8" t="s">
        <v>153</v>
      </c>
      <c r="AF281" s="9">
        <v>30790</v>
      </c>
      <c r="AG281" s="10">
        <v>1.5875000000000001</v>
      </c>
      <c r="AJ281" s="9">
        <v>43563</v>
      </c>
      <c r="AK281" s="11">
        <v>4.6527777777777779E-2</v>
      </c>
      <c r="AP281" s="8" t="s">
        <v>113</v>
      </c>
      <c r="AR281" s="8" t="s">
        <v>4</v>
      </c>
      <c r="AS281" s="8" t="s">
        <v>113</v>
      </c>
      <c r="AT281" s="9">
        <v>44150</v>
      </c>
      <c r="AU281" s="8" t="s">
        <v>114</v>
      </c>
      <c r="AV281" s="8" t="s">
        <v>115</v>
      </c>
      <c r="AW281" s="10">
        <v>1.5041666666666667</v>
      </c>
      <c r="AX281" s="11">
        <v>4.5833333333333337E-2</v>
      </c>
      <c r="AY281" s="8" t="s">
        <v>113</v>
      </c>
      <c r="CF281" s="9"/>
      <c r="CG281" s="10"/>
      <c r="CJ281" s="9"/>
      <c r="CK281" s="11"/>
      <c r="CT281" s="9"/>
      <c r="CW281" s="10"/>
      <c r="CX281" s="11"/>
    </row>
    <row r="282" spans="1:102">
      <c r="D282" s="8" t="s">
        <v>1741</v>
      </c>
    </row>
    <row r="283" spans="1:102">
      <c r="A283" s="8">
        <v>18874</v>
      </c>
      <c r="B283" s="8" t="s">
        <v>1742</v>
      </c>
      <c r="C283" s="8" t="s">
        <v>1743</v>
      </c>
      <c r="D283" s="8" t="s">
        <v>1744</v>
      </c>
      <c r="E283" s="8" t="s">
        <v>106</v>
      </c>
      <c r="F283" s="8" t="s">
        <v>129</v>
      </c>
      <c r="G283" s="8" t="s">
        <v>1744</v>
      </c>
      <c r="I283" s="8" t="s">
        <v>1745</v>
      </c>
      <c r="J283" s="8" t="s">
        <v>1232</v>
      </c>
      <c r="K283" s="8" t="s">
        <v>60</v>
      </c>
      <c r="L283" s="8">
        <v>3131</v>
      </c>
      <c r="M283" s="8" t="s">
        <v>61</v>
      </c>
      <c r="N283" s="8" t="s">
        <v>110</v>
      </c>
      <c r="R283" s="8" t="s">
        <v>1746</v>
      </c>
      <c r="S283" s="8">
        <v>444509367</v>
      </c>
      <c r="T283" s="8" t="s">
        <v>1747</v>
      </c>
      <c r="AC283" s="8" t="s">
        <v>56</v>
      </c>
      <c r="AF283" s="9">
        <v>31424</v>
      </c>
      <c r="AG283" s="10">
        <v>1.5062499999999999</v>
      </c>
      <c r="AJ283" s="9">
        <v>43557</v>
      </c>
      <c r="AK283" s="11">
        <v>4.8611111111111112E-2</v>
      </c>
      <c r="AP283" s="8" t="s">
        <v>113</v>
      </c>
      <c r="AQ283" s="8" t="s">
        <v>4</v>
      </c>
      <c r="AR283" s="8" t="s">
        <v>4</v>
      </c>
      <c r="AS283" s="8" t="s">
        <v>113</v>
      </c>
      <c r="AT283" s="9">
        <v>44254</v>
      </c>
      <c r="AU283" s="8" t="s">
        <v>114</v>
      </c>
      <c r="AV283" s="8" t="s">
        <v>115</v>
      </c>
      <c r="AW283" s="10">
        <v>1.4590277777777778</v>
      </c>
      <c r="AX283" s="11">
        <v>4.8611111111111112E-2</v>
      </c>
      <c r="AY283" s="8" t="s">
        <v>113</v>
      </c>
      <c r="CF283" s="9"/>
      <c r="CG283" s="10"/>
      <c r="CJ283" s="9"/>
      <c r="CK283" s="11"/>
      <c r="CT283" s="9"/>
      <c r="CW283" s="10"/>
      <c r="CX283" s="11"/>
    </row>
    <row r="284" spans="1:102">
      <c r="A284" s="8">
        <v>18875</v>
      </c>
      <c r="B284" s="8" t="s">
        <v>1748</v>
      </c>
      <c r="C284" s="8" t="s">
        <v>1749</v>
      </c>
      <c r="D284" s="8" t="s">
        <v>1750</v>
      </c>
      <c r="E284" s="8" t="s">
        <v>106</v>
      </c>
      <c r="F284" s="8" t="s">
        <v>1751</v>
      </c>
      <c r="G284" s="8" t="s">
        <v>1750</v>
      </c>
      <c r="I284" s="8" t="s">
        <v>1752</v>
      </c>
      <c r="J284" s="8" t="s">
        <v>712</v>
      </c>
      <c r="K284" s="8" t="s">
        <v>240</v>
      </c>
      <c r="L284" s="8">
        <v>4101</v>
      </c>
      <c r="M284" s="8" t="s">
        <v>61</v>
      </c>
      <c r="N284" s="8" t="s">
        <v>110</v>
      </c>
      <c r="R284" s="8" t="s">
        <v>1753</v>
      </c>
      <c r="S284" s="8">
        <v>444588423</v>
      </c>
      <c r="T284" s="8" t="s">
        <v>1754</v>
      </c>
      <c r="AC284" s="8" t="s">
        <v>56</v>
      </c>
      <c r="AF284" s="9">
        <v>26681</v>
      </c>
      <c r="AG284" s="10">
        <v>2.0479166666666666</v>
      </c>
      <c r="AJ284" s="9">
        <v>43570</v>
      </c>
      <c r="AK284" s="11">
        <v>5.5555555555555558E-3</v>
      </c>
      <c r="AP284" s="8" t="s">
        <v>113</v>
      </c>
      <c r="AR284" s="8" t="s">
        <v>4</v>
      </c>
      <c r="AS284" s="8" t="s">
        <v>113</v>
      </c>
      <c r="AT284" s="9">
        <v>43835</v>
      </c>
      <c r="AU284" s="8" t="s">
        <v>114</v>
      </c>
      <c r="AV284" s="8" t="s">
        <v>115</v>
      </c>
      <c r="AW284" s="10">
        <v>1.9243055555555555</v>
      </c>
      <c r="AX284" s="11">
        <v>5.5555555555555558E-3</v>
      </c>
      <c r="AY284" s="8" t="s">
        <v>113</v>
      </c>
      <c r="CF284" s="9"/>
      <c r="CG284" s="10"/>
      <c r="CJ284" s="9"/>
      <c r="CK284" s="11"/>
      <c r="CT284" s="9"/>
      <c r="CW284" s="10"/>
      <c r="CX284" s="11"/>
    </row>
    <row r="285" spans="1:102">
      <c r="D285" s="8" t="s">
        <v>1755</v>
      </c>
    </row>
    <row r="286" spans="1:102">
      <c r="A286" s="8">
        <v>18876</v>
      </c>
      <c r="B286" s="8" t="s">
        <v>1756</v>
      </c>
      <c r="C286" s="8" t="s">
        <v>1757</v>
      </c>
      <c r="D286" s="8" t="s">
        <v>262</v>
      </c>
      <c r="E286" s="8" t="s">
        <v>376</v>
      </c>
      <c r="F286" s="8" t="s">
        <v>1758</v>
      </c>
      <c r="G286" s="8" t="s">
        <v>262</v>
      </c>
      <c r="I286" s="8" t="s">
        <v>1759</v>
      </c>
      <c r="J286" s="8" t="s">
        <v>1760</v>
      </c>
      <c r="K286" s="8" t="s">
        <v>293</v>
      </c>
      <c r="L286" s="8">
        <v>6064</v>
      </c>
      <c r="M286" s="8" t="s">
        <v>61</v>
      </c>
      <c r="N286" s="8" t="s">
        <v>110</v>
      </c>
      <c r="R286" s="8" t="s">
        <v>1761</v>
      </c>
      <c r="S286" s="8">
        <v>422038145</v>
      </c>
      <c r="T286" s="8" t="s">
        <v>1762</v>
      </c>
      <c r="U286" s="8">
        <v>499011843</v>
      </c>
      <c r="AC286" s="8" t="s">
        <v>56</v>
      </c>
      <c r="AF286" s="9">
        <v>33281</v>
      </c>
      <c r="AG286" s="10">
        <v>1.2972222222222223</v>
      </c>
      <c r="AJ286" s="9">
        <v>43584</v>
      </c>
      <c r="AK286" s="11">
        <v>0.12916666666666668</v>
      </c>
      <c r="AP286" s="8" t="s">
        <v>113</v>
      </c>
      <c r="AR286" s="8" t="s">
        <v>4</v>
      </c>
      <c r="AS286" s="8" t="s">
        <v>4</v>
      </c>
      <c r="CF286" s="9"/>
      <c r="CG286" s="10"/>
      <c r="CJ286" s="9"/>
      <c r="CK286" s="11"/>
    </row>
    <row r="287" spans="1:102">
      <c r="D287" s="8" t="s">
        <v>1763</v>
      </c>
    </row>
    <row r="288" spans="1:102">
      <c r="A288" s="8">
        <v>18877</v>
      </c>
      <c r="B288" s="8" t="s">
        <v>1764</v>
      </c>
      <c r="C288" s="8" t="s">
        <v>1765</v>
      </c>
      <c r="D288" s="8" t="s">
        <v>1766</v>
      </c>
      <c r="E288" s="8" t="s">
        <v>148</v>
      </c>
      <c r="F288" s="8" t="s">
        <v>797</v>
      </c>
      <c r="G288" s="8" t="s">
        <v>1766</v>
      </c>
      <c r="I288" s="8" t="s">
        <v>1767</v>
      </c>
      <c r="J288" s="8" t="s">
        <v>1768</v>
      </c>
      <c r="K288" s="8" t="s">
        <v>122</v>
      </c>
      <c r="L288" s="8">
        <v>2762</v>
      </c>
      <c r="M288" s="8" t="s">
        <v>61</v>
      </c>
      <c r="N288" s="8" t="s">
        <v>110</v>
      </c>
      <c r="R288" s="8" t="s">
        <v>1769</v>
      </c>
      <c r="S288" s="8">
        <v>430096240</v>
      </c>
      <c r="T288" s="8" t="s">
        <v>1770</v>
      </c>
      <c r="AC288" s="8" t="s">
        <v>153</v>
      </c>
      <c r="AF288" s="9">
        <v>31615</v>
      </c>
      <c r="AG288" s="10">
        <v>1.5020833333333332</v>
      </c>
      <c r="AJ288" s="9">
        <v>43584</v>
      </c>
      <c r="AK288" s="11">
        <v>2.0833333333333333E-3</v>
      </c>
      <c r="AP288" s="8" t="s">
        <v>113</v>
      </c>
      <c r="AR288" s="8" t="s">
        <v>4</v>
      </c>
      <c r="AS288" s="8" t="s">
        <v>113</v>
      </c>
      <c r="AT288" s="9">
        <v>43693</v>
      </c>
      <c r="AU288" s="8" t="s">
        <v>1683</v>
      </c>
      <c r="AV288" s="8" t="s">
        <v>1684</v>
      </c>
      <c r="AW288" s="10">
        <v>1.375</v>
      </c>
      <c r="AX288" s="11">
        <v>2.0833333333333333E-3</v>
      </c>
      <c r="AY288" s="8" t="s">
        <v>113</v>
      </c>
      <c r="CF288" s="9"/>
      <c r="CG288" s="10"/>
      <c r="CJ288" s="9"/>
      <c r="CK288" s="11"/>
      <c r="CT288" s="9"/>
      <c r="CW288" s="10"/>
      <c r="CX288" s="11"/>
    </row>
    <row r="289" spans="1:102">
      <c r="A289" s="8">
        <v>18878</v>
      </c>
      <c r="B289" s="8" t="s">
        <v>1771</v>
      </c>
      <c r="C289" s="8" t="s">
        <v>1772</v>
      </c>
      <c r="D289" s="8" t="s">
        <v>1773</v>
      </c>
      <c r="E289" s="8" t="s">
        <v>148</v>
      </c>
      <c r="F289" s="8" t="s">
        <v>274</v>
      </c>
      <c r="G289" s="8" t="s">
        <v>1773</v>
      </c>
      <c r="I289" s="8" t="s">
        <v>1774</v>
      </c>
      <c r="J289" s="8" t="s">
        <v>1775</v>
      </c>
      <c r="K289" s="8" t="s">
        <v>60</v>
      </c>
      <c r="L289" s="8">
        <v>3123</v>
      </c>
      <c r="M289" s="8" t="s">
        <v>61</v>
      </c>
      <c r="N289" s="8" t="s">
        <v>110</v>
      </c>
      <c r="R289" s="8" t="s">
        <v>1776</v>
      </c>
      <c r="S289" s="8">
        <v>426781288</v>
      </c>
      <c r="T289" s="8" t="s">
        <v>1777</v>
      </c>
      <c r="AC289" s="8" t="s">
        <v>153</v>
      </c>
      <c r="AF289" s="9">
        <v>32411</v>
      </c>
      <c r="AG289" s="10">
        <v>1.4173611111111111</v>
      </c>
      <c r="AJ289" s="9">
        <v>43585</v>
      </c>
      <c r="AK289" s="11">
        <v>2.7777777777777779E-3</v>
      </c>
      <c r="AP289" s="8" t="s">
        <v>113</v>
      </c>
      <c r="AR289" s="8" t="s">
        <v>4</v>
      </c>
      <c r="AS289" s="8" t="s">
        <v>113</v>
      </c>
      <c r="AT289" s="9">
        <v>43724</v>
      </c>
      <c r="AU289" s="8" t="s">
        <v>1683</v>
      </c>
      <c r="AV289" s="8" t="s">
        <v>1684</v>
      </c>
      <c r="AW289" s="10">
        <v>1.257638888888889</v>
      </c>
      <c r="AX289" s="11">
        <v>2.7777777777777779E-3</v>
      </c>
      <c r="AY289" s="8" t="s">
        <v>113</v>
      </c>
      <c r="CF289" s="9"/>
      <c r="CG289" s="10"/>
      <c r="CJ289" s="9"/>
      <c r="CK289" s="11"/>
      <c r="CT289" s="9"/>
      <c r="CW289" s="10"/>
      <c r="CX289" s="11"/>
    </row>
    <row r="290" spans="1:102">
      <c r="A290" s="8">
        <v>18879</v>
      </c>
      <c r="B290" s="8" t="s">
        <v>1778</v>
      </c>
      <c r="C290" s="8" t="s">
        <v>1779</v>
      </c>
      <c r="D290" s="8" t="s">
        <v>1780</v>
      </c>
      <c r="E290" s="8" t="s">
        <v>148</v>
      </c>
      <c r="F290" s="8" t="s">
        <v>1007</v>
      </c>
      <c r="G290" s="8" t="s">
        <v>1780</v>
      </c>
      <c r="I290" s="8" t="s">
        <v>1781</v>
      </c>
      <c r="J290" s="8" t="s">
        <v>1137</v>
      </c>
      <c r="K290" s="8" t="s">
        <v>122</v>
      </c>
      <c r="L290" s="8">
        <v>2145</v>
      </c>
      <c r="M290" s="8" t="s">
        <v>61</v>
      </c>
      <c r="N290" s="8" t="s">
        <v>110</v>
      </c>
      <c r="R290" s="8" t="s">
        <v>1782</v>
      </c>
      <c r="S290" s="8">
        <v>425291940</v>
      </c>
      <c r="T290" s="8" t="s">
        <v>1783</v>
      </c>
      <c r="AC290" s="8" t="s">
        <v>153</v>
      </c>
      <c r="AF290" s="9">
        <v>34483</v>
      </c>
      <c r="AG290" s="10">
        <v>1.1701388888888888</v>
      </c>
      <c r="AJ290" s="9">
        <v>44390</v>
      </c>
      <c r="AK290" s="11">
        <v>4.3750000000000004E-2</v>
      </c>
      <c r="AP290" s="8" t="s">
        <v>113</v>
      </c>
      <c r="AQ290" s="8" t="s">
        <v>4</v>
      </c>
      <c r="AR290" s="8" t="s">
        <v>4</v>
      </c>
      <c r="AS290" s="8" t="s">
        <v>4</v>
      </c>
      <c r="AY290" s="8" t="s">
        <v>113</v>
      </c>
      <c r="AZ290" s="8" t="s">
        <v>4</v>
      </c>
      <c r="CF290" s="9"/>
      <c r="CG290" s="10"/>
      <c r="CJ290" s="9"/>
      <c r="CK290" s="11"/>
    </row>
    <row r="291" spans="1:102">
      <c r="A291" s="8">
        <v>18880</v>
      </c>
      <c r="B291" s="8" t="s">
        <v>1784</v>
      </c>
      <c r="C291" s="8" t="s">
        <v>1785</v>
      </c>
      <c r="D291" s="8" t="s">
        <v>1786</v>
      </c>
      <c r="E291" s="8" t="s">
        <v>106</v>
      </c>
      <c r="F291" s="8" t="s">
        <v>1787</v>
      </c>
      <c r="G291" s="8" t="s">
        <v>1786</v>
      </c>
      <c r="I291" s="8" t="s">
        <v>1788</v>
      </c>
      <c r="J291" s="8" t="s">
        <v>423</v>
      </c>
      <c r="K291" s="8" t="s">
        <v>122</v>
      </c>
      <c r="L291" s="8">
        <v>2193</v>
      </c>
      <c r="M291" s="8" t="s">
        <v>61</v>
      </c>
      <c r="N291" s="8" t="s">
        <v>110</v>
      </c>
      <c r="R291" s="8" t="s">
        <v>1789</v>
      </c>
      <c r="S291" s="8">
        <v>451424113</v>
      </c>
      <c r="T291" s="8" t="s">
        <v>1790</v>
      </c>
      <c r="AC291" s="8" t="s">
        <v>56</v>
      </c>
      <c r="AF291" s="9">
        <v>35580</v>
      </c>
      <c r="AG291" s="10">
        <v>1.0451388888888888</v>
      </c>
      <c r="AJ291" s="9">
        <v>43586</v>
      </c>
      <c r="AK291" s="11">
        <v>4.2361111111111106E-2</v>
      </c>
      <c r="AP291" s="8" t="s">
        <v>113</v>
      </c>
      <c r="AQ291" s="8" t="s">
        <v>4</v>
      </c>
      <c r="AR291" s="8" t="s">
        <v>4</v>
      </c>
      <c r="AS291" s="8" t="s">
        <v>4</v>
      </c>
      <c r="AT291" s="9">
        <v>44008</v>
      </c>
      <c r="AU291" s="8" t="s">
        <v>114</v>
      </c>
      <c r="AV291" s="8" t="s">
        <v>115</v>
      </c>
      <c r="AW291" s="11">
        <v>0.95833333333333337</v>
      </c>
      <c r="AX291" s="11">
        <v>4.2361111111111106E-2</v>
      </c>
      <c r="AY291" s="8" t="s">
        <v>113</v>
      </c>
      <c r="CF291" s="9"/>
      <c r="CG291" s="10"/>
      <c r="CJ291" s="9"/>
      <c r="CK291" s="11"/>
      <c r="CT291" s="9"/>
      <c r="CW291" s="11"/>
      <c r="CX291" s="11"/>
    </row>
    <row r="292" spans="1:102">
      <c r="A292" s="8">
        <v>18881</v>
      </c>
      <c r="B292" s="8" t="s">
        <v>1791</v>
      </c>
      <c r="C292" s="8" t="s">
        <v>1792</v>
      </c>
      <c r="D292" s="8" t="s">
        <v>1793</v>
      </c>
      <c r="E292" s="8" t="s">
        <v>148</v>
      </c>
      <c r="F292" s="8" t="s">
        <v>309</v>
      </c>
      <c r="G292" s="8" t="s">
        <v>1793</v>
      </c>
      <c r="I292" s="8" t="s">
        <v>1794</v>
      </c>
      <c r="J292" s="8" t="s">
        <v>1795</v>
      </c>
      <c r="K292" s="8" t="s">
        <v>122</v>
      </c>
      <c r="L292" s="8">
        <v>2154</v>
      </c>
      <c r="M292" s="8" t="s">
        <v>61</v>
      </c>
      <c r="N292" s="8" t="s">
        <v>110</v>
      </c>
      <c r="R292" s="8" t="s">
        <v>1796</v>
      </c>
      <c r="S292" s="8">
        <v>416003180</v>
      </c>
      <c r="T292" s="8" t="s">
        <v>1797</v>
      </c>
      <c r="AC292" s="8" t="s">
        <v>153</v>
      </c>
      <c r="AF292" s="9">
        <v>25211</v>
      </c>
      <c r="AG292" s="10">
        <v>2.2145833333333331</v>
      </c>
      <c r="AJ292" s="9">
        <v>43591</v>
      </c>
      <c r="AK292" s="11">
        <v>8.5416666666666655E-2</v>
      </c>
      <c r="AP292" s="8" t="s">
        <v>113</v>
      </c>
      <c r="AQ292" s="8" t="s">
        <v>4</v>
      </c>
      <c r="AR292" s="8" t="s">
        <v>4</v>
      </c>
      <c r="AS292" s="8" t="s">
        <v>4</v>
      </c>
      <c r="AT292" s="9">
        <v>44414</v>
      </c>
      <c r="AU292" s="8" t="s">
        <v>185</v>
      </c>
      <c r="AV292" s="8" t="s">
        <v>186</v>
      </c>
      <c r="AW292" s="10">
        <v>2.1708333333333334</v>
      </c>
      <c r="AX292" s="11">
        <v>8.5416666666666655E-2</v>
      </c>
      <c r="AY292" s="8" t="s">
        <v>113</v>
      </c>
      <c r="AZ292" s="8" t="s">
        <v>4</v>
      </c>
      <c r="CF292" s="9"/>
      <c r="CG292" s="10"/>
      <c r="CJ292" s="9"/>
      <c r="CK292" s="11"/>
      <c r="CT292" s="9"/>
      <c r="CW292" s="10"/>
      <c r="CX292" s="11"/>
    </row>
    <row r="293" spans="1:102">
      <c r="A293" s="8">
        <v>18882</v>
      </c>
      <c r="B293" s="8" t="s">
        <v>1798</v>
      </c>
      <c r="C293" s="8" t="s">
        <v>1799</v>
      </c>
      <c r="D293" s="8" t="s">
        <v>1800</v>
      </c>
      <c r="E293" s="8" t="s">
        <v>148</v>
      </c>
      <c r="F293" s="8" t="s">
        <v>1801</v>
      </c>
      <c r="G293" s="8" t="s">
        <v>1800</v>
      </c>
      <c r="I293" s="8" t="s">
        <v>1802</v>
      </c>
      <c r="J293" s="8" t="s">
        <v>1803</v>
      </c>
      <c r="K293" s="8" t="s">
        <v>60</v>
      </c>
      <c r="L293" s="8">
        <v>3132</v>
      </c>
      <c r="M293" s="8" t="s">
        <v>61</v>
      </c>
      <c r="N293" s="8" t="s">
        <v>110</v>
      </c>
      <c r="R293" s="8" t="s">
        <v>1804</v>
      </c>
      <c r="S293" s="8">
        <v>449855379</v>
      </c>
      <c r="T293" s="8" t="s">
        <v>1805</v>
      </c>
      <c r="W293" s="8" t="s">
        <v>1806</v>
      </c>
      <c r="X293" s="8" t="s">
        <v>1803</v>
      </c>
      <c r="Y293" s="8" t="s">
        <v>60</v>
      </c>
      <c r="Z293" s="8">
        <v>3132</v>
      </c>
      <c r="AA293" s="8" t="s">
        <v>61</v>
      </c>
      <c r="AB293" s="8" t="s">
        <v>110</v>
      </c>
      <c r="AC293" s="8" t="s">
        <v>153</v>
      </c>
      <c r="AF293" s="9">
        <v>27217</v>
      </c>
      <c r="AG293" s="10">
        <v>2.0020833333333332</v>
      </c>
      <c r="AJ293" s="9">
        <v>43593</v>
      </c>
      <c r="AK293" s="11">
        <v>5.5555555555555558E-3</v>
      </c>
      <c r="AP293" s="8" t="s">
        <v>113</v>
      </c>
      <c r="AR293" s="8" t="s">
        <v>4</v>
      </c>
      <c r="AS293" s="8" t="s">
        <v>113</v>
      </c>
      <c r="AT293" s="9">
        <v>43867</v>
      </c>
      <c r="AU293" s="8" t="s">
        <v>114</v>
      </c>
      <c r="AV293" s="8" t="s">
        <v>115</v>
      </c>
      <c r="AW293" s="10">
        <v>1.8798611111111112</v>
      </c>
      <c r="AX293" s="11">
        <v>5.5555555555555558E-3</v>
      </c>
      <c r="AY293" s="8" t="s">
        <v>113</v>
      </c>
      <c r="CF293" s="9"/>
      <c r="CG293" s="10"/>
      <c r="CJ293" s="9"/>
      <c r="CK293" s="11"/>
      <c r="CT293" s="9"/>
      <c r="CW293" s="10"/>
      <c r="CX293" s="11"/>
    </row>
    <row r="294" spans="1:102">
      <c r="D294" s="8" t="s">
        <v>1807</v>
      </c>
    </row>
    <row r="295" spans="1:102">
      <c r="A295" s="8">
        <v>18883</v>
      </c>
      <c r="B295" s="8" t="s">
        <v>1808</v>
      </c>
      <c r="C295" s="8" t="s">
        <v>1809</v>
      </c>
      <c r="D295" s="8" t="s">
        <v>1810</v>
      </c>
      <c r="E295" s="8" t="s">
        <v>106</v>
      </c>
      <c r="F295" s="8" t="s">
        <v>119</v>
      </c>
      <c r="G295" s="8" t="s">
        <v>1810</v>
      </c>
      <c r="I295" s="8" t="s">
        <v>1811</v>
      </c>
      <c r="J295" s="8" t="s">
        <v>1812</v>
      </c>
      <c r="K295" s="8" t="s">
        <v>122</v>
      </c>
      <c r="L295" s="8">
        <v>2179</v>
      </c>
      <c r="M295" s="8" t="s">
        <v>61</v>
      </c>
      <c r="N295" s="8" t="s">
        <v>110</v>
      </c>
      <c r="R295" s="8" t="s">
        <v>1813</v>
      </c>
      <c r="S295" s="8">
        <v>449139009</v>
      </c>
      <c r="T295" s="8" t="s">
        <v>1814</v>
      </c>
      <c r="W295" s="8" t="s">
        <v>1815</v>
      </c>
      <c r="X295" s="8" t="s">
        <v>1812</v>
      </c>
      <c r="Y295" s="8" t="s">
        <v>122</v>
      </c>
      <c r="Z295" s="8">
        <v>2179</v>
      </c>
      <c r="AA295" s="8" t="s">
        <v>61</v>
      </c>
      <c r="AB295" s="8" t="s">
        <v>110</v>
      </c>
      <c r="AC295" s="8" t="s">
        <v>56</v>
      </c>
      <c r="AF295" s="9">
        <v>30380</v>
      </c>
      <c r="AG295" s="10">
        <v>1.6298611111111112</v>
      </c>
      <c r="AJ295" s="9">
        <v>43598</v>
      </c>
      <c r="AK295" s="11">
        <v>0.12569444444444444</v>
      </c>
      <c r="AP295" s="8" t="s">
        <v>113</v>
      </c>
      <c r="AR295" s="8" t="s">
        <v>4</v>
      </c>
      <c r="AS295" s="8" t="s">
        <v>113</v>
      </c>
      <c r="AT295" s="9">
        <v>44742</v>
      </c>
      <c r="AU295" s="8" t="s">
        <v>114</v>
      </c>
      <c r="AV295" s="8" t="s">
        <v>115</v>
      </c>
      <c r="AW295" s="10">
        <v>1.6270833333333332</v>
      </c>
      <c r="AX295" s="11">
        <v>0.12569444444444444</v>
      </c>
      <c r="AY295" s="8" t="s">
        <v>113</v>
      </c>
      <c r="CF295" s="9"/>
      <c r="CG295" s="10"/>
      <c r="CJ295" s="9"/>
      <c r="CK295" s="11"/>
      <c r="CT295" s="9"/>
      <c r="CW295" s="10"/>
      <c r="CX295" s="11"/>
    </row>
    <row r="296" spans="1:102">
      <c r="A296" s="8">
        <v>18884</v>
      </c>
      <c r="B296" s="8" t="s">
        <v>1816</v>
      </c>
      <c r="C296" s="8" t="s">
        <v>1817</v>
      </c>
      <c r="D296" s="8" t="s">
        <v>1818</v>
      </c>
      <c r="E296" s="8" t="s">
        <v>148</v>
      </c>
      <c r="F296" s="8" t="s">
        <v>1819</v>
      </c>
      <c r="G296" s="8" t="s">
        <v>1818</v>
      </c>
      <c r="I296" s="8" t="s">
        <v>1820</v>
      </c>
      <c r="J296" s="8" t="s">
        <v>1821</v>
      </c>
      <c r="K296" s="8" t="s">
        <v>122</v>
      </c>
      <c r="L296" s="8">
        <v>2171</v>
      </c>
      <c r="M296" s="8" t="s">
        <v>61</v>
      </c>
      <c r="N296" s="8" t="s">
        <v>110</v>
      </c>
      <c r="R296" s="8" t="s">
        <v>1822</v>
      </c>
      <c r="S296" s="8">
        <v>421935474</v>
      </c>
      <c r="T296" s="8" t="s">
        <v>1823</v>
      </c>
      <c r="AC296" s="8" t="s">
        <v>153</v>
      </c>
      <c r="AF296" s="9">
        <v>34191</v>
      </c>
      <c r="AG296" s="10">
        <v>1.2097222222222224</v>
      </c>
      <c r="AJ296" s="9">
        <v>43612</v>
      </c>
      <c r="AK296" s="11">
        <v>4.8611111111111112E-2</v>
      </c>
      <c r="AP296" s="8" t="s">
        <v>113</v>
      </c>
      <c r="AQ296" s="8" t="s">
        <v>4</v>
      </c>
      <c r="AR296" s="8" t="s">
        <v>4</v>
      </c>
      <c r="AS296" s="8" t="s">
        <v>113</v>
      </c>
      <c r="AT296" s="9">
        <v>44309</v>
      </c>
      <c r="AU296" s="8" t="s">
        <v>114</v>
      </c>
      <c r="AV296" s="8" t="s">
        <v>115</v>
      </c>
      <c r="AW296" s="10">
        <v>1.1305555555555555</v>
      </c>
      <c r="AX296" s="11">
        <v>4.8611111111111112E-2</v>
      </c>
      <c r="AY296" s="8" t="s">
        <v>113</v>
      </c>
      <c r="CF296" s="9"/>
      <c r="CG296" s="10"/>
      <c r="CJ296" s="9"/>
      <c r="CK296" s="11"/>
      <c r="CT296" s="9"/>
      <c r="CW296" s="10"/>
      <c r="CX296" s="11"/>
    </row>
    <row r="297" spans="1:102">
      <c r="D297" s="8" t="s">
        <v>1824</v>
      </c>
    </row>
    <row r="298" spans="1:102">
      <c r="A298" s="8">
        <v>18885</v>
      </c>
      <c r="B298" s="8" t="s">
        <v>1825</v>
      </c>
      <c r="C298" s="8" t="s">
        <v>1826</v>
      </c>
      <c r="D298" s="8" t="s">
        <v>1827</v>
      </c>
      <c r="E298" s="8" t="s">
        <v>376</v>
      </c>
      <c r="F298" s="8" t="s">
        <v>1632</v>
      </c>
      <c r="G298" s="8" t="s">
        <v>1827</v>
      </c>
      <c r="I298" s="8" t="s">
        <v>1828</v>
      </c>
      <c r="J298" s="8" t="s">
        <v>822</v>
      </c>
      <c r="K298" s="8" t="s">
        <v>60</v>
      </c>
      <c r="L298" s="8">
        <v>3150</v>
      </c>
      <c r="M298" s="8" t="s">
        <v>61</v>
      </c>
      <c r="N298" s="8" t="s">
        <v>110</v>
      </c>
      <c r="R298" s="8" t="s">
        <v>1829</v>
      </c>
      <c r="S298" s="8">
        <v>450702869</v>
      </c>
      <c r="T298" s="8" t="s">
        <v>1830</v>
      </c>
      <c r="W298" s="8" t="s">
        <v>1828</v>
      </c>
      <c r="X298" s="8" t="s">
        <v>822</v>
      </c>
      <c r="Y298" s="8" t="s">
        <v>60</v>
      </c>
      <c r="Z298" s="8">
        <v>3150</v>
      </c>
      <c r="AA298" s="8" t="s">
        <v>61</v>
      </c>
      <c r="AB298" s="8" t="s">
        <v>110</v>
      </c>
      <c r="AC298" s="8" t="s">
        <v>56</v>
      </c>
      <c r="AF298" s="9">
        <v>33761</v>
      </c>
      <c r="AG298" s="10">
        <v>1.2527777777777778</v>
      </c>
      <c r="AJ298" s="9">
        <v>43605</v>
      </c>
      <c r="AK298" s="11">
        <v>8.5416666666666655E-2</v>
      </c>
      <c r="AP298" s="8" t="s">
        <v>113</v>
      </c>
      <c r="AR298" s="8" t="s">
        <v>4</v>
      </c>
      <c r="AS298" s="8" t="s">
        <v>4</v>
      </c>
      <c r="AT298" s="9">
        <v>44428</v>
      </c>
      <c r="AU298" s="8" t="s">
        <v>114</v>
      </c>
      <c r="AV298" s="8" t="s">
        <v>115</v>
      </c>
      <c r="AW298" s="10">
        <v>1.2097222222222224</v>
      </c>
      <c r="AX298" s="11">
        <v>8.5416666666666655E-2</v>
      </c>
      <c r="CF298" s="9"/>
      <c r="CG298" s="10"/>
      <c r="CJ298" s="9"/>
      <c r="CK298" s="11"/>
      <c r="CT298" s="9"/>
      <c r="CW298" s="10"/>
      <c r="CX298" s="11"/>
    </row>
    <row r="299" spans="1:102">
      <c r="A299" s="8">
        <v>18886</v>
      </c>
      <c r="B299" s="8" t="s">
        <v>1831</v>
      </c>
      <c r="C299" s="8" t="s">
        <v>1832</v>
      </c>
      <c r="D299" s="8" t="s">
        <v>1833</v>
      </c>
      <c r="E299" s="8" t="s">
        <v>148</v>
      </c>
      <c r="F299" s="8" t="s">
        <v>247</v>
      </c>
      <c r="G299" s="8" t="s">
        <v>1833</v>
      </c>
      <c r="I299" s="8" t="s">
        <v>1834</v>
      </c>
      <c r="J299" s="8" t="s">
        <v>1835</v>
      </c>
      <c r="K299" s="8" t="s">
        <v>240</v>
      </c>
      <c r="L299" s="8">
        <v>4165</v>
      </c>
      <c r="M299" s="8" t="s">
        <v>61</v>
      </c>
      <c r="N299" s="8" t="s">
        <v>110</v>
      </c>
      <c r="O299" s="8">
        <v>732078636</v>
      </c>
      <c r="R299" s="8" t="s">
        <v>1836</v>
      </c>
      <c r="S299" s="8">
        <v>428404068</v>
      </c>
      <c r="T299" s="8" t="s">
        <v>1837</v>
      </c>
      <c r="AC299" s="8" t="s">
        <v>153</v>
      </c>
      <c r="AF299" s="9">
        <v>25730</v>
      </c>
      <c r="AG299" s="10">
        <v>2.1694444444444447</v>
      </c>
      <c r="AJ299" s="9">
        <v>43620</v>
      </c>
      <c r="AK299" s="11">
        <v>0.1277777777777778</v>
      </c>
      <c r="AP299" s="8" t="s">
        <v>113</v>
      </c>
      <c r="AQ299" s="8" t="s">
        <v>4</v>
      </c>
      <c r="AR299" s="8" t="s">
        <v>4</v>
      </c>
      <c r="AS299" s="8" t="s">
        <v>4</v>
      </c>
      <c r="AY299" s="8" t="s">
        <v>113</v>
      </c>
      <c r="AZ299" s="8" t="s">
        <v>4</v>
      </c>
      <c r="CF299" s="9"/>
      <c r="CG299" s="10"/>
      <c r="CJ299" s="9"/>
      <c r="CK299" s="11"/>
    </row>
    <row r="300" spans="1:102">
      <c r="A300" s="8">
        <v>18887</v>
      </c>
      <c r="B300" s="8" t="s">
        <v>1838</v>
      </c>
      <c r="C300" s="8" t="s">
        <v>1839</v>
      </c>
      <c r="D300" s="8" t="s">
        <v>1840</v>
      </c>
      <c r="E300" s="8" t="s">
        <v>376</v>
      </c>
      <c r="F300" s="8" t="s">
        <v>107</v>
      </c>
      <c r="G300" s="8" t="s">
        <v>1840</v>
      </c>
      <c r="I300" s="8" t="s">
        <v>1841</v>
      </c>
      <c r="J300" s="8" t="s">
        <v>1842</v>
      </c>
      <c r="K300" s="8" t="s">
        <v>60</v>
      </c>
      <c r="L300" s="8">
        <v>3128</v>
      </c>
      <c r="M300" s="8" t="s">
        <v>61</v>
      </c>
      <c r="N300" s="8" t="s">
        <v>110</v>
      </c>
      <c r="R300" s="8" t="s">
        <v>1843</v>
      </c>
      <c r="S300" s="8">
        <v>416848161</v>
      </c>
      <c r="T300" s="8" t="s">
        <v>1844</v>
      </c>
      <c r="W300" s="8" t="s">
        <v>1841</v>
      </c>
      <c r="X300" s="8" t="s">
        <v>1842</v>
      </c>
      <c r="Y300" s="8" t="s">
        <v>60</v>
      </c>
      <c r="Z300" s="8">
        <v>3128</v>
      </c>
      <c r="AA300" s="8" t="s">
        <v>61</v>
      </c>
      <c r="AB300" s="8" t="s">
        <v>110</v>
      </c>
      <c r="AC300" s="8" t="s">
        <v>56</v>
      </c>
      <c r="AF300" s="9">
        <v>34439</v>
      </c>
      <c r="AG300" s="10">
        <v>1.1708333333333334</v>
      </c>
      <c r="AJ300" s="9">
        <v>43627</v>
      </c>
      <c r="AK300" s="11">
        <v>0.1277777777777778</v>
      </c>
      <c r="AP300" s="8" t="s">
        <v>113</v>
      </c>
      <c r="AR300" s="8" t="s">
        <v>4</v>
      </c>
      <c r="AS300" s="8" t="s">
        <v>113</v>
      </c>
      <c r="AY300" s="8" t="s">
        <v>113</v>
      </c>
      <c r="CF300" s="9"/>
      <c r="CG300" s="10"/>
      <c r="CJ300" s="9"/>
      <c r="CK300" s="11"/>
    </row>
    <row r="301" spans="1:102">
      <c r="A301" s="8">
        <v>18888</v>
      </c>
      <c r="B301" s="8" t="s">
        <v>1845</v>
      </c>
      <c r="C301" s="8" t="s">
        <v>1846</v>
      </c>
      <c r="D301" s="8" t="s">
        <v>1847</v>
      </c>
      <c r="E301" s="8" t="s">
        <v>148</v>
      </c>
      <c r="F301" s="8" t="s">
        <v>119</v>
      </c>
      <c r="G301" s="8" t="s">
        <v>1847</v>
      </c>
      <c r="I301" s="8" t="s">
        <v>1848</v>
      </c>
      <c r="J301" s="8" t="s">
        <v>59</v>
      </c>
      <c r="K301" s="8" t="s">
        <v>60</v>
      </c>
      <c r="L301" s="8">
        <v>3168</v>
      </c>
      <c r="M301" s="8" t="s">
        <v>61</v>
      </c>
      <c r="N301" s="8" t="s">
        <v>110</v>
      </c>
      <c r="R301" s="8" t="s">
        <v>1849</v>
      </c>
      <c r="S301" s="8">
        <v>401091062</v>
      </c>
      <c r="T301" s="8" t="s">
        <v>1850</v>
      </c>
      <c r="AC301" s="8" t="s">
        <v>153</v>
      </c>
      <c r="AF301" s="9">
        <v>34059</v>
      </c>
      <c r="AG301" s="10">
        <v>1.2131944444444445</v>
      </c>
      <c r="AJ301" s="9">
        <v>43643</v>
      </c>
      <c r="AK301" s="11">
        <v>4.1666666666666666E-3</v>
      </c>
      <c r="AP301" s="8" t="s">
        <v>113</v>
      </c>
      <c r="AR301" s="8" t="s">
        <v>4</v>
      </c>
      <c r="AS301" s="8" t="s">
        <v>4</v>
      </c>
      <c r="AT301" s="9">
        <v>43836</v>
      </c>
      <c r="AU301" s="8" t="s">
        <v>1683</v>
      </c>
      <c r="AV301" s="8" t="s">
        <v>1684</v>
      </c>
      <c r="AW301" s="10">
        <v>1.0895833333333333</v>
      </c>
      <c r="AX301" s="11">
        <v>4.1666666666666666E-3</v>
      </c>
      <c r="AY301" s="8" t="s">
        <v>113</v>
      </c>
      <c r="CF301" s="9"/>
      <c r="CG301" s="10"/>
      <c r="CJ301" s="9"/>
      <c r="CK301" s="11"/>
      <c r="CT301" s="9"/>
      <c r="CW301" s="10"/>
      <c r="CX301" s="11"/>
    </row>
    <row r="302" spans="1:102">
      <c r="A302" s="8">
        <v>18889</v>
      </c>
      <c r="B302" s="8" t="s">
        <v>1851</v>
      </c>
      <c r="C302" s="8" t="s">
        <v>1852</v>
      </c>
      <c r="D302" s="8" t="s">
        <v>1853</v>
      </c>
      <c r="E302" s="8" t="s">
        <v>148</v>
      </c>
      <c r="F302" s="8" t="s">
        <v>967</v>
      </c>
      <c r="G302" s="8" t="s">
        <v>1853</v>
      </c>
      <c r="I302" s="8" t="s">
        <v>1854</v>
      </c>
      <c r="J302" s="8" t="s">
        <v>1855</v>
      </c>
      <c r="K302" s="8" t="s">
        <v>60</v>
      </c>
      <c r="L302" s="8">
        <v>3004</v>
      </c>
      <c r="M302" s="8" t="s">
        <v>61</v>
      </c>
      <c r="N302" s="8" t="s">
        <v>110</v>
      </c>
      <c r="R302" s="8" t="s">
        <v>1856</v>
      </c>
      <c r="S302" s="8">
        <v>452280558</v>
      </c>
      <c r="T302" s="8" t="s">
        <v>1857</v>
      </c>
      <c r="AC302" s="8" t="s">
        <v>153</v>
      </c>
      <c r="AF302" s="9">
        <v>24847</v>
      </c>
      <c r="AG302" s="10">
        <v>2.2562500000000001</v>
      </c>
      <c r="AJ302" s="9">
        <v>43643</v>
      </c>
      <c r="AK302" s="11">
        <v>6.9444444444444447E-4</v>
      </c>
      <c r="AP302" s="8" t="s">
        <v>113</v>
      </c>
      <c r="AR302" s="8" t="s">
        <v>4</v>
      </c>
      <c r="AS302" s="8" t="s">
        <v>4</v>
      </c>
      <c r="AT302" s="9">
        <v>43696</v>
      </c>
      <c r="AU302" s="8" t="s">
        <v>185</v>
      </c>
      <c r="AV302" s="8" t="s">
        <v>186</v>
      </c>
      <c r="AW302" s="10">
        <v>2.129861111111111</v>
      </c>
      <c r="AX302" s="11">
        <v>6.9444444444444447E-4</v>
      </c>
      <c r="CF302" s="9"/>
      <c r="CG302" s="10"/>
      <c r="CJ302" s="9"/>
      <c r="CK302" s="11"/>
      <c r="CT302" s="9"/>
      <c r="CW302" s="10"/>
      <c r="CX302" s="11"/>
    </row>
    <row r="303" spans="1:102">
      <c r="D303" s="8" t="s">
        <v>1858</v>
      </c>
    </row>
    <row r="304" spans="1:102">
      <c r="A304" s="8">
        <v>18890</v>
      </c>
      <c r="B304" s="8" t="s">
        <v>1859</v>
      </c>
      <c r="C304" s="8" t="s">
        <v>1860</v>
      </c>
      <c r="D304" s="8" t="s">
        <v>1861</v>
      </c>
      <c r="E304" s="8" t="s">
        <v>148</v>
      </c>
      <c r="F304" s="8" t="s">
        <v>309</v>
      </c>
      <c r="G304" s="8" t="s">
        <v>1861</v>
      </c>
      <c r="I304" s="8" t="s">
        <v>1862</v>
      </c>
      <c r="J304" s="8" t="s">
        <v>1835</v>
      </c>
      <c r="K304" s="8" t="s">
        <v>240</v>
      </c>
      <c r="L304" s="8">
        <v>4165</v>
      </c>
      <c r="M304" s="8" t="s">
        <v>61</v>
      </c>
      <c r="N304" s="8" t="s">
        <v>110</v>
      </c>
      <c r="R304" s="8" t="s">
        <v>1863</v>
      </c>
      <c r="S304" s="8">
        <v>402371815</v>
      </c>
      <c r="T304" s="8" t="s">
        <v>1864</v>
      </c>
      <c r="AC304" s="8" t="s">
        <v>153</v>
      </c>
      <c r="AF304" s="9">
        <v>30292</v>
      </c>
      <c r="AG304" s="10">
        <v>1.6319444444444444</v>
      </c>
      <c r="AJ304" s="9">
        <v>43668</v>
      </c>
      <c r="AK304" s="11">
        <v>4.5138888888888888E-2</v>
      </c>
      <c r="AP304" s="8" t="s">
        <v>113</v>
      </c>
      <c r="AR304" s="8" t="s">
        <v>4</v>
      </c>
      <c r="AS304" s="8" t="s">
        <v>4</v>
      </c>
      <c r="AT304" s="9">
        <v>44188</v>
      </c>
      <c r="AU304" s="8" t="s">
        <v>114</v>
      </c>
      <c r="AV304" s="8" t="s">
        <v>115</v>
      </c>
      <c r="AW304" s="10">
        <v>1.5833333333333333</v>
      </c>
      <c r="AX304" s="11">
        <v>4.4444444444444446E-2</v>
      </c>
      <c r="CF304" s="9"/>
      <c r="CG304" s="10"/>
      <c r="CJ304" s="9"/>
      <c r="CK304" s="11"/>
      <c r="CT304" s="9"/>
      <c r="CW304" s="10"/>
      <c r="CX304" s="11"/>
    </row>
    <row r="305" spans="1:102">
      <c r="A305" s="8">
        <v>18891</v>
      </c>
      <c r="B305" s="8" t="s">
        <v>1865</v>
      </c>
      <c r="C305" s="8" t="s">
        <v>1866</v>
      </c>
      <c r="D305" s="8" t="s">
        <v>1867</v>
      </c>
      <c r="E305" s="8" t="s">
        <v>106</v>
      </c>
      <c r="F305" s="8" t="s">
        <v>368</v>
      </c>
      <c r="G305" s="8" t="s">
        <v>1867</v>
      </c>
      <c r="I305" s="8" t="s">
        <v>1868</v>
      </c>
      <c r="J305" s="8" t="s">
        <v>1869</v>
      </c>
      <c r="K305" s="8" t="s">
        <v>122</v>
      </c>
      <c r="L305" s="8">
        <v>2176</v>
      </c>
      <c r="M305" s="8" t="s">
        <v>61</v>
      </c>
      <c r="N305" s="8" t="s">
        <v>110</v>
      </c>
      <c r="R305" s="8" t="s">
        <v>1870</v>
      </c>
      <c r="S305" s="8">
        <v>425264053</v>
      </c>
      <c r="T305" s="8" t="s">
        <v>1871</v>
      </c>
      <c r="AC305" s="8" t="s">
        <v>56</v>
      </c>
      <c r="AF305" s="9">
        <v>21842</v>
      </c>
      <c r="AG305" s="10">
        <v>2.625</v>
      </c>
      <c r="AJ305" s="9">
        <v>43746</v>
      </c>
      <c r="AK305" s="11">
        <v>0.125</v>
      </c>
      <c r="AP305" s="8" t="s">
        <v>113</v>
      </c>
      <c r="AR305" s="8" t="s">
        <v>4</v>
      </c>
      <c r="AS305" s="8" t="s">
        <v>4</v>
      </c>
      <c r="AY305" s="8" t="s">
        <v>113</v>
      </c>
      <c r="CF305" s="9"/>
      <c r="CG305" s="10"/>
      <c r="CJ305" s="9"/>
      <c r="CK305" s="11"/>
    </row>
    <row r="306" spans="1:102">
      <c r="A306" s="8">
        <v>18892</v>
      </c>
      <c r="B306" s="8" t="s">
        <v>1872</v>
      </c>
      <c r="C306" s="8" t="s">
        <v>1873</v>
      </c>
      <c r="D306" s="8" t="s">
        <v>1874</v>
      </c>
      <c r="E306" s="8" t="s">
        <v>106</v>
      </c>
      <c r="F306" s="8" t="s">
        <v>129</v>
      </c>
      <c r="G306" s="8" t="s">
        <v>1874</v>
      </c>
      <c r="I306" s="8" t="s">
        <v>1875</v>
      </c>
      <c r="J306" s="8" t="s">
        <v>1876</v>
      </c>
      <c r="K306" s="8" t="s">
        <v>122</v>
      </c>
      <c r="L306" s="8">
        <v>2170</v>
      </c>
      <c r="M306" s="8" t="s">
        <v>61</v>
      </c>
      <c r="N306" s="8" t="s">
        <v>110</v>
      </c>
      <c r="O306" s="8">
        <v>297885013</v>
      </c>
      <c r="R306" s="8" t="s">
        <v>1877</v>
      </c>
      <c r="S306" s="8">
        <v>439406785</v>
      </c>
      <c r="T306" s="8" t="s">
        <v>1878</v>
      </c>
      <c r="AC306" s="8" t="s">
        <v>56</v>
      </c>
      <c r="AF306" s="9">
        <v>29705</v>
      </c>
      <c r="AG306" s="10">
        <v>1.7125000000000001</v>
      </c>
      <c r="AJ306" s="9">
        <v>43759</v>
      </c>
      <c r="AK306" s="11">
        <v>0.125</v>
      </c>
      <c r="AP306" s="8" t="s">
        <v>113</v>
      </c>
      <c r="AR306" s="8" t="s">
        <v>4</v>
      </c>
      <c r="AS306" s="8" t="s">
        <v>4</v>
      </c>
      <c r="AY306" s="8" t="s">
        <v>113</v>
      </c>
      <c r="CF306" s="9"/>
      <c r="CG306" s="10"/>
      <c r="CJ306" s="9"/>
      <c r="CK306" s="11"/>
    </row>
    <row r="307" spans="1:102">
      <c r="A307" s="8">
        <v>18893</v>
      </c>
      <c r="B307" s="8" t="s">
        <v>1879</v>
      </c>
      <c r="C307" s="8" t="s">
        <v>1880</v>
      </c>
      <c r="D307" s="8" t="s">
        <v>1881</v>
      </c>
      <c r="E307" s="8" t="s">
        <v>139</v>
      </c>
      <c r="F307" s="8" t="s">
        <v>644</v>
      </c>
      <c r="G307" s="8" t="s">
        <v>1882</v>
      </c>
      <c r="I307" s="8" t="s">
        <v>1883</v>
      </c>
      <c r="J307" s="8" t="s">
        <v>1768</v>
      </c>
      <c r="K307" s="8" t="s">
        <v>122</v>
      </c>
      <c r="L307" s="8">
        <v>2762</v>
      </c>
      <c r="M307" s="8" t="s">
        <v>61</v>
      </c>
      <c r="N307" s="8" t="s">
        <v>110</v>
      </c>
      <c r="R307" s="8" t="s">
        <v>1884</v>
      </c>
      <c r="S307" s="8">
        <v>470261293</v>
      </c>
      <c r="T307" s="8" t="s">
        <v>1885</v>
      </c>
      <c r="AC307" s="8" t="s">
        <v>56</v>
      </c>
      <c r="AF307" s="9">
        <v>33482</v>
      </c>
      <c r="AG307" s="10">
        <v>1.2930555555555556</v>
      </c>
      <c r="AJ307" s="9">
        <v>43773</v>
      </c>
      <c r="AK307" s="11">
        <v>9.0972222222222218E-2</v>
      </c>
      <c r="AP307" s="8" t="s">
        <v>113</v>
      </c>
      <c r="AR307" s="8" t="s">
        <v>4</v>
      </c>
      <c r="AS307" s="8" t="s">
        <v>4</v>
      </c>
      <c r="AY307" s="8" t="s">
        <v>113</v>
      </c>
      <c r="CF307" s="9"/>
      <c r="CG307" s="10"/>
      <c r="CJ307" s="9"/>
      <c r="CK307" s="11"/>
    </row>
    <row r="308" spans="1:102">
      <c r="A308" s="8">
        <v>18894</v>
      </c>
      <c r="B308" s="8" t="s">
        <v>1886</v>
      </c>
      <c r="C308" s="8" t="s">
        <v>436</v>
      </c>
      <c r="D308" s="8" t="s">
        <v>1887</v>
      </c>
      <c r="E308" s="8" t="s">
        <v>376</v>
      </c>
      <c r="F308" s="8" t="s">
        <v>119</v>
      </c>
      <c r="G308" s="8" t="s">
        <v>1887</v>
      </c>
      <c r="I308" s="8" t="s">
        <v>1888</v>
      </c>
      <c r="J308" s="8" t="s">
        <v>1889</v>
      </c>
      <c r="K308" s="8" t="s">
        <v>122</v>
      </c>
      <c r="L308" s="8">
        <v>2150</v>
      </c>
      <c r="M308" s="8" t="s">
        <v>61</v>
      </c>
      <c r="N308" s="8" t="s">
        <v>110</v>
      </c>
      <c r="R308" s="8" t="s">
        <v>1890</v>
      </c>
      <c r="S308" s="8">
        <v>411335100</v>
      </c>
      <c r="T308" s="8" t="s">
        <v>1891</v>
      </c>
      <c r="W308" s="8" t="s">
        <v>1888</v>
      </c>
      <c r="X308" s="8" t="s">
        <v>1889</v>
      </c>
      <c r="Y308" s="8" t="s">
        <v>122</v>
      </c>
      <c r="Z308" s="8">
        <v>2150</v>
      </c>
      <c r="AA308" s="8" t="s">
        <v>61</v>
      </c>
      <c r="AB308" s="8" t="s">
        <v>110</v>
      </c>
      <c r="AC308" s="8" t="s">
        <v>56</v>
      </c>
      <c r="AF308" s="9">
        <v>34813</v>
      </c>
      <c r="AG308" s="10">
        <v>1.1291666666666667</v>
      </c>
      <c r="AJ308" s="9">
        <v>43774</v>
      </c>
      <c r="AK308" s="11">
        <v>9.0972222222222218E-2</v>
      </c>
      <c r="AP308" s="8" t="s">
        <v>113</v>
      </c>
      <c r="AR308" s="8" t="s">
        <v>4</v>
      </c>
      <c r="AS308" s="8" t="s">
        <v>4</v>
      </c>
      <c r="AY308" s="8" t="s">
        <v>113</v>
      </c>
      <c r="CF308" s="9"/>
      <c r="CG308" s="10"/>
      <c r="CJ308" s="9"/>
      <c r="CK308" s="11"/>
    </row>
    <row r="309" spans="1:102">
      <c r="A309" s="8">
        <v>18895</v>
      </c>
      <c r="B309" s="8" t="s">
        <v>1892</v>
      </c>
      <c r="C309" s="8" t="s">
        <v>1893</v>
      </c>
      <c r="D309" s="8" t="s">
        <v>1894</v>
      </c>
      <c r="E309" s="8" t="s">
        <v>106</v>
      </c>
      <c r="F309" s="8" t="s">
        <v>119</v>
      </c>
      <c r="G309" s="8" t="s">
        <v>1894</v>
      </c>
      <c r="I309" s="8" t="s">
        <v>1895</v>
      </c>
      <c r="J309" s="8" t="s">
        <v>1896</v>
      </c>
      <c r="K309" s="8" t="s">
        <v>293</v>
      </c>
      <c r="L309" s="8">
        <v>6152</v>
      </c>
      <c r="M309" s="8" t="s">
        <v>61</v>
      </c>
      <c r="N309" s="8" t="s">
        <v>110</v>
      </c>
      <c r="R309" s="8" t="s">
        <v>1897</v>
      </c>
      <c r="S309" s="8">
        <v>451017054</v>
      </c>
      <c r="T309" s="8" t="s">
        <v>1898</v>
      </c>
      <c r="AC309" s="8" t="s">
        <v>56</v>
      </c>
      <c r="AF309" s="9">
        <v>32513</v>
      </c>
      <c r="AG309" s="10">
        <v>1.3812499999999999</v>
      </c>
      <c r="AJ309" s="9">
        <v>43791</v>
      </c>
      <c r="AK309" s="11">
        <v>9.0972222222222218E-2</v>
      </c>
      <c r="AP309" s="8" t="s">
        <v>113</v>
      </c>
      <c r="AR309" s="8" t="s">
        <v>4</v>
      </c>
      <c r="AS309" s="8" t="s">
        <v>4</v>
      </c>
      <c r="AY309" s="8" t="s">
        <v>113</v>
      </c>
      <c r="CF309" s="9"/>
      <c r="CG309" s="10"/>
      <c r="CJ309" s="9"/>
      <c r="CK309" s="11"/>
    </row>
    <row r="310" spans="1:102">
      <c r="A310" s="8">
        <v>18896</v>
      </c>
      <c r="B310" s="8" t="s">
        <v>1899</v>
      </c>
      <c r="C310" s="8" t="s">
        <v>1873</v>
      </c>
      <c r="D310" s="8" t="s">
        <v>1900</v>
      </c>
      <c r="E310" s="8" t="s">
        <v>148</v>
      </c>
      <c r="F310" s="8" t="s">
        <v>797</v>
      </c>
      <c r="G310" s="8" t="s">
        <v>1900</v>
      </c>
      <c r="I310" s="8" t="s">
        <v>1875</v>
      </c>
      <c r="J310" s="8" t="s">
        <v>1876</v>
      </c>
      <c r="K310" s="8" t="s">
        <v>122</v>
      </c>
      <c r="L310" s="8">
        <v>2170</v>
      </c>
      <c r="M310" s="8" t="s">
        <v>61</v>
      </c>
      <c r="N310" s="8" t="s">
        <v>110</v>
      </c>
      <c r="R310" s="8" t="s">
        <v>1901</v>
      </c>
      <c r="S310" s="8">
        <v>466659312</v>
      </c>
      <c r="T310" s="8" t="s">
        <v>1902</v>
      </c>
      <c r="AC310" s="8" t="s">
        <v>153</v>
      </c>
      <c r="AF310" s="9">
        <v>37315</v>
      </c>
      <c r="AG310" s="11">
        <v>0.83888888888888891</v>
      </c>
      <c r="AJ310" s="9">
        <v>43794</v>
      </c>
      <c r="AK310" s="11">
        <v>4.1666666666666664E-2</v>
      </c>
      <c r="AP310" s="8" t="s">
        <v>113</v>
      </c>
      <c r="AQ310" s="8" t="s">
        <v>4</v>
      </c>
      <c r="AR310" s="8" t="s">
        <v>4</v>
      </c>
      <c r="AS310" s="8" t="s">
        <v>4</v>
      </c>
      <c r="AT310" s="9">
        <v>44183</v>
      </c>
      <c r="AU310" s="8" t="s">
        <v>114</v>
      </c>
      <c r="AV310" s="8" t="s">
        <v>115</v>
      </c>
      <c r="AW310" s="11">
        <v>0.75624999999999998</v>
      </c>
      <c r="AX310" s="11">
        <v>4.1666666666666664E-2</v>
      </c>
      <c r="AY310" s="8" t="s">
        <v>113</v>
      </c>
      <c r="CF310" s="9"/>
      <c r="CG310" s="11"/>
      <c r="CJ310" s="9"/>
      <c r="CK310" s="11"/>
      <c r="CT310" s="9"/>
      <c r="CW310" s="11"/>
      <c r="CX310" s="11"/>
    </row>
    <row r="311" spans="1:102">
      <c r="A311" s="8">
        <v>18897</v>
      </c>
      <c r="B311" s="8" t="s">
        <v>1903</v>
      </c>
      <c r="C311" s="8" t="s">
        <v>1904</v>
      </c>
      <c r="D311" s="8" t="s">
        <v>1905</v>
      </c>
      <c r="E311" s="8" t="s">
        <v>376</v>
      </c>
      <c r="F311" s="8" t="s">
        <v>119</v>
      </c>
      <c r="G311" s="8" t="s">
        <v>1905</v>
      </c>
      <c r="I311" s="8" t="s">
        <v>1906</v>
      </c>
      <c r="J311" s="8" t="s">
        <v>1907</v>
      </c>
      <c r="K311" s="8" t="s">
        <v>240</v>
      </c>
      <c r="L311" s="8">
        <v>4077</v>
      </c>
      <c r="M311" s="8" t="s">
        <v>61</v>
      </c>
      <c r="N311" s="8" t="s">
        <v>110</v>
      </c>
      <c r="R311" s="8" t="s">
        <v>1908</v>
      </c>
      <c r="S311" s="8">
        <v>416570614</v>
      </c>
      <c r="T311" s="8" t="s">
        <v>1909</v>
      </c>
      <c r="AC311" s="8" t="s">
        <v>56</v>
      </c>
      <c r="AF311" s="9">
        <v>30190</v>
      </c>
      <c r="AG311" s="10">
        <v>1.6680555555555554</v>
      </c>
      <c r="AJ311" s="9">
        <v>43851</v>
      </c>
      <c r="AK311" s="11">
        <v>2.7777777777777779E-3</v>
      </c>
      <c r="AP311" s="8" t="s">
        <v>113</v>
      </c>
      <c r="AR311" s="8" t="s">
        <v>4</v>
      </c>
      <c r="AS311" s="8" t="s">
        <v>4</v>
      </c>
      <c r="AT311" s="9">
        <v>43983</v>
      </c>
      <c r="AU311" s="8" t="s">
        <v>114</v>
      </c>
      <c r="AV311" s="8" t="s">
        <v>115</v>
      </c>
      <c r="AW311" s="10">
        <v>1.5479166666666666</v>
      </c>
      <c r="AX311" s="11">
        <v>2.7777777777777779E-3</v>
      </c>
      <c r="AY311" s="8" t="s">
        <v>113</v>
      </c>
      <c r="CF311" s="9"/>
      <c r="CG311" s="10"/>
      <c r="CJ311" s="9"/>
      <c r="CK311" s="11"/>
      <c r="CT311" s="9"/>
      <c r="CW311" s="10"/>
      <c r="CX311" s="11"/>
    </row>
    <row r="312" spans="1:102">
      <c r="A312" s="8">
        <v>18898</v>
      </c>
      <c r="B312" s="8" t="s">
        <v>1910</v>
      </c>
      <c r="C312" s="8" t="s">
        <v>1911</v>
      </c>
      <c r="D312" s="8" t="s">
        <v>1912</v>
      </c>
      <c r="E312" s="8" t="s">
        <v>139</v>
      </c>
      <c r="F312" s="8" t="s">
        <v>1913</v>
      </c>
      <c r="G312" s="8" t="s">
        <v>1912</v>
      </c>
      <c r="I312" s="8" t="s">
        <v>1914</v>
      </c>
      <c r="J312" s="8" t="s">
        <v>1915</v>
      </c>
      <c r="K312" s="8" t="s">
        <v>293</v>
      </c>
      <c r="L312" s="8">
        <v>6000</v>
      </c>
      <c r="M312" s="8" t="s">
        <v>61</v>
      </c>
      <c r="N312" s="8" t="s">
        <v>110</v>
      </c>
      <c r="R312" s="8" t="s">
        <v>1916</v>
      </c>
      <c r="S312" s="8">
        <v>405857565</v>
      </c>
      <c r="T312" s="8" t="s">
        <v>1917</v>
      </c>
      <c r="Y312" s="8" t="s">
        <v>270</v>
      </c>
      <c r="Z312" s="8">
        <v>9999</v>
      </c>
      <c r="AC312" s="8" t="s">
        <v>56</v>
      </c>
      <c r="AF312" s="9">
        <v>35827</v>
      </c>
      <c r="AG312" s="10">
        <v>1.0062499999999999</v>
      </c>
      <c r="AJ312" s="9">
        <v>43864</v>
      </c>
      <c r="AK312" s="11">
        <v>8.8888888888888892E-2</v>
      </c>
      <c r="AP312" s="8" t="s">
        <v>113</v>
      </c>
      <c r="AR312" s="8" t="s">
        <v>4</v>
      </c>
      <c r="AS312" s="8" t="s">
        <v>4</v>
      </c>
      <c r="AY312" s="8" t="s">
        <v>113</v>
      </c>
      <c r="CF312" s="9"/>
      <c r="CG312" s="10"/>
      <c r="CJ312" s="9"/>
      <c r="CK312" s="11"/>
    </row>
    <row r="313" spans="1:102">
      <c r="D313" s="8" t="s">
        <v>1918</v>
      </c>
    </row>
    <row r="314" spans="1:102">
      <c r="A314" s="8">
        <v>18899</v>
      </c>
      <c r="B314" s="8" t="s">
        <v>1919</v>
      </c>
      <c r="C314" s="8" t="s">
        <v>1920</v>
      </c>
      <c r="D314" s="8" t="s">
        <v>1921</v>
      </c>
      <c r="E314" s="8" t="s">
        <v>148</v>
      </c>
      <c r="F314" s="8" t="s">
        <v>1922</v>
      </c>
      <c r="G314" s="8" t="s">
        <v>1921</v>
      </c>
      <c r="I314" s="8" t="s">
        <v>1923</v>
      </c>
      <c r="J314" s="8" t="s">
        <v>1924</v>
      </c>
      <c r="K314" s="8" t="s">
        <v>60</v>
      </c>
      <c r="L314" s="8">
        <v>3172</v>
      </c>
      <c r="M314" s="8" t="s">
        <v>61</v>
      </c>
      <c r="N314" s="8" t="s">
        <v>110</v>
      </c>
      <c r="R314" s="8" t="s">
        <v>1925</v>
      </c>
      <c r="S314" s="8">
        <v>402663641</v>
      </c>
      <c r="T314" s="8" t="s">
        <v>1926</v>
      </c>
      <c r="AC314" s="8" t="s">
        <v>153</v>
      </c>
      <c r="AF314" s="9">
        <v>32740</v>
      </c>
      <c r="AG314" s="10">
        <v>1.3763888888888889</v>
      </c>
      <c r="AJ314" s="9">
        <v>43868</v>
      </c>
      <c r="AK314" s="11">
        <v>0</v>
      </c>
      <c r="AP314" s="8" t="s">
        <v>113</v>
      </c>
      <c r="AR314" s="8" t="s">
        <v>4</v>
      </c>
      <c r="AS314" s="8" t="s">
        <v>4</v>
      </c>
      <c r="AT314" s="9">
        <v>43887</v>
      </c>
      <c r="AU314" s="8" t="s">
        <v>114</v>
      </c>
      <c r="AV314" s="8" t="s">
        <v>115</v>
      </c>
      <c r="AW314" s="10">
        <v>1.2541666666666667</v>
      </c>
      <c r="AX314" s="11">
        <v>0</v>
      </c>
      <c r="AY314" s="8" t="s">
        <v>113</v>
      </c>
      <c r="CF314" s="9"/>
      <c r="CG314" s="10"/>
      <c r="CJ314" s="9"/>
      <c r="CK314" s="11"/>
      <c r="CT314" s="9"/>
      <c r="CW314" s="10"/>
      <c r="CX314" s="11"/>
    </row>
    <row r="315" spans="1:102">
      <c r="D315" s="8" t="s">
        <v>1927</v>
      </c>
    </row>
    <row r="316" spans="1:102">
      <c r="A316" s="8">
        <v>18900</v>
      </c>
      <c r="B316" s="8" t="s">
        <v>1928</v>
      </c>
      <c r="C316" s="8" t="s">
        <v>1929</v>
      </c>
      <c r="D316" s="8" t="s">
        <v>840</v>
      </c>
      <c r="E316" s="8" t="s">
        <v>148</v>
      </c>
      <c r="F316" s="8" t="s">
        <v>1930</v>
      </c>
      <c r="G316" s="8" t="s">
        <v>840</v>
      </c>
      <c r="I316" s="8" t="s">
        <v>1931</v>
      </c>
      <c r="J316" s="8" t="s">
        <v>1932</v>
      </c>
      <c r="K316" s="8" t="s">
        <v>122</v>
      </c>
      <c r="L316" s="8">
        <v>2120</v>
      </c>
      <c r="M316" s="8" t="s">
        <v>61</v>
      </c>
      <c r="N316" s="8" t="s">
        <v>110</v>
      </c>
      <c r="R316" s="8" t="s">
        <v>1933</v>
      </c>
      <c r="S316" s="8">
        <v>450549562</v>
      </c>
      <c r="T316" s="8" t="s">
        <v>1934</v>
      </c>
      <c r="AC316" s="8" t="s">
        <v>153</v>
      </c>
      <c r="AF316" s="9">
        <v>32398</v>
      </c>
      <c r="AG316" s="10">
        <v>1.4173611111111111</v>
      </c>
      <c r="AJ316" s="9">
        <v>43874</v>
      </c>
      <c r="AK316" s="11">
        <v>8.8888888888888892E-2</v>
      </c>
      <c r="AP316" s="8" t="s">
        <v>113</v>
      </c>
      <c r="AR316" s="8" t="s">
        <v>4</v>
      </c>
      <c r="AS316" s="8" t="s">
        <v>4</v>
      </c>
      <c r="AY316" s="8" t="s">
        <v>113</v>
      </c>
      <c r="CF316" s="9"/>
      <c r="CG316" s="10"/>
      <c r="CJ316" s="9"/>
      <c r="CK316" s="11"/>
    </row>
    <row r="317" spans="1:102">
      <c r="D317" s="8" t="s">
        <v>1935</v>
      </c>
    </row>
    <row r="318" spans="1:102">
      <c r="A318" s="8">
        <v>18901</v>
      </c>
      <c r="B318" s="8" t="s">
        <v>1936</v>
      </c>
      <c r="C318" s="8" t="s">
        <v>1937</v>
      </c>
      <c r="D318" s="8" t="s">
        <v>1938</v>
      </c>
      <c r="E318" s="8" t="s">
        <v>148</v>
      </c>
      <c r="F318" s="8" t="s">
        <v>1038</v>
      </c>
      <c r="G318" s="8" t="s">
        <v>1938</v>
      </c>
      <c r="I318" s="8" t="s">
        <v>1939</v>
      </c>
      <c r="J318" s="8" t="s">
        <v>1940</v>
      </c>
      <c r="K318" s="8" t="s">
        <v>60</v>
      </c>
      <c r="L318" s="8">
        <v>3004</v>
      </c>
      <c r="M318" s="8" t="s">
        <v>61</v>
      </c>
      <c r="N318" s="8" t="s">
        <v>110</v>
      </c>
      <c r="R318" s="8" t="s">
        <v>1941</v>
      </c>
      <c r="S318" s="8">
        <v>469863514</v>
      </c>
      <c r="T318" s="8" t="s">
        <v>1942</v>
      </c>
      <c r="W318" s="8" t="s">
        <v>1939</v>
      </c>
      <c r="X318" s="8" t="s">
        <v>1940</v>
      </c>
      <c r="Y318" s="8" t="s">
        <v>60</v>
      </c>
      <c r="Z318" s="8">
        <v>3004</v>
      </c>
      <c r="AA318" s="8" t="s">
        <v>61</v>
      </c>
      <c r="AB318" s="8" t="s">
        <v>110</v>
      </c>
      <c r="AC318" s="8" t="s">
        <v>153</v>
      </c>
      <c r="AF318" s="9">
        <v>34229</v>
      </c>
      <c r="AG318" s="10">
        <v>1.2090277777777778</v>
      </c>
      <c r="AJ318" s="9">
        <v>43872</v>
      </c>
      <c r="AK318" s="11">
        <v>8.8888888888888892E-2</v>
      </c>
      <c r="AP318" s="8" t="s">
        <v>113</v>
      </c>
      <c r="AR318" s="8" t="s">
        <v>4</v>
      </c>
      <c r="AS318" s="8" t="s">
        <v>4</v>
      </c>
      <c r="AY318" s="8" t="s">
        <v>113</v>
      </c>
      <c r="CF318" s="9"/>
      <c r="CG318" s="10"/>
      <c r="CJ318" s="9"/>
      <c r="CK318" s="11"/>
    </row>
    <row r="319" spans="1:102">
      <c r="D319" s="8" t="s">
        <v>1943</v>
      </c>
    </row>
    <row r="320" spans="1:102">
      <c r="A320" s="8">
        <v>18902</v>
      </c>
      <c r="B320" s="8" t="s">
        <v>1944</v>
      </c>
      <c r="C320" s="8" t="s">
        <v>1945</v>
      </c>
      <c r="D320" s="8" t="s">
        <v>1946</v>
      </c>
      <c r="E320" s="8" t="s">
        <v>139</v>
      </c>
      <c r="F320" s="8" t="s">
        <v>545</v>
      </c>
      <c r="G320" s="8" t="s">
        <v>1946</v>
      </c>
      <c r="I320" s="8" t="s">
        <v>1947</v>
      </c>
      <c r="J320" s="8" t="s">
        <v>936</v>
      </c>
      <c r="K320" s="8" t="s">
        <v>60</v>
      </c>
      <c r="L320" s="8">
        <v>3109</v>
      </c>
      <c r="M320" s="8" t="s">
        <v>61</v>
      </c>
      <c r="N320" s="8" t="s">
        <v>110</v>
      </c>
      <c r="R320" s="8" t="s">
        <v>1948</v>
      </c>
      <c r="S320" s="8">
        <v>406030430</v>
      </c>
      <c r="T320" s="8" t="s">
        <v>1949</v>
      </c>
      <c r="AC320" s="8" t="s">
        <v>56</v>
      </c>
      <c r="AF320" s="9">
        <v>34261</v>
      </c>
      <c r="AG320" s="10">
        <v>1.2083333333333333</v>
      </c>
      <c r="AJ320" s="9">
        <v>43864</v>
      </c>
      <c r="AK320" s="11">
        <v>6.9444444444444441E-3</v>
      </c>
      <c r="AP320" s="8" t="s">
        <v>113</v>
      </c>
      <c r="AR320" s="8" t="s">
        <v>4</v>
      </c>
      <c r="AS320" s="8" t="s">
        <v>4</v>
      </c>
      <c r="AT320" s="9">
        <v>44182</v>
      </c>
      <c r="AU320" s="8" t="s">
        <v>114</v>
      </c>
      <c r="AV320" s="8" t="s">
        <v>115</v>
      </c>
      <c r="AW320" s="10">
        <v>1.1256944444444443</v>
      </c>
      <c r="AX320" s="11">
        <v>5.5555555555555558E-3</v>
      </c>
      <c r="AY320" s="8" t="s">
        <v>113</v>
      </c>
      <c r="CF320" s="9"/>
      <c r="CG320" s="10"/>
      <c r="CJ320" s="9"/>
      <c r="CK320" s="11"/>
      <c r="CT320" s="9"/>
      <c r="CW320" s="10"/>
      <c r="CX320" s="11"/>
    </row>
    <row r="321" spans="1:102">
      <c r="A321" s="8">
        <v>18903</v>
      </c>
      <c r="B321" s="8" t="s">
        <v>1950</v>
      </c>
      <c r="C321" s="8" t="s">
        <v>1951</v>
      </c>
      <c r="D321" s="8" t="s">
        <v>1952</v>
      </c>
      <c r="E321" s="8" t="s">
        <v>376</v>
      </c>
      <c r="F321" s="8" t="s">
        <v>119</v>
      </c>
      <c r="G321" s="8" t="s">
        <v>1952</v>
      </c>
      <c r="I321" s="8" t="s">
        <v>1953</v>
      </c>
      <c r="J321" s="8" t="s">
        <v>1954</v>
      </c>
      <c r="K321" s="8" t="s">
        <v>122</v>
      </c>
      <c r="L321" s="8">
        <v>2032</v>
      </c>
      <c r="M321" s="8" t="s">
        <v>61</v>
      </c>
      <c r="N321" s="8" t="s">
        <v>110</v>
      </c>
      <c r="R321" s="8" t="s">
        <v>1955</v>
      </c>
      <c r="S321" s="8">
        <v>451623101</v>
      </c>
      <c r="T321" s="8" t="s">
        <v>1956</v>
      </c>
      <c r="AC321" s="8" t="s">
        <v>56</v>
      </c>
      <c r="AF321" s="9">
        <v>34563</v>
      </c>
      <c r="AG321" s="10">
        <v>1.1680555555555556</v>
      </c>
      <c r="AJ321" s="9">
        <v>43894</v>
      </c>
      <c r="AK321" s="11">
        <v>8.819444444444445E-2</v>
      </c>
      <c r="AP321" s="8" t="s">
        <v>113</v>
      </c>
      <c r="AR321" s="8" t="s">
        <v>4</v>
      </c>
      <c r="AS321" s="8" t="s">
        <v>4</v>
      </c>
      <c r="AY321" s="8" t="s">
        <v>113</v>
      </c>
      <c r="CF321" s="9"/>
      <c r="CG321" s="10"/>
      <c r="CJ321" s="9"/>
      <c r="CK321" s="11"/>
    </row>
    <row r="322" spans="1:102">
      <c r="A322" s="8">
        <v>18904</v>
      </c>
      <c r="B322" s="8" t="s">
        <v>1957</v>
      </c>
      <c r="C322" s="8" t="s">
        <v>1958</v>
      </c>
      <c r="D322" s="8" t="s">
        <v>1959</v>
      </c>
      <c r="E322" s="8" t="s">
        <v>139</v>
      </c>
      <c r="F322" s="8" t="s">
        <v>521</v>
      </c>
      <c r="G322" s="8" t="s">
        <v>1960</v>
      </c>
      <c r="I322" s="8" t="s">
        <v>1961</v>
      </c>
      <c r="J322" s="8" t="s">
        <v>1962</v>
      </c>
      <c r="K322" s="8" t="s">
        <v>240</v>
      </c>
      <c r="L322" s="8">
        <v>4118</v>
      </c>
      <c r="M322" s="8" t="s">
        <v>61</v>
      </c>
      <c r="N322" s="8" t="s">
        <v>110</v>
      </c>
      <c r="R322" s="8" t="s">
        <v>1963</v>
      </c>
      <c r="S322" s="8">
        <v>409473511</v>
      </c>
      <c r="T322" s="8" t="s">
        <v>1964</v>
      </c>
      <c r="AC322" s="8" t="s">
        <v>56</v>
      </c>
      <c r="AF322" s="9">
        <v>24967</v>
      </c>
      <c r="AG322" s="10">
        <v>2.2534722222222223</v>
      </c>
      <c r="AJ322" s="9">
        <v>43899</v>
      </c>
      <c r="AK322" s="11">
        <v>8.819444444444445E-2</v>
      </c>
      <c r="AP322" s="8" t="s">
        <v>113</v>
      </c>
      <c r="AR322" s="8" t="s">
        <v>4</v>
      </c>
      <c r="AS322" s="8" t="s">
        <v>4</v>
      </c>
      <c r="AY322" s="8" t="s">
        <v>113</v>
      </c>
      <c r="CF322" s="9"/>
      <c r="CG322" s="10"/>
      <c r="CJ322" s="9"/>
      <c r="CK322" s="11"/>
    </row>
    <row r="323" spans="1:102">
      <c r="A323" s="8">
        <v>18905</v>
      </c>
      <c r="B323" s="8" t="s">
        <v>1965</v>
      </c>
      <c r="C323" s="8" t="s">
        <v>1966</v>
      </c>
      <c r="D323" s="8" t="s">
        <v>1967</v>
      </c>
      <c r="E323" s="8" t="s">
        <v>148</v>
      </c>
      <c r="F323" s="8" t="s">
        <v>644</v>
      </c>
      <c r="G323" s="8" t="s">
        <v>1967</v>
      </c>
      <c r="I323" s="8" t="s">
        <v>1968</v>
      </c>
      <c r="J323" s="8" t="s">
        <v>1842</v>
      </c>
      <c r="K323" s="8" t="s">
        <v>60</v>
      </c>
      <c r="L323" s="8">
        <v>3128</v>
      </c>
      <c r="M323" s="8" t="s">
        <v>61</v>
      </c>
      <c r="N323" s="8" t="s">
        <v>110</v>
      </c>
      <c r="R323" s="8" t="s">
        <v>1969</v>
      </c>
      <c r="S323" s="8">
        <v>478132586</v>
      </c>
      <c r="T323" s="8" t="s">
        <v>1970</v>
      </c>
      <c r="AC323" s="8" t="s">
        <v>153</v>
      </c>
      <c r="AF323" s="9">
        <v>27863</v>
      </c>
      <c r="AG323" s="10">
        <v>1.9208333333333334</v>
      </c>
      <c r="AJ323" s="9">
        <v>43906</v>
      </c>
      <c r="AK323" s="11">
        <v>3.472222222222222E-3</v>
      </c>
      <c r="AP323" s="8" t="s">
        <v>113</v>
      </c>
      <c r="AR323" s="8" t="s">
        <v>4</v>
      </c>
      <c r="AS323" s="8" t="s">
        <v>4</v>
      </c>
      <c r="AT323" s="9">
        <v>44064</v>
      </c>
      <c r="AU323" s="8" t="s">
        <v>114</v>
      </c>
      <c r="AV323" s="8" t="s">
        <v>115</v>
      </c>
      <c r="AW323" s="10">
        <v>1.8361111111111112</v>
      </c>
      <c r="AX323" s="11">
        <v>3.472222222222222E-3</v>
      </c>
      <c r="CF323" s="9"/>
      <c r="CG323" s="10"/>
      <c r="CJ323" s="9"/>
      <c r="CK323" s="11"/>
      <c r="CT323" s="9"/>
      <c r="CW323" s="10"/>
      <c r="CX323" s="11"/>
    </row>
    <row r="324" spans="1:102">
      <c r="A324" s="8">
        <v>18906</v>
      </c>
      <c r="B324" s="8" t="s">
        <v>1971</v>
      </c>
      <c r="C324" s="8" t="s">
        <v>1972</v>
      </c>
      <c r="D324" s="8" t="s">
        <v>1973</v>
      </c>
      <c r="E324" s="8" t="s">
        <v>148</v>
      </c>
      <c r="F324" s="8" t="s">
        <v>119</v>
      </c>
      <c r="G324" s="8" t="s">
        <v>1973</v>
      </c>
      <c r="I324" s="8" t="s">
        <v>1974</v>
      </c>
      <c r="J324" s="8" t="s">
        <v>1975</v>
      </c>
      <c r="K324" s="8" t="s">
        <v>122</v>
      </c>
      <c r="L324" s="8">
        <v>2770</v>
      </c>
      <c r="M324" s="8" t="s">
        <v>61</v>
      </c>
      <c r="N324" s="8" t="s">
        <v>110</v>
      </c>
      <c r="R324" s="8" t="s">
        <v>1976</v>
      </c>
      <c r="S324" s="8">
        <v>404691516</v>
      </c>
      <c r="T324" s="8" t="s">
        <v>1977</v>
      </c>
      <c r="AC324" s="8" t="s">
        <v>153</v>
      </c>
      <c r="AF324" s="9">
        <v>23920</v>
      </c>
      <c r="AG324" s="10">
        <v>2.3777777777777778</v>
      </c>
      <c r="AJ324" s="9">
        <v>43913</v>
      </c>
      <c r="AK324" s="11">
        <v>4.5138888888888888E-2</v>
      </c>
      <c r="AP324" s="8" t="s">
        <v>113</v>
      </c>
      <c r="AR324" s="8" t="s">
        <v>4</v>
      </c>
      <c r="AS324" s="8" t="s">
        <v>4</v>
      </c>
      <c r="AT324" s="9">
        <v>44449</v>
      </c>
      <c r="AU324" s="8" t="s">
        <v>185</v>
      </c>
      <c r="AV324" s="8" t="s">
        <v>186</v>
      </c>
      <c r="AW324" s="10">
        <v>2.3347222222222221</v>
      </c>
      <c r="AX324" s="11">
        <v>4.5138888888888888E-2</v>
      </c>
      <c r="AY324" s="8" t="s">
        <v>113</v>
      </c>
      <c r="CF324" s="9"/>
      <c r="CG324" s="10"/>
      <c r="CJ324" s="9"/>
      <c r="CK324" s="11"/>
      <c r="CT324" s="9"/>
      <c r="CW324" s="10"/>
      <c r="CX324" s="11"/>
    </row>
    <row r="325" spans="1:102">
      <c r="A325" s="8">
        <v>18907</v>
      </c>
      <c r="B325" s="8" t="s">
        <v>1978</v>
      </c>
      <c r="C325" s="8" t="s">
        <v>1979</v>
      </c>
      <c r="D325" s="8" t="s">
        <v>1980</v>
      </c>
      <c r="E325" s="8" t="s">
        <v>376</v>
      </c>
      <c r="F325" s="8" t="s">
        <v>521</v>
      </c>
      <c r="G325" s="8" t="s">
        <v>1981</v>
      </c>
      <c r="I325" s="8" t="s">
        <v>1982</v>
      </c>
      <c r="J325" s="8" t="s">
        <v>1983</v>
      </c>
      <c r="K325" s="8" t="s">
        <v>60</v>
      </c>
      <c r="L325" s="8">
        <v>3156</v>
      </c>
      <c r="M325" s="8" t="s">
        <v>61</v>
      </c>
      <c r="N325" s="8" t="s">
        <v>110</v>
      </c>
      <c r="R325" s="8" t="s">
        <v>1984</v>
      </c>
      <c r="S325" s="8">
        <v>423377068</v>
      </c>
      <c r="T325" s="8" t="s">
        <v>1985</v>
      </c>
      <c r="Y325" s="8" t="s">
        <v>270</v>
      </c>
      <c r="Z325" s="8">
        <v>9999</v>
      </c>
      <c r="AC325" s="8" t="s">
        <v>56</v>
      </c>
      <c r="AF325" s="9">
        <v>35903</v>
      </c>
      <c r="AG325" s="10">
        <v>1.0041666666666667</v>
      </c>
      <c r="AJ325" s="9">
        <v>43920</v>
      </c>
      <c r="AK325" s="11">
        <v>6.2499999999999995E-3</v>
      </c>
      <c r="AP325" s="8" t="s">
        <v>113</v>
      </c>
      <c r="AR325" s="8" t="s">
        <v>4</v>
      </c>
      <c r="AS325" s="8" t="s">
        <v>4</v>
      </c>
      <c r="AT325" s="9">
        <v>44204</v>
      </c>
      <c r="AU325" s="8" t="s">
        <v>114</v>
      </c>
      <c r="AV325" s="8" t="s">
        <v>115</v>
      </c>
      <c r="AW325" s="11">
        <v>0.92222222222222217</v>
      </c>
      <c r="AX325" s="11">
        <v>6.2499999999999995E-3</v>
      </c>
      <c r="CF325" s="9"/>
      <c r="CG325" s="10"/>
      <c r="CJ325" s="9"/>
      <c r="CK325" s="11"/>
      <c r="CT325" s="9"/>
      <c r="CW325" s="11"/>
      <c r="CX325" s="11"/>
    </row>
    <row r="326" spans="1:102">
      <c r="A326" s="8">
        <v>18908</v>
      </c>
      <c r="B326" s="8" t="s">
        <v>1986</v>
      </c>
      <c r="C326" s="8" t="s">
        <v>1987</v>
      </c>
      <c r="D326" s="8" t="s">
        <v>1988</v>
      </c>
      <c r="E326" s="8" t="s">
        <v>148</v>
      </c>
      <c r="F326" s="8" t="s">
        <v>521</v>
      </c>
      <c r="G326" s="8" t="s">
        <v>1988</v>
      </c>
      <c r="I326" s="8" t="s">
        <v>1989</v>
      </c>
      <c r="J326" s="8" t="s">
        <v>1990</v>
      </c>
      <c r="K326" s="8" t="s">
        <v>240</v>
      </c>
      <c r="L326" s="8">
        <v>4503</v>
      </c>
      <c r="M326" s="8" t="s">
        <v>61</v>
      </c>
      <c r="N326" s="8" t="s">
        <v>110</v>
      </c>
      <c r="R326" s="8" t="s">
        <v>1991</v>
      </c>
      <c r="S326" s="8">
        <v>413123244</v>
      </c>
      <c r="T326" s="8" t="s">
        <v>1992</v>
      </c>
      <c r="AC326" s="8" t="s">
        <v>153</v>
      </c>
      <c r="AF326" s="9">
        <v>28949</v>
      </c>
      <c r="AG326" s="10">
        <v>1.7958333333333334</v>
      </c>
      <c r="AJ326" s="9">
        <v>43927</v>
      </c>
      <c r="AK326" s="11">
        <v>4.7916666666666663E-2</v>
      </c>
      <c r="AP326" s="8" t="s">
        <v>113</v>
      </c>
      <c r="AR326" s="8" t="s">
        <v>4</v>
      </c>
      <c r="AS326" s="8" t="s">
        <v>4</v>
      </c>
      <c r="AT326" s="9">
        <v>44594</v>
      </c>
      <c r="AU326" s="8" t="s">
        <v>114</v>
      </c>
      <c r="AV326" s="8" t="s">
        <v>115</v>
      </c>
      <c r="AW326" s="10">
        <v>1.7562499999999999</v>
      </c>
      <c r="AX326" s="11">
        <v>4.7916666666666663E-2</v>
      </c>
      <c r="AY326" s="8" t="s">
        <v>113</v>
      </c>
      <c r="CF326" s="9"/>
      <c r="CG326" s="10"/>
      <c r="CJ326" s="9"/>
      <c r="CK326" s="11"/>
      <c r="CT326" s="9"/>
      <c r="CW326" s="10"/>
      <c r="CX326" s="11"/>
    </row>
    <row r="327" spans="1:102">
      <c r="A327" s="8">
        <v>18909</v>
      </c>
      <c r="B327" s="8" t="s">
        <v>1993</v>
      </c>
      <c r="C327" s="8" t="s">
        <v>1994</v>
      </c>
      <c r="D327" s="8" t="s">
        <v>1995</v>
      </c>
      <c r="E327" s="8" t="s">
        <v>376</v>
      </c>
      <c r="F327" s="8" t="s">
        <v>129</v>
      </c>
      <c r="G327" s="8" t="s">
        <v>1995</v>
      </c>
      <c r="I327" s="8" t="s">
        <v>1996</v>
      </c>
      <c r="J327" s="8" t="s">
        <v>1997</v>
      </c>
      <c r="K327" s="8" t="s">
        <v>122</v>
      </c>
      <c r="L327" s="8">
        <v>2228</v>
      </c>
      <c r="M327" s="8" t="s">
        <v>61</v>
      </c>
      <c r="N327" s="8" t="s">
        <v>110</v>
      </c>
      <c r="R327" s="8" t="s">
        <v>1998</v>
      </c>
      <c r="S327" s="8">
        <v>404646889</v>
      </c>
      <c r="T327" s="8" t="s">
        <v>1999</v>
      </c>
      <c r="AF327" s="9">
        <v>33081</v>
      </c>
      <c r="AG327" s="10">
        <v>1.3354166666666665</v>
      </c>
      <c r="AJ327" s="9">
        <v>43930</v>
      </c>
      <c r="AK327" s="11">
        <v>5.5555555555555558E-3</v>
      </c>
      <c r="AP327" s="8" t="s">
        <v>113</v>
      </c>
      <c r="AR327" s="8" t="s">
        <v>4</v>
      </c>
      <c r="AS327" s="8" t="s">
        <v>4</v>
      </c>
      <c r="AT327" s="9">
        <v>44173</v>
      </c>
      <c r="AU327" s="8" t="s">
        <v>114</v>
      </c>
      <c r="AV327" s="8" t="s">
        <v>115</v>
      </c>
      <c r="AW327" s="10">
        <v>1.2527777777777778</v>
      </c>
      <c r="AX327" s="11">
        <v>5.5555555555555558E-3</v>
      </c>
      <c r="AY327" s="8" t="s">
        <v>113</v>
      </c>
      <c r="CF327" s="9"/>
      <c r="CG327" s="10"/>
      <c r="CJ327" s="9"/>
      <c r="CK327" s="11"/>
      <c r="CT327" s="9"/>
      <c r="CW327" s="10"/>
      <c r="CX327" s="11"/>
    </row>
    <row r="328" spans="1:102">
      <c r="A328" s="8">
        <v>18910</v>
      </c>
      <c r="B328" s="8" t="s">
        <v>2000</v>
      </c>
      <c r="C328" s="8" t="s">
        <v>2001</v>
      </c>
      <c r="D328" s="8" t="s">
        <v>2002</v>
      </c>
      <c r="E328" s="8" t="s">
        <v>106</v>
      </c>
      <c r="F328" s="8" t="s">
        <v>404</v>
      </c>
      <c r="G328" s="8" t="s">
        <v>2002</v>
      </c>
      <c r="I328" s="8" t="s">
        <v>2003</v>
      </c>
      <c r="J328" s="8" t="s">
        <v>2004</v>
      </c>
      <c r="K328" s="8" t="s">
        <v>122</v>
      </c>
      <c r="L328" s="8">
        <v>2038</v>
      </c>
      <c r="M328" s="8" t="s">
        <v>61</v>
      </c>
      <c r="N328" s="8" t="s">
        <v>110</v>
      </c>
      <c r="R328" s="8" t="s">
        <v>2005</v>
      </c>
      <c r="S328" s="8">
        <v>405761314</v>
      </c>
      <c r="T328" s="8" t="s">
        <v>2006</v>
      </c>
      <c r="AC328" s="8" t="s">
        <v>56</v>
      </c>
      <c r="AF328" s="9">
        <v>32712</v>
      </c>
      <c r="AG328" s="10">
        <v>1.3770833333333332</v>
      </c>
      <c r="AJ328" s="9">
        <v>43930</v>
      </c>
      <c r="AK328" s="11">
        <v>5.5555555555555558E-3</v>
      </c>
      <c r="AP328" s="8" t="s">
        <v>113</v>
      </c>
      <c r="AR328" s="8" t="s">
        <v>4</v>
      </c>
      <c r="AS328" s="8" t="s">
        <v>4</v>
      </c>
      <c r="AT328" s="9">
        <v>44197</v>
      </c>
      <c r="AU328" s="8" t="s">
        <v>114</v>
      </c>
      <c r="AV328" s="8" t="s">
        <v>115</v>
      </c>
      <c r="AW328" s="10">
        <v>1.2951388888888888</v>
      </c>
      <c r="AX328" s="11">
        <v>5.5555555555555558E-3</v>
      </c>
      <c r="AY328" s="8" t="s">
        <v>113</v>
      </c>
      <c r="CF328" s="9"/>
      <c r="CG328" s="10"/>
      <c r="CJ328" s="9"/>
      <c r="CK328" s="11"/>
      <c r="CT328" s="9"/>
      <c r="CW328" s="10"/>
      <c r="CX328" s="11"/>
    </row>
    <row r="329" spans="1:102">
      <c r="A329" s="8">
        <v>18911</v>
      </c>
      <c r="B329" s="8" t="s">
        <v>2007</v>
      </c>
      <c r="C329" s="8" t="s">
        <v>2008</v>
      </c>
      <c r="D329" s="8" t="s">
        <v>397</v>
      </c>
      <c r="E329" s="8" t="s">
        <v>106</v>
      </c>
      <c r="F329" s="8" t="s">
        <v>368</v>
      </c>
      <c r="G329" s="8" t="s">
        <v>397</v>
      </c>
      <c r="I329" s="8" t="s">
        <v>2009</v>
      </c>
      <c r="J329" s="8" t="s">
        <v>2010</v>
      </c>
      <c r="K329" s="8" t="s">
        <v>122</v>
      </c>
      <c r="L329" s="8">
        <v>2210</v>
      </c>
      <c r="M329" s="8" t="s">
        <v>61</v>
      </c>
      <c r="N329" s="8" t="s">
        <v>110</v>
      </c>
      <c r="R329" s="8" t="s">
        <v>2011</v>
      </c>
      <c r="S329" s="8">
        <v>480198870</v>
      </c>
      <c r="T329" s="8" t="s">
        <v>2012</v>
      </c>
      <c r="W329" s="8" t="s">
        <v>2009</v>
      </c>
      <c r="X329" s="8" t="s">
        <v>2010</v>
      </c>
      <c r="Y329" s="8" t="s">
        <v>122</v>
      </c>
      <c r="Z329" s="8">
        <v>2210</v>
      </c>
      <c r="AA329" s="8" t="s">
        <v>61</v>
      </c>
      <c r="AB329" s="8" t="s">
        <v>110</v>
      </c>
      <c r="AC329" s="8" t="s">
        <v>56</v>
      </c>
      <c r="AF329" s="9">
        <v>31583</v>
      </c>
      <c r="AG329" s="10">
        <v>1.502777777777778</v>
      </c>
      <c r="AJ329" s="9">
        <v>43930</v>
      </c>
      <c r="AK329" s="11">
        <v>8.7500000000000008E-2</v>
      </c>
      <c r="AP329" s="8" t="s">
        <v>113</v>
      </c>
      <c r="AR329" s="8" t="s">
        <v>4</v>
      </c>
      <c r="AS329" s="8" t="s">
        <v>4</v>
      </c>
      <c r="AY329" s="8" t="s">
        <v>113</v>
      </c>
      <c r="CF329" s="9"/>
      <c r="CG329" s="10"/>
      <c r="CJ329" s="9"/>
      <c r="CK329" s="11"/>
    </row>
    <row r="330" spans="1:102">
      <c r="A330" s="8">
        <v>18912</v>
      </c>
      <c r="B330" s="8" t="s">
        <v>2013</v>
      </c>
      <c r="C330" s="8" t="s">
        <v>199</v>
      </c>
      <c r="D330" s="8" t="s">
        <v>2014</v>
      </c>
      <c r="E330" s="8" t="s">
        <v>376</v>
      </c>
      <c r="F330" s="8" t="s">
        <v>119</v>
      </c>
      <c r="G330" s="8" t="s">
        <v>2015</v>
      </c>
      <c r="I330" s="8" t="s">
        <v>2016</v>
      </c>
      <c r="J330" s="8" t="s">
        <v>570</v>
      </c>
      <c r="K330" s="8" t="s">
        <v>122</v>
      </c>
      <c r="L330" s="8">
        <v>2565</v>
      </c>
      <c r="M330" s="8" t="s">
        <v>61</v>
      </c>
      <c r="N330" s="8" t="s">
        <v>110</v>
      </c>
      <c r="R330" s="8" t="s">
        <v>2017</v>
      </c>
      <c r="S330" s="8">
        <v>415937200</v>
      </c>
      <c r="T330" s="8" t="s">
        <v>2018</v>
      </c>
      <c r="AC330" s="8" t="s">
        <v>56</v>
      </c>
      <c r="AF330" s="9">
        <v>31813</v>
      </c>
      <c r="AG330" s="10">
        <v>1.4638888888888888</v>
      </c>
      <c r="AJ330" s="9">
        <v>44207</v>
      </c>
      <c r="AK330" s="11">
        <v>4.5138888888888888E-2</v>
      </c>
      <c r="AP330" s="8" t="s">
        <v>113</v>
      </c>
      <c r="AQ330" s="8" t="s">
        <v>4</v>
      </c>
      <c r="AR330" s="8" t="s">
        <v>4</v>
      </c>
      <c r="AS330" s="8" t="s">
        <v>4</v>
      </c>
      <c r="AT330" s="9">
        <v>44741</v>
      </c>
      <c r="AU330" s="8" t="s">
        <v>114</v>
      </c>
      <c r="AV330" s="8" t="s">
        <v>115</v>
      </c>
      <c r="AW330" s="10">
        <v>1.4611111111111112</v>
      </c>
      <c r="AX330" s="11">
        <v>4.5138888888888888E-2</v>
      </c>
      <c r="AY330" s="8" t="s">
        <v>4</v>
      </c>
      <c r="AZ330" s="8" t="s">
        <v>4</v>
      </c>
      <c r="CF330" s="9"/>
      <c r="CG330" s="10"/>
      <c r="CJ330" s="9"/>
      <c r="CK330" s="11"/>
      <c r="CT330" s="9"/>
      <c r="CW330" s="10"/>
      <c r="CX330" s="11"/>
    </row>
    <row r="331" spans="1:102">
      <c r="A331" s="8">
        <v>18913</v>
      </c>
      <c r="B331" s="8" t="s">
        <v>2019</v>
      </c>
      <c r="C331" s="8" t="s">
        <v>2020</v>
      </c>
      <c r="D331" s="8" t="s">
        <v>2021</v>
      </c>
      <c r="E331" s="8" t="s">
        <v>139</v>
      </c>
      <c r="F331" s="8" t="s">
        <v>119</v>
      </c>
      <c r="G331" s="8" t="s">
        <v>2022</v>
      </c>
      <c r="I331" s="8" t="s">
        <v>2023</v>
      </c>
      <c r="J331" s="8" t="s">
        <v>822</v>
      </c>
      <c r="K331" s="8" t="s">
        <v>60</v>
      </c>
      <c r="L331" s="8">
        <v>3150</v>
      </c>
      <c r="M331" s="8" t="s">
        <v>61</v>
      </c>
      <c r="N331" s="8" t="s">
        <v>110</v>
      </c>
      <c r="R331" s="8" t="s">
        <v>2024</v>
      </c>
      <c r="S331" s="8">
        <v>421508610</v>
      </c>
      <c r="T331" s="8" t="s">
        <v>2024</v>
      </c>
      <c r="AC331" s="8" t="s">
        <v>56</v>
      </c>
      <c r="AF331" s="9">
        <v>25300</v>
      </c>
      <c r="AG331" s="10">
        <v>2.2124999999999999</v>
      </c>
      <c r="AJ331" s="9">
        <v>43955</v>
      </c>
      <c r="AK331" s="11">
        <v>4.5138888888888888E-2</v>
      </c>
      <c r="AP331" s="8" t="s">
        <v>113</v>
      </c>
      <c r="AR331" s="8" t="s">
        <v>4</v>
      </c>
      <c r="AS331" s="8" t="s">
        <v>4</v>
      </c>
      <c r="AT331" s="9">
        <v>44474</v>
      </c>
      <c r="AU331" s="8" t="s">
        <v>114</v>
      </c>
      <c r="AV331" s="8" t="s">
        <v>115</v>
      </c>
      <c r="AW331" s="10">
        <v>2.1701388888888888</v>
      </c>
      <c r="AX331" s="11">
        <v>4.5138888888888888E-2</v>
      </c>
      <c r="CF331" s="9"/>
      <c r="CG331" s="10"/>
      <c r="CJ331" s="9"/>
      <c r="CK331" s="11"/>
      <c r="CT331" s="9"/>
      <c r="CW331" s="10"/>
      <c r="CX331" s="11"/>
    </row>
    <row r="332" spans="1:102">
      <c r="A332" s="8">
        <v>18914</v>
      </c>
      <c r="B332" s="8" t="s">
        <v>2025</v>
      </c>
      <c r="C332" s="8" t="s">
        <v>2026</v>
      </c>
      <c r="D332" s="8" t="s">
        <v>1273</v>
      </c>
      <c r="E332" s="8" t="s">
        <v>139</v>
      </c>
      <c r="F332" s="8" t="s">
        <v>309</v>
      </c>
      <c r="G332" s="8" t="s">
        <v>1273</v>
      </c>
      <c r="I332" s="8" t="s">
        <v>2027</v>
      </c>
      <c r="J332" s="8" t="s">
        <v>2028</v>
      </c>
      <c r="K332" s="8" t="s">
        <v>122</v>
      </c>
      <c r="L332" s="8">
        <v>2138</v>
      </c>
      <c r="M332" s="8" t="s">
        <v>61</v>
      </c>
      <c r="N332" s="8" t="s">
        <v>110</v>
      </c>
      <c r="R332" s="8" t="s">
        <v>2029</v>
      </c>
      <c r="S332" s="8">
        <v>406492173</v>
      </c>
      <c r="T332" s="8" t="s">
        <v>2030</v>
      </c>
      <c r="AC332" s="8" t="s">
        <v>56</v>
      </c>
      <c r="AF332" s="9">
        <v>34423</v>
      </c>
      <c r="AG332" s="10">
        <v>1.1715277777777777</v>
      </c>
      <c r="AJ332" s="9">
        <v>43976</v>
      </c>
      <c r="AK332" s="11">
        <v>4.3055555555555562E-2</v>
      </c>
      <c r="AP332" s="8" t="s">
        <v>113</v>
      </c>
      <c r="AR332" s="8" t="s">
        <v>4</v>
      </c>
      <c r="AS332" s="8" t="s">
        <v>4</v>
      </c>
      <c r="AT332" s="9">
        <v>44407</v>
      </c>
      <c r="AU332" s="8" t="s">
        <v>114</v>
      </c>
      <c r="AV332" s="8" t="s">
        <v>115</v>
      </c>
      <c r="AW332" s="10">
        <v>1.1277777777777778</v>
      </c>
      <c r="AX332" s="11">
        <v>4.3055555555555562E-2</v>
      </c>
      <c r="CF332" s="9"/>
      <c r="CG332" s="10"/>
      <c r="CJ332" s="9"/>
      <c r="CK332" s="11"/>
      <c r="CT332" s="9"/>
      <c r="CW332" s="10"/>
      <c r="CX332" s="11"/>
    </row>
    <row r="333" spans="1:102">
      <c r="A333" s="8">
        <v>18915</v>
      </c>
      <c r="B333" s="8" t="s">
        <v>2031</v>
      </c>
      <c r="C333" s="8" t="s">
        <v>2032</v>
      </c>
      <c r="D333" s="8" t="s">
        <v>2033</v>
      </c>
      <c r="E333" s="8" t="s">
        <v>139</v>
      </c>
      <c r="F333" s="8" t="s">
        <v>274</v>
      </c>
      <c r="G333" s="8" t="s">
        <v>2033</v>
      </c>
      <c r="I333" s="8" t="s">
        <v>2034</v>
      </c>
      <c r="J333" s="8" t="s">
        <v>2035</v>
      </c>
      <c r="K333" s="8" t="s">
        <v>122</v>
      </c>
      <c r="L333" s="8">
        <v>2142</v>
      </c>
      <c r="M333" s="8" t="s">
        <v>61</v>
      </c>
      <c r="N333" s="8" t="s">
        <v>110</v>
      </c>
      <c r="S333" s="8">
        <v>430751000</v>
      </c>
      <c r="T333" s="8" t="s">
        <v>2036</v>
      </c>
      <c r="AC333" s="8" t="s">
        <v>56</v>
      </c>
      <c r="AF333" s="9">
        <v>33162</v>
      </c>
      <c r="AG333" s="10">
        <v>1.3333333333333333</v>
      </c>
      <c r="AJ333" s="9">
        <v>43985</v>
      </c>
      <c r="AK333" s="11">
        <v>4.8611111111111112E-3</v>
      </c>
      <c r="AP333" s="8" t="s">
        <v>113</v>
      </c>
      <c r="AR333" s="8" t="s">
        <v>4</v>
      </c>
      <c r="AS333" s="8" t="s">
        <v>4</v>
      </c>
      <c r="AT333" s="9">
        <v>44204</v>
      </c>
      <c r="AU333" s="8" t="s">
        <v>114</v>
      </c>
      <c r="AV333" s="8" t="s">
        <v>115</v>
      </c>
      <c r="AW333" s="10">
        <v>1.2513888888888889</v>
      </c>
      <c r="AX333" s="11">
        <v>4.8611111111111112E-3</v>
      </c>
      <c r="AY333" s="8" t="s">
        <v>113</v>
      </c>
      <c r="CF333" s="9"/>
      <c r="CG333" s="10"/>
      <c r="CJ333" s="9"/>
      <c r="CK333" s="11"/>
      <c r="CT333" s="9"/>
      <c r="CW333" s="10"/>
      <c r="CX333" s="11"/>
    </row>
    <row r="334" spans="1:102">
      <c r="A334" s="8">
        <v>18916</v>
      </c>
      <c r="B334" s="8" t="s">
        <v>2037</v>
      </c>
      <c r="C334" s="8" t="s">
        <v>2038</v>
      </c>
      <c r="D334" s="8" t="s">
        <v>1927</v>
      </c>
      <c r="E334" s="8" t="s">
        <v>139</v>
      </c>
      <c r="F334" s="8" t="s">
        <v>119</v>
      </c>
      <c r="G334" s="8" t="s">
        <v>1927</v>
      </c>
      <c r="I334" s="8" t="s">
        <v>2039</v>
      </c>
      <c r="J334" s="8" t="s">
        <v>2040</v>
      </c>
      <c r="K334" s="8" t="s">
        <v>60</v>
      </c>
      <c r="L334" s="8">
        <v>3161</v>
      </c>
      <c r="M334" s="8" t="s">
        <v>61</v>
      </c>
      <c r="N334" s="8" t="s">
        <v>110</v>
      </c>
      <c r="O334" s="8">
        <v>416062613</v>
      </c>
      <c r="R334" s="8" t="s">
        <v>2041</v>
      </c>
      <c r="S334" s="8">
        <v>416062613</v>
      </c>
      <c r="T334" s="8" t="s">
        <v>2042</v>
      </c>
      <c r="W334" s="8" t="s">
        <v>2039</v>
      </c>
      <c r="X334" s="8" t="s">
        <v>2040</v>
      </c>
      <c r="Y334" s="8" t="s">
        <v>60</v>
      </c>
      <c r="Z334" s="8">
        <v>3161</v>
      </c>
      <c r="AA334" s="8" t="s">
        <v>61</v>
      </c>
      <c r="AB334" s="8" t="s">
        <v>110</v>
      </c>
      <c r="AC334" s="8" t="s">
        <v>56</v>
      </c>
      <c r="AF334" s="9">
        <v>34741</v>
      </c>
      <c r="AG334" s="10">
        <v>1.1305555555555555</v>
      </c>
      <c r="AJ334" s="9">
        <v>44004</v>
      </c>
      <c r="AK334" s="11">
        <v>8.6111111111111124E-2</v>
      </c>
      <c r="AP334" s="8" t="s">
        <v>113</v>
      </c>
      <c r="AR334" s="8" t="s">
        <v>4</v>
      </c>
      <c r="AS334" s="8" t="s">
        <v>4</v>
      </c>
      <c r="AY334" s="8" t="s">
        <v>113</v>
      </c>
      <c r="CF334" s="9"/>
      <c r="CG334" s="10"/>
      <c r="CJ334" s="9"/>
      <c r="CK334" s="11"/>
    </row>
    <row r="335" spans="1:102">
      <c r="A335" s="8">
        <v>18917</v>
      </c>
      <c r="B335" s="8" t="s">
        <v>2043</v>
      </c>
      <c r="C335" s="8" t="s">
        <v>2044</v>
      </c>
      <c r="D335" s="8" t="s">
        <v>2045</v>
      </c>
      <c r="E335" s="8" t="s">
        <v>139</v>
      </c>
      <c r="F335" s="8" t="s">
        <v>247</v>
      </c>
      <c r="G335" s="8" t="s">
        <v>2045</v>
      </c>
      <c r="I335" s="8" t="s">
        <v>2046</v>
      </c>
      <c r="J335" s="8" t="s">
        <v>2047</v>
      </c>
      <c r="K335" s="8" t="s">
        <v>240</v>
      </c>
      <c r="L335" s="8">
        <v>4305</v>
      </c>
      <c r="M335" s="8" t="s">
        <v>61</v>
      </c>
      <c r="N335" s="8" t="s">
        <v>110</v>
      </c>
      <c r="R335" s="8" t="s">
        <v>2048</v>
      </c>
      <c r="S335" s="8">
        <v>432521050</v>
      </c>
      <c r="T335" s="8" t="s">
        <v>2049</v>
      </c>
      <c r="Y335" s="8" t="s">
        <v>270</v>
      </c>
      <c r="Z335" s="8">
        <v>9999</v>
      </c>
      <c r="AC335" s="8" t="s">
        <v>56</v>
      </c>
      <c r="AF335" s="9">
        <v>30212</v>
      </c>
      <c r="AG335" s="10">
        <v>1.6673611111111111</v>
      </c>
      <c r="AJ335" s="9">
        <v>44005</v>
      </c>
      <c r="AK335" s="11">
        <v>8.6111111111111124E-2</v>
      </c>
      <c r="AP335" s="8" t="s">
        <v>113</v>
      </c>
      <c r="AR335" s="8" t="s">
        <v>4</v>
      </c>
      <c r="AS335" s="8" t="s">
        <v>4</v>
      </c>
      <c r="AY335" s="8" t="s">
        <v>113</v>
      </c>
      <c r="CF335" s="9"/>
      <c r="CG335" s="10"/>
      <c r="CJ335" s="9"/>
      <c r="CK335" s="11"/>
    </row>
    <row r="336" spans="1:102">
      <c r="A336" s="8">
        <v>18918</v>
      </c>
      <c r="B336" s="8" t="s">
        <v>2050</v>
      </c>
      <c r="C336" s="8" t="s">
        <v>2051</v>
      </c>
      <c r="D336" s="8" t="s">
        <v>2052</v>
      </c>
      <c r="E336" s="8" t="s">
        <v>139</v>
      </c>
      <c r="F336" s="8" t="s">
        <v>368</v>
      </c>
      <c r="G336" s="8" t="s">
        <v>2052</v>
      </c>
      <c r="I336" s="8" t="s">
        <v>2053</v>
      </c>
      <c r="J336" s="8" t="s">
        <v>936</v>
      </c>
      <c r="K336" s="8" t="s">
        <v>60</v>
      </c>
      <c r="L336" s="8">
        <v>3109</v>
      </c>
      <c r="M336" s="8" t="s">
        <v>61</v>
      </c>
      <c r="N336" s="8" t="s">
        <v>110</v>
      </c>
      <c r="S336" s="8">
        <v>488310557</v>
      </c>
      <c r="AC336" s="8" t="s">
        <v>56</v>
      </c>
      <c r="AF336" s="9">
        <v>32023</v>
      </c>
      <c r="AG336" s="10">
        <v>1.4590277777777778</v>
      </c>
      <c r="AJ336" s="9">
        <v>44004</v>
      </c>
      <c r="AK336" s="11">
        <v>8.6111111111111124E-2</v>
      </c>
      <c r="AP336" s="8" t="s">
        <v>113</v>
      </c>
      <c r="AR336" s="8" t="s">
        <v>4</v>
      </c>
      <c r="AS336" s="8" t="s">
        <v>4</v>
      </c>
      <c r="AY336" s="8" t="s">
        <v>113</v>
      </c>
      <c r="CF336" s="9"/>
      <c r="CG336" s="10"/>
      <c r="CJ336" s="9"/>
      <c r="CK336" s="11"/>
    </row>
    <row r="337" spans="1:102">
      <c r="A337" s="8">
        <v>18919</v>
      </c>
      <c r="B337" s="8" t="s">
        <v>2054</v>
      </c>
      <c r="C337" s="8" t="s">
        <v>2055</v>
      </c>
      <c r="D337" s="8" t="s">
        <v>2056</v>
      </c>
      <c r="E337" s="8" t="s">
        <v>148</v>
      </c>
      <c r="F337" s="8" t="s">
        <v>2057</v>
      </c>
      <c r="G337" s="8" t="s">
        <v>2058</v>
      </c>
      <c r="I337" s="8" t="s">
        <v>2059</v>
      </c>
      <c r="J337" s="8" t="s">
        <v>2060</v>
      </c>
      <c r="K337" s="8" t="s">
        <v>240</v>
      </c>
      <c r="L337" s="8">
        <v>4116</v>
      </c>
      <c r="M337" s="8" t="s">
        <v>61</v>
      </c>
      <c r="N337" s="8" t="s">
        <v>110</v>
      </c>
      <c r="R337" s="8" t="s">
        <v>2061</v>
      </c>
      <c r="S337" s="8">
        <v>430129637</v>
      </c>
      <c r="T337" s="8" t="s">
        <v>2062</v>
      </c>
      <c r="W337" s="8" t="s">
        <v>2059</v>
      </c>
      <c r="X337" s="8" t="s">
        <v>2060</v>
      </c>
      <c r="Y337" s="8" t="s">
        <v>240</v>
      </c>
      <c r="Z337" s="8">
        <v>4116</v>
      </c>
      <c r="AA337" s="8" t="s">
        <v>61</v>
      </c>
      <c r="AB337" s="8" t="s">
        <v>110</v>
      </c>
      <c r="AC337" s="8" t="s">
        <v>153</v>
      </c>
      <c r="AF337" s="9">
        <v>32106</v>
      </c>
      <c r="AG337" s="10">
        <v>1.4243055555555555</v>
      </c>
      <c r="AJ337" s="9">
        <v>44053</v>
      </c>
      <c r="AK337" s="11">
        <v>6.9444444444444441E-3</v>
      </c>
      <c r="AP337" s="8" t="s">
        <v>113</v>
      </c>
      <c r="AR337" s="8" t="s">
        <v>4</v>
      </c>
      <c r="AS337" s="8" t="s">
        <v>4</v>
      </c>
      <c r="AT337" s="9">
        <v>44364</v>
      </c>
      <c r="AU337" s="8" t="s">
        <v>114</v>
      </c>
      <c r="AV337" s="8" t="s">
        <v>115</v>
      </c>
      <c r="AW337" s="10">
        <v>1.3791666666666667</v>
      </c>
      <c r="AX337" s="11">
        <v>6.9444444444444441E-3</v>
      </c>
      <c r="AY337" s="8" t="s">
        <v>113</v>
      </c>
      <c r="CF337" s="9"/>
      <c r="CG337" s="10"/>
      <c r="CJ337" s="9"/>
      <c r="CK337" s="11"/>
      <c r="CT337" s="9"/>
      <c r="CW337" s="10"/>
      <c r="CX337" s="11"/>
    </row>
    <row r="338" spans="1:102">
      <c r="D338" s="8" t="s">
        <v>2058</v>
      </c>
    </row>
    <row r="339" spans="1:102">
      <c r="A339" s="8">
        <v>18920</v>
      </c>
      <c r="B339" s="8" t="s">
        <v>2063</v>
      </c>
      <c r="C339" s="8" t="s">
        <v>2064</v>
      </c>
      <c r="D339" s="8" t="s">
        <v>2065</v>
      </c>
      <c r="E339" s="8" t="s">
        <v>106</v>
      </c>
      <c r="F339" s="8" t="s">
        <v>129</v>
      </c>
      <c r="G339" s="8" t="s">
        <v>2065</v>
      </c>
      <c r="I339" s="8" t="s">
        <v>2066</v>
      </c>
      <c r="J339" s="8" t="s">
        <v>2067</v>
      </c>
      <c r="K339" s="8" t="s">
        <v>240</v>
      </c>
      <c r="L339" s="8">
        <v>4510</v>
      </c>
      <c r="M339" s="8" t="s">
        <v>61</v>
      </c>
      <c r="N339" s="8" t="s">
        <v>110</v>
      </c>
      <c r="R339" s="8" t="s">
        <v>2068</v>
      </c>
      <c r="S339" s="8" t="s">
        <v>2069</v>
      </c>
      <c r="T339" s="8" t="s">
        <v>2070</v>
      </c>
      <c r="Y339" s="8" t="s">
        <v>270</v>
      </c>
      <c r="Z339" s="8">
        <v>9999</v>
      </c>
      <c r="AC339" s="8" t="s">
        <v>56</v>
      </c>
      <c r="AF339" s="9">
        <v>25674</v>
      </c>
      <c r="AG339" s="10">
        <v>2.1708333333333334</v>
      </c>
      <c r="AJ339" s="9">
        <v>44063</v>
      </c>
      <c r="AK339" s="11">
        <v>8.4722222222222213E-2</v>
      </c>
      <c r="AP339" s="8" t="s">
        <v>113</v>
      </c>
      <c r="AQ339" s="8" t="s">
        <v>4</v>
      </c>
      <c r="AR339" s="8" t="s">
        <v>4</v>
      </c>
      <c r="AS339" s="8" t="s">
        <v>4</v>
      </c>
      <c r="AY339" s="8" t="s">
        <v>4</v>
      </c>
      <c r="AZ339" s="8" t="s">
        <v>4</v>
      </c>
      <c r="CF339" s="9"/>
      <c r="CG339" s="10"/>
      <c r="CJ339" s="9"/>
      <c r="CK339" s="11"/>
    </row>
    <row r="340" spans="1:102">
      <c r="A340" s="8">
        <v>18921</v>
      </c>
      <c r="B340" s="8" t="s">
        <v>2071</v>
      </c>
      <c r="C340" s="8" t="s">
        <v>2072</v>
      </c>
      <c r="D340" s="8" t="s">
        <v>2073</v>
      </c>
      <c r="E340" s="8" t="s">
        <v>139</v>
      </c>
      <c r="F340" s="8" t="s">
        <v>368</v>
      </c>
      <c r="G340" s="8" t="s">
        <v>2073</v>
      </c>
      <c r="I340" s="8" t="s">
        <v>2074</v>
      </c>
      <c r="J340" s="8" t="s">
        <v>2075</v>
      </c>
      <c r="K340" s="8" t="s">
        <v>60</v>
      </c>
      <c r="L340" s="8">
        <v>3163</v>
      </c>
      <c r="M340" s="8" t="s">
        <v>61</v>
      </c>
      <c r="N340" s="8" t="s">
        <v>110</v>
      </c>
      <c r="R340" s="8" t="s">
        <v>2076</v>
      </c>
      <c r="S340" s="8">
        <v>411960252</v>
      </c>
      <c r="T340" s="8" t="s">
        <v>2077</v>
      </c>
      <c r="Y340" s="8" t="s">
        <v>270</v>
      </c>
      <c r="Z340" s="8">
        <v>9999</v>
      </c>
      <c r="AC340" s="8" t="s">
        <v>56</v>
      </c>
      <c r="AF340" s="9">
        <v>33488</v>
      </c>
      <c r="AG340" s="10">
        <v>1.2923611111111111</v>
      </c>
      <c r="AJ340" s="9">
        <v>44090</v>
      </c>
      <c r="AK340" s="11">
        <v>6.2499999999999995E-3</v>
      </c>
      <c r="AP340" s="8" t="s">
        <v>113</v>
      </c>
      <c r="AQ340" s="8" t="s">
        <v>4</v>
      </c>
      <c r="AR340" s="8" t="s">
        <v>4</v>
      </c>
      <c r="AS340" s="8" t="s">
        <v>4</v>
      </c>
      <c r="AT340" s="9">
        <v>44362</v>
      </c>
      <c r="AU340" s="8" t="s">
        <v>114</v>
      </c>
      <c r="AV340" s="8" t="s">
        <v>115</v>
      </c>
      <c r="AW340" s="10">
        <v>1.2145833333333333</v>
      </c>
      <c r="AX340" s="11">
        <v>6.2499999999999995E-3</v>
      </c>
      <c r="AY340" s="8" t="s">
        <v>4</v>
      </c>
      <c r="AZ340" s="8" t="s">
        <v>4</v>
      </c>
      <c r="CF340" s="9"/>
      <c r="CG340" s="10"/>
      <c r="CJ340" s="9"/>
      <c r="CK340" s="11"/>
      <c r="CT340" s="9"/>
      <c r="CW340" s="10"/>
      <c r="CX340" s="11"/>
    </row>
    <row r="341" spans="1:102">
      <c r="A341" s="8">
        <v>18922</v>
      </c>
      <c r="B341" s="8" t="s">
        <v>2078</v>
      </c>
      <c r="C341" s="8" t="s">
        <v>2079</v>
      </c>
      <c r="D341" s="8" t="s">
        <v>2080</v>
      </c>
      <c r="E341" s="8" t="s">
        <v>376</v>
      </c>
      <c r="F341" s="8" t="s">
        <v>2081</v>
      </c>
      <c r="G341" s="8" t="s">
        <v>2082</v>
      </c>
      <c r="I341" s="8" t="s">
        <v>2083</v>
      </c>
      <c r="J341" s="8" t="s">
        <v>602</v>
      </c>
      <c r="K341" s="8" t="s">
        <v>60</v>
      </c>
      <c r="L341" s="8">
        <v>3133</v>
      </c>
      <c r="M341" s="8" t="s">
        <v>61</v>
      </c>
      <c r="N341" s="8" t="s">
        <v>110</v>
      </c>
      <c r="R341" s="8" t="s">
        <v>2084</v>
      </c>
      <c r="S341" s="8">
        <v>434823360</v>
      </c>
      <c r="T341" s="8" t="s">
        <v>2085</v>
      </c>
      <c r="Y341" s="8" t="s">
        <v>270</v>
      </c>
      <c r="Z341" s="8">
        <v>9999</v>
      </c>
      <c r="AC341" s="8" t="s">
        <v>56</v>
      </c>
      <c r="AF341" s="9">
        <v>34499</v>
      </c>
      <c r="AG341" s="10">
        <v>1.1694444444444445</v>
      </c>
      <c r="AJ341" s="9">
        <v>44102</v>
      </c>
      <c r="AK341" s="11">
        <v>4.4444444444444446E-2</v>
      </c>
      <c r="AP341" s="8" t="s">
        <v>113</v>
      </c>
      <c r="AR341" s="8" t="s">
        <v>4</v>
      </c>
      <c r="AS341" s="8" t="s">
        <v>4</v>
      </c>
      <c r="AT341" s="9">
        <v>44603</v>
      </c>
      <c r="AU341" s="8" t="s">
        <v>114</v>
      </c>
      <c r="AV341" s="8" t="s">
        <v>115</v>
      </c>
      <c r="AW341" s="10">
        <v>1.1298611111111112</v>
      </c>
      <c r="AX341" s="11">
        <v>4.4444444444444446E-2</v>
      </c>
      <c r="CF341" s="9"/>
      <c r="CG341" s="10"/>
      <c r="CJ341" s="9"/>
      <c r="CK341" s="11"/>
      <c r="CT341" s="9"/>
      <c r="CW341" s="10"/>
      <c r="CX341" s="11"/>
    </row>
    <row r="342" spans="1:102">
      <c r="D342" s="8" t="s">
        <v>2082</v>
      </c>
    </row>
    <row r="343" spans="1:102">
      <c r="A343" s="8">
        <v>18923</v>
      </c>
      <c r="B343" s="8" t="s">
        <v>2086</v>
      </c>
      <c r="C343" s="8" t="s">
        <v>2087</v>
      </c>
      <c r="D343" s="8" t="s">
        <v>2088</v>
      </c>
      <c r="E343" s="8" t="s">
        <v>139</v>
      </c>
      <c r="F343" s="8" t="s">
        <v>869</v>
      </c>
      <c r="G343" s="8" t="s">
        <v>2088</v>
      </c>
      <c r="I343" s="8" t="s">
        <v>2089</v>
      </c>
      <c r="J343" s="8" t="s">
        <v>109</v>
      </c>
      <c r="K343" s="8" t="s">
        <v>60</v>
      </c>
      <c r="L343" s="8">
        <v>3156</v>
      </c>
      <c r="M343" s="8" t="s">
        <v>61</v>
      </c>
      <c r="N343" s="8" t="s">
        <v>110</v>
      </c>
      <c r="R343" s="8" t="s">
        <v>2090</v>
      </c>
      <c r="S343" s="8">
        <v>431417204</v>
      </c>
      <c r="T343" s="8" t="s">
        <v>2091</v>
      </c>
      <c r="AC343" s="8" t="s">
        <v>56</v>
      </c>
      <c r="AF343" s="9">
        <v>26070</v>
      </c>
      <c r="AG343" s="10">
        <v>2.1284722222222223</v>
      </c>
      <c r="AJ343" s="9">
        <v>44092</v>
      </c>
      <c r="AK343" s="11">
        <v>8.4027777777777771E-2</v>
      </c>
      <c r="AP343" s="8" t="s">
        <v>113</v>
      </c>
      <c r="AR343" s="8" t="s">
        <v>4</v>
      </c>
      <c r="AS343" s="8" t="s">
        <v>4</v>
      </c>
      <c r="AY343" s="8" t="s">
        <v>113</v>
      </c>
      <c r="CF343" s="9"/>
      <c r="CG343" s="10"/>
      <c r="CJ343" s="9"/>
      <c r="CK343" s="11"/>
    </row>
    <row r="344" spans="1:102">
      <c r="D344" s="8" t="s">
        <v>484</v>
      </c>
    </row>
    <row r="345" spans="1:102">
      <c r="A345" s="8">
        <v>18924</v>
      </c>
      <c r="B345" s="8" t="s">
        <v>2092</v>
      </c>
      <c r="C345" s="8" t="s">
        <v>2093</v>
      </c>
      <c r="D345" s="8" t="s">
        <v>2094</v>
      </c>
      <c r="E345" s="8" t="s">
        <v>106</v>
      </c>
      <c r="F345" s="8" t="s">
        <v>247</v>
      </c>
      <c r="G345" s="8" t="s">
        <v>2094</v>
      </c>
      <c r="I345" s="8" t="s">
        <v>2095</v>
      </c>
      <c r="J345" s="8" t="s">
        <v>2096</v>
      </c>
      <c r="K345" s="8" t="s">
        <v>240</v>
      </c>
      <c r="L345" s="8">
        <v>4152</v>
      </c>
      <c r="M345" s="8" t="s">
        <v>61</v>
      </c>
      <c r="N345" s="8" t="s">
        <v>110</v>
      </c>
      <c r="S345" s="8">
        <v>470697106</v>
      </c>
      <c r="T345" s="8" t="s">
        <v>2097</v>
      </c>
      <c r="AC345" s="8" t="s">
        <v>56</v>
      </c>
      <c r="AF345" s="9">
        <v>33348</v>
      </c>
      <c r="AG345" s="10">
        <v>1.2958333333333334</v>
      </c>
      <c r="AJ345" s="9">
        <v>44102</v>
      </c>
      <c r="AK345" s="11">
        <v>8.4027777777777771E-2</v>
      </c>
      <c r="AP345" s="8" t="s">
        <v>113</v>
      </c>
      <c r="AR345" s="8" t="s">
        <v>4</v>
      </c>
      <c r="AS345" s="8" t="s">
        <v>4</v>
      </c>
      <c r="AY345" s="8" t="s">
        <v>113</v>
      </c>
      <c r="CF345" s="9"/>
      <c r="CG345" s="10"/>
      <c r="CJ345" s="9"/>
      <c r="CK345" s="11"/>
    </row>
    <row r="346" spans="1:102">
      <c r="A346" s="8">
        <v>18925</v>
      </c>
      <c r="B346" s="8" t="s">
        <v>2098</v>
      </c>
      <c r="C346" s="8" t="s">
        <v>2099</v>
      </c>
      <c r="D346" s="8" t="s">
        <v>2100</v>
      </c>
      <c r="E346" s="8" t="s">
        <v>376</v>
      </c>
      <c r="F346" s="8" t="s">
        <v>2101</v>
      </c>
      <c r="G346" s="8" t="s">
        <v>2100</v>
      </c>
      <c r="I346" s="8" t="s">
        <v>2102</v>
      </c>
      <c r="J346" s="8" t="s">
        <v>2103</v>
      </c>
      <c r="K346" s="8" t="s">
        <v>122</v>
      </c>
      <c r="L346" s="8">
        <v>2219</v>
      </c>
      <c r="M346" s="8" t="s">
        <v>61</v>
      </c>
      <c r="N346" s="8" t="s">
        <v>110</v>
      </c>
      <c r="R346" s="8" t="s">
        <v>2104</v>
      </c>
      <c r="S346" s="8">
        <v>413327239</v>
      </c>
      <c r="T346" s="8" t="s">
        <v>2105</v>
      </c>
      <c r="Y346" s="8" t="s">
        <v>270</v>
      </c>
      <c r="Z346" s="8">
        <v>9999</v>
      </c>
      <c r="AC346" s="8" t="s">
        <v>56</v>
      </c>
      <c r="AF346" s="9">
        <v>35192</v>
      </c>
      <c r="AG346" s="10">
        <v>1.0868055555555556</v>
      </c>
      <c r="AJ346" s="9">
        <v>44130</v>
      </c>
      <c r="AK346" s="11">
        <v>4.5138888888888888E-2</v>
      </c>
      <c r="AP346" s="8" t="s">
        <v>113</v>
      </c>
      <c r="AR346" s="8" t="s">
        <v>4</v>
      </c>
      <c r="AS346" s="8" t="s">
        <v>4</v>
      </c>
      <c r="AT346" s="9">
        <v>44671</v>
      </c>
      <c r="AU346" s="8" t="s">
        <v>114</v>
      </c>
      <c r="AV346" s="8" t="s">
        <v>115</v>
      </c>
      <c r="AW346" s="10">
        <v>1.0493055555555555</v>
      </c>
      <c r="AX346" s="11">
        <v>4.5138888888888888E-2</v>
      </c>
      <c r="AY346" s="8" t="s">
        <v>113</v>
      </c>
      <c r="CF346" s="9"/>
      <c r="CG346" s="10"/>
      <c r="CJ346" s="9"/>
      <c r="CK346" s="11"/>
      <c r="CT346" s="9"/>
      <c r="CW346" s="10"/>
      <c r="CX346" s="11"/>
    </row>
    <row r="347" spans="1:102">
      <c r="D347" s="8" t="s">
        <v>2106</v>
      </c>
    </row>
    <row r="348" spans="1:102">
      <c r="A348" s="8">
        <v>18926</v>
      </c>
      <c r="B348" s="8" t="s">
        <v>2107</v>
      </c>
      <c r="C348" s="8" t="s">
        <v>1491</v>
      </c>
      <c r="D348" s="8" t="s">
        <v>2108</v>
      </c>
      <c r="E348" s="8" t="s">
        <v>148</v>
      </c>
      <c r="F348" s="8" t="s">
        <v>2109</v>
      </c>
      <c r="G348" s="8" t="s">
        <v>2108</v>
      </c>
      <c r="I348" s="8" t="s">
        <v>2110</v>
      </c>
      <c r="J348" s="8" t="s">
        <v>2111</v>
      </c>
      <c r="K348" s="8" t="s">
        <v>60</v>
      </c>
      <c r="L348" s="8">
        <v>3143</v>
      </c>
      <c r="M348" s="8" t="s">
        <v>61</v>
      </c>
      <c r="N348" s="8" t="s">
        <v>110</v>
      </c>
      <c r="R348" s="8" t="s">
        <v>2112</v>
      </c>
      <c r="S348" s="8">
        <v>487192700</v>
      </c>
      <c r="T348" s="8" t="s">
        <v>2113</v>
      </c>
      <c r="AC348" s="8" t="s">
        <v>153</v>
      </c>
      <c r="AF348" s="9">
        <v>17632</v>
      </c>
      <c r="AG348" s="10">
        <v>3.0874999999999999</v>
      </c>
      <c r="AJ348" s="9">
        <v>44180</v>
      </c>
      <c r="AK348" s="11">
        <v>4.1666666666666666E-3</v>
      </c>
      <c r="AP348" s="8" t="s">
        <v>113</v>
      </c>
      <c r="AR348" s="8" t="s">
        <v>4</v>
      </c>
      <c r="AS348" s="8" t="s">
        <v>4</v>
      </c>
      <c r="AT348" s="9">
        <v>44364</v>
      </c>
      <c r="AU348" s="8" t="s">
        <v>114</v>
      </c>
      <c r="AV348" s="8" t="s">
        <v>115</v>
      </c>
      <c r="AW348" s="10">
        <v>3.0430555555555556</v>
      </c>
      <c r="AX348" s="11">
        <v>4.1666666666666666E-3</v>
      </c>
      <c r="CF348" s="9"/>
      <c r="CG348" s="10"/>
      <c r="CJ348" s="9"/>
      <c r="CK348" s="11"/>
      <c r="CT348" s="9"/>
      <c r="CW348" s="10"/>
      <c r="CX348" s="11"/>
    </row>
    <row r="349" spans="1:102">
      <c r="D349" s="8" t="s">
        <v>2114</v>
      </c>
    </row>
    <row r="350" spans="1:102">
      <c r="A350" s="8">
        <v>18927</v>
      </c>
      <c r="B350" s="8" t="s">
        <v>2115</v>
      </c>
      <c r="C350" s="8" t="s">
        <v>2116</v>
      </c>
      <c r="D350" s="8" t="s">
        <v>2117</v>
      </c>
      <c r="E350" s="8" t="s">
        <v>106</v>
      </c>
      <c r="F350" s="8" t="s">
        <v>2118</v>
      </c>
      <c r="G350" s="8" t="s">
        <v>2117</v>
      </c>
      <c r="I350" s="8" t="s">
        <v>2119</v>
      </c>
      <c r="J350" s="8" t="s">
        <v>1915</v>
      </c>
      <c r="K350" s="8" t="s">
        <v>293</v>
      </c>
      <c r="L350" s="8">
        <v>6000</v>
      </c>
      <c r="M350" s="8" t="s">
        <v>61</v>
      </c>
      <c r="N350" s="8" t="s">
        <v>110</v>
      </c>
      <c r="R350" s="8" t="s">
        <v>2120</v>
      </c>
      <c r="S350" s="8">
        <v>450127148</v>
      </c>
      <c r="T350" s="8" t="s">
        <v>2121</v>
      </c>
      <c r="W350" s="8" t="s">
        <v>2119</v>
      </c>
      <c r="X350" s="8" t="s">
        <v>1915</v>
      </c>
      <c r="Y350" s="8" t="s">
        <v>293</v>
      </c>
      <c r="Z350" s="8">
        <v>6000</v>
      </c>
      <c r="AA350" s="8" t="s">
        <v>61</v>
      </c>
      <c r="AB350" s="8" t="s">
        <v>110</v>
      </c>
      <c r="AC350" s="8" t="s">
        <v>56</v>
      </c>
      <c r="AF350" s="9">
        <v>32731</v>
      </c>
      <c r="AG350" s="10">
        <v>1.3763888888888889</v>
      </c>
      <c r="AJ350" s="9">
        <v>44186</v>
      </c>
      <c r="AK350" s="11">
        <v>4.8611111111111112E-2</v>
      </c>
      <c r="AP350" s="8" t="s">
        <v>113</v>
      </c>
      <c r="AR350" s="8" t="s">
        <v>4</v>
      </c>
      <c r="AS350" s="8" t="s">
        <v>4</v>
      </c>
      <c r="AY350" s="8" t="s">
        <v>113</v>
      </c>
      <c r="CF350" s="9"/>
      <c r="CG350" s="10"/>
      <c r="CJ350" s="9"/>
      <c r="CK350" s="11"/>
    </row>
    <row r="351" spans="1:102">
      <c r="D351" s="8" t="s">
        <v>2122</v>
      </c>
      <c r="W351" s="8" t="s">
        <v>2123</v>
      </c>
    </row>
    <row r="352" spans="1:102">
      <c r="A352" s="8">
        <v>18928</v>
      </c>
      <c r="B352" s="8" t="s">
        <v>2124</v>
      </c>
      <c r="C352" s="8" t="s">
        <v>2125</v>
      </c>
      <c r="D352" s="8" t="s">
        <v>2126</v>
      </c>
      <c r="E352" s="8" t="s">
        <v>148</v>
      </c>
      <c r="F352" s="8" t="s">
        <v>545</v>
      </c>
      <c r="G352" s="8" t="s">
        <v>2126</v>
      </c>
      <c r="I352" s="8" t="s">
        <v>2127</v>
      </c>
      <c r="J352" s="8" t="s">
        <v>2128</v>
      </c>
      <c r="K352" s="8" t="s">
        <v>60</v>
      </c>
      <c r="L352" s="8">
        <v>3026</v>
      </c>
      <c r="M352" s="8" t="s">
        <v>61</v>
      </c>
      <c r="N352" s="8" t="s">
        <v>110</v>
      </c>
      <c r="R352" s="8" t="s">
        <v>2129</v>
      </c>
      <c r="S352" s="8">
        <v>466441967</v>
      </c>
      <c r="T352" s="8" t="s">
        <v>2130</v>
      </c>
      <c r="Y352" s="8" t="s">
        <v>270</v>
      </c>
      <c r="Z352" s="8">
        <v>9999</v>
      </c>
      <c r="AC352" s="8" t="s">
        <v>153</v>
      </c>
      <c r="AF352" s="9">
        <v>25356</v>
      </c>
      <c r="AG352" s="10">
        <v>2.2111111111111112</v>
      </c>
      <c r="AJ352" s="9">
        <v>44214</v>
      </c>
      <c r="AK352" s="11">
        <v>0</v>
      </c>
      <c r="AP352" s="8" t="s">
        <v>113</v>
      </c>
      <c r="AR352" s="8" t="s">
        <v>4</v>
      </c>
      <c r="AS352" s="8" t="s">
        <v>4</v>
      </c>
      <c r="AT352" s="9">
        <v>44225</v>
      </c>
      <c r="AU352" s="8" t="s">
        <v>114</v>
      </c>
      <c r="AV352" s="8" t="s">
        <v>115</v>
      </c>
      <c r="AW352" s="10">
        <v>2.129861111111111</v>
      </c>
      <c r="AX352" s="11">
        <v>0</v>
      </c>
      <c r="AY352" s="8" t="s">
        <v>113</v>
      </c>
      <c r="CF352" s="9"/>
      <c r="CG352" s="10"/>
      <c r="CJ352" s="9"/>
      <c r="CK352" s="11"/>
      <c r="CT352" s="9"/>
      <c r="CW352" s="10"/>
      <c r="CX352" s="11"/>
    </row>
    <row r="353" spans="1:102">
      <c r="A353" s="8">
        <v>18929</v>
      </c>
      <c r="B353" s="8" t="s">
        <v>2131</v>
      </c>
      <c r="C353" s="8" t="s">
        <v>2132</v>
      </c>
      <c r="D353" s="8" t="s">
        <v>2133</v>
      </c>
      <c r="E353" s="8" t="s">
        <v>376</v>
      </c>
      <c r="F353" s="8" t="s">
        <v>358</v>
      </c>
      <c r="G353" s="8" t="s">
        <v>2133</v>
      </c>
      <c r="I353" s="8" t="s">
        <v>2134</v>
      </c>
      <c r="J353" s="8" t="s">
        <v>2135</v>
      </c>
      <c r="K353" s="8" t="s">
        <v>60</v>
      </c>
      <c r="L353" s="8">
        <v>3058</v>
      </c>
      <c r="M353" s="8" t="s">
        <v>61</v>
      </c>
      <c r="N353" s="8" t="s">
        <v>110</v>
      </c>
      <c r="R353" s="8" t="s">
        <v>2136</v>
      </c>
      <c r="S353" s="8">
        <v>415241465</v>
      </c>
      <c r="T353" s="8" t="s">
        <v>2137</v>
      </c>
      <c r="Y353" s="8" t="s">
        <v>270</v>
      </c>
      <c r="Z353" s="8">
        <v>9999</v>
      </c>
      <c r="AC353" s="8" t="s">
        <v>56</v>
      </c>
      <c r="AF353" s="9">
        <v>36285</v>
      </c>
      <c r="AG353" s="11">
        <v>0.96180555555555547</v>
      </c>
      <c r="AJ353" s="9">
        <v>44214</v>
      </c>
      <c r="AK353" s="11">
        <v>4.7916666666666663E-2</v>
      </c>
      <c r="AP353" s="8" t="s">
        <v>113</v>
      </c>
      <c r="AR353" s="8" t="s">
        <v>4</v>
      </c>
      <c r="AS353" s="8" t="s">
        <v>4</v>
      </c>
      <c r="AY353" s="8" t="s">
        <v>113</v>
      </c>
      <c r="CF353" s="9"/>
      <c r="CG353" s="11"/>
      <c r="CJ353" s="9"/>
      <c r="CK353" s="11"/>
    </row>
    <row r="354" spans="1:102">
      <c r="A354" s="8">
        <v>18930</v>
      </c>
      <c r="B354" s="8" t="s">
        <v>2138</v>
      </c>
      <c r="C354" s="8" t="s">
        <v>2139</v>
      </c>
      <c r="D354" s="8" t="s">
        <v>2140</v>
      </c>
      <c r="E354" s="8" t="s">
        <v>376</v>
      </c>
      <c r="F354" s="8" t="s">
        <v>521</v>
      </c>
      <c r="G354" s="8" t="s">
        <v>2140</v>
      </c>
      <c r="I354" s="8" t="s">
        <v>2141</v>
      </c>
      <c r="J354" s="8" t="s">
        <v>2142</v>
      </c>
      <c r="K354" s="8" t="s">
        <v>240</v>
      </c>
      <c r="L354" s="8">
        <v>4032</v>
      </c>
      <c r="M354" s="8" t="s">
        <v>61</v>
      </c>
      <c r="N354" s="8" t="s">
        <v>110</v>
      </c>
      <c r="R354" s="8" t="s">
        <v>2143</v>
      </c>
      <c r="S354" s="8">
        <v>415037917</v>
      </c>
      <c r="T354" s="8" t="s">
        <v>2144</v>
      </c>
      <c r="AC354" s="8" t="s">
        <v>56</v>
      </c>
      <c r="AF354" s="9">
        <v>34240</v>
      </c>
      <c r="AG354" s="10">
        <v>1.2090277777777778</v>
      </c>
      <c r="AJ354" s="9">
        <v>44223</v>
      </c>
      <c r="AK354" s="11">
        <v>2.7777777777777779E-3</v>
      </c>
      <c r="AP354" s="8" t="s">
        <v>113</v>
      </c>
      <c r="AR354" s="8" t="s">
        <v>4</v>
      </c>
      <c r="AS354" s="8" t="s">
        <v>4</v>
      </c>
      <c r="AT354" s="9">
        <v>44344</v>
      </c>
      <c r="AU354" s="8" t="s">
        <v>114</v>
      </c>
      <c r="AV354" s="8" t="s">
        <v>115</v>
      </c>
      <c r="AW354" s="10">
        <v>1.1305555555555555</v>
      </c>
      <c r="AX354" s="11">
        <v>2.7777777777777779E-3</v>
      </c>
      <c r="AY354" s="8" t="s">
        <v>113</v>
      </c>
      <c r="CF354" s="9"/>
      <c r="CG354" s="10"/>
      <c r="CJ354" s="9"/>
      <c r="CK354" s="11"/>
      <c r="CT354" s="9"/>
      <c r="CW354" s="10"/>
      <c r="CX354" s="11"/>
    </row>
    <row r="355" spans="1:102">
      <c r="A355" s="8">
        <v>18931</v>
      </c>
      <c r="B355" s="8" t="s">
        <v>2145</v>
      </c>
      <c r="C355" s="8" t="s">
        <v>2146</v>
      </c>
      <c r="D355" s="8" t="s">
        <v>2147</v>
      </c>
      <c r="E355" s="8" t="s">
        <v>376</v>
      </c>
      <c r="F355" s="8" t="s">
        <v>545</v>
      </c>
      <c r="G355" s="8" t="s">
        <v>2147</v>
      </c>
      <c r="I355" s="8" t="s">
        <v>2148</v>
      </c>
      <c r="J355" s="8" t="s">
        <v>2149</v>
      </c>
      <c r="K355" s="8" t="s">
        <v>60</v>
      </c>
      <c r="L355" s="8">
        <v>3003</v>
      </c>
      <c r="M355" s="8" t="s">
        <v>61</v>
      </c>
      <c r="N355" s="8" t="s">
        <v>110</v>
      </c>
      <c r="R355" s="8" t="s">
        <v>2150</v>
      </c>
      <c r="S355" s="8">
        <v>411956998</v>
      </c>
      <c r="T355" s="8" t="s">
        <v>2151</v>
      </c>
      <c r="AC355" s="8" t="s">
        <v>56</v>
      </c>
      <c r="AF355" s="9">
        <v>36431</v>
      </c>
      <c r="AG355" s="11">
        <v>0.9590277777777777</v>
      </c>
      <c r="AJ355" s="9">
        <v>44221</v>
      </c>
      <c r="AK355" s="11">
        <v>5.5555555555555558E-3</v>
      </c>
      <c r="AP355" s="8" t="s">
        <v>113</v>
      </c>
      <c r="AR355" s="8" t="s">
        <v>4</v>
      </c>
      <c r="AS355" s="8" t="s">
        <v>4</v>
      </c>
      <c r="AT355" s="9">
        <v>44482</v>
      </c>
      <c r="AU355" s="8" t="s">
        <v>1683</v>
      </c>
      <c r="AV355" s="8" t="s">
        <v>1684</v>
      </c>
      <c r="AW355" s="11">
        <v>0.91666666666666663</v>
      </c>
      <c r="AX355" s="11">
        <v>5.5555555555555558E-3</v>
      </c>
      <c r="AY355" s="8" t="s">
        <v>113</v>
      </c>
      <c r="CF355" s="9"/>
      <c r="CG355" s="11"/>
      <c r="CJ355" s="9"/>
      <c r="CK355" s="11"/>
      <c r="CT355" s="9"/>
      <c r="CW355" s="11"/>
      <c r="CX355" s="11"/>
    </row>
    <row r="356" spans="1:102">
      <c r="A356" s="8">
        <v>18932</v>
      </c>
      <c r="B356" s="8" t="s">
        <v>2152</v>
      </c>
      <c r="C356" s="8" t="s">
        <v>2153</v>
      </c>
      <c r="D356" s="8" t="s">
        <v>2154</v>
      </c>
      <c r="E356" s="8" t="s">
        <v>148</v>
      </c>
      <c r="F356" s="8" t="s">
        <v>368</v>
      </c>
      <c r="G356" s="8" t="s">
        <v>2154</v>
      </c>
      <c r="I356" s="8" t="s">
        <v>2155</v>
      </c>
      <c r="J356" s="8" t="s">
        <v>2156</v>
      </c>
      <c r="K356" s="8" t="s">
        <v>60</v>
      </c>
      <c r="L356" s="8">
        <v>3181</v>
      </c>
      <c r="M356" s="8" t="s">
        <v>61</v>
      </c>
      <c r="N356" s="8" t="s">
        <v>110</v>
      </c>
      <c r="R356" s="8" t="s">
        <v>2157</v>
      </c>
      <c r="S356" s="8">
        <v>410170213</v>
      </c>
      <c r="T356" s="8" t="s">
        <v>2158</v>
      </c>
      <c r="AC356" s="8" t="s">
        <v>153</v>
      </c>
      <c r="AF356" s="9">
        <v>33495</v>
      </c>
      <c r="AG356" s="10">
        <v>1.2923611111111111</v>
      </c>
      <c r="AJ356" s="9">
        <v>44223</v>
      </c>
      <c r="AK356" s="11">
        <v>4.7916666666666663E-2</v>
      </c>
      <c r="AP356" s="8" t="s">
        <v>113</v>
      </c>
      <c r="AR356" s="8" t="s">
        <v>4</v>
      </c>
      <c r="AS356" s="8" t="s">
        <v>4</v>
      </c>
      <c r="AY356" s="8" t="s">
        <v>113</v>
      </c>
      <c r="CF356" s="9"/>
      <c r="CG356" s="10"/>
      <c r="CJ356" s="9"/>
      <c r="CK356" s="11"/>
    </row>
    <row r="357" spans="1:102">
      <c r="A357" s="8">
        <v>18933</v>
      </c>
      <c r="B357" s="8" t="s">
        <v>2159</v>
      </c>
      <c r="C357" s="8" t="s">
        <v>2160</v>
      </c>
      <c r="D357" s="8" t="s">
        <v>2161</v>
      </c>
      <c r="E357" s="8" t="s">
        <v>139</v>
      </c>
      <c r="F357" s="8" t="s">
        <v>644</v>
      </c>
      <c r="G357" s="8" t="s">
        <v>2161</v>
      </c>
      <c r="I357" s="8" t="s">
        <v>2162</v>
      </c>
      <c r="J357" s="8" t="s">
        <v>2163</v>
      </c>
      <c r="K357" s="8" t="s">
        <v>240</v>
      </c>
      <c r="L357" s="8">
        <v>4078</v>
      </c>
      <c r="M357" s="8" t="s">
        <v>61</v>
      </c>
      <c r="N357" s="8" t="s">
        <v>110</v>
      </c>
      <c r="R357" s="8" t="s">
        <v>2164</v>
      </c>
      <c r="S357" s="8">
        <v>402209214</v>
      </c>
      <c r="T357" s="8" t="s">
        <v>2165</v>
      </c>
      <c r="AC357" s="8" t="s">
        <v>56</v>
      </c>
      <c r="AF357" s="9">
        <v>26941</v>
      </c>
      <c r="AG357" s="10">
        <v>2.0416666666666665</v>
      </c>
      <c r="AJ357" s="9">
        <v>44228</v>
      </c>
      <c r="AK357" s="11">
        <v>4.3750000000000004E-2</v>
      </c>
      <c r="AP357" s="8" t="s">
        <v>113</v>
      </c>
      <c r="AR357" s="8" t="s">
        <v>4</v>
      </c>
      <c r="AS357" s="8" t="s">
        <v>4</v>
      </c>
      <c r="AT357" s="9">
        <v>44706</v>
      </c>
      <c r="AU357" s="8" t="s">
        <v>114</v>
      </c>
      <c r="AV357" s="8" t="s">
        <v>115</v>
      </c>
      <c r="AW357" s="10">
        <v>2.004861111111111</v>
      </c>
      <c r="AX357" s="11">
        <v>4.3750000000000004E-2</v>
      </c>
      <c r="AY357" s="8" t="s">
        <v>113</v>
      </c>
      <c r="CF357" s="9"/>
      <c r="CG357" s="10"/>
      <c r="CJ357" s="9"/>
      <c r="CK357" s="11"/>
      <c r="CT357" s="9"/>
      <c r="CW357" s="10"/>
      <c r="CX357" s="11"/>
    </row>
    <row r="358" spans="1:102">
      <c r="A358" s="8">
        <v>18934</v>
      </c>
      <c r="B358" s="8" t="s">
        <v>2166</v>
      </c>
      <c r="C358" s="8" t="s">
        <v>2167</v>
      </c>
      <c r="D358" s="8" t="s">
        <v>2168</v>
      </c>
      <c r="E358" s="8" t="s">
        <v>106</v>
      </c>
      <c r="F358" s="8" t="s">
        <v>2169</v>
      </c>
      <c r="G358" s="8" t="s">
        <v>2168</v>
      </c>
      <c r="I358" s="8" t="s">
        <v>2170</v>
      </c>
      <c r="J358" s="8" t="s">
        <v>399</v>
      </c>
      <c r="K358" s="8" t="s">
        <v>60</v>
      </c>
      <c r="L358" s="8">
        <v>3175</v>
      </c>
      <c r="M358" s="8" t="s">
        <v>61</v>
      </c>
      <c r="N358" s="8" t="s">
        <v>110</v>
      </c>
      <c r="R358" s="8" t="s">
        <v>2171</v>
      </c>
      <c r="S358" s="8">
        <v>430100181</v>
      </c>
      <c r="T358" s="8" t="s">
        <v>2172</v>
      </c>
      <c r="AC358" s="8" t="s">
        <v>56</v>
      </c>
      <c r="AF358" s="9">
        <v>32301</v>
      </c>
      <c r="AG358" s="10">
        <v>1.4194444444444445</v>
      </c>
      <c r="AJ358" s="9">
        <v>44238</v>
      </c>
      <c r="AK358" s="11">
        <v>6.9444444444444441E-3</v>
      </c>
      <c r="AP358" s="8" t="s">
        <v>113</v>
      </c>
      <c r="AR358" s="8" t="s">
        <v>4</v>
      </c>
      <c r="AS358" s="8" t="s">
        <v>4</v>
      </c>
      <c r="AT358" s="9">
        <v>44546</v>
      </c>
      <c r="AU358" s="8" t="s">
        <v>114</v>
      </c>
      <c r="AV358" s="8" t="s">
        <v>115</v>
      </c>
      <c r="AW358" s="10">
        <v>1.3791666666666667</v>
      </c>
      <c r="AX358" s="11">
        <v>6.9444444444444441E-3</v>
      </c>
      <c r="CF358" s="9"/>
      <c r="CG358" s="10"/>
      <c r="CJ358" s="9"/>
      <c r="CK358" s="11"/>
      <c r="CT358" s="9"/>
      <c r="CW358" s="10"/>
      <c r="CX358" s="11"/>
    </row>
    <row r="359" spans="1:102">
      <c r="D359" s="8" t="s">
        <v>2173</v>
      </c>
    </row>
    <row r="360" spans="1:102">
      <c r="A360" s="8">
        <v>18935</v>
      </c>
      <c r="B360" s="8" t="s">
        <v>2174</v>
      </c>
      <c r="C360" s="8" t="s">
        <v>2175</v>
      </c>
      <c r="D360" s="8" t="s">
        <v>2176</v>
      </c>
      <c r="E360" s="8" t="s">
        <v>376</v>
      </c>
      <c r="F360" s="8" t="s">
        <v>545</v>
      </c>
      <c r="G360" s="8" t="s">
        <v>2176</v>
      </c>
      <c r="I360" s="8" t="s">
        <v>2177</v>
      </c>
      <c r="J360" s="8" t="s">
        <v>2178</v>
      </c>
      <c r="K360" s="8" t="s">
        <v>240</v>
      </c>
      <c r="L360" s="8">
        <v>4509</v>
      </c>
      <c r="M360" s="8" t="s">
        <v>61</v>
      </c>
      <c r="N360" s="8" t="s">
        <v>110</v>
      </c>
      <c r="R360" s="8" t="s">
        <v>2179</v>
      </c>
      <c r="S360" s="8">
        <v>434952143</v>
      </c>
      <c r="T360" s="8" t="s">
        <v>2180</v>
      </c>
      <c r="AC360" s="8" t="s">
        <v>56</v>
      </c>
      <c r="AF360" s="9">
        <v>34619</v>
      </c>
      <c r="AG360" s="10">
        <v>1.1666666666666667</v>
      </c>
      <c r="AJ360" s="9">
        <v>44235</v>
      </c>
      <c r="AK360" s="11">
        <v>4.1666666666666666E-3</v>
      </c>
      <c r="AP360" s="8" t="s">
        <v>113</v>
      </c>
      <c r="AR360" s="8" t="s">
        <v>4</v>
      </c>
      <c r="AS360" s="8" t="s">
        <v>4</v>
      </c>
      <c r="AT360" s="9">
        <v>44416</v>
      </c>
      <c r="AU360" s="8" t="s">
        <v>114</v>
      </c>
      <c r="AV360" s="8" t="s">
        <v>115</v>
      </c>
      <c r="AW360" s="10">
        <v>1.0895833333333333</v>
      </c>
      <c r="AX360" s="11">
        <v>3.472222222222222E-3</v>
      </c>
      <c r="AY360" s="8" t="s">
        <v>113</v>
      </c>
      <c r="CF360" s="9"/>
      <c r="CG360" s="10"/>
      <c r="CJ360" s="9"/>
      <c r="CK360" s="11"/>
      <c r="CT360" s="9"/>
      <c r="CW360" s="10"/>
      <c r="CX360" s="11"/>
    </row>
    <row r="361" spans="1:102">
      <c r="A361" s="8">
        <v>18936</v>
      </c>
      <c r="B361" s="8" t="s">
        <v>2181</v>
      </c>
      <c r="C361" s="8" t="s">
        <v>2182</v>
      </c>
      <c r="D361" s="8" t="s">
        <v>2183</v>
      </c>
      <c r="E361" s="8" t="s">
        <v>139</v>
      </c>
      <c r="F361" s="8" t="s">
        <v>521</v>
      </c>
      <c r="G361" s="8" t="s">
        <v>2183</v>
      </c>
      <c r="I361" s="8" t="s">
        <v>2184</v>
      </c>
      <c r="J361" s="8" t="s">
        <v>822</v>
      </c>
      <c r="K361" s="8" t="s">
        <v>60</v>
      </c>
      <c r="L361" s="8">
        <v>3150</v>
      </c>
      <c r="M361" s="8" t="s">
        <v>61</v>
      </c>
      <c r="N361" s="8" t="s">
        <v>110</v>
      </c>
      <c r="R361" s="8" t="s">
        <v>2185</v>
      </c>
      <c r="S361" s="8">
        <v>413546168</v>
      </c>
      <c r="T361" s="8" t="s">
        <v>2186</v>
      </c>
      <c r="AC361" s="8" t="s">
        <v>56</v>
      </c>
      <c r="AF361" s="9">
        <v>29413</v>
      </c>
      <c r="AG361" s="10">
        <v>1.7520833333333332</v>
      </c>
      <c r="AJ361" s="9">
        <v>44242</v>
      </c>
      <c r="AK361" s="11">
        <v>5.5555555555555558E-3</v>
      </c>
      <c r="AP361" s="8" t="s">
        <v>113</v>
      </c>
      <c r="AR361" s="8" t="s">
        <v>4</v>
      </c>
      <c r="AS361" s="8" t="s">
        <v>4</v>
      </c>
      <c r="AT361" s="9">
        <v>44498</v>
      </c>
      <c r="AU361" s="8" t="s">
        <v>114</v>
      </c>
      <c r="AV361" s="8" t="s">
        <v>115</v>
      </c>
      <c r="AW361" s="10">
        <v>1.7104166666666665</v>
      </c>
      <c r="AX361" s="11">
        <v>5.5555555555555558E-3</v>
      </c>
      <c r="AY361" s="8" t="s">
        <v>113</v>
      </c>
      <c r="CF361" s="9"/>
      <c r="CG361" s="10"/>
      <c r="CJ361" s="9"/>
      <c r="CK361" s="11"/>
      <c r="CT361" s="9"/>
      <c r="CW361" s="10"/>
      <c r="CX361" s="11"/>
    </row>
    <row r="362" spans="1:102">
      <c r="A362" s="8">
        <v>18937</v>
      </c>
      <c r="B362" s="8" t="s">
        <v>2187</v>
      </c>
      <c r="C362" s="8" t="s">
        <v>2188</v>
      </c>
      <c r="D362" s="8" t="s">
        <v>2189</v>
      </c>
      <c r="E362" s="8" t="s">
        <v>106</v>
      </c>
      <c r="F362" s="8" t="s">
        <v>2190</v>
      </c>
      <c r="G362" s="8" t="s">
        <v>2189</v>
      </c>
      <c r="I362" s="8" t="s">
        <v>2191</v>
      </c>
      <c r="J362" s="8" t="s">
        <v>1869</v>
      </c>
      <c r="K362" s="8" t="s">
        <v>122</v>
      </c>
      <c r="L362" s="8">
        <v>2176</v>
      </c>
      <c r="M362" s="8" t="s">
        <v>61</v>
      </c>
      <c r="N362" s="8" t="s">
        <v>110</v>
      </c>
      <c r="R362" s="8" t="s">
        <v>2192</v>
      </c>
      <c r="S362" s="8">
        <v>416520006</v>
      </c>
      <c r="T362" s="8" t="s">
        <v>2193</v>
      </c>
      <c r="AC362" s="8" t="s">
        <v>56</v>
      </c>
      <c r="AF362" s="9">
        <v>34215</v>
      </c>
      <c r="AG362" s="10">
        <v>1.2090277777777778</v>
      </c>
      <c r="AJ362" s="9">
        <v>44246</v>
      </c>
      <c r="AK362" s="11">
        <v>7.6388888888888886E-3</v>
      </c>
      <c r="AP362" s="8" t="s">
        <v>113</v>
      </c>
      <c r="AR362" s="8" t="s">
        <v>4</v>
      </c>
      <c r="AS362" s="8" t="s">
        <v>4</v>
      </c>
      <c r="AT362" s="9">
        <v>44588</v>
      </c>
      <c r="AU362" s="8" t="s">
        <v>114</v>
      </c>
      <c r="AV362" s="8" t="s">
        <v>115</v>
      </c>
      <c r="AW362" s="10">
        <v>1.1694444444444445</v>
      </c>
      <c r="AX362" s="11">
        <v>7.6388888888888886E-3</v>
      </c>
      <c r="AY362" s="8" t="s">
        <v>113</v>
      </c>
      <c r="CF362" s="9"/>
      <c r="CG362" s="10"/>
      <c r="CJ362" s="9"/>
      <c r="CK362" s="11"/>
      <c r="CT362" s="9"/>
      <c r="CW362" s="10"/>
      <c r="CX362" s="11"/>
    </row>
    <row r="363" spans="1:102">
      <c r="D363" s="8" t="s">
        <v>2194</v>
      </c>
    </row>
    <row r="364" spans="1:102">
      <c r="A364" s="8">
        <v>18938</v>
      </c>
      <c r="B364" s="8" t="s">
        <v>2195</v>
      </c>
      <c r="C364" s="8" t="s">
        <v>2196</v>
      </c>
      <c r="D364" s="8" t="s">
        <v>1858</v>
      </c>
      <c r="E364" s="8" t="s">
        <v>148</v>
      </c>
      <c r="F364" s="8" t="s">
        <v>129</v>
      </c>
      <c r="G364" s="8" t="s">
        <v>1858</v>
      </c>
      <c r="I364" s="8" t="s">
        <v>2197</v>
      </c>
      <c r="J364" s="8" t="s">
        <v>2198</v>
      </c>
      <c r="K364" s="8" t="s">
        <v>122</v>
      </c>
      <c r="L364" s="8">
        <v>2173</v>
      </c>
      <c r="M364" s="8" t="s">
        <v>61</v>
      </c>
      <c r="N364" s="8" t="s">
        <v>110</v>
      </c>
      <c r="R364" s="8" t="s">
        <v>2199</v>
      </c>
      <c r="S364" s="8">
        <v>416138586</v>
      </c>
      <c r="T364" s="8" t="s">
        <v>2200</v>
      </c>
      <c r="AC364" s="8" t="s">
        <v>153</v>
      </c>
      <c r="AF364" s="9">
        <v>35988</v>
      </c>
      <c r="AG364" s="10">
        <v>1.0020833333333334</v>
      </c>
      <c r="AJ364" s="9">
        <v>44246</v>
      </c>
      <c r="AK364" s="11">
        <v>4.3750000000000004E-2</v>
      </c>
      <c r="AP364" s="8" t="s">
        <v>113</v>
      </c>
      <c r="AR364" s="8" t="s">
        <v>4</v>
      </c>
      <c r="AS364" s="8" t="s">
        <v>4</v>
      </c>
      <c r="AT364" s="9">
        <v>44714</v>
      </c>
      <c r="AU364" s="8" t="s">
        <v>114</v>
      </c>
      <c r="AV364" s="8" t="s">
        <v>115</v>
      </c>
      <c r="AW364" s="11">
        <v>0.96527777777777779</v>
      </c>
      <c r="AX364" s="11">
        <v>4.3750000000000004E-2</v>
      </c>
      <c r="AY364" s="8" t="s">
        <v>113</v>
      </c>
      <c r="CF364" s="9"/>
      <c r="CG364" s="10"/>
      <c r="CJ364" s="9"/>
      <c r="CK364" s="11"/>
      <c r="CT364" s="9"/>
      <c r="CW364" s="11"/>
      <c r="CX364" s="11"/>
    </row>
    <row r="365" spans="1:102">
      <c r="A365" s="8">
        <v>18939</v>
      </c>
      <c r="B365" s="8" t="s">
        <v>2201</v>
      </c>
      <c r="C365" s="8" t="s">
        <v>2202</v>
      </c>
      <c r="D365" s="8" t="s">
        <v>1113</v>
      </c>
      <c r="E365" s="8" t="s">
        <v>139</v>
      </c>
      <c r="F365" s="8" t="s">
        <v>2203</v>
      </c>
      <c r="G365" s="8" t="s">
        <v>1113</v>
      </c>
      <c r="I365" s="8" t="s">
        <v>2204</v>
      </c>
      <c r="J365" s="8" t="s">
        <v>2205</v>
      </c>
      <c r="K365" s="8" t="s">
        <v>122</v>
      </c>
      <c r="L365" s="8">
        <v>2042</v>
      </c>
      <c r="M365" s="8" t="s">
        <v>61</v>
      </c>
      <c r="N365" s="8" t="s">
        <v>110</v>
      </c>
      <c r="R365" s="8" t="s">
        <v>2206</v>
      </c>
      <c r="S365" s="8">
        <v>408491764</v>
      </c>
      <c r="T365" s="8" t="s">
        <v>2206</v>
      </c>
      <c r="U365" s="8">
        <v>408491764</v>
      </c>
      <c r="V365" s="8">
        <v>6803</v>
      </c>
      <c r="W365" s="8" t="s">
        <v>2207</v>
      </c>
      <c r="X365" s="8" t="s">
        <v>2205</v>
      </c>
      <c r="Y365" s="8" t="s">
        <v>122</v>
      </c>
      <c r="Z365" s="8">
        <v>2042</v>
      </c>
      <c r="AA365" s="8" t="s">
        <v>61</v>
      </c>
      <c r="AB365" s="8" t="s">
        <v>110</v>
      </c>
      <c r="AC365" s="8" t="s">
        <v>56</v>
      </c>
      <c r="AF365" s="9">
        <v>34093</v>
      </c>
      <c r="AG365" s="10">
        <v>1.2118055555555556</v>
      </c>
      <c r="AJ365" s="9">
        <v>44256</v>
      </c>
      <c r="AK365" s="11">
        <v>4.6527777777777779E-2</v>
      </c>
      <c r="AP365" s="8" t="s">
        <v>113</v>
      </c>
      <c r="AR365" s="8" t="s">
        <v>4</v>
      </c>
      <c r="AS365" s="8" t="s">
        <v>4</v>
      </c>
      <c r="AT365" s="9">
        <v>44834</v>
      </c>
      <c r="AU365" s="8" t="s">
        <v>114</v>
      </c>
      <c r="AV365" s="8" t="s">
        <v>115</v>
      </c>
      <c r="AW365" s="10">
        <v>1.211111111111111</v>
      </c>
      <c r="AX365" s="11">
        <v>4.6527777777777779E-2</v>
      </c>
      <c r="CF365" s="9"/>
      <c r="CG365" s="10"/>
      <c r="CJ365" s="9"/>
      <c r="CK365" s="11"/>
      <c r="CT365" s="9"/>
      <c r="CW365" s="10"/>
      <c r="CX365" s="11"/>
    </row>
    <row r="366" spans="1:102">
      <c r="D366" s="8" t="s">
        <v>2208</v>
      </c>
    </row>
    <row r="367" spans="1:102">
      <c r="A367" s="8">
        <v>18940</v>
      </c>
      <c r="B367" s="8" t="s">
        <v>2209</v>
      </c>
      <c r="C367" s="8" t="s">
        <v>2210</v>
      </c>
      <c r="D367" s="8" t="s">
        <v>2211</v>
      </c>
      <c r="E367" s="8" t="s">
        <v>148</v>
      </c>
      <c r="F367" s="8" t="s">
        <v>2212</v>
      </c>
      <c r="G367" s="8" t="s">
        <v>2211</v>
      </c>
      <c r="I367" s="8" t="s">
        <v>2213</v>
      </c>
      <c r="J367" s="8" t="s">
        <v>2214</v>
      </c>
      <c r="K367" s="8" t="s">
        <v>60</v>
      </c>
      <c r="L367" s="8">
        <v>3995</v>
      </c>
      <c r="M367" s="8" t="s">
        <v>61</v>
      </c>
      <c r="N367" s="8" t="s">
        <v>110</v>
      </c>
      <c r="R367" s="8" t="s">
        <v>2215</v>
      </c>
      <c r="S367" s="8">
        <v>437133711</v>
      </c>
      <c r="T367" s="8" t="s">
        <v>2216</v>
      </c>
      <c r="AC367" s="8" t="s">
        <v>153</v>
      </c>
      <c r="AF367" s="9">
        <v>26191</v>
      </c>
      <c r="AG367" s="10">
        <v>2.1256944444444446</v>
      </c>
      <c r="AJ367" s="9">
        <v>44256</v>
      </c>
      <c r="AK367" s="11">
        <v>2.0833333333333333E-3</v>
      </c>
      <c r="AP367" s="8" t="s">
        <v>113</v>
      </c>
      <c r="AR367" s="8" t="s">
        <v>4</v>
      </c>
      <c r="AS367" s="8" t="s">
        <v>4</v>
      </c>
      <c r="AT367" s="9">
        <v>44356</v>
      </c>
      <c r="AU367" s="8" t="s">
        <v>114</v>
      </c>
      <c r="AV367" s="8" t="s">
        <v>115</v>
      </c>
      <c r="AW367" s="10">
        <v>2.0472222222222221</v>
      </c>
      <c r="AX367" s="11">
        <v>2.0833333333333333E-3</v>
      </c>
      <c r="CF367" s="9"/>
      <c r="CG367" s="10"/>
      <c r="CJ367" s="9"/>
      <c r="CK367" s="11"/>
      <c r="CT367" s="9"/>
      <c r="CW367" s="10"/>
      <c r="CX367" s="11"/>
    </row>
    <row r="368" spans="1:102">
      <c r="D368" s="8" t="s">
        <v>2217</v>
      </c>
    </row>
    <row r="369" spans="1:102">
      <c r="A369" s="8">
        <v>18941</v>
      </c>
      <c r="B369" s="8" t="s">
        <v>2218</v>
      </c>
      <c r="C369" s="8" t="s">
        <v>2219</v>
      </c>
      <c r="D369" s="8" t="s">
        <v>2220</v>
      </c>
      <c r="E369" s="8" t="s">
        <v>106</v>
      </c>
      <c r="F369" s="8" t="s">
        <v>247</v>
      </c>
      <c r="G369" s="8" t="s">
        <v>2220</v>
      </c>
      <c r="I369" s="8" t="s">
        <v>2221</v>
      </c>
      <c r="J369" s="8" t="s">
        <v>2222</v>
      </c>
      <c r="K369" s="8" t="s">
        <v>60</v>
      </c>
      <c r="L369" s="8">
        <v>3197</v>
      </c>
      <c r="M369" s="8" t="s">
        <v>61</v>
      </c>
      <c r="N369" s="8" t="s">
        <v>110</v>
      </c>
      <c r="R369" s="8" t="s">
        <v>2223</v>
      </c>
      <c r="S369" s="8">
        <v>422569748</v>
      </c>
      <c r="T369" s="8" t="s">
        <v>2224</v>
      </c>
      <c r="AC369" s="8" t="s">
        <v>56</v>
      </c>
      <c r="AF369" s="9">
        <v>30034</v>
      </c>
      <c r="AG369" s="10">
        <v>1.6715277777777777</v>
      </c>
      <c r="AJ369" s="9">
        <v>44257</v>
      </c>
      <c r="AK369" s="11">
        <v>2.7777777777777779E-3</v>
      </c>
      <c r="AP369" s="8" t="s">
        <v>113</v>
      </c>
      <c r="AR369" s="8" t="s">
        <v>4</v>
      </c>
      <c r="AS369" s="8" t="s">
        <v>4</v>
      </c>
      <c r="AT369" s="9">
        <v>44400</v>
      </c>
      <c r="AU369" s="8" t="s">
        <v>114</v>
      </c>
      <c r="AV369" s="8" t="s">
        <v>115</v>
      </c>
      <c r="AW369" s="10">
        <v>1.627777777777778</v>
      </c>
      <c r="AX369" s="11">
        <v>2.7777777777777779E-3</v>
      </c>
      <c r="CF369" s="9"/>
      <c r="CG369" s="10"/>
      <c r="CJ369" s="9"/>
      <c r="CK369" s="11"/>
      <c r="CT369" s="9"/>
      <c r="CW369" s="10"/>
      <c r="CX369" s="11"/>
    </row>
    <row r="370" spans="1:102">
      <c r="A370" s="8">
        <v>18942</v>
      </c>
      <c r="B370" s="8" t="s">
        <v>2225</v>
      </c>
      <c r="C370" s="8" t="s">
        <v>2226</v>
      </c>
      <c r="D370" s="8" t="s">
        <v>2227</v>
      </c>
      <c r="E370" s="8" t="s">
        <v>139</v>
      </c>
      <c r="F370" s="8" t="s">
        <v>368</v>
      </c>
      <c r="G370" s="8" t="s">
        <v>2227</v>
      </c>
      <c r="I370" s="8" t="s">
        <v>2228</v>
      </c>
      <c r="J370" s="8" t="s">
        <v>2229</v>
      </c>
      <c r="K370" s="8" t="s">
        <v>240</v>
      </c>
      <c r="L370" s="8">
        <v>4006</v>
      </c>
      <c r="M370" s="8" t="s">
        <v>61</v>
      </c>
      <c r="N370" s="8" t="s">
        <v>110</v>
      </c>
      <c r="R370" s="8" t="s">
        <v>2230</v>
      </c>
      <c r="S370" s="8">
        <v>427920927</v>
      </c>
      <c r="T370" s="8" t="s">
        <v>2231</v>
      </c>
      <c r="AC370" s="8" t="s">
        <v>56</v>
      </c>
      <c r="AF370" s="9">
        <v>29156</v>
      </c>
      <c r="AG370" s="10">
        <v>1.7916666666666667</v>
      </c>
      <c r="AJ370" s="9">
        <v>44257</v>
      </c>
      <c r="AK370" s="11">
        <v>4.6527777777777779E-2</v>
      </c>
      <c r="AP370" s="8" t="s">
        <v>113</v>
      </c>
      <c r="AR370" s="8" t="s">
        <v>4</v>
      </c>
      <c r="AS370" s="8" t="s">
        <v>4</v>
      </c>
      <c r="AY370" s="8" t="s">
        <v>113</v>
      </c>
      <c r="CF370" s="9"/>
      <c r="CG370" s="10"/>
      <c r="CJ370" s="9"/>
      <c r="CK370" s="11"/>
    </row>
    <row r="371" spans="1:102">
      <c r="A371" s="8">
        <v>18943</v>
      </c>
      <c r="B371" s="8" t="s">
        <v>2232</v>
      </c>
      <c r="C371" s="8" t="s">
        <v>2233</v>
      </c>
      <c r="D371" s="8" t="s">
        <v>2234</v>
      </c>
      <c r="E371" s="8" t="s">
        <v>376</v>
      </c>
      <c r="F371" s="8" t="s">
        <v>2235</v>
      </c>
      <c r="G371" s="8" t="s">
        <v>2234</v>
      </c>
      <c r="I371" s="8" t="s">
        <v>2236</v>
      </c>
      <c r="J371" s="8" t="s">
        <v>1170</v>
      </c>
      <c r="K371" s="8" t="s">
        <v>60</v>
      </c>
      <c r="L371" s="8">
        <v>3053</v>
      </c>
      <c r="M371" s="8" t="s">
        <v>61</v>
      </c>
      <c r="N371" s="8" t="s">
        <v>110</v>
      </c>
      <c r="R371" s="8" t="s">
        <v>2237</v>
      </c>
      <c r="S371" s="8">
        <v>466332800</v>
      </c>
      <c r="T371" s="8" t="s">
        <v>2238</v>
      </c>
      <c r="AC371" s="8" t="s">
        <v>56</v>
      </c>
      <c r="AF371" s="9">
        <v>36737</v>
      </c>
      <c r="AG371" s="11">
        <v>0.91875000000000007</v>
      </c>
      <c r="AJ371" s="9">
        <v>44263</v>
      </c>
      <c r="AK371" s="11">
        <v>6.9444444444444441E-3</v>
      </c>
      <c r="AP371" s="8" t="s">
        <v>113</v>
      </c>
      <c r="AR371" s="8" t="s">
        <v>4</v>
      </c>
      <c r="AS371" s="8" t="s">
        <v>4</v>
      </c>
      <c r="AT371" s="9">
        <v>44578</v>
      </c>
      <c r="AU371" s="8" t="s">
        <v>1249</v>
      </c>
      <c r="AV371" s="8" t="s">
        <v>1250</v>
      </c>
      <c r="AW371" s="11">
        <v>0.87847222222222221</v>
      </c>
      <c r="AX371" s="11">
        <v>6.9444444444444441E-3</v>
      </c>
      <c r="AY371" s="8" t="s">
        <v>113</v>
      </c>
      <c r="CF371" s="9"/>
      <c r="CG371" s="11"/>
      <c r="CJ371" s="9"/>
      <c r="CK371" s="11"/>
      <c r="CT371" s="9"/>
      <c r="CW371" s="11"/>
      <c r="CX371" s="11"/>
    </row>
    <row r="372" spans="1:102">
      <c r="D372" s="8" t="s">
        <v>2239</v>
      </c>
    </row>
    <row r="373" spans="1:102">
      <c r="A373" s="8">
        <v>18944</v>
      </c>
      <c r="B373" s="8" t="s">
        <v>2240</v>
      </c>
      <c r="C373" s="8" t="s">
        <v>2241</v>
      </c>
      <c r="D373" s="8" t="s">
        <v>2242</v>
      </c>
      <c r="E373" s="8" t="s">
        <v>148</v>
      </c>
      <c r="F373" s="8" t="s">
        <v>545</v>
      </c>
      <c r="G373" s="8" t="s">
        <v>2242</v>
      </c>
      <c r="I373" s="8" t="s">
        <v>2243</v>
      </c>
      <c r="J373" s="8" t="s">
        <v>1508</v>
      </c>
      <c r="K373" s="8" t="s">
        <v>240</v>
      </c>
      <c r="L373" s="8">
        <v>4169</v>
      </c>
      <c r="M373" s="8" t="s">
        <v>61</v>
      </c>
      <c r="N373" s="8" t="s">
        <v>110</v>
      </c>
      <c r="R373" s="8" t="s">
        <v>2244</v>
      </c>
      <c r="S373" s="8">
        <v>466784335</v>
      </c>
      <c r="T373" s="8" t="s">
        <v>2245</v>
      </c>
      <c r="AC373" s="8" t="s">
        <v>153</v>
      </c>
      <c r="AF373" s="9">
        <v>31004</v>
      </c>
      <c r="AG373" s="10">
        <v>1.5493055555555555</v>
      </c>
      <c r="AJ373" s="9">
        <v>44263</v>
      </c>
      <c r="AK373" s="11">
        <v>4.5833333333333337E-2</v>
      </c>
      <c r="AP373" s="8" t="s">
        <v>113</v>
      </c>
      <c r="AR373" s="8" t="s">
        <v>4</v>
      </c>
      <c r="AS373" s="8" t="s">
        <v>4</v>
      </c>
      <c r="AT373" s="9">
        <v>44836</v>
      </c>
      <c r="AU373" s="8" t="s">
        <v>114</v>
      </c>
      <c r="AV373" s="8" t="s">
        <v>115</v>
      </c>
      <c r="AW373" s="10">
        <v>1.5486111111111109</v>
      </c>
      <c r="AX373" s="11">
        <v>4.5833333333333337E-2</v>
      </c>
      <c r="AY373" s="8" t="s">
        <v>113</v>
      </c>
      <c r="CF373" s="9"/>
      <c r="CG373" s="10"/>
      <c r="CJ373" s="9"/>
      <c r="CK373" s="11"/>
    </row>
    <row r="374" spans="1:102">
      <c r="A374" s="8">
        <v>18945</v>
      </c>
      <c r="B374" s="8" t="s">
        <v>2246</v>
      </c>
      <c r="C374" s="8" t="s">
        <v>2247</v>
      </c>
      <c r="D374" s="8" t="s">
        <v>2248</v>
      </c>
      <c r="E374" s="8" t="s">
        <v>376</v>
      </c>
      <c r="F374" s="8" t="s">
        <v>1751</v>
      </c>
      <c r="G374" s="8" t="s">
        <v>2248</v>
      </c>
      <c r="I374" s="8" t="s">
        <v>2249</v>
      </c>
      <c r="J374" s="8" t="s">
        <v>2250</v>
      </c>
      <c r="K374" s="8" t="s">
        <v>122</v>
      </c>
      <c r="L374" s="8">
        <v>2173</v>
      </c>
      <c r="M374" s="8" t="s">
        <v>61</v>
      </c>
      <c r="N374" s="8" t="s">
        <v>110</v>
      </c>
      <c r="R374" s="8" t="s">
        <v>2251</v>
      </c>
      <c r="S374" s="8">
        <v>477228996</v>
      </c>
      <c r="T374" s="8" t="s">
        <v>2252</v>
      </c>
      <c r="AC374" s="8" t="s">
        <v>56</v>
      </c>
      <c r="AF374" s="9">
        <v>35977</v>
      </c>
      <c r="AG374" s="10">
        <v>1.0027777777777778</v>
      </c>
      <c r="AJ374" s="9">
        <v>44267</v>
      </c>
      <c r="AK374" s="11">
        <v>4.5138888888888888E-2</v>
      </c>
      <c r="AP374" s="8" t="s">
        <v>113</v>
      </c>
      <c r="AR374" s="8" t="s">
        <v>4</v>
      </c>
      <c r="AS374" s="8" t="s">
        <v>4</v>
      </c>
      <c r="AT374" s="9">
        <v>44799</v>
      </c>
      <c r="AU374" s="8" t="s">
        <v>114</v>
      </c>
      <c r="AV374" s="8" t="s">
        <v>115</v>
      </c>
      <c r="AW374" s="10">
        <v>1.0006944444444443</v>
      </c>
      <c r="AX374" s="11">
        <v>4.5138888888888888E-2</v>
      </c>
      <c r="AY374" s="8" t="s">
        <v>113</v>
      </c>
      <c r="CF374" s="9"/>
      <c r="CG374" s="10"/>
      <c r="CJ374" s="9"/>
      <c r="CK374" s="11"/>
      <c r="CT374" s="9"/>
      <c r="CW374" s="10"/>
      <c r="CX374" s="11"/>
    </row>
    <row r="375" spans="1:102">
      <c r="D375" s="8" t="s">
        <v>2253</v>
      </c>
    </row>
    <row r="376" spans="1:102">
      <c r="A376" s="8">
        <v>18946</v>
      </c>
      <c r="B376" s="8" t="s">
        <v>2254</v>
      </c>
      <c r="C376" s="8" t="s">
        <v>2255</v>
      </c>
      <c r="D376" s="8" t="s">
        <v>2183</v>
      </c>
      <c r="E376" s="8" t="s">
        <v>139</v>
      </c>
      <c r="F376" s="8" t="s">
        <v>2256</v>
      </c>
      <c r="G376" s="8" t="s">
        <v>2183</v>
      </c>
      <c r="I376" s="8" t="s">
        <v>2257</v>
      </c>
      <c r="J376" s="8" t="s">
        <v>2258</v>
      </c>
      <c r="K376" s="8" t="s">
        <v>240</v>
      </c>
      <c r="L376" s="8">
        <v>4179</v>
      </c>
      <c r="M376" s="8" t="s">
        <v>61</v>
      </c>
      <c r="N376" s="8" t="s">
        <v>110</v>
      </c>
      <c r="R376" s="8" t="s">
        <v>2259</v>
      </c>
      <c r="S376" s="8">
        <v>431513796</v>
      </c>
      <c r="T376" s="8" t="s">
        <v>2260</v>
      </c>
      <c r="W376" s="8" t="s">
        <v>2257</v>
      </c>
      <c r="X376" s="8" t="s">
        <v>2258</v>
      </c>
      <c r="Y376" s="8" t="s">
        <v>240</v>
      </c>
      <c r="Z376" s="8">
        <v>4179</v>
      </c>
      <c r="AA376" s="8" t="s">
        <v>61</v>
      </c>
      <c r="AB376" s="8" t="s">
        <v>110</v>
      </c>
      <c r="AC376" s="8" t="s">
        <v>56</v>
      </c>
      <c r="AF376" s="9">
        <v>24325</v>
      </c>
      <c r="AG376" s="10">
        <v>2.3347222222222221</v>
      </c>
      <c r="AJ376" s="9">
        <v>44277</v>
      </c>
      <c r="AK376" s="11">
        <v>4.6527777777777779E-2</v>
      </c>
      <c r="AP376" s="8" t="s">
        <v>113</v>
      </c>
      <c r="AR376" s="8" t="s">
        <v>4</v>
      </c>
      <c r="AS376" s="8" t="s">
        <v>4</v>
      </c>
      <c r="CF376" s="9"/>
      <c r="CG376" s="10"/>
      <c r="CJ376" s="9"/>
      <c r="CK376" s="11"/>
    </row>
    <row r="377" spans="1:102">
      <c r="D377" s="8" t="s">
        <v>2261</v>
      </c>
    </row>
    <row r="378" spans="1:102">
      <c r="A378" s="8">
        <v>18947</v>
      </c>
      <c r="B378" s="8" t="s">
        <v>2262</v>
      </c>
      <c r="C378" s="8" t="s">
        <v>402</v>
      </c>
      <c r="D378" s="8" t="s">
        <v>2263</v>
      </c>
      <c r="E378" s="8" t="s">
        <v>148</v>
      </c>
      <c r="F378" s="8" t="s">
        <v>2264</v>
      </c>
      <c r="G378" s="8" t="s">
        <v>2263</v>
      </c>
      <c r="I378" s="8" t="s">
        <v>2265</v>
      </c>
      <c r="J378" s="8" t="s">
        <v>2266</v>
      </c>
      <c r="K378" s="8" t="s">
        <v>122</v>
      </c>
      <c r="L378" s="8">
        <v>2077</v>
      </c>
      <c r="M378" s="8" t="s">
        <v>61</v>
      </c>
      <c r="N378" s="8" t="s">
        <v>110</v>
      </c>
      <c r="R378" s="8" t="s">
        <v>2267</v>
      </c>
      <c r="S378" s="8">
        <v>426218824</v>
      </c>
      <c r="T378" s="8" t="s">
        <v>2268</v>
      </c>
      <c r="AC378" s="8" t="s">
        <v>153</v>
      </c>
      <c r="AF378" s="9">
        <v>27000</v>
      </c>
      <c r="AG378" s="10">
        <v>2.0069444444444442</v>
      </c>
      <c r="AJ378" s="9">
        <v>44277</v>
      </c>
      <c r="AK378" s="11">
        <v>0</v>
      </c>
      <c r="AP378" s="8" t="s">
        <v>113</v>
      </c>
      <c r="AR378" s="8" t="s">
        <v>4</v>
      </c>
      <c r="AS378" s="8" t="s">
        <v>4</v>
      </c>
      <c r="AT378" s="9">
        <v>44284</v>
      </c>
      <c r="AU378" s="8" t="s">
        <v>114</v>
      </c>
      <c r="AV378" s="8" t="s">
        <v>115</v>
      </c>
      <c r="AW378" s="10">
        <v>1.9604166666666665</v>
      </c>
      <c r="AX378" s="11">
        <v>0</v>
      </c>
      <c r="CF378" s="9"/>
      <c r="CG378" s="10"/>
      <c r="CJ378" s="9"/>
      <c r="CK378" s="11"/>
      <c r="CT378" s="9"/>
      <c r="CW378" s="10"/>
      <c r="CX378" s="11"/>
    </row>
    <row r="379" spans="1:102">
      <c r="D379" s="8" t="s">
        <v>2269</v>
      </c>
    </row>
    <row r="380" spans="1:102">
      <c r="A380" s="8">
        <v>18948</v>
      </c>
      <c r="B380" s="8" t="s">
        <v>2270</v>
      </c>
      <c r="C380" s="8" t="s">
        <v>2271</v>
      </c>
      <c r="D380" s="8" t="s">
        <v>2272</v>
      </c>
      <c r="E380" s="8" t="s">
        <v>106</v>
      </c>
      <c r="F380" s="8" t="s">
        <v>247</v>
      </c>
      <c r="G380" s="8" t="s">
        <v>2272</v>
      </c>
      <c r="I380" s="8" t="s">
        <v>2273</v>
      </c>
      <c r="J380" s="8" t="s">
        <v>1626</v>
      </c>
      <c r="K380" s="8" t="s">
        <v>60</v>
      </c>
      <c r="L380" s="8">
        <v>3169</v>
      </c>
      <c r="M380" s="8" t="s">
        <v>61</v>
      </c>
      <c r="N380" s="8" t="s">
        <v>110</v>
      </c>
      <c r="R380" s="8" t="s">
        <v>2274</v>
      </c>
      <c r="S380" s="8">
        <v>412569558</v>
      </c>
      <c r="T380" s="8" t="s">
        <v>2275</v>
      </c>
      <c r="AC380" s="8" t="s">
        <v>56</v>
      </c>
      <c r="AF380" s="9">
        <v>33895</v>
      </c>
      <c r="AG380" s="10">
        <v>1.25</v>
      </c>
      <c r="AJ380" s="9">
        <v>44279</v>
      </c>
      <c r="AK380" s="11">
        <v>4.6527777777777779E-2</v>
      </c>
      <c r="AP380" s="8" t="s">
        <v>113</v>
      </c>
      <c r="AR380" s="8" t="s">
        <v>4</v>
      </c>
      <c r="AS380" s="8" t="s">
        <v>4</v>
      </c>
      <c r="CF380" s="9"/>
      <c r="CG380" s="10"/>
      <c r="CJ380" s="9"/>
      <c r="CK380" s="11"/>
    </row>
    <row r="381" spans="1:102">
      <c r="A381" s="8">
        <v>18949</v>
      </c>
      <c r="B381" s="8" t="s">
        <v>2276</v>
      </c>
      <c r="C381" s="8" t="s">
        <v>1074</v>
      </c>
      <c r="D381" s="8" t="s">
        <v>2277</v>
      </c>
      <c r="E381" s="8" t="s">
        <v>376</v>
      </c>
      <c r="F381" s="8" t="s">
        <v>119</v>
      </c>
      <c r="G381" s="8" t="s">
        <v>2277</v>
      </c>
      <c r="I381" s="8" t="s">
        <v>2278</v>
      </c>
      <c r="J381" s="8" t="s">
        <v>2279</v>
      </c>
      <c r="K381" s="8" t="s">
        <v>60</v>
      </c>
      <c r="L381" s="8">
        <v>3030</v>
      </c>
      <c r="M381" s="8" t="s">
        <v>61</v>
      </c>
      <c r="N381" s="8" t="s">
        <v>110</v>
      </c>
      <c r="R381" s="8" t="s">
        <v>2280</v>
      </c>
      <c r="S381" s="8">
        <v>406353410</v>
      </c>
      <c r="AC381" s="8" t="s">
        <v>56</v>
      </c>
      <c r="AF381" s="9">
        <v>35496</v>
      </c>
      <c r="AG381" s="10">
        <v>1.0465277777777777</v>
      </c>
      <c r="AJ381" s="9">
        <v>44291</v>
      </c>
      <c r="AK381" s="11">
        <v>4.5833333333333337E-2</v>
      </c>
      <c r="AP381" s="8" t="s">
        <v>113</v>
      </c>
      <c r="AR381" s="8" t="s">
        <v>4</v>
      </c>
      <c r="AS381" s="8" t="s">
        <v>4</v>
      </c>
      <c r="AY381" s="8" t="s">
        <v>113</v>
      </c>
      <c r="CF381" s="9"/>
      <c r="CG381" s="10"/>
      <c r="CJ381" s="9"/>
      <c r="CK381" s="11"/>
    </row>
    <row r="382" spans="1:102">
      <c r="A382" s="8">
        <v>18950</v>
      </c>
      <c r="B382" s="8" t="s">
        <v>2281</v>
      </c>
      <c r="C382" s="8" t="s">
        <v>2282</v>
      </c>
      <c r="D382" s="8" t="s">
        <v>2283</v>
      </c>
      <c r="E382" s="8" t="s">
        <v>148</v>
      </c>
      <c r="F382" s="8" t="s">
        <v>1632</v>
      </c>
      <c r="G382" s="8" t="s">
        <v>2283</v>
      </c>
      <c r="I382" s="8" t="s">
        <v>2284</v>
      </c>
      <c r="J382" s="8" t="s">
        <v>647</v>
      </c>
      <c r="K382" s="8" t="s">
        <v>60</v>
      </c>
      <c r="L382" s="8">
        <v>3132</v>
      </c>
      <c r="M382" s="8" t="s">
        <v>61</v>
      </c>
      <c r="N382" s="8" t="s">
        <v>110</v>
      </c>
      <c r="O382" s="8">
        <v>481563174</v>
      </c>
      <c r="R382" s="8" t="s">
        <v>2285</v>
      </c>
      <c r="AC382" s="8" t="s">
        <v>153</v>
      </c>
      <c r="AF382" s="9">
        <v>34673</v>
      </c>
      <c r="AG382" s="10">
        <v>1.1319444444444444</v>
      </c>
      <c r="AJ382" s="9">
        <v>44319</v>
      </c>
      <c r="AK382" s="11">
        <v>4.2361111111111106E-2</v>
      </c>
      <c r="AP382" s="8" t="s">
        <v>113</v>
      </c>
      <c r="AQ382" s="8" t="s">
        <v>4</v>
      </c>
      <c r="AR382" s="8" t="s">
        <v>4</v>
      </c>
      <c r="AS382" s="8" t="s">
        <v>4</v>
      </c>
      <c r="AT382" s="9">
        <v>44734</v>
      </c>
      <c r="AU382" s="8" t="s">
        <v>114</v>
      </c>
      <c r="AV382" s="8" t="s">
        <v>115</v>
      </c>
      <c r="AW382" s="10">
        <v>1.1291666666666667</v>
      </c>
      <c r="AX382" s="11">
        <v>4.2361111111111106E-2</v>
      </c>
      <c r="AY382" s="8" t="s">
        <v>113</v>
      </c>
      <c r="AZ382" s="8" t="s">
        <v>4</v>
      </c>
      <c r="CF382" s="9"/>
      <c r="CG382" s="10"/>
      <c r="CJ382" s="9"/>
      <c r="CK382" s="11"/>
      <c r="CT382" s="9"/>
      <c r="CW382" s="10"/>
      <c r="CX382" s="11"/>
    </row>
    <row r="383" spans="1:102">
      <c r="A383" s="8">
        <v>18951</v>
      </c>
      <c r="B383" s="8" t="s">
        <v>2286</v>
      </c>
      <c r="C383" s="8" t="s">
        <v>2287</v>
      </c>
      <c r="D383" s="8" t="s">
        <v>2288</v>
      </c>
      <c r="E383" s="8" t="s">
        <v>148</v>
      </c>
      <c r="F383" s="8" t="s">
        <v>2289</v>
      </c>
      <c r="G383" s="8" t="s">
        <v>2288</v>
      </c>
      <c r="I383" s="8" t="s">
        <v>2290</v>
      </c>
      <c r="J383" s="8" t="s">
        <v>2291</v>
      </c>
      <c r="K383" s="8" t="s">
        <v>60</v>
      </c>
      <c r="L383" s="8">
        <v>3064</v>
      </c>
      <c r="M383" s="8" t="s">
        <v>61</v>
      </c>
      <c r="N383" s="8" t="s">
        <v>110</v>
      </c>
      <c r="R383" s="8" t="s">
        <v>2292</v>
      </c>
      <c r="S383" s="8">
        <v>424246433</v>
      </c>
      <c r="T383" s="8" t="s">
        <v>2293</v>
      </c>
      <c r="AC383" s="8" t="s">
        <v>153</v>
      </c>
      <c r="AF383" s="9">
        <v>29714</v>
      </c>
      <c r="AG383" s="10">
        <v>1.7118055555555556</v>
      </c>
      <c r="AJ383" s="9">
        <v>44326</v>
      </c>
      <c r="AK383" s="11">
        <v>3.472222222222222E-3</v>
      </c>
      <c r="AP383" s="8" t="s">
        <v>113</v>
      </c>
      <c r="AR383" s="8" t="s">
        <v>4</v>
      </c>
      <c r="AS383" s="8" t="s">
        <v>4</v>
      </c>
      <c r="AT383" s="9">
        <v>44504</v>
      </c>
      <c r="AU383" s="8" t="s">
        <v>114</v>
      </c>
      <c r="AV383" s="8" t="s">
        <v>115</v>
      </c>
      <c r="AW383" s="10">
        <v>1.6701388888888891</v>
      </c>
      <c r="AX383" s="11">
        <v>3.472222222222222E-3</v>
      </c>
      <c r="CF383" s="9"/>
      <c r="CG383" s="10"/>
      <c r="CJ383" s="9"/>
      <c r="CK383" s="11"/>
      <c r="CT383" s="9"/>
      <c r="CW383" s="10"/>
      <c r="CX383" s="11"/>
    </row>
    <row r="384" spans="1:102">
      <c r="A384" s="8">
        <v>18952</v>
      </c>
      <c r="B384" s="8" t="s">
        <v>2294</v>
      </c>
      <c r="C384" s="8" t="s">
        <v>2295</v>
      </c>
      <c r="D384" s="8" t="s">
        <v>2296</v>
      </c>
      <c r="E384" s="8" t="s">
        <v>376</v>
      </c>
      <c r="F384" s="8" t="s">
        <v>2297</v>
      </c>
      <c r="G384" s="8" t="s">
        <v>2296</v>
      </c>
      <c r="I384" s="8" t="s">
        <v>2298</v>
      </c>
      <c r="J384" s="8" t="s">
        <v>2299</v>
      </c>
      <c r="K384" s="8" t="s">
        <v>122</v>
      </c>
      <c r="L384" s="8">
        <v>2138</v>
      </c>
      <c r="M384" s="8" t="s">
        <v>61</v>
      </c>
      <c r="N384" s="8" t="s">
        <v>110</v>
      </c>
      <c r="R384" s="8" t="s">
        <v>2300</v>
      </c>
      <c r="S384" s="8">
        <v>491659312</v>
      </c>
      <c r="T384" s="8" t="s">
        <v>2301</v>
      </c>
      <c r="AC384" s="8" t="s">
        <v>56</v>
      </c>
      <c r="AF384" s="9">
        <v>35600</v>
      </c>
      <c r="AG384" s="10">
        <v>1.0444444444444445</v>
      </c>
      <c r="AJ384" s="9">
        <v>44326</v>
      </c>
      <c r="AK384" s="11">
        <v>7.6388888888888886E-3</v>
      </c>
      <c r="AP384" s="8" t="s">
        <v>113</v>
      </c>
      <c r="AR384" s="8" t="s">
        <v>4</v>
      </c>
      <c r="AS384" s="8" t="s">
        <v>4</v>
      </c>
      <c r="AT384" s="9">
        <v>44671</v>
      </c>
      <c r="AU384" s="8" t="s">
        <v>114</v>
      </c>
      <c r="AV384" s="8" t="s">
        <v>115</v>
      </c>
      <c r="AW384" s="10">
        <v>1.0069444444444444</v>
      </c>
      <c r="AX384" s="11">
        <v>7.6388888888888886E-3</v>
      </c>
      <c r="AY384" s="8" t="s">
        <v>113</v>
      </c>
      <c r="CF384" s="9"/>
      <c r="CG384" s="10"/>
      <c r="CJ384" s="9"/>
      <c r="CK384" s="11"/>
      <c r="CT384" s="9"/>
      <c r="CW384" s="10"/>
      <c r="CX384" s="11"/>
    </row>
    <row r="385" spans="1:102">
      <c r="D385" s="8" t="s">
        <v>2302</v>
      </c>
    </row>
    <row r="386" spans="1:102">
      <c r="A386" s="8">
        <v>18953</v>
      </c>
      <c r="B386" s="8" t="s">
        <v>2303</v>
      </c>
      <c r="C386" s="8" t="s">
        <v>527</v>
      </c>
      <c r="D386" s="8" t="s">
        <v>2304</v>
      </c>
      <c r="E386" s="8" t="s">
        <v>139</v>
      </c>
      <c r="F386" s="8" t="s">
        <v>545</v>
      </c>
      <c r="G386" s="8" t="s">
        <v>2304</v>
      </c>
      <c r="I386" s="8" t="s">
        <v>2305</v>
      </c>
      <c r="J386" s="8" t="s">
        <v>1915</v>
      </c>
      <c r="K386" s="8" t="s">
        <v>293</v>
      </c>
      <c r="L386" s="8">
        <v>6000</v>
      </c>
      <c r="M386" s="8" t="s">
        <v>61</v>
      </c>
      <c r="N386" s="8" t="s">
        <v>110</v>
      </c>
      <c r="R386" s="8" t="s">
        <v>2306</v>
      </c>
      <c r="S386" s="8">
        <v>497351434</v>
      </c>
      <c r="T386" s="8" t="s">
        <v>2307</v>
      </c>
      <c r="AC386" s="8" t="s">
        <v>56</v>
      </c>
      <c r="AF386" s="9">
        <v>32759</v>
      </c>
      <c r="AG386" s="10">
        <v>1.3756944444444443</v>
      </c>
      <c r="AJ386" s="9">
        <v>44333</v>
      </c>
      <c r="AK386" s="11">
        <v>4.5138888888888888E-2</v>
      </c>
      <c r="AP386" s="8" t="s">
        <v>113</v>
      </c>
      <c r="AR386" s="8" t="s">
        <v>4</v>
      </c>
      <c r="AS386" s="8" t="s">
        <v>4</v>
      </c>
      <c r="AY386" s="8" t="s">
        <v>113</v>
      </c>
      <c r="CF386" s="9"/>
      <c r="CG386" s="10"/>
      <c r="CJ386" s="9"/>
      <c r="CK386" s="11"/>
    </row>
    <row r="387" spans="1:102">
      <c r="A387" s="8">
        <v>18954</v>
      </c>
      <c r="B387" s="8" t="s">
        <v>2308</v>
      </c>
      <c r="C387" s="8" t="s">
        <v>2309</v>
      </c>
      <c r="D387" s="8" t="s">
        <v>2310</v>
      </c>
      <c r="E387" s="8" t="s">
        <v>148</v>
      </c>
      <c r="F387" s="8" t="s">
        <v>368</v>
      </c>
      <c r="G387" s="8" t="s">
        <v>2310</v>
      </c>
      <c r="I387" s="8" t="s">
        <v>2311</v>
      </c>
      <c r="J387" s="8" t="s">
        <v>2312</v>
      </c>
      <c r="K387" s="8" t="s">
        <v>122</v>
      </c>
      <c r="L387" s="8">
        <v>2131</v>
      </c>
      <c r="M387" s="8" t="s">
        <v>61</v>
      </c>
      <c r="N387" s="8" t="s">
        <v>110</v>
      </c>
      <c r="R387" s="8" t="s">
        <v>2313</v>
      </c>
      <c r="S387" s="8">
        <v>431975333</v>
      </c>
      <c r="T387" s="8" t="s">
        <v>2314</v>
      </c>
      <c r="AC387" s="8" t="s">
        <v>153</v>
      </c>
      <c r="AF387" s="9">
        <v>29458</v>
      </c>
      <c r="AG387" s="10">
        <v>1.7513888888888889</v>
      </c>
      <c r="AJ387" s="9">
        <v>44382</v>
      </c>
      <c r="AK387" s="11">
        <v>4.3750000000000004E-2</v>
      </c>
      <c r="AP387" s="8" t="s">
        <v>113</v>
      </c>
      <c r="AR387" s="8" t="s">
        <v>4</v>
      </c>
      <c r="AS387" s="8" t="s">
        <v>4</v>
      </c>
      <c r="AY387" s="8" t="s">
        <v>113</v>
      </c>
      <c r="CF387" s="9"/>
      <c r="CG387" s="10"/>
      <c r="CJ387" s="9"/>
      <c r="CK387" s="11"/>
    </row>
    <row r="388" spans="1:102">
      <c r="A388" s="8">
        <v>18955</v>
      </c>
      <c r="B388" s="8" t="s">
        <v>2315</v>
      </c>
      <c r="C388" s="8" t="s">
        <v>2316</v>
      </c>
      <c r="D388" s="8" t="s">
        <v>2317</v>
      </c>
      <c r="E388" s="8" t="s">
        <v>106</v>
      </c>
      <c r="F388" s="8" t="s">
        <v>984</v>
      </c>
      <c r="G388" s="8" t="s">
        <v>2317</v>
      </c>
      <c r="I388" s="8" t="s">
        <v>2318</v>
      </c>
      <c r="J388" s="8" t="s">
        <v>1470</v>
      </c>
      <c r="K388" s="8" t="s">
        <v>60</v>
      </c>
      <c r="L388" s="8">
        <v>3125</v>
      </c>
      <c r="M388" s="8" t="s">
        <v>61</v>
      </c>
      <c r="N388" s="8" t="s">
        <v>110</v>
      </c>
      <c r="R388" s="8" t="s">
        <v>2319</v>
      </c>
      <c r="S388" s="8">
        <v>404868318</v>
      </c>
      <c r="T388" s="8" t="s">
        <v>2320</v>
      </c>
      <c r="AC388" s="8" t="s">
        <v>56</v>
      </c>
      <c r="AF388" s="9">
        <v>28480</v>
      </c>
      <c r="AG388" s="10">
        <v>1.8402777777777777</v>
      </c>
      <c r="AJ388" s="9">
        <v>44371</v>
      </c>
      <c r="AK388" s="11">
        <v>6.9444444444444447E-4</v>
      </c>
      <c r="AP388" s="8" t="s">
        <v>113</v>
      </c>
      <c r="AR388" s="8" t="s">
        <v>4</v>
      </c>
      <c r="AS388" s="8" t="s">
        <v>4</v>
      </c>
      <c r="AT388" s="9">
        <v>44414</v>
      </c>
      <c r="AU388" s="8" t="s">
        <v>114</v>
      </c>
      <c r="AV388" s="8" t="s">
        <v>115</v>
      </c>
      <c r="AW388" s="10">
        <v>1.7965277777777777</v>
      </c>
      <c r="AX388" s="11">
        <v>6.9444444444444447E-4</v>
      </c>
      <c r="AY388" s="8" t="s">
        <v>113</v>
      </c>
      <c r="CF388" s="9"/>
      <c r="CG388" s="10"/>
      <c r="CJ388" s="9"/>
      <c r="CK388" s="11"/>
      <c r="CT388" s="9"/>
      <c r="CW388" s="10"/>
      <c r="CX388" s="11"/>
    </row>
    <row r="389" spans="1:102">
      <c r="A389" s="8">
        <v>18956</v>
      </c>
      <c r="B389" s="8" t="s">
        <v>2321</v>
      </c>
      <c r="C389" s="8" t="s">
        <v>2322</v>
      </c>
      <c r="D389" s="8" t="s">
        <v>2323</v>
      </c>
      <c r="E389" s="8" t="s">
        <v>139</v>
      </c>
      <c r="F389" s="8" t="s">
        <v>797</v>
      </c>
      <c r="G389" s="8" t="s">
        <v>2323</v>
      </c>
      <c r="I389" s="8" t="s">
        <v>2324</v>
      </c>
      <c r="J389" s="8" t="s">
        <v>2325</v>
      </c>
      <c r="K389" s="8" t="s">
        <v>60</v>
      </c>
      <c r="L389" s="8">
        <v>3756</v>
      </c>
      <c r="M389" s="8" t="s">
        <v>61</v>
      </c>
      <c r="N389" s="8" t="s">
        <v>110</v>
      </c>
      <c r="R389" s="8" t="s">
        <v>2326</v>
      </c>
      <c r="S389" s="8">
        <v>468921362</v>
      </c>
      <c r="T389" s="8" t="s">
        <v>2327</v>
      </c>
      <c r="AC389" s="8" t="s">
        <v>56</v>
      </c>
      <c r="AF389" s="9">
        <v>28506</v>
      </c>
      <c r="AG389" s="10">
        <v>1.8395833333333333</v>
      </c>
      <c r="AJ389" s="9">
        <v>44371</v>
      </c>
      <c r="AK389" s="11">
        <v>6.9444444444444447E-4</v>
      </c>
      <c r="AP389" s="8" t="s">
        <v>113</v>
      </c>
      <c r="AR389" s="8" t="s">
        <v>4</v>
      </c>
      <c r="AS389" s="8" t="s">
        <v>4</v>
      </c>
      <c r="AT389" s="9">
        <v>44414</v>
      </c>
      <c r="AU389" s="8" t="s">
        <v>114</v>
      </c>
      <c r="AV389" s="8" t="s">
        <v>115</v>
      </c>
      <c r="AW389" s="10">
        <v>1.7958333333333334</v>
      </c>
      <c r="AX389" s="11">
        <v>6.9444444444444447E-4</v>
      </c>
      <c r="AY389" s="8" t="s">
        <v>113</v>
      </c>
      <c r="CF389" s="9"/>
      <c r="CG389" s="10"/>
      <c r="CJ389" s="9"/>
      <c r="CK389" s="11"/>
      <c r="CT389" s="9"/>
      <c r="CW389" s="10"/>
      <c r="CX389" s="11"/>
    </row>
    <row r="390" spans="1:102">
      <c r="A390" s="8">
        <v>18957</v>
      </c>
      <c r="B390" s="8" t="s">
        <v>2328</v>
      </c>
      <c r="C390" s="8" t="s">
        <v>2329</v>
      </c>
      <c r="D390" s="8" t="s">
        <v>2330</v>
      </c>
      <c r="E390" s="8" t="s">
        <v>148</v>
      </c>
      <c r="F390" s="8" t="s">
        <v>358</v>
      </c>
      <c r="G390" s="8" t="s">
        <v>2330</v>
      </c>
      <c r="I390" s="8" t="s">
        <v>2331</v>
      </c>
      <c r="J390" s="8" t="s">
        <v>2332</v>
      </c>
      <c r="K390" s="8" t="s">
        <v>122</v>
      </c>
      <c r="L390" s="8">
        <v>2192</v>
      </c>
      <c r="M390" s="8" t="s">
        <v>61</v>
      </c>
      <c r="N390" s="8" t="s">
        <v>110</v>
      </c>
      <c r="R390" s="8" t="s">
        <v>2333</v>
      </c>
      <c r="S390" s="8">
        <v>434536716</v>
      </c>
      <c r="T390" s="8" t="s">
        <v>2334</v>
      </c>
      <c r="AC390" s="8" t="s">
        <v>153</v>
      </c>
      <c r="AF390" s="9">
        <v>23282</v>
      </c>
      <c r="AG390" s="10">
        <v>2.4590277777777776</v>
      </c>
      <c r="AJ390" s="9">
        <v>44397</v>
      </c>
      <c r="AK390" s="11">
        <v>4.3750000000000004E-2</v>
      </c>
      <c r="AP390" s="8" t="s">
        <v>113</v>
      </c>
      <c r="AR390" s="8" t="s">
        <v>4</v>
      </c>
      <c r="AS390" s="8" t="s">
        <v>4</v>
      </c>
      <c r="AY390" s="8" t="s">
        <v>113</v>
      </c>
      <c r="CF390" s="9"/>
      <c r="CG390" s="10"/>
      <c r="CJ390" s="9"/>
      <c r="CK390" s="11"/>
    </row>
    <row r="391" spans="1:102">
      <c r="A391" s="8">
        <v>18958</v>
      </c>
      <c r="B391" s="8" t="s">
        <v>2335</v>
      </c>
      <c r="C391" s="8" t="s">
        <v>2336</v>
      </c>
      <c r="D391" s="8" t="s">
        <v>2337</v>
      </c>
      <c r="E391" s="8" t="s">
        <v>106</v>
      </c>
      <c r="F391" s="8" t="s">
        <v>119</v>
      </c>
      <c r="G391" s="8" t="s">
        <v>2337</v>
      </c>
      <c r="I391" s="8" t="s">
        <v>2338</v>
      </c>
      <c r="J391" s="8" t="s">
        <v>903</v>
      </c>
      <c r="K391" s="8" t="s">
        <v>60</v>
      </c>
      <c r="L391" s="8">
        <v>3138</v>
      </c>
      <c r="M391" s="8" t="s">
        <v>61</v>
      </c>
      <c r="N391" s="8" t="s">
        <v>110</v>
      </c>
      <c r="R391" s="8" t="s">
        <v>2339</v>
      </c>
      <c r="S391" s="8">
        <v>452175515</v>
      </c>
      <c r="T391" s="8" t="s">
        <v>2340</v>
      </c>
      <c r="AC391" s="8" t="s">
        <v>56</v>
      </c>
      <c r="AF391" s="9">
        <v>27840</v>
      </c>
      <c r="AG391" s="10">
        <v>1.9215277777777777</v>
      </c>
      <c r="AJ391" s="9">
        <v>44397</v>
      </c>
      <c r="AK391" s="11">
        <v>5.5555555555555558E-3</v>
      </c>
      <c r="AP391" s="8" t="s">
        <v>113</v>
      </c>
      <c r="AR391" s="8" t="s">
        <v>4</v>
      </c>
      <c r="AS391" s="8" t="s">
        <v>4</v>
      </c>
      <c r="AT391" s="9">
        <v>44650</v>
      </c>
      <c r="AU391" s="8" t="s">
        <v>114</v>
      </c>
      <c r="AV391" s="8" t="s">
        <v>115</v>
      </c>
      <c r="AW391" s="10">
        <v>1.9166666666666667</v>
      </c>
      <c r="AX391" s="11">
        <v>5.5555555555555558E-3</v>
      </c>
      <c r="AY391" s="8" t="s">
        <v>113</v>
      </c>
      <c r="CF391" s="9"/>
      <c r="CG391" s="10"/>
      <c r="CJ391" s="9"/>
      <c r="CK391" s="11"/>
      <c r="CT391" s="9"/>
      <c r="CW391" s="10"/>
      <c r="CX391" s="11"/>
    </row>
    <row r="392" spans="1:102">
      <c r="A392" s="8">
        <v>18959</v>
      </c>
      <c r="B392" s="8" t="s">
        <v>2341</v>
      </c>
      <c r="C392" s="8" t="s">
        <v>2342</v>
      </c>
      <c r="D392" s="8" t="s">
        <v>2343</v>
      </c>
      <c r="E392" s="8" t="s">
        <v>139</v>
      </c>
      <c r="F392" s="8" t="s">
        <v>1007</v>
      </c>
      <c r="G392" s="8" t="s">
        <v>2343</v>
      </c>
      <c r="I392" s="8" t="s">
        <v>2344</v>
      </c>
      <c r="J392" s="8" t="s">
        <v>2345</v>
      </c>
      <c r="K392" s="8" t="s">
        <v>60</v>
      </c>
      <c r="L392" s="8">
        <v>3146</v>
      </c>
      <c r="M392" s="8" t="s">
        <v>61</v>
      </c>
      <c r="N392" s="8" t="s">
        <v>110</v>
      </c>
      <c r="R392" s="8" t="s">
        <v>2346</v>
      </c>
      <c r="S392" s="8">
        <v>407784721</v>
      </c>
      <c r="T392" s="8" t="s">
        <v>2347</v>
      </c>
      <c r="AF392" s="9">
        <v>25244</v>
      </c>
      <c r="AG392" s="10">
        <v>2.213888888888889</v>
      </c>
      <c r="AJ392" s="9">
        <v>44403</v>
      </c>
      <c r="AK392" s="11">
        <v>1.3888888888888889E-3</v>
      </c>
      <c r="AP392" s="8" t="s">
        <v>113</v>
      </c>
      <c r="AR392" s="8" t="s">
        <v>4</v>
      </c>
      <c r="AS392" s="8" t="s">
        <v>4</v>
      </c>
      <c r="AT392" s="9">
        <v>44489</v>
      </c>
      <c r="AU392" s="8" t="s">
        <v>114</v>
      </c>
      <c r="AV392" s="8" t="s">
        <v>115</v>
      </c>
      <c r="AW392" s="10">
        <v>2.1722222222222221</v>
      </c>
      <c r="AX392" s="11">
        <v>1.3888888888888889E-3</v>
      </c>
      <c r="CF392" s="9"/>
      <c r="CG392" s="10"/>
      <c r="CJ392" s="9"/>
      <c r="CK392" s="11"/>
      <c r="CT392" s="9"/>
      <c r="CW392" s="10"/>
      <c r="CX392" s="11"/>
    </row>
    <row r="393" spans="1:102">
      <c r="A393" s="8">
        <v>18960</v>
      </c>
      <c r="B393" s="8" t="s">
        <v>2348</v>
      </c>
      <c r="C393" s="8" t="s">
        <v>2349</v>
      </c>
      <c r="D393" s="8" t="s">
        <v>2350</v>
      </c>
      <c r="E393" s="8" t="s">
        <v>106</v>
      </c>
      <c r="F393" s="8" t="s">
        <v>993</v>
      </c>
      <c r="G393" s="8" t="s">
        <v>2350</v>
      </c>
      <c r="I393" s="8" t="s">
        <v>2351</v>
      </c>
      <c r="J393" s="8" t="s">
        <v>2352</v>
      </c>
      <c r="K393" s="8" t="s">
        <v>122</v>
      </c>
      <c r="L393" s="8">
        <v>2121</v>
      </c>
      <c r="M393" s="8" t="s">
        <v>61</v>
      </c>
      <c r="N393" s="8" t="s">
        <v>110</v>
      </c>
      <c r="R393" s="8" t="s">
        <v>2353</v>
      </c>
      <c r="S393" s="8">
        <v>402460479</v>
      </c>
      <c r="T393" s="8" t="s">
        <v>2354</v>
      </c>
      <c r="AC393" s="8" t="s">
        <v>56</v>
      </c>
      <c r="AF393" s="9">
        <v>28538</v>
      </c>
      <c r="AG393" s="10">
        <v>1.8388888888888888</v>
      </c>
      <c r="AJ393" s="9">
        <v>44411</v>
      </c>
      <c r="AK393" s="11">
        <v>4.3055555555555562E-2</v>
      </c>
      <c r="AP393" s="8" t="s">
        <v>113</v>
      </c>
      <c r="AR393" s="8" t="s">
        <v>4</v>
      </c>
      <c r="AS393" s="8" t="s">
        <v>4</v>
      </c>
      <c r="AY393" s="8" t="s">
        <v>113</v>
      </c>
      <c r="CF393" s="9"/>
      <c r="CG393" s="10"/>
      <c r="CJ393" s="9"/>
      <c r="CK393" s="11"/>
    </row>
    <row r="394" spans="1:102">
      <c r="A394" s="8">
        <v>18961</v>
      </c>
      <c r="B394" s="8" t="s">
        <v>2355</v>
      </c>
      <c r="C394" s="8" t="s">
        <v>2356</v>
      </c>
      <c r="D394" s="8" t="s">
        <v>2357</v>
      </c>
      <c r="E394" s="8" t="s">
        <v>148</v>
      </c>
      <c r="F394" s="8" t="s">
        <v>2358</v>
      </c>
      <c r="G394" s="8" t="s">
        <v>2357</v>
      </c>
      <c r="I394" s="8" t="s">
        <v>2359</v>
      </c>
      <c r="J394" s="8" t="s">
        <v>2360</v>
      </c>
      <c r="K394" s="8" t="s">
        <v>122</v>
      </c>
      <c r="L394" s="8">
        <v>2165</v>
      </c>
      <c r="M394" s="8" t="s">
        <v>61</v>
      </c>
      <c r="N394" s="8" t="s">
        <v>110</v>
      </c>
      <c r="R394" s="8" t="s">
        <v>2361</v>
      </c>
      <c r="S394" s="8">
        <v>481112952</v>
      </c>
      <c r="T394" s="8" t="s">
        <v>2362</v>
      </c>
      <c r="AC394" s="8" t="s">
        <v>153</v>
      </c>
      <c r="AF394" s="9">
        <v>36950</v>
      </c>
      <c r="AG394" s="11">
        <v>0.88055555555555554</v>
      </c>
      <c r="AJ394" s="9">
        <v>44412</v>
      </c>
      <c r="AK394" s="11">
        <v>4.3055555555555562E-2</v>
      </c>
      <c r="AP394" s="8" t="s">
        <v>113</v>
      </c>
      <c r="AR394" s="8" t="s">
        <v>4</v>
      </c>
      <c r="AS394" s="8" t="s">
        <v>4</v>
      </c>
      <c r="AY394" s="8" t="s">
        <v>113</v>
      </c>
      <c r="CF394" s="9"/>
      <c r="CG394" s="11"/>
      <c r="CJ394" s="9"/>
      <c r="CK394" s="11"/>
    </row>
    <row r="395" spans="1:102">
      <c r="D395" s="8" t="s">
        <v>2363</v>
      </c>
    </row>
    <row r="396" spans="1:102">
      <c r="A396" s="8">
        <v>18962</v>
      </c>
      <c r="B396" s="8" t="s">
        <v>2364</v>
      </c>
      <c r="C396" s="8" t="s">
        <v>2365</v>
      </c>
      <c r="D396" s="8" t="s">
        <v>2366</v>
      </c>
      <c r="E396" s="8" t="s">
        <v>148</v>
      </c>
      <c r="F396" s="8" t="s">
        <v>1082</v>
      </c>
      <c r="G396" s="8" t="s">
        <v>2366</v>
      </c>
      <c r="I396" s="8" t="s">
        <v>2367</v>
      </c>
      <c r="J396" s="8" t="s">
        <v>2368</v>
      </c>
      <c r="K396" s="8" t="s">
        <v>122</v>
      </c>
      <c r="L396" s="8">
        <v>2214</v>
      </c>
      <c r="M396" s="8" t="s">
        <v>61</v>
      </c>
      <c r="N396" s="8" t="s">
        <v>110</v>
      </c>
      <c r="R396" s="8" t="s">
        <v>2369</v>
      </c>
      <c r="S396" s="8">
        <v>469074217</v>
      </c>
      <c r="T396" s="8" t="s">
        <v>2370</v>
      </c>
      <c r="AC396" s="8" t="s">
        <v>153</v>
      </c>
      <c r="AF396" s="9">
        <v>24591</v>
      </c>
      <c r="AG396" s="10">
        <v>2.2958333333333334</v>
      </c>
      <c r="AJ396" s="9">
        <v>44424</v>
      </c>
      <c r="AK396" s="11">
        <v>4.3055555555555562E-2</v>
      </c>
      <c r="AL396" s="9">
        <v>44424</v>
      </c>
      <c r="AP396" s="8" t="s">
        <v>113</v>
      </c>
      <c r="AQ396" s="8" t="s">
        <v>4</v>
      </c>
      <c r="AR396" s="8" t="s">
        <v>4</v>
      </c>
      <c r="AS396" s="8" t="s">
        <v>4</v>
      </c>
      <c r="AY396" s="8" t="s">
        <v>113</v>
      </c>
      <c r="AZ396" s="8" t="s">
        <v>4</v>
      </c>
      <c r="CF396" s="9"/>
      <c r="CG396" s="10"/>
      <c r="CJ396" s="9"/>
      <c r="CK396" s="11"/>
      <c r="CL396" s="9"/>
    </row>
    <row r="397" spans="1:102">
      <c r="A397" s="8">
        <v>18963</v>
      </c>
      <c r="B397" s="8" t="s">
        <v>2371</v>
      </c>
      <c r="C397" s="8" t="s">
        <v>2372</v>
      </c>
      <c r="D397" s="8" t="s">
        <v>2373</v>
      </c>
      <c r="E397" s="8" t="s">
        <v>106</v>
      </c>
      <c r="F397" s="8" t="s">
        <v>129</v>
      </c>
      <c r="G397" s="8" t="s">
        <v>2373</v>
      </c>
      <c r="I397" s="8" t="s">
        <v>2374</v>
      </c>
      <c r="J397" s="8" t="s">
        <v>2375</v>
      </c>
      <c r="K397" s="8" t="s">
        <v>122</v>
      </c>
      <c r="L397" s="8">
        <v>2747</v>
      </c>
      <c r="M397" s="8" t="s">
        <v>61</v>
      </c>
      <c r="N397" s="8" t="s">
        <v>110</v>
      </c>
      <c r="R397" s="8" t="s">
        <v>2376</v>
      </c>
      <c r="S397" s="8">
        <v>420434643</v>
      </c>
      <c r="T397" s="8" t="s">
        <v>2377</v>
      </c>
      <c r="AC397" s="8" t="s">
        <v>56</v>
      </c>
      <c r="AF397" s="9">
        <v>29914</v>
      </c>
      <c r="AG397" s="10">
        <v>1.6743055555555555</v>
      </c>
      <c r="AJ397" s="9">
        <v>44424</v>
      </c>
      <c r="AK397" s="11">
        <v>6.9444444444444447E-4</v>
      </c>
      <c r="AP397" s="8" t="s">
        <v>113</v>
      </c>
      <c r="AR397" s="8" t="s">
        <v>4</v>
      </c>
      <c r="AS397" s="8" t="s">
        <v>4</v>
      </c>
      <c r="AT397" s="9">
        <v>44462</v>
      </c>
      <c r="AU397" s="8" t="s">
        <v>114</v>
      </c>
      <c r="AV397" s="8" t="s">
        <v>115</v>
      </c>
      <c r="AW397" s="10">
        <v>1.6319444444444444</v>
      </c>
      <c r="AX397" s="11">
        <v>6.9444444444444447E-4</v>
      </c>
      <c r="CF397" s="9"/>
      <c r="CG397" s="10"/>
      <c r="CJ397" s="9"/>
      <c r="CK397" s="11"/>
      <c r="CT397" s="9"/>
      <c r="CW397" s="10"/>
      <c r="CX397" s="11"/>
    </row>
    <row r="398" spans="1:102">
      <c r="A398" s="8">
        <v>18964</v>
      </c>
      <c r="B398" s="8" t="s">
        <v>2378</v>
      </c>
      <c r="C398" s="8" t="s">
        <v>2379</v>
      </c>
      <c r="D398" s="8" t="s">
        <v>840</v>
      </c>
      <c r="E398" s="8" t="s">
        <v>148</v>
      </c>
      <c r="F398" s="8" t="s">
        <v>521</v>
      </c>
      <c r="G398" s="8" t="s">
        <v>840</v>
      </c>
      <c r="I398" s="8" t="s">
        <v>2380</v>
      </c>
      <c r="J398" s="8" t="s">
        <v>2381</v>
      </c>
      <c r="K398" s="8" t="s">
        <v>122</v>
      </c>
      <c r="L398" s="8">
        <v>2210</v>
      </c>
      <c r="M398" s="8" t="s">
        <v>61</v>
      </c>
      <c r="N398" s="8" t="s">
        <v>110</v>
      </c>
      <c r="R398" s="8" t="s">
        <v>2382</v>
      </c>
      <c r="S398" s="8">
        <v>480198866</v>
      </c>
      <c r="T398" s="8" t="s">
        <v>2383</v>
      </c>
      <c r="AC398" s="8" t="s">
        <v>153</v>
      </c>
      <c r="AF398" s="9">
        <v>25704</v>
      </c>
      <c r="AG398" s="10">
        <v>2.1701388888888888</v>
      </c>
      <c r="AJ398" s="9">
        <v>44420</v>
      </c>
      <c r="AK398" s="11">
        <v>4.8611111111111112E-3</v>
      </c>
      <c r="AP398" s="8" t="s">
        <v>113</v>
      </c>
      <c r="AR398" s="8" t="s">
        <v>4</v>
      </c>
      <c r="AS398" s="8" t="s">
        <v>4</v>
      </c>
      <c r="AT398" s="9">
        <v>44651</v>
      </c>
      <c r="AU398" s="8" t="s">
        <v>114</v>
      </c>
      <c r="AV398" s="8" t="s">
        <v>115</v>
      </c>
      <c r="AW398" s="10">
        <v>2.1319444444444442</v>
      </c>
      <c r="AX398" s="11">
        <v>4.8611111111111112E-3</v>
      </c>
      <c r="AY398" s="8" t="s">
        <v>113</v>
      </c>
      <c r="CF398" s="9"/>
      <c r="CG398" s="10"/>
      <c r="CJ398" s="9"/>
      <c r="CK398" s="11"/>
      <c r="CT398" s="9"/>
      <c r="CW398" s="10"/>
      <c r="CX398" s="11"/>
    </row>
    <row r="399" spans="1:102">
      <c r="A399" s="8">
        <v>18965</v>
      </c>
      <c r="B399" s="8" t="s">
        <v>2384</v>
      </c>
      <c r="C399" s="8" t="s">
        <v>2385</v>
      </c>
      <c r="D399" s="8" t="s">
        <v>2386</v>
      </c>
      <c r="E399" s="8" t="s">
        <v>376</v>
      </c>
      <c r="F399" s="8" t="s">
        <v>521</v>
      </c>
      <c r="G399" s="8" t="s">
        <v>2386</v>
      </c>
      <c r="I399" s="8" t="s">
        <v>2387</v>
      </c>
      <c r="J399" s="8" t="s">
        <v>2388</v>
      </c>
      <c r="K399" s="8" t="s">
        <v>240</v>
      </c>
      <c r="L399" s="8">
        <v>4156</v>
      </c>
      <c r="M399" s="8" t="s">
        <v>61</v>
      </c>
      <c r="N399" s="8" t="s">
        <v>110</v>
      </c>
      <c r="R399" s="8" t="s">
        <v>2389</v>
      </c>
      <c r="S399" s="8">
        <v>432640047</v>
      </c>
      <c r="T399" s="8" t="s">
        <v>2390</v>
      </c>
      <c r="AC399" s="8" t="s">
        <v>56</v>
      </c>
      <c r="AF399" s="9">
        <v>35474</v>
      </c>
      <c r="AG399" s="10">
        <v>1.0472222222222223</v>
      </c>
      <c r="AJ399" s="9">
        <v>44426</v>
      </c>
      <c r="AK399" s="11">
        <v>3.472222222222222E-3</v>
      </c>
      <c r="AP399" s="8" t="s">
        <v>113</v>
      </c>
      <c r="AR399" s="8" t="s">
        <v>4</v>
      </c>
      <c r="AS399" s="8" t="s">
        <v>4</v>
      </c>
      <c r="AT399" s="9">
        <v>44603</v>
      </c>
      <c r="AU399" s="8" t="s">
        <v>114</v>
      </c>
      <c r="AV399" s="8" t="s">
        <v>115</v>
      </c>
      <c r="AW399" s="10">
        <v>1.007638888888889</v>
      </c>
      <c r="AX399" s="11">
        <v>3.472222222222222E-3</v>
      </c>
      <c r="CF399" s="9"/>
      <c r="CG399" s="10"/>
      <c r="CJ399" s="9"/>
      <c r="CK399" s="11"/>
      <c r="CT399" s="9"/>
      <c r="CW399" s="10"/>
      <c r="CX399" s="11"/>
    </row>
    <row r="400" spans="1:102">
      <c r="A400" s="8">
        <v>18966</v>
      </c>
      <c r="B400" s="8" t="s">
        <v>2391</v>
      </c>
      <c r="C400" s="8" t="s">
        <v>2392</v>
      </c>
      <c r="D400" s="8" t="s">
        <v>2393</v>
      </c>
      <c r="E400" s="8" t="s">
        <v>148</v>
      </c>
      <c r="F400" s="8" t="s">
        <v>368</v>
      </c>
      <c r="G400" s="8" t="s">
        <v>2393</v>
      </c>
      <c r="I400" s="8" t="s">
        <v>2394</v>
      </c>
      <c r="J400" s="8" t="s">
        <v>2395</v>
      </c>
      <c r="K400" s="8" t="s">
        <v>122</v>
      </c>
      <c r="L400" s="8">
        <v>2170</v>
      </c>
      <c r="M400" s="8" t="s">
        <v>61</v>
      </c>
      <c r="N400" s="8" t="s">
        <v>110</v>
      </c>
      <c r="R400" s="8" t="s">
        <v>2396</v>
      </c>
      <c r="S400" s="8">
        <v>492918366</v>
      </c>
      <c r="T400" s="8" t="s">
        <v>2397</v>
      </c>
      <c r="AC400" s="8" t="s">
        <v>153</v>
      </c>
      <c r="AF400" s="9">
        <v>36655</v>
      </c>
      <c r="AG400" s="11">
        <v>0.92013888888888884</v>
      </c>
      <c r="AJ400" s="9">
        <v>44426</v>
      </c>
      <c r="AK400" s="11">
        <v>6.9444444444444441E-3</v>
      </c>
      <c r="AP400" s="8" t="s">
        <v>113</v>
      </c>
      <c r="AR400" s="8" t="s">
        <v>4</v>
      </c>
      <c r="AS400" s="8" t="s">
        <v>4</v>
      </c>
      <c r="AT400" s="9">
        <v>44757</v>
      </c>
      <c r="AU400" s="8" t="s">
        <v>114</v>
      </c>
      <c r="AV400" s="8" t="s">
        <v>115</v>
      </c>
      <c r="AW400" s="11">
        <v>0.91805555555555562</v>
      </c>
      <c r="AX400" s="11">
        <v>6.9444444444444441E-3</v>
      </c>
      <c r="AY400" s="8" t="s">
        <v>113</v>
      </c>
      <c r="CF400" s="9"/>
      <c r="CG400" s="11"/>
      <c r="CJ400" s="9"/>
      <c r="CK400" s="11"/>
      <c r="CT400" s="9"/>
      <c r="CW400" s="11"/>
      <c r="CX400" s="11"/>
    </row>
    <row r="401" spans="1:102">
      <c r="A401" s="8">
        <v>18967</v>
      </c>
      <c r="B401" s="8" t="s">
        <v>2398</v>
      </c>
      <c r="C401" s="8" t="s">
        <v>2399</v>
      </c>
      <c r="D401" s="8" t="s">
        <v>2400</v>
      </c>
      <c r="E401" s="8" t="s">
        <v>148</v>
      </c>
      <c r="F401" s="8" t="s">
        <v>368</v>
      </c>
      <c r="G401" s="8" t="s">
        <v>2400</v>
      </c>
      <c r="I401" s="8" t="s">
        <v>2401</v>
      </c>
      <c r="J401" s="8" t="s">
        <v>2402</v>
      </c>
      <c r="K401" s="8" t="s">
        <v>122</v>
      </c>
      <c r="L401" s="8">
        <v>2195</v>
      </c>
      <c r="M401" s="8" t="s">
        <v>61</v>
      </c>
      <c r="N401" s="8" t="s">
        <v>110</v>
      </c>
      <c r="R401" s="8" t="s">
        <v>2403</v>
      </c>
      <c r="S401" s="8">
        <v>412763917</v>
      </c>
      <c r="T401" s="8" t="s">
        <v>2404</v>
      </c>
      <c r="W401" s="8" t="s">
        <v>2401</v>
      </c>
      <c r="X401" s="8" t="s">
        <v>2402</v>
      </c>
      <c r="Y401" s="8" t="s">
        <v>122</v>
      </c>
      <c r="Z401" s="8">
        <v>2195</v>
      </c>
      <c r="AA401" s="8" t="s">
        <v>61</v>
      </c>
      <c r="AB401" s="8" t="s">
        <v>110</v>
      </c>
      <c r="AC401" s="8" t="s">
        <v>153</v>
      </c>
      <c r="AF401" s="9">
        <v>32072</v>
      </c>
      <c r="AG401" s="10">
        <v>1.4583333333333333</v>
      </c>
      <c r="AJ401" s="9">
        <v>44431</v>
      </c>
      <c r="AK401" s="11">
        <v>4.3055555555555562E-2</v>
      </c>
      <c r="AP401" s="8" t="s">
        <v>113</v>
      </c>
      <c r="AR401" s="8" t="s">
        <v>4</v>
      </c>
      <c r="AS401" s="8" t="s">
        <v>4</v>
      </c>
      <c r="AY401" s="8" t="s">
        <v>113</v>
      </c>
      <c r="CF401" s="9"/>
      <c r="CG401" s="10"/>
      <c r="CJ401" s="9"/>
      <c r="CK401" s="11"/>
    </row>
    <row r="402" spans="1:102">
      <c r="A402" s="8">
        <v>18968</v>
      </c>
      <c r="B402" s="8" t="s">
        <v>2405</v>
      </c>
      <c r="C402" s="8" t="s">
        <v>2406</v>
      </c>
      <c r="D402" s="8" t="s">
        <v>2407</v>
      </c>
      <c r="E402" s="8" t="s">
        <v>148</v>
      </c>
      <c r="F402" s="8" t="s">
        <v>667</v>
      </c>
      <c r="G402" s="8" t="s">
        <v>147</v>
      </c>
      <c r="I402" s="8" t="s">
        <v>2408</v>
      </c>
      <c r="J402" s="8" t="s">
        <v>1040</v>
      </c>
      <c r="K402" s="8" t="s">
        <v>60</v>
      </c>
      <c r="L402" s="8">
        <v>3151</v>
      </c>
      <c r="M402" s="8" t="s">
        <v>61</v>
      </c>
      <c r="N402" s="8" t="s">
        <v>110</v>
      </c>
      <c r="R402" s="8" t="s">
        <v>2409</v>
      </c>
      <c r="S402" s="8">
        <v>484199167</v>
      </c>
      <c r="AC402" s="8" t="s">
        <v>153</v>
      </c>
      <c r="AF402" s="9">
        <v>29932</v>
      </c>
      <c r="AG402" s="10">
        <v>1.6736111111111109</v>
      </c>
      <c r="AJ402" s="9">
        <v>44440</v>
      </c>
      <c r="AK402" s="11">
        <v>4.3055555555555562E-2</v>
      </c>
      <c r="AP402" s="8" t="s">
        <v>113</v>
      </c>
      <c r="AR402" s="8" t="s">
        <v>4</v>
      </c>
      <c r="AS402" s="8" t="s">
        <v>4</v>
      </c>
      <c r="CF402" s="9"/>
      <c r="CG402" s="10"/>
      <c r="CJ402" s="9"/>
      <c r="CK402" s="11"/>
    </row>
    <row r="403" spans="1:102">
      <c r="D403" s="8" t="s">
        <v>147</v>
      </c>
    </row>
    <row r="404" spans="1:102">
      <c r="A404" s="8">
        <v>18969</v>
      </c>
      <c r="B404" s="8" t="s">
        <v>2410</v>
      </c>
      <c r="C404" s="8" t="s">
        <v>2411</v>
      </c>
      <c r="D404" s="8" t="s">
        <v>2412</v>
      </c>
      <c r="E404" s="8" t="s">
        <v>148</v>
      </c>
      <c r="F404" s="8" t="s">
        <v>933</v>
      </c>
      <c r="G404" s="8" t="s">
        <v>2412</v>
      </c>
      <c r="I404" s="8" t="s">
        <v>2413</v>
      </c>
      <c r="J404" s="8" t="s">
        <v>2345</v>
      </c>
      <c r="K404" s="8" t="s">
        <v>60</v>
      </c>
      <c r="L404" s="8">
        <v>3146</v>
      </c>
      <c r="M404" s="8" t="s">
        <v>61</v>
      </c>
      <c r="N404" s="8" t="s">
        <v>110</v>
      </c>
      <c r="R404" s="8" t="s">
        <v>2414</v>
      </c>
      <c r="S404" s="8">
        <v>418557258</v>
      </c>
      <c r="T404" s="8" t="s">
        <v>2415</v>
      </c>
      <c r="AC404" s="8" t="s">
        <v>153</v>
      </c>
      <c r="AF404" s="9">
        <v>24898</v>
      </c>
      <c r="AG404" s="10">
        <v>2.2555555555555555</v>
      </c>
      <c r="AJ404" s="9">
        <v>44452</v>
      </c>
      <c r="AK404" s="11">
        <v>4.2361111111111106E-2</v>
      </c>
      <c r="AP404" s="8" t="s">
        <v>113</v>
      </c>
      <c r="AR404" s="8" t="s">
        <v>4</v>
      </c>
      <c r="AS404" s="8" t="s">
        <v>4</v>
      </c>
      <c r="CF404" s="9"/>
      <c r="CG404" s="10"/>
      <c r="CJ404" s="9"/>
      <c r="CK404" s="11"/>
    </row>
    <row r="405" spans="1:102">
      <c r="A405" s="8">
        <v>18970</v>
      </c>
      <c r="B405" s="8" t="s">
        <v>2416</v>
      </c>
      <c r="C405" s="8" t="s">
        <v>2417</v>
      </c>
      <c r="D405" s="8" t="s">
        <v>387</v>
      </c>
      <c r="E405" s="8" t="s">
        <v>148</v>
      </c>
      <c r="F405" s="8" t="s">
        <v>140</v>
      </c>
      <c r="G405" s="8" t="s">
        <v>387</v>
      </c>
      <c r="I405" s="8" t="s">
        <v>2418</v>
      </c>
      <c r="J405" s="8" t="s">
        <v>2419</v>
      </c>
      <c r="K405" s="8" t="s">
        <v>240</v>
      </c>
      <c r="L405" s="8">
        <v>4300</v>
      </c>
      <c r="M405" s="8" t="s">
        <v>61</v>
      </c>
      <c r="N405" s="8" t="s">
        <v>110</v>
      </c>
      <c r="R405" s="8" t="s">
        <v>2420</v>
      </c>
      <c r="S405" s="8">
        <v>478637536</v>
      </c>
      <c r="T405" s="8" t="s">
        <v>2421</v>
      </c>
      <c r="AC405" s="8" t="s">
        <v>153</v>
      </c>
      <c r="AF405" s="9">
        <v>36155</v>
      </c>
      <c r="AG405" s="11">
        <v>0.96527777777777779</v>
      </c>
      <c r="AJ405" s="9">
        <v>44452</v>
      </c>
      <c r="AK405" s="11">
        <v>4.2361111111111106E-2</v>
      </c>
      <c r="AP405" s="8" t="s">
        <v>113</v>
      </c>
      <c r="AR405" s="8" t="s">
        <v>4</v>
      </c>
      <c r="AS405" s="8" t="s">
        <v>4</v>
      </c>
      <c r="AY405" s="8" t="s">
        <v>113</v>
      </c>
      <c r="CF405" s="9"/>
      <c r="CG405" s="11"/>
      <c r="CJ405" s="9"/>
      <c r="CK405" s="11"/>
    </row>
    <row r="406" spans="1:102">
      <c r="I406" s="8" t="s">
        <v>2422</v>
      </c>
    </row>
    <row r="407" spans="1:102">
      <c r="A407" s="8">
        <v>18971</v>
      </c>
      <c r="B407" s="8" t="s">
        <v>2423</v>
      </c>
      <c r="C407" s="8" t="s">
        <v>2424</v>
      </c>
      <c r="D407" s="8" t="s">
        <v>2425</v>
      </c>
      <c r="E407" s="8" t="s">
        <v>148</v>
      </c>
      <c r="F407" s="8" t="s">
        <v>1203</v>
      </c>
      <c r="G407" s="8" t="s">
        <v>2425</v>
      </c>
      <c r="I407" s="8" t="s">
        <v>2426</v>
      </c>
      <c r="J407" s="8" t="s">
        <v>2427</v>
      </c>
      <c r="K407" s="8" t="s">
        <v>122</v>
      </c>
      <c r="L407" s="8">
        <v>2147</v>
      </c>
      <c r="M407" s="8" t="s">
        <v>61</v>
      </c>
      <c r="N407" s="8" t="s">
        <v>110</v>
      </c>
      <c r="R407" s="8" t="s">
        <v>2428</v>
      </c>
      <c r="S407" s="8">
        <v>431920402</v>
      </c>
      <c r="T407" s="8" t="s">
        <v>2429</v>
      </c>
      <c r="AC407" s="8" t="s">
        <v>153</v>
      </c>
      <c r="AF407" s="9">
        <v>28862</v>
      </c>
      <c r="AG407" s="10">
        <v>1.7979166666666666</v>
      </c>
      <c r="AJ407" s="9">
        <v>44466</v>
      </c>
      <c r="AK407" s="11">
        <v>4.8611111111111112E-3</v>
      </c>
      <c r="AP407" s="8" t="s">
        <v>113</v>
      </c>
      <c r="AR407" s="8" t="s">
        <v>4</v>
      </c>
      <c r="AS407" s="8" t="s">
        <v>4</v>
      </c>
      <c r="AT407" s="9">
        <v>44698</v>
      </c>
      <c r="AU407" s="8" t="s">
        <v>114</v>
      </c>
      <c r="AV407" s="8" t="s">
        <v>115</v>
      </c>
      <c r="AW407" s="10">
        <v>1.7944444444444445</v>
      </c>
      <c r="AX407" s="11">
        <v>4.8611111111111112E-3</v>
      </c>
      <c r="CF407" s="9"/>
      <c r="CG407" s="10"/>
      <c r="CJ407" s="9"/>
      <c r="CK407" s="11"/>
      <c r="CT407" s="9"/>
      <c r="CW407" s="10"/>
      <c r="CX407" s="11"/>
    </row>
    <row r="408" spans="1:102">
      <c r="D408" s="8" t="s">
        <v>2430</v>
      </c>
    </row>
    <row r="409" spans="1:102">
      <c r="A409" s="8">
        <v>18972</v>
      </c>
      <c r="B409" s="8" t="s">
        <v>2431</v>
      </c>
      <c r="C409" s="8" t="s">
        <v>2432</v>
      </c>
      <c r="D409" s="8" t="s">
        <v>2433</v>
      </c>
      <c r="E409" s="8" t="s">
        <v>148</v>
      </c>
      <c r="F409" s="8" t="s">
        <v>129</v>
      </c>
      <c r="G409" s="8" t="s">
        <v>2433</v>
      </c>
      <c r="I409" s="8" t="s">
        <v>2434</v>
      </c>
      <c r="J409" s="8" t="s">
        <v>2435</v>
      </c>
      <c r="K409" s="8" t="s">
        <v>60</v>
      </c>
      <c r="L409" s="8">
        <v>3844</v>
      </c>
      <c r="M409" s="8" t="s">
        <v>61</v>
      </c>
      <c r="N409" s="8" t="s">
        <v>110</v>
      </c>
      <c r="S409" s="8">
        <v>437001102</v>
      </c>
      <c r="T409" s="8" t="s">
        <v>2436</v>
      </c>
      <c r="AC409" s="8" t="s">
        <v>153</v>
      </c>
      <c r="AF409" s="9">
        <v>28114</v>
      </c>
      <c r="AG409" s="10">
        <v>1.8819444444444444</v>
      </c>
      <c r="AJ409" s="9">
        <v>44469</v>
      </c>
      <c r="AK409" s="11">
        <v>2.7777777777777779E-3</v>
      </c>
      <c r="AP409" s="8" t="s">
        <v>113</v>
      </c>
      <c r="AR409" s="8" t="s">
        <v>4</v>
      </c>
      <c r="AS409" s="8" t="s">
        <v>4</v>
      </c>
      <c r="AT409" s="9">
        <v>44609</v>
      </c>
      <c r="AU409" s="8" t="s">
        <v>114</v>
      </c>
      <c r="AV409" s="8" t="s">
        <v>115</v>
      </c>
      <c r="AW409" s="10">
        <v>1.8756944444444443</v>
      </c>
      <c r="AX409" s="11">
        <v>2.7777777777777779E-3</v>
      </c>
      <c r="CF409" s="9"/>
      <c r="CG409" s="10"/>
      <c r="CJ409" s="9"/>
      <c r="CK409" s="11"/>
      <c r="CT409" s="9"/>
      <c r="CW409" s="10"/>
      <c r="CX409" s="11"/>
    </row>
    <row r="410" spans="1:102">
      <c r="A410" s="8">
        <v>18973</v>
      </c>
      <c r="B410" s="8" t="s">
        <v>2437</v>
      </c>
      <c r="C410" s="8" t="s">
        <v>2438</v>
      </c>
      <c r="D410" s="8" t="s">
        <v>2439</v>
      </c>
      <c r="E410" s="8" t="s">
        <v>139</v>
      </c>
      <c r="F410" s="8" t="s">
        <v>119</v>
      </c>
      <c r="G410" s="8" t="s">
        <v>2440</v>
      </c>
      <c r="I410" s="8" t="s">
        <v>2441</v>
      </c>
      <c r="J410" s="8" t="s">
        <v>2442</v>
      </c>
      <c r="K410" s="8" t="s">
        <v>122</v>
      </c>
      <c r="L410" s="8">
        <v>2146</v>
      </c>
      <c r="M410" s="8" t="s">
        <v>61</v>
      </c>
      <c r="N410" s="8" t="s">
        <v>110</v>
      </c>
      <c r="S410" s="8">
        <v>425336356</v>
      </c>
      <c r="T410" s="8" t="s">
        <v>2443</v>
      </c>
      <c r="AC410" s="8" t="s">
        <v>56</v>
      </c>
      <c r="AF410" s="9">
        <v>24226</v>
      </c>
      <c r="AG410" s="10">
        <v>2.3374999999999999</v>
      </c>
      <c r="AJ410" s="9">
        <v>44468</v>
      </c>
      <c r="AK410" s="11">
        <v>4.2361111111111106E-2</v>
      </c>
      <c r="AP410" s="8" t="s">
        <v>113</v>
      </c>
      <c r="AR410" s="8" t="s">
        <v>4</v>
      </c>
      <c r="AS410" s="8" t="s">
        <v>4</v>
      </c>
      <c r="AY410" s="8" t="s">
        <v>113</v>
      </c>
      <c r="CF410" s="9"/>
      <c r="CG410" s="10"/>
      <c r="CJ410" s="9"/>
      <c r="CK410" s="11"/>
    </row>
    <row r="411" spans="1:102">
      <c r="A411" s="8">
        <v>18974</v>
      </c>
      <c r="B411" s="8" t="s">
        <v>2444</v>
      </c>
      <c r="C411" s="8" t="s">
        <v>2445</v>
      </c>
      <c r="D411" s="8" t="s">
        <v>2446</v>
      </c>
      <c r="E411" s="8" t="s">
        <v>139</v>
      </c>
      <c r="F411" s="8" t="s">
        <v>797</v>
      </c>
      <c r="G411" s="8" t="s">
        <v>2446</v>
      </c>
      <c r="I411" s="8" t="s">
        <v>2447</v>
      </c>
      <c r="J411" s="8" t="s">
        <v>2448</v>
      </c>
      <c r="K411" s="8" t="s">
        <v>122</v>
      </c>
      <c r="L411" s="8">
        <v>2153</v>
      </c>
      <c r="M411" s="8" t="s">
        <v>61</v>
      </c>
      <c r="N411" s="8" t="s">
        <v>110</v>
      </c>
      <c r="O411" s="8">
        <v>429149492</v>
      </c>
      <c r="R411" s="8" t="s">
        <v>2449</v>
      </c>
      <c r="S411" s="8">
        <v>429149492</v>
      </c>
      <c r="T411" s="8" t="s">
        <v>2450</v>
      </c>
      <c r="U411" s="8">
        <v>429149492</v>
      </c>
      <c r="W411" s="8" t="s">
        <v>2447</v>
      </c>
      <c r="X411" s="8" t="s">
        <v>2448</v>
      </c>
      <c r="Y411" s="8" t="s">
        <v>122</v>
      </c>
      <c r="Z411" s="8">
        <v>2153</v>
      </c>
      <c r="AA411" s="8" t="s">
        <v>61</v>
      </c>
      <c r="AB411" s="8" t="s">
        <v>110</v>
      </c>
      <c r="AC411" s="8" t="s">
        <v>56</v>
      </c>
      <c r="AF411" s="9">
        <v>33544</v>
      </c>
      <c r="AG411" s="10">
        <v>1.257638888888889</v>
      </c>
      <c r="AJ411" s="9">
        <v>44503</v>
      </c>
      <c r="AK411" s="11">
        <v>7.6388888888888886E-3</v>
      </c>
      <c r="AP411" s="8" t="s">
        <v>113</v>
      </c>
      <c r="AR411" s="8" t="s">
        <v>4</v>
      </c>
      <c r="AS411" s="8" t="s">
        <v>4</v>
      </c>
      <c r="AY411" s="8" t="s">
        <v>113</v>
      </c>
      <c r="CF411" s="9"/>
      <c r="CG411" s="10"/>
      <c r="CJ411" s="9"/>
      <c r="CK411" s="11"/>
    </row>
    <row r="412" spans="1:102">
      <c r="A412" s="8">
        <v>18975</v>
      </c>
      <c r="B412" s="8" t="s">
        <v>2451</v>
      </c>
      <c r="C412" s="8" t="s">
        <v>2452</v>
      </c>
      <c r="D412" s="8" t="s">
        <v>2453</v>
      </c>
      <c r="E412" s="8" t="s">
        <v>139</v>
      </c>
      <c r="F412" s="8" t="s">
        <v>368</v>
      </c>
      <c r="G412" s="8" t="s">
        <v>2454</v>
      </c>
      <c r="I412" s="8" t="s">
        <v>2455</v>
      </c>
      <c r="J412" s="8" t="s">
        <v>2456</v>
      </c>
      <c r="K412" s="8" t="s">
        <v>60</v>
      </c>
      <c r="L412" s="8">
        <v>3134</v>
      </c>
      <c r="M412" s="8" t="s">
        <v>61</v>
      </c>
      <c r="N412" s="8" t="s">
        <v>110</v>
      </c>
      <c r="S412" s="8">
        <v>449975449</v>
      </c>
      <c r="T412" s="8" t="s">
        <v>2457</v>
      </c>
      <c r="AC412" s="8" t="s">
        <v>56</v>
      </c>
      <c r="AF412" s="9">
        <v>28490</v>
      </c>
      <c r="AG412" s="10">
        <v>1.8402777777777777</v>
      </c>
      <c r="AJ412" s="9">
        <v>44508</v>
      </c>
      <c r="AK412" s="11">
        <v>6.9444444444444447E-4</v>
      </c>
      <c r="AP412" s="8" t="s">
        <v>113</v>
      </c>
      <c r="AR412" s="8" t="s">
        <v>4</v>
      </c>
      <c r="AS412" s="8" t="s">
        <v>4</v>
      </c>
      <c r="AT412" s="9">
        <v>44553</v>
      </c>
      <c r="AU412" s="8" t="s">
        <v>114</v>
      </c>
      <c r="AV412" s="8" t="s">
        <v>115</v>
      </c>
      <c r="AW412" s="10">
        <v>1.7993055555555555</v>
      </c>
      <c r="AX412" s="11">
        <v>6.9444444444444447E-4</v>
      </c>
      <c r="CF412" s="9"/>
      <c r="CG412" s="10"/>
      <c r="CJ412" s="9"/>
      <c r="CK412" s="11"/>
      <c r="CT412" s="9"/>
      <c r="CW412" s="10"/>
      <c r="CX412" s="11"/>
    </row>
    <row r="413" spans="1:102">
      <c r="A413" s="8">
        <v>18976</v>
      </c>
      <c r="B413" s="8" t="s">
        <v>2458</v>
      </c>
      <c r="C413" s="8" t="s">
        <v>2459</v>
      </c>
      <c r="D413" s="8" t="s">
        <v>2460</v>
      </c>
      <c r="E413" s="8" t="s">
        <v>139</v>
      </c>
      <c r="F413" s="8" t="s">
        <v>2461</v>
      </c>
      <c r="G413" s="8" t="s">
        <v>2462</v>
      </c>
      <c r="I413" s="8" t="s">
        <v>2463</v>
      </c>
      <c r="J413" s="8" t="s">
        <v>2464</v>
      </c>
      <c r="K413" s="8" t="s">
        <v>240</v>
      </c>
      <c r="L413" s="8">
        <v>4068</v>
      </c>
      <c r="M413" s="8" t="s">
        <v>61</v>
      </c>
      <c r="N413" s="8" t="s">
        <v>110</v>
      </c>
      <c r="S413" s="8">
        <v>416868088</v>
      </c>
      <c r="T413" s="8" t="s">
        <v>2465</v>
      </c>
      <c r="AC413" s="8" t="s">
        <v>56</v>
      </c>
      <c r="AF413" s="9">
        <v>31993</v>
      </c>
      <c r="AG413" s="10">
        <v>1.4597222222222221</v>
      </c>
      <c r="AJ413" s="9">
        <v>44501</v>
      </c>
      <c r="AK413" s="11">
        <v>4.1666666666666664E-2</v>
      </c>
      <c r="AP413" s="8" t="s">
        <v>113</v>
      </c>
      <c r="AR413" s="8" t="s">
        <v>4</v>
      </c>
      <c r="AS413" s="8" t="s">
        <v>4</v>
      </c>
      <c r="CF413" s="9"/>
      <c r="CG413" s="10"/>
      <c r="CJ413" s="9"/>
      <c r="CK413" s="11"/>
    </row>
    <row r="414" spans="1:102">
      <c r="D414" s="8" t="s">
        <v>2462</v>
      </c>
    </row>
    <row r="415" spans="1:102">
      <c r="A415" s="8">
        <v>18977</v>
      </c>
      <c r="B415" s="8" t="s">
        <v>2466</v>
      </c>
      <c r="C415" s="8" t="s">
        <v>2467</v>
      </c>
      <c r="D415" s="8" t="s">
        <v>2468</v>
      </c>
      <c r="E415" s="8" t="s">
        <v>139</v>
      </c>
      <c r="F415" s="8" t="s">
        <v>129</v>
      </c>
      <c r="G415" s="8" t="s">
        <v>2468</v>
      </c>
      <c r="I415" s="8" t="s">
        <v>2469</v>
      </c>
      <c r="J415" s="8" t="s">
        <v>2470</v>
      </c>
      <c r="K415" s="8" t="s">
        <v>122</v>
      </c>
      <c r="L415" s="8">
        <v>2221</v>
      </c>
      <c r="M415" s="8" t="s">
        <v>61</v>
      </c>
      <c r="N415" s="8" t="s">
        <v>110</v>
      </c>
      <c r="S415" s="8">
        <v>406430117</v>
      </c>
      <c r="T415" s="8" t="s">
        <v>2471</v>
      </c>
      <c r="AC415" s="8" t="s">
        <v>56</v>
      </c>
      <c r="AF415" s="9">
        <v>35041</v>
      </c>
      <c r="AG415" s="10">
        <v>1.0902777777777779</v>
      </c>
      <c r="AJ415" s="9">
        <v>44509</v>
      </c>
      <c r="AK415" s="11">
        <v>4.8611111111111112E-3</v>
      </c>
      <c r="AL415" s="9">
        <v>44509</v>
      </c>
      <c r="AP415" s="8" t="s">
        <v>113</v>
      </c>
      <c r="AQ415" s="8" t="s">
        <v>4</v>
      </c>
      <c r="AR415" s="8" t="s">
        <v>4</v>
      </c>
      <c r="AS415" s="8" t="s">
        <v>4</v>
      </c>
      <c r="AT415" s="9">
        <v>44742</v>
      </c>
      <c r="AU415" s="8" t="s">
        <v>114</v>
      </c>
      <c r="AV415" s="8" t="s">
        <v>115</v>
      </c>
      <c r="AW415" s="10">
        <v>1.0875000000000001</v>
      </c>
      <c r="AX415" s="11">
        <v>4.8611111111111112E-3</v>
      </c>
      <c r="AY415" s="8" t="s">
        <v>113</v>
      </c>
      <c r="AZ415" s="8" t="s">
        <v>4</v>
      </c>
      <c r="CF415" s="9"/>
      <c r="CG415" s="10"/>
      <c r="CJ415" s="9"/>
      <c r="CK415" s="11"/>
      <c r="CL415" s="9"/>
      <c r="CT415" s="9"/>
      <c r="CW415" s="10"/>
      <c r="CX415" s="11"/>
    </row>
    <row r="416" spans="1:102">
      <c r="A416" s="8">
        <v>18978</v>
      </c>
      <c r="B416" s="8" t="s">
        <v>2472</v>
      </c>
      <c r="C416" s="8" t="s">
        <v>2473</v>
      </c>
      <c r="D416" s="8" t="s">
        <v>2474</v>
      </c>
      <c r="E416" s="8" t="s">
        <v>139</v>
      </c>
      <c r="F416" s="8" t="s">
        <v>368</v>
      </c>
      <c r="G416" s="8" t="s">
        <v>2475</v>
      </c>
      <c r="I416" s="8" t="s">
        <v>2476</v>
      </c>
      <c r="J416" s="8" t="s">
        <v>2477</v>
      </c>
      <c r="K416" s="8" t="s">
        <v>60</v>
      </c>
      <c r="L416" s="8">
        <v>3122</v>
      </c>
      <c r="M416" s="8" t="s">
        <v>61</v>
      </c>
      <c r="N416" s="8" t="s">
        <v>110</v>
      </c>
      <c r="O416" s="8">
        <v>414045353</v>
      </c>
      <c r="T416" s="8" t="s">
        <v>2478</v>
      </c>
      <c r="AC416" s="8" t="s">
        <v>56</v>
      </c>
      <c r="AF416" s="9">
        <v>31010</v>
      </c>
      <c r="AG416" s="10">
        <v>1.5493055555555555</v>
      </c>
      <c r="AJ416" s="9">
        <v>44510</v>
      </c>
      <c r="AK416" s="11">
        <v>4.8611111111111112E-3</v>
      </c>
      <c r="AL416" s="9">
        <v>44510</v>
      </c>
      <c r="AP416" s="8" t="s">
        <v>113</v>
      </c>
      <c r="AQ416" s="8" t="s">
        <v>4</v>
      </c>
      <c r="AR416" s="8" t="s">
        <v>4</v>
      </c>
      <c r="AS416" s="8" t="s">
        <v>4</v>
      </c>
      <c r="AT416" s="9">
        <v>44734</v>
      </c>
      <c r="AU416" s="8" t="s">
        <v>114</v>
      </c>
      <c r="AV416" s="8" t="s">
        <v>115</v>
      </c>
      <c r="AW416" s="10">
        <v>1.5458333333333334</v>
      </c>
      <c r="AX416" s="11">
        <v>4.8611111111111112E-3</v>
      </c>
      <c r="AY416" s="8" t="s">
        <v>113</v>
      </c>
      <c r="AZ416" s="8" t="s">
        <v>4</v>
      </c>
      <c r="CF416" s="9"/>
      <c r="CG416" s="10"/>
      <c r="CJ416" s="9"/>
      <c r="CK416" s="11"/>
      <c r="CL416" s="9"/>
      <c r="CT416" s="9"/>
      <c r="CW416" s="10"/>
      <c r="CX416" s="11"/>
    </row>
    <row r="417" spans="1:102">
      <c r="I417" s="8" t="s">
        <v>2479</v>
      </c>
    </row>
    <row r="418" spans="1:102">
      <c r="A418" s="8">
        <v>18979</v>
      </c>
      <c r="B418" s="8" t="s">
        <v>2480</v>
      </c>
      <c r="C418" s="8" t="s">
        <v>2481</v>
      </c>
      <c r="D418" s="8" t="s">
        <v>2482</v>
      </c>
      <c r="E418" s="8" t="s">
        <v>148</v>
      </c>
      <c r="F418" s="8" t="s">
        <v>274</v>
      </c>
      <c r="G418" s="8" t="s">
        <v>2483</v>
      </c>
      <c r="I418" s="8" t="s">
        <v>2484</v>
      </c>
      <c r="J418" s="8" t="s">
        <v>2485</v>
      </c>
      <c r="K418" s="8" t="s">
        <v>60</v>
      </c>
      <c r="L418" s="8">
        <v>3205</v>
      </c>
      <c r="M418" s="8" t="s">
        <v>61</v>
      </c>
      <c r="N418" s="8" t="s">
        <v>110</v>
      </c>
      <c r="S418" s="8">
        <v>433422969</v>
      </c>
      <c r="T418" s="8" t="s">
        <v>2486</v>
      </c>
      <c r="AC418" s="8" t="s">
        <v>153</v>
      </c>
      <c r="AF418" s="9">
        <v>33353</v>
      </c>
      <c r="AG418" s="10">
        <v>1.2958333333333334</v>
      </c>
      <c r="AJ418" s="9">
        <v>44536</v>
      </c>
      <c r="AK418" s="11">
        <v>6.9444444444444441E-3</v>
      </c>
      <c r="AL418" s="9">
        <v>44536</v>
      </c>
      <c r="AP418" s="8" t="s">
        <v>113</v>
      </c>
      <c r="AQ418" s="8" t="s">
        <v>4</v>
      </c>
      <c r="AR418" s="8" t="s">
        <v>4</v>
      </c>
      <c r="AS418" s="8" t="s">
        <v>4</v>
      </c>
      <c r="AY418" s="8" t="s">
        <v>113</v>
      </c>
      <c r="AZ418" s="8" t="s">
        <v>4</v>
      </c>
      <c r="CF418" s="9"/>
      <c r="CG418" s="10"/>
      <c r="CJ418" s="9"/>
      <c r="CK418" s="11"/>
      <c r="CL418" s="9"/>
    </row>
    <row r="419" spans="1:102">
      <c r="A419" s="8">
        <v>18980</v>
      </c>
      <c r="B419" s="8" t="s">
        <v>2487</v>
      </c>
      <c r="C419" s="8" t="s">
        <v>2488</v>
      </c>
      <c r="D419" s="8" t="s">
        <v>2489</v>
      </c>
      <c r="E419" s="8" t="s">
        <v>106</v>
      </c>
      <c r="F419" s="8" t="s">
        <v>933</v>
      </c>
      <c r="G419" s="8" t="s">
        <v>2489</v>
      </c>
      <c r="I419" s="8" t="s">
        <v>2490</v>
      </c>
      <c r="J419" s="8" t="s">
        <v>439</v>
      </c>
      <c r="K419" s="8" t="s">
        <v>122</v>
      </c>
      <c r="L419" s="8">
        <v>2148</v>
      </c>
      <c r="M419" s="8" t="s">
        <v>61</v>
      </c>
      <c r="N419" s="8" t="s">
        <v>110</v>
      </c>
      <c r="S419" s="8">
        <v>424330324</v>
      </c>
      <c r="T419" s="8" t="s">
        <v>2491</v>
      </c>
      <c r="AC419" s="8" t="s">
        <v>56</v>
      </c>
      <c r="AF419" s="9">
        <v>30677</v>
      </c>
      <c r="AG419" s="10">
        <v>1.5902777777777777</v>
      </c>
      <c r="AJ419" s="9">
        <v>44532</v>
      </c>
      <c r="AK419" s="11">
        <v>6.9444444444444441E-3</v>
      </c>
      <c r="AP419" s="8" t="s">
        <v>113</v>
      </c>
      <c r="AR419" s="8" t="s">
        <v>4</v>
      </c>
      <c r="AS419" s="8" t="s">
        <v>4</v>
      </c>
      <c r="AY419" s="8" t="s">
        <v>113</v>
      </c>
      <c r="CF419" s="9"/>
      <c r="CG419" s="10"/>
      <c r="CJ419" s="9"/>
      <c r="CK419" s="11"/>
    </row>
    <row r="420" spans="1:102">
      <c r="A420" s="8">
        <v>18981</v>
      </c>
      <c r="B420" s="8" t="s">
        <v>2492</v>
      </c>
      <c r="C420" s="8" t="s">
        <v>2493</v>
      </c>
      <c r="D420" s="8" t="s">
        <v>2494</v>
      </c>
      <c r="E420" s="8" t="s">
        <v>148</v>
      </c>
      <c r="F420" s="8" t="s">
        <v>2495</v>
      </c>
      <c r="G420" s="8" t="s">
        <v>2494</v>
      </c>
      <c r="I420" s="8" t="s">
        <v>2496</v>
      </c>
      <c r="J420" s="8" t="s">
        <v>2497</v>
      </c>
      <c r="K420" s="8" t="s">
        <v>240</v>
      </c>
      <c r="L420" s="8">
        <v>4101</v>
      </c>
      <c r="M420" s="8" t="s">
        <v>61</v>
      </c>
      <c r="N420" s="8" t="s">
        <v>110</v>
      </c>
      <c r="S420" s="8">
        <v>426081319</v>
      </c>
      <c r="T420" s="8" t="s">
        <v>2498</v>
      </c>
      <c r="AC420" s="8" t="s">
        <v>153</v>
      </c>
      <c r="AF420" s="9">
        <v>32856</v>
      </c>
      <c r="AG420" s="10">
        <v>1.3402777777777777</v>
      </c>
      <c r="AJ420" s="9">
        <v>44536</v>
      </c>
      <c r="AK420" s="11">
        <v>1.3888888888888889E-3</v>
      </c>
      <c r="AP420" s="8" t="s">
        <v>113</v>
      </c>
      <c r="AR420" s="8" t="s">
        <v>4</v>
      </c>
      <c r="AS420" s="8" t="s">
        <v>4</v>
      </c>
      <c r="AT420" s="9">
        <v>44613</v>
      </c>
      <c r="AU420" s="8" t="s">
        <v>114</v>
      </c>
      <c r="AV420" s="8" t="s">
        <v>115</v>
      </c>
      <c r="AW420" s="10">
        <v>1.3347222222222221</v>
      </c>
      <c r="AX420" s="11">
        <v>1.3888888888888889E-3</v>
      </c>
      <c r="AY420" s="8" t="s">
        <v>113</v>
      </c>
      <c r="CF420" s="9"/>
      <c r="CG420" s="10"/>
      <c r="CJ420" s="9"/>
      <c r="CK420" s="11"/>
      <c r="CT420" s="9"/>
      <c r="CW420" s="10"/>
      <c r="CX420" s="11"/>
    </row>
    <row r="421" spans="1:102">
      <c r="D421" s="8" t="s">
        <v>2499</v>
      </c>
    </row>
    <row r="422" spans="1:102">
      <c r="A422" s="8">
        <v>18982</v>
      </c>
      <c r="B422" s="8" t="s">
        <v>2500</v>
      </c>
      <c r="C422" s="8" t="s">
        <v>2501</v>
      </c>
      <c r="D422" s="8" t="s">
        <v>2502</v>
      </c>
      <c r="E422" s="8" t="s">
        <v>148</v>
      </c>
      <c r="F422" s="8" t="s">
        <v>129</v>
      </c>
      <c r="G422" s="8" t="s">
        <v>2502</v>
      </c>
      <c r="I422" s="8" t="s">
        <v>2503</v>
      </c>
      <c r="J422" s="8" t="s">
        <v>2504</v>
      </c>
      <c r="K422" s="8" t="s">
        <v>60</v>
      </c>
      <c r="L422" s="8">
        <v>3074</v>
      </c>
      <c r="M422" s="8" t="s">
        <v>61</v>
      </c>
      <c r="N422" s="8" t="s">
        <v>110</v>
      </c>
      <c r="S422" s="8">
        <v>488963107</v>
      </c>
      <c r="T422" s="8" t="s">
        <v>2505</v>
      </c>
      <c r="AC422" s="8" t="s">
        <v>153</v>
      </c>
      <c r="AF422" s="9">
        <v>36210</v>
      </c>
      <c r="AG422" s="11">
        <v>0.96388888888888891</v>
      </c>
      <c r="AJ422" s="9">
        <v>44526</v>
      </c>
      <c r="AK422" s="11">
        <v>7.6388888888888886E-3</v>
      </c>
      <c r="AP422" s="8" t="s">
        <v>113</v>
      </c>
      <c r="AR422" s="8" t="s">
        <v>4</v>
      </c>
      <c r="AS422" s="8" t="s">
        <v>4</v>
      </c>
      <c r="AY422" s="8" t="s">
        <v>113</v>
      </c>
      <c r="CF422" s="9"/>
      <c r="CG422" s="11"/>
      <c r="CJ422" s="9"/>
      <c r="CK422" s="11"/>
    </row>
    <row r="423" spans="1:102">
      <c r="A423" s="8">
        <v>18983</v>
      </c>
      <c r="B423" s="8" t="s">
        <v>2506</v>
      </c>
      <c r="C423" s="8" t="s">
        <v>2507</v>
      </c>
      <c r="D423" s="8" t="s">
        <v>2508</v>
      </c>
      <c r="E423" s="8" t="s">
        <v>139</v>
      </c>
      <c r="F423" s="8" t="s">
        <v>119</v>
      </c>
      <c r="G423" s="8" t="s">
        <v>2509</v>
      </c>
      <c r="I423" s="8" t="s">
        <v>2510</v>
      </c>
      <c r="J423" s="8" t="s">
        <v>2511</v>
      </c>
      <c r="K423" s="8" t="s">
        <v>60</v>
      </c>
      <c r="L423" s="8">
        <v>3162</v>
      </c>
      <c r="M423" s="8" t="s">
        <v>61</v>
      </c>
      <c r="N423" s="8" t="s">
        <v>110</v>
      </c>
      <c r="S423" s="8">
        <v>435161122</v>
      </c>
      <c r="T423" s="8" t="s">
        <v>2512</v>
      </c>
      <c r="AC423" s="8" t="s">
        <v>56</v>
      </c>
      <c r="AF423" s="9">
        <v>35650</v>
      </c>
      <c r="AG423" s="10">
        <v>1.0430555555555556</v>
      </c>
      <c r="AJ423" s="9">
        <v>44526</v>
      </c>
      <c r="AK423" s="11">
        <v>7.6388888888888886E-3</v>
      </c>
      <c r="AP423" s="8" t="s">
        <v>113</v>
      </c>
      <c r="AR423" s="8" t="s">
        <v>4</v>
      </c>
      <c r="AS423" s="8" t="s">
        <v>4</v>
      </c>
      <c r="AY423" s="8" t="s">
        <v>113</v>
      </c>
      <c r="CF423" s="9"/>
      <c r="CG423" s="10"/>
      <c r="CJ423" s="9"/>
      <c r="CK423" s="11"/>
    </row>
    <row r="424" spans="1:102">
      <c r="A424" s="8">
        <v>18984</v>
      </c>
      <c r="B424" s="8" t="s">
        <v>2513</v>
      </c>
      <c r="C424" s="8" t="s">
        <v>2146</v>
      </c>
      <c r="D424" s="8" t="s">
        <v>2147</v>
      </c>
      <c r="E424" s="8" t="s">
        <v>139</v>
      </c>
      <c r="F424" s="8" t="s">
        <v>545</v>
      </c>
      <c r="G424" s="8" t="s">
        <v>2514</v>
      </c>
      <c r="I424" s="8" t="s">
        <v>2515</v>
      </c>
      <c r="J424" s="8" t="s">
        <v>2149</v>
      </c>
      <c r="K424" s="8" t="s">
        <v>60</v>
      </c>
      <c r="L424" s="8">
        <v>3003</v>
      </c>
      <c r="M424" s="8" t="s">
        <v>61</v>
      </c>
      <c r="N424" s="8" t="s">
        <v>110</v>
      </c>
      <c r="S424" s="8">
        <v>411956998</v>
      </c>
      <c r="T424" s="8" t="s">
        <v>2151</v>
      </c>
      <c r="AC424" s="8" t="s">
        <v>56</v>
      </c>
      <c r="AF424" s="9">
        <v>36431</v>
      </c>
      <c r="AG424" s="11">
        <v>0.9590277777777777</v>
      </c>
      <c r="AJ424" s="9">
        <v>44526</v>
      </c>
      <c r="AK424" s="11">
        <v>6.9444444444444441E-3</v>
      </c>
      <c r="AP424" s="8" t="s">
        <v>113</v>
      </c>
      <c r="AR424" s="8" t="s">
        <v>4</v>
      </c>
      <c r="AS424" s="8" t="s">
        <v>4</v>
      </c>
      <c r="AT424" s="9">
        <v>44855</v>
      </c>
      <c r="AU424" s="8" t="s">
        <v>114</v>
      </c>
      <c r="AV424" s="8" t="s">
        <v>115</v>
      </c>
      <c r="AW424" s="11">
        <v>0.95833333333333337</v>
      </c>
      <c r="AX424" s="11">
        <v>6.9444444444444441E-3</v>
      </c>
      <c r="AY424" s="8" t="s">
        <v>113</v>
      </c>
      <c r="CF424" s="9"/>
      <c r="CG424" s="11"/>
      <c r="CJ424" s="9"/>
      <c r="CK424" s="11"/>
    </row>
    <row r="425" spans="1:102">
      <c r="I425" s="8" t="s">
        <v>2516</v>
      </c>
    </row>
    <row r="426" spans="1:102">
      <c r="A426" s="8">
        <v>18985</v>
      </c>
      <c r="B426" s="8" t="s">
        <v>2517</v>
      </c>
      <c r="C426" s="8" t="s">
        <v>2518</v>
      </c>
      <c r="D426" s="8" t="s">
        <v>2519</v>
      </c>
      <c r="E426" s="8" t="s">
        <v>139</v>
      </c>
      <c r="F426" s="8" t="s">
        <v>2520</v>
      </c>
      <c r="G426" s="8" t="s">
        <v>2519</v>
      </c>
      <c r="I426" s="8" t="s">
        <v>2521</v>
      </c>
      <c r="J426" s="8" t="s">
        <v>2522</v>
      </c>
      <c r="K426" s="8" t="s">
        <v>240</v>
      </c>
      <c r="L426" s="8">
        <v>4068</v>
      </c>
      <c r="M426" s="8" t="s">
        <v>61</v>
      </c>
      <c r="N426" s="8" t="s">
        <v>110</v>
      </c>
      <c r="S426" s="8">
        <v>435043090</v>
      </c>
      <c r="T426" s="8" t="s">
        <v>2523</v>
      </c>
      <c r="AC426" s="8" t="s">
        <v>56</v>
      </c>
      <c r="AF426" s="9">
        <v>33582</v>
      </c>
      <c r="AG426" s="10">
        <v>1.2569444444444444</v>
      </c>
      <c r="AJ426" s="9">
        <v>44537</v>
      </c>
      <c r="AK426" s="11">
        <v>0</v>
      </c>
      <c r="AP426" s="8" t="s">
        <v>113</v>
      </c>
      <c r="AR426" s="8" t="s">
        <v>4</v>
      </c>
      <c r="AS426" s="8" t="s">
        <v>4</v>
      </c>
      <c r="AT426" s="9">
        <v>44539</v>
      </c>
      <c r="AU426" s="8" t="s">
        <v>114</v>
      </c>
      <c r="AV426" s="8" t="s">
        <v>115</v>
      </c>
      <c r="AW426" s="10">
        <v>1.25</v>
      </c>
      <c r="AX426" s="11">
        <v>0</v>
      </c>
      <c r="AY426" s="8" t="s">
        <v>113</v>
      </c>
      <c r="CF426" s="9"/>
      <c r="CG426" s="10"/>
      <c r="CJ426" s="9"/>
      <c r="CK426" s="11"/>
      <c r="CT426" s="9"/>
      <c r="CW426" s="10"/>
      <c r="CX426" s="11"/>
    </row>
    <row r="427" spans="1:102">
      <c r="D427" s="8" t="s">
        <v>2524</v>
      </c>
    </row>
    <row r="428" spans="1:102">
      <c r="A428" s="8">
        <v>18986</v>
      </c>
      <c r="B428" s="8" t="s">
        <v>2525</v>
      </c>
      <c r="C428" s="8" t="s">
        <v>2526</v>
      </c>
      <c r="D428" s="8" t="s">
        <v>2527</v>
      </c>
      <c r="E428" s="8" t="s">
        <v>106</v>
      </c>
      <c r="F428" s="8" t="s">
        <v>368</v>
      </c>
      <c r="G428" s="8" t="s">
        <v>397</v>
      </c>
      <c r="I428" s="8" t="s">
        <v>2528</v>
      </c>
      <c r="J428" s="8" t="s">
        <v>2529</v>
      </c>
      <c r="K428" s="8" t="s">
        <v>240</v>
      </c>
      <c r="L428" s="8">
        <v>4118</v>
      </c>
      <c r="M428" s="8" t="s">
        <v>61</v>
      </c>
      <c r="N428" s="8" t="s">
        <v>110</v>
      </c>
      <c r="S428" s="8">
        <v>451080323</v>
      </c>
      <c r="T428" s="8" t="s">
        <v>2530</v>
      </c>
      <c r="AC428" s="8" t="s">
        <v>56</v>
      </c>
      <c r="AF428" s="9">
        <v>30764</v>
      </c>
      <c r="AG428" s="10">
        <v>1.5881944444444445</v>
      </c>
      <c r="AJ428" s="9">
        <v>44544</v>
      </c>
      <c r="AK428" s="11">
        <v>6.9444444444444441E-3</v>
      </c>
      <c r="AP428" s="8" t="s">
        <v>113</v>
      </c>
      <c r="AR428" s="8" t="s">
        <v>4</v>
      </c>
      <c r="AS428" s="8" t="s">
        <v>4</v>
      </c>
      <c r="AY428" s="8" t="s">
        <v>113</v>
      </c>
      <c r="CF428" s="9"/>
      <c r="CG428" s="10"/>
      <c r="CJ428" s="9"/>
      <c r="CK428" s="11"/>
    </row>
    <row r="429" spans="1:102">
      <c r="A429" s="8">
        <v>18987</v>
      </c>
      <c r="B429" s="8" t="s">
        <v>2531</v>
      </c>
      <c r="C429" s="8" t="s">
        <v>2532</v>
      </c>
      <c r="D429" s="8" t="s">
        <v>2533</v>
      </c>
      <c r="E429" s="8" t="s">
        <v>139</v>
      </c>
      <c r="F429" s="8" t="s">
        <v>2534</v>
      </c>
      <c r="G429" s="8" t="s">
        <v>2533</v>
      </c>
      <c r="I429" s="8" t="s">
        <v>2535</v>
      </c>
      <c r="J429" s="8" t="s">
        <v>2536</v>
      </c>
      <c r="K429" s="8" t="s">
        <v>240</v>
      </c>
      <c r="L429" s="8">
        <v>4156</v>
      </c>
      <c r="M429" s="8" t="s">
        <v>61</v>
      </c>
      <c r="N429" s="8" t="s">
        <v>110</v>
      </c>
      <c r="S429" s="8">
        <v>439747219</v>
      </c>
      <c r="T429" s="8" t="s">
        <v>2537</v>
      </c>
      <c r="AC429" s="8" t="s">
        <v>56</v>
      </c>
      <c r="AF429" s="9">
        <v>22294</v>
      </c>
      <c r="AG429" s="10">
        <v>2.5479166666666666</v>
      </c>
      <c r="AJ429" s="9">
        <v>44571</v>
      </c>
      <c r="AK429" s="11">
        <v>6.2499999999999995E-3</v>
      </c>
      <c r="AP429" s="8" t="s">
        <v>113</v>
      </c>
      <c r="AR429" s="8" t="s">
        <v>4</v>
      </c>
      <c r="AS429" s="8" t="s">
        <v>4</v>
      </c>
      <c r="CF429" s="9"/>
      <c r="CG429" s="10"/>
      <c r="CJ429" s="9"/>
      <c r="CK429" s="11"/>
    </row>
    <row r="430" spans="1:102">
      <c r="D430" s="8" t="s">
        <v>2106</v>
      </c>
    </row>
    <row r="431" spans="1:102">
      <c r="A431" s="8">
        <v>18988</v>
      </c>
      <c r="B431" s="8" t="s">
        <v>2538</v>
      </c>
      <c r="C431" s="8" t="s">
        <v>2539</v>
      </c>
      <c r="D431" s="8" t="s">
        <v>2540</v>
      </c>
      <c r="E431" s="8" t="s">
        <v>139</v>
      </c>
      <c r="F431" s="8" t="s">
        <v>644</v>
      </c>
      <c r="G431" s="8" t="s">
        <v>2541</v>
      </c>
      <c r="I431" s="8" t="s">
        <v>2542</v>
      </c>
      <c r="J431" s="8" t="s">
        <v>2543</v>
      </c>
      <c r="K431" s="8" t="s">
        <v>240</v>
      </c>
      <c r="L431" s="8">
        <v>4505</v>
      </c>
      <c r="M431" s="8" t="s">
        <v>61</v>
      </c>
      <c r="N431" s="8" t="s">
        <v>110</v>
      </c>
      <c r="S431" s="8">
        <v>412586209</v>
      </c>
      <c r="T431" s="8" t="s">
        <v>2544</v>
      </c>
      <c r="AC431" s="8" t="s">
        <v>56</v>
      </c>
      <c r="AF431" s="9">
        <v>23591</v>
      </c>
      <c r="AG431" s="10">
        <v>2.4180555555555556</v>
      </c>
      <c r="AJ431" s="9">
        <v>44565</v>
      </c>
      <c r="AK431" s="11">
        <v>6.2499999999999995E-3</v>
      </c>
      <c r="AP431" s="8" t="s">
        <v>113</v>
      </c>
      <c r="AR431" s="8" t="s">
        <v>4</v>
      </c>
      <c r="AS431" s="8" t="s">
        <v>4</v>
      </c>
      <c r="CF431" s="9"/>
      <c r="CG431" s="10"/>
      <c r="CJ431" s="9"/>
      <c r="CK431" s="11"/>
    </row>
    <row r="432" spans="1:102">
      <c r="A432" s="8">
        <v>18989</v>
      </c>
      <c r="B432" s="8" t="s">
        <v>2545</v>
      </c>
      <c r="C432" s="8" t="s">
        <v>2546</v>
      </c>
      <c r="D432" s="8" t="s">
        <v>2547</v>
      </c>
      <c r="E432" s="8" t="s">
        <v>148</v>
      </c>
      <c r="F432" s="8" t="s">
        <v>2548</v>
      </c>
      <c r="G432" s="8" t="s">
        <v>2549</v>
      </c>
      <c r="I432" s="8" t="s">
        <v>2550</v>
      </c>
      <c r="J432" s="8" t="s">
        <v>1463</v>
      </c>
      <c r="K432" s="8" t="s">
        <v>60</v>
      </c>
      <c r="L432" s="8">
        <v>3174</v>
      </c>
      <c r="M432" s="8" t="s">
        <v>61</v>
      </c>
      <c r="N432" s="8" t="s">
        <v>110</v>
      </c>
      <c r="S432" s="8">
        <v>409373794</v>
      </c>
      <c r="T432" s="8" t="s">
        <v>2551</v>
      </c>
      <c r="AC432" s="8" t="s">
        <v>153</v>
      </c>
      <c r="AF432" s="9">
        <v>33782</v>
      </c>
      <c r="AG432" s="10">
        <v>1.2527777777777778</v>
      </c>
      <c r="AJ432" s="9">
        <v>44571</v>
      </c>
      <c r="AK432" s="11">
        <v>6.2499999999999995E-3</v>
      </c>
      <c r="AP432" s="8" t="s">
        <v>113</v>
      </c>
      <c r="AR432" s="8" t="s">
        <v>4</v>
      </c>
      <c r="AS432" s="8" t="s">
        <v>4</v>
      </c>
      <c r="AY432" s="8" t="s">
        <v>113</v>
      </c>
      <c r="CF432" s="9"/>
      <c r="CG432" s="10"/>
      <c r="CJ432" s="9"/>
      <c r="CK432" s="11"/>
    </row>
    <row r="433" spans="1:102">
      <c r="D433" s="8" t="s">
        <v>2549</v>
      </c>
    </row>
    <row r="434" spans="1:102">
      <c r="A434" s="8">
        <v>18990</v>
      </c>
      <c r="B434" s="8" t="s">
        <v>2552</v>
      </c>
      <c r="C434" s="8" t="s">
        <v>2553</v>
      </c>
      <c r="D434" s="8" t="s">
        <v>2554</v>
      </c>
      <c r="E434" s="8" t="s">
        <v>148</v>
      </c>
      <c r="F434" s="8" t="s">
        <v>2555</v>
      </c>
      <c r="G434" s="8" t="s">
        <v>2554</v>
      </c>
      <c r="I434" s="8" t="s">
        <v>2556</v>
      </c>
      <c r="J434" s="8" t="s">
        <v>2557</v>
      </c>
      <c r="K434" s="8" t="s">
        <v>240</v>
      </c>
      <c r="L434" s="8">
        <v>4059</v>
      </c>
      <c r="M434" s="8" t="s">
        <v>61</v>
      </c>
      <c r="N434" s="8" t="s">
        <v>110</v>
      </c>
      <c r="S434" s="8">
        <v>478757884</v>
      </c>
      <c r="T434" s="8" t="s">
        <v>2558</v>
      </c>
      <c r="AC434" s="8" t="s">
        <v>153</v>
      </c>
      <c r="AF434" s="9">
        <v>27544</v>
      </c>
      <c r="AG434" s="10">
        <v>1.9618055555555556</v>
      </c>
      <c r="AJ434" s="9">
        <v>44582</v>
      </c>
      <c r="AK434" s="11">
        <v>6.2499999999999995E-3</v>
      </c>
      <c r="AP434" s="8" t="s">
        <v>113</v>
      </c>
      <c r="AR434" s="8" t="s">
        <v>4</v>
      </c>
      <c r="AS434" s="8" t="s">
        <v>4</v>
      </c>
      <c r="AY434" s="8" t="s">
        <v>113</v>
      </c>
      <c r="CF434" s="9"/>
      <c r="CG434" s="10"/>
      <c r="CJ434" s="9"/>
      <c r="CK434" s="11"/>
    </row>
    <row r="435" spans="1:102">
      <c r="D435" s="8" t="s">
        <v>2559</v>
      </c>
    </row>
    <row r="436" spans="1:102">
      <c r="A436" s="8">
        <v>18991</v>
      </c>
      <c r="B436" s="8" t="s">
        <v>2560</v>
      </c>
      <c r="C436" s="8" t="s">
        <v>2561</v>
      </c>
      <c r="D436" s="8" t="s">
        <v>2562</v>
      </c>
      <c r="E436" s="8" t="s">
        <v>139</v>
      </c>
      <c r="F436" s="8" t="s">
        <v>333</v>
      </c>
      <c r="G436" s="8" t="s">
        <v>2562</v>
      </c>
      <c r="I436" s="8" t="s">
        <v>2563</v>
      </c>
      <c r="J436" s="8" t="s">
        <v>1940</v>
      </c>
      <c r="K436" s="8" t="s">
        <v>60</v>
      </c>
      <c r="L436" s="8">
        <v>3004</v>
      </c>
      <c r="M436" s="8" t="s">
        <v>61</v>
      </c>
      <c r="N436" s="8" t="s">
        <v>110</v>
      </c>
      <c r="S436" s="8">
        <v>476280557</v>
      </c>
      <c r="T436" s="8" t="s">
        <v>2564</v>
      </c>
      <c r="AC436" s="8" t="s">
        <v>56</v>
      </c>
      <c r="AF436" s="9">
        <v>37314</v>
      </c>
      <c r="AG436" s="11">
        <v>0.83888888888888891</v>
      </c>
      <c r="AJ436" s="9">
        <v>44580</v>
      </c>
      <c r="AK436" s="11">
        <v>3.472222222222222E-3</v>
      </c>
      <c r="AP436" s="8" t="s">
        <v>113</v>
      </c>
      <c r="AR436" s="8" t="s">
        <v>4</v>
      </c>
      <c r="AS436" s="8" t="s">
        <v>4</v>
      </c>
      <c r="AT436" s="9">
        <v>44734</v>
      </c>
      <c r="AU436" s="8" t="s">
        <v>114</v>
      </c>
      <c r="AV436" s="8" t="s">
        <v>115</v>
      </c>
      <c r="AW436" s="11">
        <v>0.8354166666666667</v>
      </c>
      <c r="AX436" s="11">
        <v>3.472222222222222E-3</v>
      </c>
      <c r="AY436" s="8" t="s">
        <v>113</v>
      </c>
      <c r="CF436" s="9"/>
      <c r="CG436" s="11"/>
      <c r="CJ436" s="9"/>
      <c r="CK436" s="11"/>
      <c r="CT436" s="9"/>
      <c r="CW436" s="11"/>
      <c r="CX436" s="11"/>
    </row>
    <row r="437" spans="1:102">
      <c r="A437" s="8">
        <v>18992</v>
      </c>
      <c r="B437" s="8" t="s">
        <v>2565</v>
      </c>
      <c r="C437" s="8" t="s">
        <v>2566</v>
      </c>
      <c r="D437" s="8" t="s">
        <v>2567</v>
      </c>
      <c r="E437" s="8" t="s">
        <v>148</v>
      </c>
      <c r="F437" s="8" t="s">
        <v>2568</v>
      </c>
      <c r="G437" s="8" t="s">
        <v>2567</v>
      </c>
      <c r="I437" s="8" t="s">
        <v>2569</v>
      </c>
      <c r="J437" s="8" t="s">
        <v>2570</v>
      </c>
      <c r="K437" s="8" t="s">
        <v>60</v>
      </c>
      <c r="L437" s="8">
        <v>3024</v>
      </c>
      <c r="M437" s="8" t="s">
        <v>61</v>
      </c>
      <c r="N437" s="8" t="s">
        <v>110</v>
      </c>
      <c r="O437" s="8">
        <v>449776959</v>
      </c>
      <c r="R437" s="8" t="s">
        <v>2571</v>
      </c>
      <c r="S437" s="8">
        <v>449776959</v>
      </c>
      <c r="T437" s="8" t="s">
        <v>2572</v>
      </c>
      <c r="AC437" s="8" t="s">
        <v>153</v>
      </c>
      <c r="AF437" s="9">
        <v>28855</v>
      </c>
      <c r="AG437" s="10">
        <v>1.7986111111111109</v>
      </c>
      <c r="AJ437" s="9">
        <v>44592</v>
      </c>
      <c r="AK437" s="11">
        <v>2.7777777777777779E-3</v>
      </c>
      <c r="AP437" s="8" t="s">
        <v>113</v>
      </c>
      <c r="AR437" s="8" t="s">
        <v>4</v>
      </c>
      <c r="AS437" s="8" t="s">
        <v>4</v>
      </c>
      <c r="AT437" s="9">
        <v>44715</v>
      </c>
      <c r="AU437" s="8" t="s">
        <v>114</v>
      </c>
      <c r="AV437" s="8" t="s">
        <v>115</v>
      </c>
      <c r="AW437" s="10">
        <v>1.7951388888888891</v>
      </c>
      <c r="AX437" s="11">
        <v>2.0833333333333333E-3</v>
      </c>
      <c r="CF437" s="9"/>
      <c r="CG437" s="10"/>
      <c r="CJ437" s="9"/>
      <c r="CK437" s="11"/>
      <c r="CT437" s="9"/>
      <c r="CW437" s="10"/>
      <c r="CX437" s="11"/>
    </row>
    <row r="438" spans="1:102">
      <c r="D438" s="8" t="s">
        <v>2573</v>
      </c>
    </row>
    <row r="439" spans="1:102">
      <c r="A439" s="8">
        <v>18993</v>
      </c>
      <c r="B439" s="8" t="s">
        <v>2574</v>
      </c>
      <c r="C439" s="8" t="s">
        <v>2329</v>
      </c>
      <c r="D439" s="8" t="s">
        <v>2575</v>
      </c>
      <c r="E439" s="8" t="s">
        <v>106</v>
      </c>
      <c r="F439" s="8" t="s">
        <v>1787</v>
      </c>
      <c r="G439" s="8" t="s">
        <v>2576</v>
      </c>
      <c r="I439" s="8" t="s">
        <v>2577</v>
      </c>
      <c r="J439" s="8" t="s">
        <v>764</v>
      </c>
      <c r="K439" s="8" t="s">
        <v>60</v>
      </c>
      <c r="L439" s="8">
        <v>3149</v>
      </c>
      <c r="M439" s="8" t="s">
        <v>61</v>
      </c>
      <c r="N439" s="8" t="s">
        <v>110</v>
      </c>
      <c r="S439" s="8">
        <v>452600709</v>
      </c>
      <c r="T439" s="8" t="s">
        <v>2578</v>
      </c>
      <c r="AC439" s="8" t="s">
        <v>56</v>
      </c>
      <c r="AF439" s="9">
        <v>34420</v>
      </c>
      <c r="AG439" s="10">
        <v>1.1715277777777777</v>
      </c>
      <c r="AJ439" s="9">
        <v>44599</v>
      </c>
      <c r="AK439" s="11">
        <v>4.8611111111111112E-3</v>
      </c>
      <c r="AP439" s="8" t="s">
        <v>113</v>
      </c>
      <c r="AQ439" s="8" t="s">
        <v>4</v>
      </c>
      <c r="AR439" s="8" t="s">
        <v>4</v>
      </c>
      <c r="AS439" s="8" t="s">
        <v>4</v>
      </c>
      <c r="AT439" s="9">
        <v>44813</v>
      </c>
      <c r="AU439" s="8" t="s">
        <v>114</v>
      </c>
      <c r="AV439" s="8" t="s">
        <v>115</v>
      </c>
      <c r="AW439" s="10">
        <v>1.1701388888888888</v>
      </c>
      <c r="AX439" s="11">
        <v>4.8611111111111112E-3</v>
      </c>
      <c r="AY439" s="8" t="s">
        <v>113</v>
      </c>
      <c r="AZ439" s="8" t="s">
        <v>4</v>
      </c>
      <c r="CF439" s="9"/>
      <c r="CG439" s="10"/>
      <c r="CJ439" s="9"/>
      <c r="CK439" s="11"/>
      <c r="CT439" s="9"/>
      <c r="CW439" s="10"/>
      <c r="CX439" s="11"/>
    </row>
    <row r="440" spans="1:102">
      <c r="A440" s="8">
        <v>18994</v>
      </c>
      <c r="B440" s="8" t="s">
        <v>2579</v>
      </c>
      <c r="C440" s="8" t="s">
        <v>2580</v>
      </c>
      <c r="D440" s="8" t="s">
        <v>2277</v>
      </c>
      <c r="E440" s="8" t="s">
        <v>376</v>
      </c>
      <c r="F440" s="8" t="s">
        <v>119</v>
      </c>
      <c r="G440" s="8" t="s">
        <v>2277</v>
      </c>
      <c r="I440" s="8" t="s">
        <v>2581</v>
      </c>
      <c r="J440" s="8" t="s">
        <v>2582</v>
      </c>
      <c r="K440" s="8" t="s">
        <v>60</v>
      </c>
      <c r="L440" s="8">
        <v>3977</v>
      </c>
      <c r="M440" s="8" t="s">
        <v>61</v>
      </c>
      <c r="N440" s="8" t="s">
        <v>110</v>
      </c>
      <c r="O440" s="8">
        <v>424784159</v>
      </c>
      <c r="S440" s="8">
        <v>424784159</v>
      </c>
      <c r="T440" s="8" t="s">
        <v>2583</v>
      </c>
      <c r="AC440" s="8" t="s">
        <v>56</v>
      </c>
      <c r="AF440" s="9">
        <v>37372</v>
      </c>
      <c r="AG440" s="11">
        <v>0.83750000000000002</v>
      </c>
      <c r="AJ440" s="9">
        <v>44580</v>
      </c>
      <c r="AK440" s="11">
        <v>6.2499999999999995E-3</v>
      </c>
      <c r="AP440" s="8" t="s">
        <v>113</v>
      </c>
      <c r="AR440" s="8" t="s">
        <v>4</v>
      </c>
      <c r="AS440" s="8" t="s">
        <v>4</v>
      </c>
      <c r="AY440" s="8" t="s">
        <v>113</v>
      </c>
      <c r="CF440" s="9"/>
      <c r="CG440" s="11"/>
      <c r="CJ440" s="9"/>
      <c r="CK440" s="11"/>
    </row>
    <row r="441" spans="1:102">
      <c r="A441" s="8">
        <v>18995</v>
      </c>
      <c r="B441" s="8" t="s">
        <v>2584</v>
      </c>
      <c r="C441" s="8" t="s">
        <v>2585</v>
      </c>
      <c r="D441" s="8" t="s">
        <v>2586</v>
      </c>
      <c r="E441" s="8" t="s">
        <v>106</v>
      </c>
      <c r="F441" s="8" t="s">
        <v>2587</v>
      </c>
      <c r="G441" s="8" t="s">
        <v>2586</v>
      </c>
      <c r="I441" s="8" t="s">
        <v>2588</v>
      </c>
      <c r="J441" s="8" t="s">
        <v>2589</v>
      </c>
      <c r="K441" s="8" t="s">
        <v>240</v>
      </c>
      <c r="L441" s="8">
        <v>4165</v>
      </c>
      <c r="M441" s="8" t="s">
        <v>61</v>
      </c>
      <c r="N441" s="8" t="s">
        <v>110</v>
      </c>
      <c r="R441" s="8" t="s">
        <v>2590</v>
      </c>
      <c r="S441" s="8" t="s">
        <v>2591</v>
      </c>
      <c r="T441" s="8" t="s">
        <v>2592</v>
      </c>
      <c r="U441" s="8">
        <v>405167375</v>
      </c>
      <c r="W441" s="8" t="s">
        <v>2593</v>
      </c>
      <c r="X441" s="8" t="s">
        <v>2589</v>
      </c>
      <c r="Y441" s="8" t="s">
        <v>240</v>
      </c>
      <c r="Z441" s="8">
        <v>4165</v>
      </c>
      <c r="AA441" s="8" t="s">
        <v>61</v>
      </c>
      <c r="AB441" s="8" t="s">
        <v>110</v>
      </c>
      <c r="AC441" s="8" t="s">
        <v>56</v>
      </c>
      <c r="AF441" s="9">
        <v>23768</v>
      </c>
      <c r="AG441" s="10">
        <v>2.3812500000000001</v>
      </c>
      <c r="AJ441" s="9">
        <v>44627</v>
      </c>
      <c r="AK441" s="11">
        <v>4.8611111111111112E-3</v>
      </c>
      <c r="AP441" s="8" t="s">
        <v>113</v>
      </c>
      <c r="AR441" s="8" t="s">
        <v>4</v>
      </c>
      <c r="AS441" s="8" t="s">
        <v>4</v>
      </c>
      <c r="CF441" s="9"/>
      <c r="CG441" s="10"/>
      <c r="CJ441" s="9"/>
      <c r="CK441" s="11"/>
    </row>
    <row r="442" spans="1:102">
      <c r="A442" s="8">
        <v>18996</v>
      </c>
      <c r="B442" s="8" t="s">
        <v>2594</v>
      </c>
      <c r="C442" s="8" t="s">
        <v>2595</v>
      </c>
      <c r="D442" s="8" t="s">
        <v>2596</v>
      </c>
      <c r="E442" s="8" t="s">
        <v>376</v>
      </c>
      <c r="F442" s="8" t="s">
        <v>933</v>
      </c>
      <c r="G442" s="8" t="s">
        <v>2596</v>
      </c>
      <c r="I442" s="8" t="s">
        <v>2597</v>
      </c>
      <c r="J442" s="8" t="s">
        <v>2598</v>
      </c>
      <c r="K442" s="8" t="s">
        <v>293</v>
      </c>
      <c r="L442" s="8">
        <v>6069</v>
      </c>
      <c r="M442" s="8" t="s">
        <v>61</v>
      </c>
      <c r="N442" s="8" t="s">
        <v>110</v>
      </c>
      <c r="R442" s="8" t="s">
        <v>2599</v>
      </c>
      <c r="S442" s="8" t="s">
        <v>2600</v>
      </c>
      <c r="T442" s="8" t="s">
        <v>2601</v>
      </c>
      <c r="AC442" s="8" t="s">
        <v>56</v>
      </c>
      <c r="AF442" s="9">
        <v>36229</v>
      </c>
      <c r="AG442" s="11">
        <v>0.96319444444444446</v>
      </c>
      <c r="AJ442" s="9">
        <v>44621</v>
      </c>
      <c r="AK442" s="11">
        <v>5.5555555555555558E-3</v>
      </c>
      <c r="AP442" s="8" t="s">
        <v>113</v>
      </c>
      <c r="AR442" s="8" t="s">
        <v>4</v>
      </c>
      <c r="AS442" s="8" t="s">
        <v>4</v>
      </c>
      <c r="AY442" s="8" t="s">
        <v>113</v>
      </c>
      <c r="CF442" s="9"/>
      <c r="CG442" s="11"/>
      <c r="CJ442" s="9"/>
      <c r="CK442" s="11"/>
    </row>
    <row r="443" spans="1:102">
      <c r="A443" s="8">
        <v>18997</v>
      </c>
      <c r="B443" s="8" t="s">
        <v>2602</v>
      </c>
      <c r="C443" s="8" t="s">
        <v>2603</v>
      </c>
      <c r="D443" s="8" t="s">
        <v>2604</v>
      </c>
      <c r="E443" s="8" t="s">
        <v>139</v>
      </c>
      <c r="F443" s="8" t="s">
        <v>2605</v>
      </c>
      <c r="G443" s="8" t="s">
        <v>2606</v>
      </c>
      <c r="I443" s="8" t="s">
        <v>2607</v>
      </c>
      <c r="J443" s="8" t="s">
        <v>2608</v>
      </c>
      <c r="K443" s="8" t="s">
        <v>240</v>
      </c>
      <c r="L443" s="8">
        <v>4179</v>
      </c>
      <c r="M443" s="8" t="s">
        <v>61</v>
      </c>
      <c r="N443" s="8" t="s">
        <v>110</v>
      </c>
      <c r="R443" s="8" t="s">
        <v>2609</v>
      </c>
      <c r="S443" s="8">
        <v>401976107</v>
      </c>
      <c r="T443" s="8" t="s">
        <v>2610</v>
      </c>
      <c r="U443" s="8" t="s">
        <v>2611</v>
      </c>
      <c r="W443" s="8" t="s">
        <v>2612</v>
      </c>
      <c r="X443" s="8" t="s">
        <v>2258</v>
      </c>
      <c r="Y443" s="8" t="s">
        <v>240</v>
      </c>
      <c r="Z443" s="8">
        <v>4179</v>
      </c>
      <c r="AA443" s="8" t="s">
        <v>61</v>
      </c>
      <c r="AB443" s="8" t="s">
        <v>110</v>
      </c>
      <c r="AC443" s="8" t="s">
        <v>56</v>
      </c>
      <c r="AF443" s="9">
        <v>21941</v>
      </c>
      <c r="AG443" s="10">
        <v>2.5895833333333331</v>
      </c>
      <c r="AJ443" s="9">
        <v>44616</v>
      </c>
      <c r="AK443" s="11">
        <v>5.5555555555555558E-3</v>
      </c>
      <c r="AP443" s="8" t="s">
        <v>113</v>
      </c>
      <c r="AQ443" s="8" t="s">
        <v>4</v>
      </c>
      <c r="AR443" s="8" t="s">
        <v>4</v>
      </c>
      <c r="AS443" s="8" t="s">
        <v>4</v>
      </c>
      <c r="AY443" s="8" t="s">
        <v>4</v>
      </c>
      <c r="AZ443" s="8" t="s">
        <v>4</v>
      </c>
      <c r="CF443" s="9"/>
      <c r="CG443" s="10"/>
      <c r="CJ443" s="9"/>
      <c r="CK443" s="11"/>
    </row>
    <row r="444" spans="1:102">
      <c r="D444" s="8" t="s">
        <v>2613</v>
      </c>
    </row>
    <row r="445" spans="1:102">
      <c r="A445" s="8">
        <v>18998</v>
      </c>
      <c r="B445" s="8" t="s">
        <v>2614</v>
      </c>
      <c r="C445" s="8" t="s">
        <v>2615</v>
      </c>
      <c r="D445" s="8" t="s">
        <v>2616</v>
      </c>
      <c r="E445" s="8" t="s">
        <v>139</v>
      </c>
      <c r="F445" s="8" t="s">
        <v>107</v>
      </c>
      <c r="G445" s="8" t="s">
        <v>2617</v>
      </c>
      <c r="I445" s="8" t="s">
        <v>2618</v>
      </c>
      <c r="J445" s="8" t="s">
        <v>1668</v>
      </c>
      <c r="K445" s="8" t="s">
        <v>60</v>
      </c>
      <c r="L445" s="8">
        <v>3124</v>
      </c>
      <c r="M445" s="8" t="s">
        <v>61</v>
      </c>
      <c r="N445" s="8" t="s">
        <v>110</v>
      </c>
      <c r="R445" s="8" t="s">
        <v>2619</v>
      </c>
      <c r="S445" s="8" t="s">
        <v>2620</v>
      </c>
      <c r="T445" s="8" t="s">
        <v>2621</v>
      </c>
      <c r="AC445" s="8" t="s">
        <v>56</v>
      </c>
      <c r="AF445" s="9">
        <v>29222</v>
      </c>
      <c r="AG445" s="10">
        <v>1.7562499999999999</v>
      </c>
      <c r="AJ445" s="9">
        <v>44620</v>
      </c>
      <c r="AK445" s="11">
        <v>5.5555555555555558E-3</v>
      </c>
      <c r="AP445" s="8" t="s">
        <v>113</v>
      </c>
      <c r="AR445" s="8" t="s">
        <v>4</v>
      </c>
      <c r="AS445" s="8" t="s">
        <v>4</v>
      </c>
      <c r="CF445" s="9"/>
      <c r="CG445" s="10"/>
      <c r="CJ445" s="9"/>
      <c r="CK445" s="11"/>
    </row>
    <row r="446" spans="1:102">
      <c r="A446" s="8">
        <v>18999</v>
      </c>
      <c r="B446" s="8" t="s">
        <v>2000</v>
      </c>
      <c r="C446" s="8" t="s">
        <v>2001</v>
      </c>
      <c r="D446" s="8" t="s">
        <v>2002</v>
      </c>
      <c r="E446" s="8" t="s">
        <v>106</v>
      </c>
      <c r="F446" s="8" t="s">
        <v>404</v>
      </c>
      <c r="G446" s="8" t="s">
        <v>2002</v>
      </c>
      <c r="I446" s="8" t="s">
        <v>2622</v>
      </c>
      <c r="J446" s="8" t="s">
        <v>2623</v>
      </c>
      <c r="K446" s="8" t="s">
        <v>122</v>
      </c>
      <c r="L446" s="8">
        <v>2121</v>
      </c>
      <c r="M446" s="8" t="s">
        <v>61</v>
      </c>
      <c r="N446" s="8" t="s">
        <v>110</v>
      </c>
      <c r="R446" s="8" t="s">
        <v>2005</v>
      </c>
      <c r="S446" s="8" t="s">
        <v>2624</v>
      </c>
      <c r="T446" s="8" t="s">
        <v>2625</v>
      </c>
      <c r="AC446" s="8" t="s">
        <v>56</v>
      </c>
      <c r="AF446" s="9">
        <v>32712</v>
      </c>
      <c r="AG446" s="10">
        <v>1.3770833333333332</v>
      </c>
      <c r="AJ446" s="9">
        <v>44663</v>
      </c>
      <c r="AK446" s="11">
        <v>4.1666666666666666E-3</v>
      </c>
      <c r="AP446" s="8" t="s">
        <v>113</v>
      </c>
      <c r="AR446" s="8" t="s">
        <v>4</v>
      </c>
      <c r="AS446" s="8" t="s">
        <v>4</v>
      </c>
      <c r="AY446" s="8" t="s">
        <v>113</v>
      </c>
      <c r="CF446" s="9"/>
      <c r="CG446" s="10"/>
      <c r="CJ446" s="9"/>
      <c r="CK446" s="11"/>
    </row>
    <row r="447" spans="1:102">
      <c r="A447" s="8">
        <v>19000</v>
      </c>
      <c r="B447" s="8" t="s">
        <v>2626</v>
      </c>
      <c r="C447" s="8" t="s">
        <v>2627</v>
      </c>
      <c r="D447" s="8" t="s">
        <v>2628</v>
      </c>
      <c r="E447" s="8" t="s">
        <v>148</v>
      </c>
      <c r="F447" s="8" t="s">
        <v>993</v>
      </c>
      <c r="G447" s="8" t="s">
        <v>2628</v>
      </c>
      <c r="I447" s="8" t="s">
        <v>2629</v>
      </c>
      <c r="J447" s="8" t="s">
        <v>423</v>
      </c>
      <c r="K447" s="8" t="s">
        <v>122</v>
      </c>
      <c r="L447" s="8">
        <v>2193</v>
      </c>
      <c r="M447" s="8" t="s">
        <v>61</v>
      </c>
      <c r="N447" s="8" t="s">
        <v>110</v>
      </c>
      <c r="R447" s="8" t="s">
        <v>2630</v>
      </c>
      <c r="S447" s="8" t="s">
        <v>2631</v>
      </c>
      <c r="T447" s="8" t="s">
        <v>2632</v>
      </c>
      <c r="AC447" s="8" t="s">
        <v>153</v>
      </c>
      <c r="AF447" s="9">
        <v>32693</v>
      </c>
      <c r="AG447" s="10">
        <v>1.3770833333333332</v>
      </c>
      <c r="AJ447" s="9">
        <v>44662</v>
      </c>
      <c r="AK447" s="11">
        <v>4.1666666666666666E-3</v>
      </c>
      <c r="AP447" s="8" t="s">
        <v>113</v>
      </c>
      <c r="AR447" s="8" t="s">
        <v>4</v>
      </c>
      <c r="AS447" s="8" t="s">
        <v>4</v>
      </c>
      <c r="AT447" s="9">
        <v>44849</v>
      </c>
      <c r="AU447" s="8" t="s">
        <v>114</v>
      </c>
      <c r="AV447" s="8" t="s">
        <v>115</v>
      </c>
      <c r="AW447" s="10">
        <v>1.3770833333333332</v>
      </c>
      <c r="AX447" s="11">
        <v>4.1666666666666666E-3</v>
      </c>
      <c r="AY447" s="8" t="s">
        <v>113</v>
      </c>
      <c r="CF447" s="9"/>
      <c r="CG447" s="10"/>
      <c r="CJ447" s="9"/>
      <c r="CK447" s="11"/>
    </row>
    <row r="448" spans="1:102">
      <c r="A448" s="8">
        <v>19001</v>
      </c>
      <c r="B448" s="8" t="s">
        <v>2633</v>
      </c>
      <c r="C448" s="8" t="s">
        <v>2634</v>
      </c>
      <c r="D448" s="8" t="s">
        <v>2635</v>
      </c>
      <c r="E448" s="8" t="s">
        <v>376</v>
      </c>
      <c r="F448" s="8" t="s">
        <v>2636</v>
      </c>
      <c r="G448" s="8" t="s">
        <v>2635</v>
      </c>
      <c r="I448" s="8" t="s">
        <v>2637</v>
      </c>
      <c r="J448" s="8" t="s">
        <v>2638</v>
      </c>
      <c r="K448" s="8" t="s">
        <v>240</v>
      </c>
      <c r="L448" s="8">
        <v>4122</v>
      </c>
      <c r="M448" s="8" t="s">
        <v>61</v>
      </c>
      <c r="N448" s="8" t="s">
        <v>110</v>
      </c>
      <c r="R448" s="8" t="s">
        <v>2639</v>
      </c>
      <c r="S448" s="8" t="s">
        <v>2640</v>
      </c>
      <c r="T448" s="8" t="s">
        <v>2641</v>
      </c>
      <c r="AC448" s="8" t="s">
        <v>56</v>
      </c>
      <c r="AF448" s="9">
        <v>30432</v>
      </c>
      <c r="AG448" s="10">
        <v>1.6291666666666667</v>
      </c>
      <c r="AJ448" s="9">
        <v>44670</v>
      </c>
      <c r="AK448" s="11">
        <v>3.472222222222222E-3</v>
      </c>
      <c r="AP448" s="8" t="s">
        <v>113</v>
      </c>
      <c r="AR448" s="8" t="s">
        <v>4</v>
      </c>
      <c r="AS448" s="8" t="s">
        <v>4</v>
      </c>
      <c r="AT448" s="9">
        <v>44827</v>
      </c>
      <c r="AU448" s="8" t="s">
        <v>114</v>
      </c>
      <c r="AV448" s="8" t="s">
        <v>115</v>
      </c>
      <c r="AW448" s="10">
        <v>1.627777777777778</v>
      </c>
      <c r="AX448" s="11">
        <v>3.472222222222222E-3</v>
      </c>
      <c r="CF448" s="9"/>
      <c r="CG448" s="10"/>
      <c r="CJ448" s="9"/>
      <c r="CK448" s="11"/>
      <c r="CT448" s="9"/>
      <c r="CW448" s="10"/>
      <c r="CX448" s="11"/>
    </row>
    <row r="449" spans="1:102">
      <c r="D449" s="8" t="s">
        <v>484</v>
      </c>
    </row>
    <row r="450" spans="1:102">
      <c r="A450" s="8">
        <v>19002</v>
      </c>
      <c r="B450" s="8" t="s">
        <v>2642</v>
      </c>
      <c r="C450" s="8" t="s">
        <v>2032</v>
      </c>
      <c r="D450" s="8" t="s">
        <v>2033</v>
      </c>
      <c r="E450" s="8" t="s">
        <v>106</v>
      </c>
      <c r="F450" s="8" t="s">
        <v>2643</v>
      </c>
      <c r="G450" s="8" t="s">
        <v>2033</v>
      </c>
      <c r="I450" s="8" t="s">
        <v>2034</v>
      </c>
      <c r="J450" s="8" t="s">
        <v>2035</v>
      </c>
      <c r="K450" s="8" t="s">
        <v>122</v>
      </c>
      <c r="L450" s="8">
        <v>2142</v>
      </c>
      <c r="M450" s="8" t="s">
        <v>61</v>
      </c>
      <c r="N450" s="8" t="s">
        <v>110</v>
      </c>
      <c r="R450" s="8" t="s">
        <v>2644</v>
      </c>
      <c r="S450" s="8" t="s">
        <v>2645</v>
      </c>
      <c r="T450" s="8" t="s">
        <v>2646</v>
      </c>
      <c r="AC450" s="8" t="s">
        <v>56</v>
      </c>
      <c r="AF450" s="9">
        <v>33162</v>
      </c>
      <c r="AG450" s="10">
        <v>1.3333333333333333</v>
      </c>
      <c r="AJ450" s="9">
        <v>44663</v>
      </c>
      <c r="AK450" s="11">
        <v>3.472222222222222E-3</v>
      </c>
      <c r="AP450" s="8" t="s">
        <v>113</v>
      </c>
      <c r="AR450" s="8" t="s">
        <v>4</v>
      </c>
      <c r="AS450" s="8" t="s">
        <v>4</v>
      </c>
      <c r="AT450" s="9">
        <v>44823</v>
      </c>
      <c r="AU450" s="8" t="s">
        <v>114</v>
      </c>
      <c r="AV450" s="8" t="s">
        <v>115</v>
      </c>
      <c r="AW450" s="10">
        <v>1.2993055555555555</v>
      </c>
      <c r="AX450" s="11">
        <v>3.472222222222222E-3</v>
      </c>
      <c r="AY450" s="8" t="s">
        <v>113</v>
      </c>
      <c r="CF450" s="9"/>
      <c r="CG450" s="10"/>
      <c r="CJ450" s="9"/>
      <c r="CK450" s="11"/>
      <c r="CT450" s="9"/>
      <c r="CW450" s="10"/>
      <c r="CX450" s="11"/>
    </row>
    <row r="451" spans="1:102">
      <c r="D451" s="8" t="s">
        <v>2647</v>
      </c>
    </row>
    <row r="452" spans="1:102">
      <c r="A452" s="8">
        <v>19003</v>
      </c>
      <c r="B452" s="8" t="s">
        <v>2648</v>
      </c>
      <c r="C452" s="8" t="s">
        <v>2649</v>
      </c>
      <c r="D452" s="8" t="s">
        <v>2650</v>
      </c>
      <c r="E452" s="8" t="s">
        <v>148</v>
      </c>
      <c r="F452" s="8" t="s">
        <v>1007</v>
      </c>
      <c r="G452" s="8" t="s">
        <v>2651</v>
      </c>
      <c r="I452" s="8" t="s">
        <v>2652</v>
      </c>
      <c r="J452" s="8" t="s">
        <v>1538</v>
      </c>
      <c r="K452" s="8" t="s">
        <v>60</v>
      </c>
      <c r="L452" s="8">
        <v>3976</v>
      </c>
      <c r="M452" s="8" t="s">
        <v>61</v>
      </c>
      <c r="N452" s="8" t="s">
        <v>110</v>
      </c>
      <c r="R452" s="8" t="s">
        <v>2653</v>
      </c>
      <c r="S452" s="8" t="s">
        <v>2654</v>
      </c>
      <c r="T452" s="8" t="s">
        <v>2655</v>
      </c>
      <c r="AC452" s="8" t="s">
        <v>153</v>
      </c>
      <c r="AF452" s="9">
        <v>26100</v>
      </c>
      <c r="AG452" s="10">
        <v>2.1277777777777778</v>
      </c>
      <c r="AJ452" s="9">
        <v>44670</v>
      </c>
      <c r="AK452" s="11">
        <v>4.1666666666666666E-3</v>
      </c>
      <c r="AP452" s="8" t="s">
        <v>113</v>
      </c>
      <c r="AQ452" s="8" t="s">
        <v>4</v>
      </c>
      <c r="AR452" s="8" t="s">
        <v>4</v>
      </c>
      <c r="AS452" s="8" t="s">
        <v>4</v>
      </c>
      <c r="AY452" s="8" t="s">
        <v>4</v>
      </c>
      <c r="AZ452" s="8" t="s">
        <v>4</v>
      </c>
      <c r="CF452" s="9"/>
      <c r="CG452" s="10"/>
      <c r="CJ452" s="9"/>
      <c r="CK452" s="11"/>
    </row>
    <row r="453" spans="1:102">
      <c r="A453" s="8">
        <v>19004</v>
      </c>
      <c r="B453" s="8" t="s">
        <v>2656</v>
      </c>
      <c r="C453" s="8" t="s">
        <v>2657</v>
      </c>
      <c r="D453" s="8" t="s">
        <v>2658</v>
      </c>
      <c r="E453" s="8" t="s">
        <v>148</v>
      </c>
      <c r="F453" s="8" t="s">
        <v>107</v>
      </c>
      <c r="G453" s="8" t="s">
        <v>2658</v>
      </c>
      <c r="I453" s="8" t="s">
        <v>2659</v>
      </c>
      <c r="J453" s="8" t="s">
        <v>862</v>
      </c>
      <c r="K453" s="8" t="s">
        <v>122</v>
      </c>
      <c r="L453" s="8">
        <v>2143</v>
      </c>
      <c r="M453" s="8" t="s">
        <v>61</v>
      </c>
      <c r="N453" s="8" t="s">
        <v>110</v>
      </c>
      <c r="R453" s="8" t="s">
        <v>2660</v>
      </c>
      <c r="S453" s="8">
        <v>451668699</v>
      </c>
      <c r="T453" s="8" t="s">
        <v>2661</v>
      </c>
      <c r="AC453" s="8" t="s">
        <v>153</v>
      </c>
      <c r="AF453" s="9">
        <v>32096</v>
      </c>
      <c r="AG453" s="10">
        <v>1.4243055555555555</v>
      </c>
      <c r="AJ453" s="9">
        <v>44663</v>
      </c>
      <c r="AK453" s="11">
        <v>0</v>
      </c>
      <c r="AP453" s="8" t="s">
        <v>113</v>
      </c>
      <c r="AR453" s="8" t="s">
        <v>4</v>
      </c>
      <c r="AS453" s="8" t="s">
        <v>4</v>
      </c>
      <c r="AT453" s="9">
        <v>44671</v>
      </c>
      <c r="AU453" s="8" t="s">
        <v>114</v>
      </c>
      <c r="AV453" s="8" t="s">
        <v>115</v>
      </c>
      <c r="AW453" s="10">
        <v>1.4201388888888891</v>
      </c>
      <c r="AX453" s="11">
        <v>0</v>
      </c>
      <c r="AY453" s="8" t="s">
        <v>113</v>
      </c>
      <c r="CF453" s="9"/>
      <c r="CG453" s="10"/>
      <c r="CJ453" s="9"/>
      <c r="CK453" s="11"/>
      <c r="CT453" s="9"/>
      <c r="CW453" s="10"/>
      <c r="CX453" s="11"/>
    </row>
    <row r="454" spans="1:102">
      <c r="A454" s="8">
        <v>19005</v>
      </c>
      <c r="B454" s="8" t="s">
        <v>2662</v>
      </c>
      <c r="C454" s="8" t="s">
        <v>2663</v>
      </c>
      <c r="D454" s="8" t="s">
        <v>2664</v>
      </c>
      <c r="E454" s="8" t="s">
        <v>376</v>
      </c>
      <c r="F454" s="8" t="s">
        <v>309</v>
      </c>
      <c r="G454" s="8" t="s">
        <v>2664</v>
      </c>
      <c r="I454" s="8" t="s">
        <v>2665</v>
      </c>
      <c r="J454" s="8" t="s">
        <v>2666</v>
      </c>
      <c r="K454" s="8" t="s">
        <v>122</v>
      </c>
      <c r="L454" s="8">
        <v>2010</v>
      </c>
      <c r="M454" s="8" t="s">
        <v>61</v>
      </c>
      <c r="N454" s="8" t="s">
        <v>110</v>
      </c>
      <c r="R454" s="8" t="s">
        <v>2667</v>
      </c>
      <c r="S454" s="8">
        <v>413858195</v>
      </c>
      <c r="T454" s="8" t="s">
        <v>2668</v>
      </c>
      <c r="AC454" s="8" t="s">
        <v>56</v>
      </c>
      <c r="AF454" s="9">
        <v>35690</v>
      </c>
      <c r="AG454" s="10">
        <v>1.0423611111111111</v>
      </c>
      <c r="AJ454" s="9">
        <v>44692</v>
      </c>
      <c r="AK454" s="11">
        <v>6.9444444444444447E-4</v>
      </c>
      <c r="AP454" s="8" t="s">
        <v>113</v>
      </c>
      <c r="AQ454" s="8" t="s">
        <v>4</v>
      </c>
      <c r="AR454" s="8" t="s">
        <v>4</v>
      </c>
      <c r="AS454" s="8" t="s">
        <v>4</v>
      </c>
      <c r="AT454" s="9">
        <v>44735</v>
      </c>
      <c r="AU454" s="8" t="s">
        <v>114</v>
      </c>
      <c r="AV454" s="8" t="s">
        <v>115</v>
      </c>
      <c r="AW454" s="10">
        <v>1.0062499999999999</v>
      </c>
      <c r="AX454" s="11">
        <v>6.9444444444444447E-4</v>
      </c>
      <c r="AY454" s="8" t="s">
        <v>113</v>
      </c>
      <c r="AZ454" s="8" t="s">
        <v>4</v>
      </c>
      <c r="CF454" s="9"/>
      <c r="CG454" s="10"/>
      <c r="CJ454" s="9"/>
      <c r="CK454" s="11"/>
      <c r="CT454" s="9"/>
      <c r="CW454" s="10"/>
      <c r="CX454" s="11"/>
    </row>
    <row r="455" spans="1:102">
      <c r="A455" s="8">
        <v>19006</v>
      </c>
      <c r="B455" s="8" t="s">
        <v>2669</v>
      </c>
      <c r="C455" s="8" t="s">
        <v>2670</v>
      </c>
      <c r="D455" s="8" t="s">
        <v>1104</v>
      </c>
      <c r="E455" s="8" t="s">
        <v>148</v>
      </c>
      <c r="F455" s="8" t="s">
        <v>797</v>
      </c>
      <c r="G455" s="8" t="s">
        <v>1104</v>
      </c>
      <c r="I455" s="8" t="s">
        <v>2671</v>
      </c>
      <c r="J455" s="8" t="s">
        <v>862</v>
      </c>
      <c r="K455" s="8" t="s">
        <v>122</v>
      </c>
      <c r="L455" s="8">
        <v>2143</v>
      </c>
      <c r="M455" s="8" t="s">
        <v>61</v>
      </c>
      <c r="N455" s="8" t="s">
        <v>110</v>
      </c>
      <c r="S455" s="8" t="s">
        <v>2672</v>
      </c>
      <c r="T455" s="8" t="s">
        <v>2673</v>
      </c>
      <c r="AC455" s="8" t="s">
        <v>153</v>
      </c>
      <c r="AF455" s="9">
        <v>34574</v>
      </c>
      <c r="AG455" s="10">
        <v>1.1680555555555556</v>
      </c>
      <c r="AJ455" s="9">
        <v>44697</v>
      </c>
      <c r="AK455" s="11">
        <v>3.472222222222222E-3</v>
      </c>
      <c r="AP455" s="8" t="s">
        <v>113</v>
      </c>
      <c r="AR455" s="8" t="s">
        <v>4</v>
      </c>
      <c r="AS455" s="8" t="s">
        <v>4</v>
      </c>
      <c r="AY455" s="8" t="s">
        <v>113</v>
      </c>
      <c r="CF455" s="9"/>
      <c r="CG455" s="10"/>
      <c r="CJ455" s="9"/>
      <c r="CK455" s="11"/>
    </row>
    <row r="456" spans="1:102">
      <c r="A456" s="8">
        <v>19007</v>
      </c>
      <c r="B456" s="8" t="s">
        <v>2674</v>
      </c>
      <c r="C456" s="8" t="s">
        <v>2675</v>
      </c>
      <c r="D456" s="8" t="s">
        <v>2676</v>
      </c>
      <c r="E456" s="8" t="s">
        <v>106</v>
      </c>
      <c r="F456" s="8" t="s">
        <v>368</v>
      </c>
      <c r="G456" s="8" t="s">
        <v>2676</v>
      </c>
      <c r="I456" s="8" t="s">
        <v>2677</v>
      </c>
      <c r="J456" s="8" t="s">
        <v>1812</v>
      </c>
      <c r="K456" s="8" t="s">
        <v>122</v>
      </c>
      <c r="L456" s="8">
        <v>2179</v>
      </c>
      <c r="M456" s="8" t="s">
        <v>61</v>
      </c>
      <c r="N456" s="8" t="s">
        <v>110</v>
      </c>
      <c r="R456" s="8" t="s">
        <v>2678</v>
      </c>
      <c r="S456" s="8">
        <v>410630071</v>
      </c>
      <c r="T456" s="8" t="s">
        <v>2679</v>
      </c>
      <c r="AC456" s="8" t="s">
        <v>56</v>
      </c>
      <c r="AF456" s="9">
        <v>34454</v>
      </c>
      <c r="AG456" s="10">
        <v>1.1708333333333334</v>
      </c>
      <c r="AJ456" s="9">
        <v>44705</v>
      </c>
      <c r="AK456" s="11">
        <v>3.472222222222222E-3</v>
      </c>
      <c r="AP456" s="8" t="s">
        <v>113</v>
      </c>
      <c r="AR456" s="8" t="s">
        <v>4</v>
      </c>
      <c r="AS456" s="8" t="s">
        <v>4</v>
      </c>
      <c r="AY456" s="8" t="s">
        <v>113</v>
      </c>
      <c r="CF456" s="9"/>
      <c r="CG456" s="10"/>
      <c r="CJ456" s="9"/>
      <c r="CK456" s="11"/>
    </row>
    <row r="457" spans="1:102">
      <c r="A457" s="8">
        <v>19008</v>
      </c>
      <c r="B457" s="8" t="s">
        <v>2680</v>
      </c>
      <c r="C457" s="8" t="s">
        <v>57</v>
      </c>
      <c r="D457" s="8" t="s">
        <v>0</v>
      </c>
      <c r="E457" s="8" t="s">
        <v>139</v>
      </c>
      <c r="F457" s="8" t="s">
        <v>1082</v>
      </c>
      <c r="G457" s="8" t="s">
        <v>0</v>
      </c>
      <c r="I457" s="8" t="s">
        <v>58</v>
      </c>
      <c r="J457" s="8" t="s">
        <v>59</v>
      </c>
      <c r="K457" s="8" t="s">
        <v>60</v>
      </c>
      <c r="L457" s="8">
        <v>3168</v>
      </c>
      <c r="M457" s="8" t="s">
        <v>61</v>
      </c>
      <c r="N457" s="8" t="s">
        <v>110</v>
      </c>
      <c r="S457" s="8" t="s">
        <v>2681</v>
      </c>
      <c r="T457" s="8" t="s">
        <v>2682</v>
      </c>
      <c r="AC457" s="8" t="s">
        <v>56</v>
      </c>
      <c r="AF457" s="9">
        <v>36609</v>
      </c>
      <c r="AG457" s="11">
        <v>0.92152777777777783</v>
      </c>
      <c r="AJ457" s="9">
        <v>44697</v>
      </c>
      <c r="AK457" s="11">
        <v>3.472222222222222E-3</v>
      </c>
      <c r="AP457" s="8" t="s">
        <v>113</v>
      </c>
      <c r="AR457" s="8" t="s">
        <v>4</v>
      </c>
      <c r="AS457" s="8" t="s">
        <v>4</v>
      </c>
      <c r="AY457" s="8" t="s">
        <v>113</v>
      </c>
      <c r="CF457" s="9"/>
      <c r="CG457" s="11"/>
      <c r="CJ457" s="9"/>
      <c r="CK457" s="11"/>
    </row>
    <row r="458" spans="1:102">
      <c r="A458" s="8">
        <v>19009</v>
      </c>
      <c r="B458" s="8" t="s">
        <v>2683</v>
      </c>
      <c r="C458" s="8" t="s">
        <v>2684</v>
      </c>
      <c r="D458" s="8" t="s">
        <v>2685</v>
      </c>
      <c r="E458" s="8" t="s">
        <v>139</v>
      </c>
      <c r="F458" s="8" t="s">
        <v>797</v>
      </c>
      <c r="G458" s="8" t="s">
        <v>2685</v>
      </c>
      <c r="I458" s="8" t="s">
        <v>2686</v>
      </c>
      <c r="J458" s="8" t="s">
        <v>1855</v>
      </c>
      <c r="K458" s="8" t="s">
        <v>60</v>
      </c>
      <c r="L458" s="8">
        <v>3008</v>
      </c>
      <c r="M458" s="8" t="s">
        <v>61</v>
      </c>
      <c r="N458" s="8" t="s">
        <v>110</v>
      </c>
      <c r="R458" s="8" t="s">
        <v>2687</v>
      </c>
      <c r="S458" s="8">
        <v>444556345</v>
      </c>
      <c r="T458" s="8" t="s">
        <v>2688</v>
      </c>
      <c r="AC458" s="8" t="s">
        <v>56</v>
      </c>
      <c r="AF458" s="9">
        <v>32120</v>
      </c>
      <c r="AG458" s="10">
        <v>1.4236111111111109</v>
      </c>
      <c r="AJ458" s="9">
        <v>44704</v>
      </c>
      <c r="AK458" s="11">
        <v>3.472222222222222E-3</v>
      </c>
      <c r="AP458" s="8" t="s">
        <v>113</v>
      </c>
      <c r="AR458" s="8" t="s">
        <v>4</v>
      </c>
      <c r="AS458" s="8" t="s">
        <v>4</v>
      </c>
      <c r="AY458" s="8" t="s">
        <v>113</v>
      </c>
      <c r="CF458" s="9"/>
      <c r="CG458" s="10"/>
      <c r="CJ458" s="9"/>
      <c r="CK458" s="11"/>
    </row>
    <row r="459" spans="1:102">
      <c r="A459" s="8">
        <v>19010</v>
      </c>
      <c r="B459" s="8" t="s">
        <v>2689</v>
      </c>
      <c r="C459" s="8" t="s">
        <v>2690</v>
      </c>
      <c r="D459" s="8" t="s">
        <v>2691</v>
      </c>
      <c r="E459" s="8" t="s">
        <v>148</v>
      </c>
      <c r="F459" s="8" t="s">
        <v>119</v>
      </c>
      <c r="G459" s="8" t="s">
        <v>2691</v>
      </c>
      <c r="I459" s="8" t="s">
        <v>2692</v>
      </c>
      <c r="J459" s="8" t="s">
        <v>2693</v>
      </c>
      <c r="K459" s="8" t="s">
        <v>122</v>
      </c>
      <c r="L459" s="8">
        <v>2166</v>
      </c>
      <c r="M459" s="8" t="s">
        <v>61</v>
      </c>
      <c r="N459" s="8" t="s">
        <v>110</v>
      </c>
      <c r="R459" s="8" t="s">
        <v>2694</v>
      </c>
      <c r="S459" s="8">
        <v>416572908</v>
      </c>
      <c r="T459" s="8" t="s">
        <v>2695</v>
      </c>
      <c r="AC459" s="8" t="s">
        <v>153</v>
      </c>
      <c r="AF459" s="9">
        <v>34833</v>
      </c>
      <c r="AG459" s="10">
        <v>1.1284722222222221</v>
      </c>
      <c r="AJ459" s="9">
        <v>44718</v>
      </c>
      <c r="AK459" s="11">
        <v>0</v>
      </c>
      <c r="AP459" s="8" t="s">
        <v>113</v>
      </c>
      <c r="AR459" s="8" t="s">
        <v>4</v>
      </c>
      <c r="AS459" s="8" t="s">
        <v>4</v>
      </c>
      <c r="AT459" s="9">
        <v>44718</v>
      </c>
      <c r="AU459" s="8" t="s">
        <v>114</v>
      </c>
      <c r="AV459" s="8" t="s">
        <v>115</v>
      </c>
      <c r="AW459" s="10">
        <v>1.125</v>
      </c>
      <c r="AX459" s="11">
        <v>0</v>
      </c>
      <c r="AY459" s="8" t="s">
        <v>113</v>
      </c>
      <c r="CF459" s="9"/>
      <c r="CG459" s="10"/>
      <c r="CJ459" s="9"/>
      <c r="CK459" s="11"/>
      <c r="CT459" s="9"/>
      <c r="CW459" s="10"/>
      <c r="CX459" s="11"/>
    </row>
    <row r="460" spans="1:102">
      <c r="A460" s="8">
        <v>19011</v>
      </c>
      <c r="B460" s="8" t="s">
        <v>2696</v>
      </c>
      <c r="C460" s="8" t="s">
        <v>2697</v>
      </c>
      <c r="D460" s="8" t="s">
        <v>2698</v>
      </c>
      <c r="E460" s="8" t="s">
        <v>106</v>
      </c>
      <c r="F460" s="8" t="s">
        <v>2699</v>
      </c>
      <c r="G460" s="8" t="s">
        <v>2698</v>
      </c>
      <c r="I460" s="8" t="s">
        <v>2700</v>
      </c>
      <c r="J460" s="8" t="s">
        <v>2701</v>
      </c>
      <c r="K460" s="8" t="s">
        <v>60</v>
      </c>
      <c r="L460" s="8">
        <v>3152</v>
      </c>
      <c r="M460" s="8" t="s">
        <v>61</v>
      </c>
      <c r="N460" s="8" t="s">
        <v>110</v>
      </c>
      <c r="R460" s="8" t="s">
        <v>2702</v>
      </c>
      <c r="S460" s="8" t="s">
        <v>2703</v>
      </c>
      <c r="T460" s="8" t="s">
        <v>2704</v>
      </c>
      <c r="AC460" s="8" t="s">
        <v>56</v>
      </c>
      <c r="AF460" s="9">
        <v>35871</v>
      </c>
      <c r="AG460" s="10">
        <v>1.0048611111111112</v>
      </c>
      <c r="AJ460" s="9">
        <v>44704</v>
      </c>
      <c r="AK460" s="11">
        <v>3.472222222222222E-3</v>
      </c>
      <c r="AP460" s="8" t="s">
        <v>113</v>
      </c>
      <c r="AR460" s="8" t="s">
        <v>4</v>
      </c>
      <c r="AS460" s="8" t="s">
        <v>4</v>
      </c>
      <c r="AY460" s="8" t="s">
        <v>113</v>
      </c>
      <c r="CF460" s="9"/>
      <c r="CG460" s="10"/>
      <c r="CJ460" s="9"/>
      <c r="CK460" s="11"/>
    </row>
    <row r="461" spans="1:102">
      <c r="D461" s="8" t="s">
        <v>2705</v>
      </c>
    </row>
    <row r="462" spans="1:102">
      <c r="A462" s="8">
        <v>19012</v>
      </c>
      <c r="B462" s="8" t="s">
        <v>2706</v>
      </c>
      <c r="C462" s="8" t="s">
        <v>2707</v>
      </c>
      <c r="D462" s="8" t="s">
        <v>2708</v>
      </c>
      <c r="E462" s="8" t="s">
        <v>106</v>
      </c>
      <c r="F462" s="8" t="s">
        <v>2709</v>
      </c>
      <c r="G462" s="8" t="s">
        <v>2708</v>
      </c>
      <c r="I462" s="8" t="s">
        <v>2710</v>
      </c>
      <c r="J462" s="8" t="s">
        <v>1107</v>
      </c>
      <c r="K462" s="8" t="s">
        <v>60</v>
      </c>
      <c r="L462" s="8">
        <v>3806</v>
      </c>
      <c r="M462" s="8" t="s">
        <v>61</v>
      </c>
      <c r="N462" s="8" t="s">
        <v>110</v>
      </c>
      <c r="S462" s="8">
        <v>411769436</v>
      </c>
      <c r="T462" s="8" t="s">
        <v>2711</v>
      </c>
      <c r="AC462" s="8" t="s">
        <v>56</v>
      </c>
      <c r="AF462" s="9">
        <v>31486</v>
      </c>
      <c r="AG462" s="10">
        <v>1.5048611111111112</v>
      </c>
      <c r="AJ462" s="9">
        <v>44704</v>
      </c>
      <c r="AK462" s="11">
        <v>3.472222222222222E-3</v>
      </c>
      <c r="AP462" s="8" t="s">
        <v>113</v>
      </c>
      <c r="AR462" s="8" t="s">
        <v>4</v>
      </c>
      <c r="AS462" s="8" t="s">
        <v>4</v>
      </c>
      <c r="AY462" s="8" t="s">
        <v>113</v>
      </c>
      <c r="CF462" s="9"/>
      <c r="CG462" s="10"/>
      <c r="CJ462" s="9"/>
      <c r="CK462" s="11"/>
    </row>
    <row r="463" spans="1:102">
      <c r="D463" s="8" t="s">
        <v>2712</v>
      </c>
    </row>
    <row r="464" spans="1:102">
      <c r="A464" s="8">
        <v>19013</v>
      </c>
      <c r="B464" s="8" t="s">
        <v>2713</v>
      </c>
      <c r="C464" s="8" t="s">
        <v>2714</v>
      </c>
      <c r="D464" s="8" t="s">
        <v>2715</v>
      </c>
      <c r="E464" s="8" t="s">
        <v>148</v>
      </c>
      <c r="F464" s="8" t="s">
        <v>545</v>
      </c>
      <c r="G464" s="8" t="s">
        <v>2715</v>
      </c>
      <c r="I464" s="8" t="s">
        <v>2418</v>
      </c>
      <c r="J464" s="8" t="s">
        <v>2693</v>
      </c>
      <c r="K464" s="8" t="s">
        <v>122</v>
      </c>
      <c r="L464" s="8">
        <v>2166</v>
      </c>
      <c r="M464" s="8" t="s">
        <v>61</v>
      </c>
      <c r="N464" s="8" t="s">
        <v>110</v>
      </c>
      <c r="R464" s="8" t="s">
        <v>2716</v>
      </c>
      <c r="S464" s="8" t="s">
        <v>2717</v>
      </c>
      <c r="T464" s="8" t="s">
        <v>2718</v>
      </c>
      <c r="U464" s="8">
        <v>87186815</v>
      </c>
      <c r="V464" s="8">
        <v>6815</v>
      </c>
      <c r="AC464" s="8" t="s">
        <v>153</v>
      </c>
      <c r="AF464" s="9">
        <v>34557</v>
      </c>
      <c r="AG464" s="10">
        <v>1.1680555555555556</v>
      </c>
      <c r="AJ464" s="9">
        <v>44732</v>
      </c>
      <c r="AK464" s="11">
        <v>2.7777777777777779E-3</v>
      </c>
      <c r="AP464" s="8" t="s">
        <v>113</v>
      </c>
      <c r="AR464" s="8" t="s">
        <v>4</v>
      </c>
      <c r="AS464" s="8" t="s">
        <v>4</v>
      </c>
      <c r="AY464" s="8" t="s">
        <v>113</v>
      </c>
      <c r="CF464" s="9"/>
      <c r="CG464" s="10"/>
      <c r="CJ464" s="9"/>
      <c r="CK464" s="11"/>
    </row>
    <row r="465" spans="1:102">
      <c r="I465" s="8" t="s">
        <v>2719</v>
      </c>
    </row>
    <row r="466" spans="1:102">
      <c r="A466" s="8">
        <v>19014</v>
      </c>
      <c r="B466" s="8" t="s">
        <v>2720</v>
      </c>
      <c r="C466" s="8" t="s">
        <v>2721</v>
      </c>
      <c r="D466" s="8" t="s">
        <v>2722</v>
      </c>
      <c r="E466" s="8" t="s">
        <v>148</v>
      </c>
      <c r="F466" s="8" t="s">
        <v>2289</v>
      </c>
      <c r="G466" s="8" t="s">
        <v>2722</v>
      </c>
      <c r="I466" s="8" t="s">
        <v>2723</v>
      </c>
      <c r="J466" s="8" t="s">
        <v>2724</v>
      </c>
      <c r="K466" s="8" t="s">
        <v>122</v>
      </c>
      <c r="L466" s="8">
        <v>2768</v>
      </c>
      <c r="M466" s="8" t="s">
        <v>61</v>
      </c>
      <c r="N466" s="8" t="s">
        <v>110</v>
      </c>
      <c r="R466" s="8" t="s">
        <v>2725</v>
      </c>
      <c r="S466" s="8">
        <v>410278941</v>
      </c>
      <c r="T466" s="8" t="s">
        <v>2726</v>
      </c>
      <c r="AC466" s="8" t="s">
        <v>153</v>
      </c>
      <c r="AF466" s="9">
        <v>34963</v>
      </c>
      <c r="AG466" s="10">
        <v>1.1256944444444443</v>
      </c>
      <c r="AJ466" s="9">
        <v>44727</v>
      </c>
      <c r="AK466" s="11">
        <v>2.7777777777777779E-3</v>
      </c>
      <c r="AP466" s="8" t="s">
        <v>113</v>
      </c>
      <c r="AQ466" s="8" t="s">
        <v>4</v>
      </c>
      <c r="AR466" s="8" t="s">
        <v>4</v>
      </c>
      <c r="AS466" s="8" t="s">
        <v>4</v>
      </c>
      <c r="AY466" s="8" t="s">
        <v>113</v>
      </c>
      <c r="AZ466" s="8" t="s">
        <v>4</v>
      </c>
      <c r="CF466" s="9"/>
      <c r="CG466" s="10"/>
      <c r="CJ466" s="9"/>
      <c r="CK466" s="11"/>
    </row>
    <row r="467" spans="1:102">
      <c r="A467" s="8">
        <v>19015</v>
      </c>
      <c r="B467" s="8" t="s">
        <v>2727</v>
      </c>
      <c r="C467" s="8" t="s">
        <v>2728</v>
      </c>
      <c r="D467" s="8" t="s">
        <v>2729</v>
      </c>
      <c r="E467" s="8" t="s">
        <v>148</v>
      </c>
      <c r="F467" s="8" t="s">
        <v>274</v>
      </c>
      <c r="G467" s="8" t="s">
        <v>2729</v>
      </c>
      <c r="I467" s="8" t="s">
        <v>2730</v>
      </c>
      <c r="J467" s="8" t="s">
        <v>2511</v>
      </c>
      <c r="K467" s="8" t="s">
        <v>60</v>
      </c>
      <c r="L467" s="8">
        <v>3162</v>
      </c>
      <c r="M467" s="8" t="s">
        <v>61</v>
      </c>
      <c r="N467" s="8" t="s">
        <v>110</v>
      </c>
      <c r="S467" s="8">
        <v>416746242</v>
      </c>
      <c r="T467" s="8" t="s">
        <v>2731</v>
      </c>
      <c r="AC467" s="8" t="s">
        <v>153</v>
      </c>
      <c r="AF467" s="9">
        <v>35122</v>
      </c>
      <c r="AG467" s="10">
        <v>1.0888888888888888</v>
      </c>
      <c r="AJ467" s="9">
        <v>44721</v>
      </c>
      <c r="AK467" s="11">
        <v>2.7777777777777779E-3</v>
      </c>
      <c r="AP467" s="8" t="s">
        <v>113</v>
      </c>
      <c r="AR467" s="8" t="s">
        <v>4</v>
      </c>
      <c r="AS467" s="8" t="s">
        <v>4</v>
      </c>
      <c r="AY467" s="8" t="s">
        <v>113</v>
      </c>
      <c r="CF467" s="9"/>
      <c r="CG467" s="10"/>
      <c r="CJ467" s="9"/>
      <c r="CK467" s="11"/>
    </row>
    <row r="468" spans="1:102">
      <c r="A468" s="8">
        <v>19016</v>
      </c>
      <c r="B468" s="8" t="s">
        <v>2732</v>
      </c>
      <c r="C468" s="8" t="s">
        <v>2733</v>
      </c>
      <c r="D468" s="8" t="s">
        <v>2734</v>
      </c>
      <c r="E468" s="8" t="s">
        <v>376</v>
      </c>
      <c r="F468" s="8" t="s">
        <v>119</v>
      </c>
      <c r="G468" s="8" t="s">
        <v>2734</v>
      </c>
      <c r="I468" s="8" t="s">
        <v>2735</v>
      </c>
      <c r="J468" s="8" t="s">
        <v>1889</v>
      </c>
      <c r="K468" s="8" t="s">
        <v>122</v>
      </c>
      <c r="L468" s="8">
        <v>2150</v>
      </c>
      <c r="M468" s="8" t="s">
        <v>61</v>
      </c>
      <c r="N468" s="8" t="s">
        <v>110</v>
      </c>
      <c r="S468" s="8">
        <v>412751123</v>
      </c>
      <c r="T468" s="8" t="s">
        <v>2736</v>
      </c>
      <c r="AC468" s="8" t="s">
        <v>56</v>
      </c>
      <c r="AF468" s="9">
        <v>35491</v>
      </c>
      <c r="AG468" s="10">
        <v>1.0465277777777777</v>
      </c>
      <c r="AJ468" s="9">
        <v>44733</v>
      </c>
      <c r="AK468" s="11">
        <v>2.7777777777777779E-3</v>
      </c>
      <c r="AP468" s="8" t="s">
        <v>113</v>
      </c>
      <c r="AR468" s="8" t="s">
        <v>4</v>
      </c>
      <c r="AS468" s="8" t="s">
        <v>4</v>
      </c>
      <c r="AY468" s="8" t="s">
        <v>113</v>
      </c>
      <c r="CF468" s="9"/>
      <c r="CG468" s="10"/>
      <c r="CJ468" s="9"/>
      <c r="CK468" s="11"/>
    </row>
    <row r="469" spans="1:102">
      <c r="A469" s="8">
        <v>19017</v>
      </c>
      <c r="B469" s="8" t="s">
        <v>2737</v>
      </c>
      <c r="C469" s="8" t="s">
        <v>2738</v>
      </c>
      <c r="D469" s="8" t="s">
        <v>2739</v>
      </c>
      <c r="E469" s="8" t="s">
        <v>376</v>
      </c>
      <c r="F469" s="8" t="s">
        <v>933</v>
      </c>
      <c r="G469" s="8" t="s">
        <v>2739</v>
      </c>
      <c r="I469" s="8" t="s">
        <v>2740</v>
      </c>
      <c r="J469" s="8" t="s">
        <v>2741</v>
      </c>
      <c r="K469" s="8" t="s">
        <v>60</v>
      </c>
      <c r="L469" s="8">
        <v>3804</v>
      </c>
      <c r="M469" s="8" t="s">
        <v>61</v>
      </c>
      <c r="N469" s="8" t="s">
        <v>110</v>
      </c>
      <c r="S469" s="8">
        <v>430211241</v>
      </c>
      <c r="T469" s="8" t="s">
        <v>2742</v>
      </c>
      <c r="AC469" s="8" t="s">
        <v>56</v>
      </c>
      <c r="AF469" s="9">
        <v>35500</v>
      </c>
      <c r="AG469" s="10">
        <v>1.0465277777777777</v>
      </c>
      <c r="AJ469" s="9">
        <v>44732</v>
      </c>
      <c r="AK469" s="11">
        <v>2.7777777777777779E-3</v>
      </c>
      <c r="AP469" s="8" t="s">
        <v>113</v>
      </c>
      <c r="AR469" s="8" t="s">
        <v>4</v>
      </c>
      <c r="AS469" s="8" t="s">
        <v>4</v>
      </c>
      <c r="AY469" s="8" t="s">
        <v>113</v>
      </c>
      <c r="CF469" s="9"/>
      <c r="CG469" s="10"/>
      <c r="CJ469" s="9"/>
      <c r="CK469" s="11"/>
    </row>
    <row r="470" spans="1:102">
      <c r="A470" s="8">
        <v>19018</v>
      </c>
      <c r="B470" s="8" t="s">
        <v>2743</v>
      </c>
      <c r="C470" s="8" t="s">
        <v>2744</v>
      </c>
      <c r="D470" s="8" t="s">
        <v>2745</v>
      </c>
      <c r="E470" s="8" t="s">
        <v>106</v>
      </c>
      <c r="F470" s="8" t="s">
        <v>107</v>
      </c>
      <c r="G470" s="8" t="s">
        <v>2745</v>
      </c>
      <c r="I470" s="8" t="s">
        <v>2746</v>
      </c>
      <c r="J470" s="8" t="s">
        <v>822</v>
      </c>
      <c r="K470" s="8" t="s">
        <v>60</v>
      </c>
      <c r="L470" s="8">
        <v>3150</v>
      </c>
      <c r="M470" s="8" t="s">
        <v>61</v>
      </c>
      <c r="N470" s="8" t="s">
        <v>110</v>
      </c>
      <c r="R470" s="8" t="s">
        <v>2747</v>
      </c>
      <c r="S470" s="8" t="s">
        <v>2748</v>
      </c>
      <c r="T470" s="8" t="s">
        <v>2749</v>
      </c>
      <c r="AC470" s="8" t="s">
        <v>56</v>
      </c>
      <c r="AF470" s="9">
        <v>31306</v>
      </c>
      <c r="AG470" s="10">
        <v>1.5423611111111111</v>
      </c>
      <c r="AJ470" s="9">
        <v>44739</v>
      </c>
      <c r="AK470" s="11">
        <v>0</v>
      </c>
      <c r="AP470" s="8" t="s">
        <v>113</v>
      </c>
      <c r="AR470" s="8" t="s">
        <v>4</v>
      </c>
      <c r="AS470" s="8" t="s">
        <v>4</v>
      </c>
      <c r="AT470" s="9">
        <v>44757</v>
      </c>
      <c r="AU470" s="8" t="s">
        <v>114</v>
      </c>
      <c r="AV470" s="8" t="s">
        <v>115</v>
      </c>
      <c r="AW470" s="10">
        <v>1.5069444444444444</v>
      </c>
      <c r="AX470" s="11">
        <v>0</v>
      </c>
      <c r="CF470" s="9"/>
      <c r="CG470" s="10"/>
      <c r="CJ470" s="9"/>
      <c r="CK470" s="11"/>
      <c r="CT470" s="9"/>
      <c r="CW470" s="10"/>
      <c r="CX470" s="11"/>
    </row>
    <row r="471" spans="1:102">
      <c r="A471" s="8">
        <v>19019</v>
      </c>
      <c r="B471" s="8" t="s">
        <v>2750</v>
      </c>
      <c r="C471" s="8" t="s">
        <v>2751</v>
      </c>
      <c r="D471" s="8" t="s">
        <v>2752</v>
      </c>
      <c r="E471" s="8" t="s">
        <v>148</v>
      </c>
      <c r="F471" s="8" t="s">
        <v>129</v>
      </c>
      <c r="G471" s="8" t="s">
        <v>2752</v>
      </c>
      <c r="I471" s="8" t="s">
        <v>2730</v>
      </c>
      <c r="J471" s="8" t="s">
        <v>1599</v>
      </c>
      <c r="K471" s="8" t="s">
        <v>60</v>
      </c>
      <c r="L471" s="8">
        <v>3162</v>
      </c>
      <c r="M471" s="8" t="s">
        <v>61</v>
      </c>
      <c r="N471" s="8" t="s">
        <v>110</v>
      </c>
      <c r="R471" s="8" t="s">
        <v>2753</v>
      </c>
      <c r="S471" s="8" t="s">
        <v>2754</v>
      </c>
      <c r="T471" s="8" t="s">
        <v>2755</v>
      </c>
      <c r="AC471" s="8" t="s">
        <v>153</v>
      </c>
      <c r="AF471" s="9">
        <v>35034</v>
      </c>
      <c r="AG471" s="10">
        <v>1.0909722222222222</v>
      </c>
      <c r="AJ471" s="9">
        <v>44734</v>
      </c>
      <c r="AK471" s="11">
        <v>2.7777777777777779E-3</v>
      </c>
      <c r="AP471" s="8" t="s">
        <v>113</v>
      </c>
      <c r="AR471" s="8" t="s">
        <v>4</v>
      </c>
      <c r="AS471" s="8" t="s">
        <v>4</v>
      </c>
      <c r="AY471" s="8" t="s">
        <v>113</v>
      </c>
      <c r="CF471" s="9"/>
      <c r="CG471" s="10"/>
      <c r="CJ471" s="9"/>
      <c r="CK471" s="11"/>
    </row>
    <row r="472" spans="1:102">
      <c r="A472" s="8">
        <v>19020</v>
      </c>
      <c r="B472" s="8" t="s">
        <v>2756</v>
      </c>
      <c r="C472" s="8" t="s">
        <v>2757</v>
      </c>
      <c r="D472" s="8" t="s">
        <v>2758</v>
      </c>
      <c r="E472" s="8" t="s">
        <v>106</v>
      </c>
      <c r="F472" s="8" t="s">
        <v>2759</v>
      </c>
      <c r="G472" s="8" t="s">
        <v>2758</v>
      </c>
      <c r="I472" s="8" t="s">
        <v>2760</v>
      </c>
      <c r="J472" s="8" t="s">
        <v>2761</v>
      </c>
      <c r="K472" s="8" t="s">
        <v>240</v>
      </c>
      <c r="L472" s="8">
        <v>4152</v>
      </c>
      <c r="M472" s="8" t="s">
        <v>61</v>
      </c>
      <c r="N472" s="8" t="s">
        <v>110</v>
      </c>
      <c r="R472" s="8" t="s">
        <v>2762</v>
      </c>
      <c r="S472" s="8">
        <v>409611440</v>
      </c>
      <c r="T472" s="8" t="s">
        <v>2763</v>
      </c>
      <c r="U472" s="8">
        <v>736385454</v>
      </c>
      <c r="V472" s="8">
        <v>5454</v>
      </c>
      <c r="AC472" s="8" t="s">
        <v>56</v>
      </c>
      <c r="AF472" s="9">
        <v>23903</v>
      </c>
      <c r="AG472" s="10">
        <v>2.3777777777777778</v>
      </c>
      <c r="AJ472" s="9">
        <v>44740</v>
      </c>
      <c r="AK472" s="11">
        <v>2.7777777777777779E-3</v>
      </c>
      <c r="AP472" s="8" t="s">
        <v>113</v>
      </c>
      <c r="AR472" s="8" t="s">
        <v>4</v>
      </c>
      <c r="AS472" s="8" t="s">
        <v>4</v>
      </c>
      <c r="AY472" s="8" t="s">
        <v>113</v>
      </c>
      <c r="CF472" s="9"/>
      <c r="CG472" s="10"/>
      <c r="CJ472" s="9"/>
      <c r="CK472" s="11"/>
    </row>
    <row r="473" spans="1:102">
      <c r="D473" s="8" t="s">
        <v>2764</v>
      </c>
    </row>
    <row r="474" spans="1:102">
      <c r="A474" s="8">
        <v>19021</v>
      </c>
      <c r="B474" s="8" t="s">
        <v>2765</v>
      </c>
      <c r="C474" s="8" t="s">
        <v>1512</v>
      </c>
      <c r="D474" s="8" t="s">
        <v>2766</v>
      </c>
      <c r="E474" s="8" t="s">
        <v>106</v>
      </c>
      <c r="F474" s="8" t="s">
        <v>327</v>
      </c>
      <c r="G474" s="8" t="s">
        <v>2767</v>
      </c>
      <c r="I474" s="8" t="s">
        <v>2768</v>
      </c>
      <c r="J474" s="8" t="s">
        <v>2769</v>
      </c>
      <c r="K474" s="8" t="s">
        <v>122</v>
      </c>
      <c r="L474" s="8">
        <v>2770</v>
      </c>
      <c r="M474" s="8" t="s">
        <v>61</v>
      </c>
      <c r="N474" s="8" t="s">
        <v>110</v>
      </c>
      <c r="R474" s="8" t="s">
        <v>2770</v>
      </c>
      <c r="S474" s="8" t="s">
        <v>2771</v>
      </c>
      <c r="T474" s="8" t="s">
        <v>2772</v>
      </c>
      <c r="AC474" s="8" t="s">
        <v>56</v>
      </c>
      <c r="AF474" s="9">
        <v>31662</v>
      </c>
      <c r="AG474" s="10">
        <v>1.5006944444444443</v>
      </c>
      <c r="AJ474" s="9">
        <v>44736</v>
      </c>
      <c r="AK474" s="11">
        <v>2.7777777777777779E-3</v>
      </c>
      <c r="AP474" s="8" t="s">
        <v>113</v>
      </c>
      <c r="AR474" s="8" t="s">
        <v>4</v>
      </c>
      <c r="AS474" s="8" t="s">
        <v>4</v>
      </c>
      <c r="AY474" s="8" t="s">
        <v>113</v>
      </c>
      <c r="CF474" s="9"/>
      <c r="CG474" s="10"/>
      <c r="CJ474" s="9"/>
      <c r="CK474" s="11"/>
    </row>
    <row r="475" spans="1:102">
      <c r="A475" s="8">
        <v>19022</v>
      </c>
      <c r="B475" s="8" t="s">
        <v>2773</v>
      </c>
      <c r="C475" s="8" t="s">
        <v>2774</v>
      </c>
      <c r="D475" s="8" t="s">
        <v>3</v>
      </c>
      <c r="E475" s="8" t="s">
        <v>148</v>
      </c>
      <c r="F475" s="8" t="s">
        <v>129</v>
      </c>
      <c r="G475" s="8" t="s">
        <v>2775</v>
      </c>
      <c r="I475" s="8" t="s">
        <v>2776</v>
      </c>
      <c r="J475" s="8" t="s">
        <v>329</v>
      </c>
      <c r="K475" s="8" t="s">
        <v>60</v>
      </c>
      <c r="L475" s="8">
        <v>3977</v>
      </c>
      <c r="M475" s="8" t="s">
        <v>61</v>
      </c>
      <c r="N475" s="8" t="s">
        <v>110</v>
      </c>
      <c r="R475" s="8" t="s">
        <v>2777</v>
      </c>
      <c r="S475" s="8">
        <v>481387003</v>
      </c>
      <c r="T475" s="8" t="s">
        <v>2778</v>
      </c>
      <c r="AC475" s="8" t="s">
        <v>153</v>
      </c>
      <c r="AF475" s="9">
        <v>34749</v>
      </c>
      <c r="AG475" s="10">
        <v>1.1305555555555555</v>
      </c>
      <c r="AJ475" s="9">
        <v>44746</v>
      </c>
      <c r="AK475" s="11">
        <v>2.0833333333333333E-3</v>
      </c>
      <c r="AP475" s="8" t="s">
        <v>113</v>
      </c>
      <c r="AR475" s="8" t="s">
        <v>4</v>
      </c>
      <c r="AS475" s="8" t="s">
        <v>4</v>
      </c>
      <c r="AY475" s="8" t="s">
        <v>113</v>
      </c>
      <c r="CF475" s="9"/>
      <c r="CG475" s="10"/>
      <c r="CJ475" s="9"/>
      <c r="CK475" s="11"/>
    </row>
    <row r="476" spans="1:102">
      <c r="A476" s="8">
        <v>19023</v>
      </c>
      <c r="B476" s="8" t="s">
        <v>2779</v>
      </c>
      <c r="C476" s="8" t="s">
        <v>190</v>
      </c>
      <c r="D476" s="8" t="s">
        <v>634</v>
      </c>
      <c r="E476" s="8" t="s">
        <v>139</v>
      </c>
      <c r="F476" s="8" t="s">
        <v>446</v>
      </c>
      <c r="G476" s="8" t="s">
        <v>634</v>
      </c>
      <c r="I476" s="8" t="s">
        <v>2780</v>
      </c>
      <c r="J476" s="8" t="s">
        <v>2163</v>
      </c>
      <c r="K476" s="8" t="s">
        <v>240</v>
      </c>
      <c r="L476" s="8">
        <v>4078</v>
      </c>
      <c r="M476" s="8" t="s">
        <v>61</v>
      </c>
      <c r="N476" s="8" t="s">
        <v>110</v>
      </c>
      <c r="S476" s="8">
        <v>421116890</v>
      </c>
      <c r="AC476" s="8" t="s">
        <v>56</v>
      </c>
      <c r="AF476" s="9">
        <v>22042</v>
      </c>
      <c r="AG476" s="10">
        <v>2.5868055555555558</v>
      </c>
      <c r="AJ476" s="9">
        <v>44748</v>
      </c>
      <c r="AK476" s="11">
        <v>2.0833333333333333E-3</v>
      </c>
      <c r="AP476" s="8" t="s">
        <v>113</v>
      </c>
      <c r="AR476" s="8" t="s">
        <v>4</v>
      </c>
      <c r="AS476" s="8" t="s">
        <v>4</v>
      </c>
      <c r="AY476" s="8" t="s">
        <v>113</v>
      </c>
      <c r="CF476" s="9"/>
      <c r="CG476" s="10"/>
      <c r="CJ476" s="9"/>
      <c r="CK476" s="11"/>
    </row>
    <row r="477" spans="1:102">
      <c r="D477" s="8" t="s">
        <v>2781</v>
      </c>
    </row>
    <row r="478" spans="1:102">
      <c r="A478" s="8">
        <v>19024</v>
      </c>
      <c r="B478" s="8" t="s">
        <v>2782</v>
      </c>
      <c r="C478" s="8" t="s">
        <v>972</v>
      </c>
      <c r="D478" s="8" t="s">
        <v>5</v>
      </c>
      <c r="E478" s="8" t="s">
        <v>148</v>
      </c>
      <c r="F478" s="8" t="s">
        <v>1324</v>
      </c>
      <c r="G478" s="8" t="s">
        <v>5</v>
      </c>
      <c r="I478" s="8" t="s">
        <v>2783</v>
      </c>
      <c r="J478" s="8" t="s">
        <v>2784</v>
      </c>
      <c r="K478" s="8" t="s">
        <v>60</v>
      </c>
      <c r="L478" s="8">
        <v>3976</v>
      </c>
      <c r="M478" s="8" t="s">
        <v>61</v>
      </c>
      <c r="N478" s="8" t="s">
        <v>110</v>
      </c>
      <c r="S478" s="8">
        <v>406861799</v>
      </c>
      <c r="AC478" s="8" t="s">
        <v>153</v>
      </c>
      <c r="AF478" s="9">
        <v>36550</v>
      </c>
      <c r="AG478" s="11">
        <v>0.92291666666666661</v>
      </c>
      <c r="AJ478" s="9">
        <v>44760</v>
      </c>
      <c r="AK478" s="11">
        <v>2.0833333333333333E-3</v>
      </c>
      <c r="AP478" s="8" t="s">
        <v>113</v>
      </c>
      <c r="AR478" s="8" t="s">
        <v>4</v>
      </c>
      <c r="AS478" s="8" t="s">
        <v>4</v>
      </c>
      <c r="AT478" s="9">
        <v>44855</v>
      </c>
      <c r="AU478" s="8" t="s">
        <v>114</v>
      </c>
      <c r="AV478" s="8" t="s">
        <v>115</v>
      </c>
      <c r="AW478" s="11">
        <v>0.92222222222222217</v>
      </c>
      <c r="AX478" s="11">
        <v>2.0833333333333333E-3</v>
      </c>
      <c r="AY478" s="8" t="s">
        <v>113</v>
      </c>
      <c r="CF478" s="9"/>
      <c r="CG478" s="11"/>
      <c r="CJ478" s="9"/>
      <c r="CK478" s="11"/>
    </row>
    <row r="479" spans="1:102">
      <c r="D479" s="8" t="s">
        <v>2785</v>
      </c>
    </row>
    <row r="480" spans="1:102">
      <c r="A480" s="8">
        <v>19025</v>
      </c>
      <c r="B480" s="8" t="s">
        <v>2786</v>
      </c>
      <c r="C480" s="8" t="s">
        <v>2787</v>
      </c>
      <c r="D480" s="8" t="s">
        <v>2788</v>
      </c>
      <c r="E480" s="8" t="s">
        <v>148</v>
      </c>
      <c r="F480" s="8" t="s">
        <v>644</v>
      </c>
      <c r="G480" s="8" t="s">
        <v>2789</v>
      </c>
      <c r="I480" s="8" t="s">
        <v>2790</v>
      </c>
      <c r="J480" s="8" t="s">
        <v>1470</v>
      </c>
      <c r="K480" s="8" t="s">
        <v>60</v>
      </c>
      <c r="L480" s="8">
        <v>3125</v>
      </c>
      <c r="M480" s="8" t="s">
        <v>61</v>
      </c>
      <c r="N480" s="8" t="s">
        <v>110</v>
      </c>
      <c r="R480" s="8" t="s">
        <v>2791</v>
      </c>
      <c r="S480" s="8" t="s">
        <v>2792</v>
      </c>
      <c r="T480" s="8" t="s">
        <v>2793</v>
      </c>
      <c r="AC480" s="8" t="s">
        <v>153</v>
      </c>
      <c r="AF480" s="9">
        <v>34065</v>
      </c>
      <c r="AG480" s="10">
        <v>1.2125000000000001</v>
      </c>
      <c r="AJ480" s="9">
        <v>44767</v>
      </c>
      <c r="AK480" s="11">
        <v>2.0833333333333333E-3</v>
      </c>
      <c r="AP480" s="8" t="s">
        <v>113</v>
      </c>
      <c r="AR480" s="8" t="s">
        <v>4</v>
      </c>
      <c r="AS480" s="8" t="s">
        <v>4</v>
      </c>
      <c r="CF480" s="9"/>
      <c r="CG480" s="10"/>
      <c r="CJ480" s="9"/>
      <c r="CK480" s="11"/>
    </row>
    <row r="481" spans="1:89">
      <c r="A481" s="8">
        <v>19026</v>
      </c>
      <c r="B481" s="8" t="s">
        <v>2794</v>
      </c>
      <c r="C481" s="8" t="s">
        <v>2795</v>
      </c>
      <c r="D481" s="8" t="s">
        <v>6</v>
      </c>
      <c r="E481" s="8" t="s">
        <v>376</v>
      </c>
      <c r="F481" s="8" t="s">
        <v>129</v>
      </c>
      <c r="G481" s="8" t="s">
        <v>6</v>
      </c>
      <c r="I481" s="8" t="s">
        <v>2796</v>
      </c>
      <c r="J481" s="8" t="s">
        <v>1246</v>
      </c>
      <c r="K481" s="8" t="s">
        <v>122</v>
      </c>
      <c r="L481" s="8">
        <v>2112</v>
      </c>
      <c r="M481" s="8" t="s">
        <v>61</v>
      </c>
      <c r="N481" s="8" t="s">
        <v>110</v>
      </c>
      <c r="S481" s="8" t="s">
        <v>2797</v>
      </c>
      <c r="T481" s="8" t="s">
        <v>2798</v>
      </c>
      <c r="AC481" s="8" t="s">
        <v>56</v>
      </c>
      <c r="AF481" s="9">
        <v>33849</v>
      </c>
      <c r="AG481" s="10">
        <v>1.2506944444444443</v>
      </c>
      <c r="AJ481" s="9">
        <v>44774</v>
      </c>
      <c r="AK481" s="11">
        <v>2.0833333333333333E-3</v>
      </c>
      <c r="AP481" s="8" t="s">
        <v>113</v>
      </c>
      <c r="AR481" s="8" t="s">
        <v>4</v>
      </c>
      <c r="AS481" s="8" t="s">
        <v>4</v>
      </c>
      <c r="AY481" s="8" t="s">
        <v>113</v>
      </c>
      <c r="CF481" s="9"/>
      <c r="CG481" s="10"/>
      <c r="CJ481" s="9"/>
      <c r="CK481" s="11"/>
    </row>
    <row r="482" spans="1:89">
      <c r="A482" s="8">
        <v>19027</v>
      </c>
      <c r="B482" s="8" t="s">
        <v>2799</v>
      </c>
      <c r="C482" s="8" t="s">
        <v>2800</v>
      </c>
      <c r="D482" s="8" t="s">
        <v>2801</v>
      </c>
      <c r="E482" s="8" t="s">
        <v>148</v>
      </c>
      <c r="F482" s="8" t="s">
        <v>333</v>
      </c>
      <c r="G482" s="8" t="s">
        <v>2801</v>
      </c>
      <c r="I482" s="8" t="s">
        <v>2802</v>
      </c>
      <c r="J482" s="8" t="s">
        <v>2803</v>
      </c>
      <c r="K482" s="8" t="s">
        <v>122</v>
      </c>
      <c r="L482" s="8">
        <v>2144</v>
      </c>
      <c r="M482" s="8" t="s">
        <v>61</v>
      </c>
      <c r="N482" s="8" t="s">
        <v>110</v>
      </c>
      <c r="S482" s="8">
        <v>450516745</v>
      </c>
      <c r="T482" s="8" t="s">
        <v>2804</v>
      </c>
      <c r="AC482" s="8" t="s">
        <v>153</v>
      </c>
      <c r="AF482" s="9">
        <v>35173</v>
      </c>
      <c r="AG482" s="10">
        <v>1.0875000000000001</v>
      </c>
      <c r="AJ482" s="9">
        <v>44776</v>
      </c>
      <c r="AK482" s="11">
        <v>1.3888888888888889E-3</v>
      </c>
      <c r="AP482" s="8" t="s">
        <v>113</v>
      </c>
      <c r="AR482" s="8" t="s">
        <v>4</v>
      </c>
      <c r="AS482" s="8" t="s">
        <v>4</v>
      </c>
      <c r="AY482" s="8" t="s">
        <v>113</v>
      </c>
      <c r="CF482" s="9"/>
      <c r="CG482" s="10"/>
      <c r="CJ482" s="9"/>
      <c r="CK482" s="11"/>
    </row>
    <row r="483" spans="1:89">
      <c r="A483" s="8">
        <v>19028</v>
      </c>
      <c r="B483" s="8" t="s">
        <v>2805</v>
      </c>
      <c r="C483" s="8" t="s">
        <v>2806</v>
      </c>
      <c r="D483" s="8" t="s">
        <v>2807</v>
      </c>
      <c r="E483" s="8" t="s">
        <v>376</v>
      </c>
      <c r="F483" s="8" t="s">
        <v>2264</v>
      </c>
      <c r="G483" s="8" t="s">
        <v>2807</v>
      </c>
      <c r="I483" s="8" t="s">
        <v>2808</v>
      </c>
      <c r="J483" s="8" t="s">
        <v>2809</v>
      </c>
      <c r="K483" s="8" t="s">
        <v>60</v>
      </c>
      <c r="L483" s="8">
        <v>3805</v>
      </c>
      <c r="M483" s="8" t="s">
        <v>61</v>
      </c>
      <c r="N483" s="8" t="s">
        <v>110</v>
      </c>
      <c r="S483" s="8">
        <v>451321120</v>
      </c>
      <c r="T483" s="8" t="s">
        <v>2810</v>
      </c>
      <c r="AC483" s="8" t="s">
        <v>56</v>
      </c>
      <c r="AF483" s="9">
        <v>34660</v>
      </c>
      <c r="AG483" s="10">
        <v>1.132638888888889</v>
      </c>
      <c r="AJ483" s="9">
        <v>44788</v>
      </c>
      <c r="AK483" s="11">
        <v>1.3888888888888889E-3</v>
      </c>
      <c r="AP483" s="8" t="s">
        <v>113</v>
      </c>
      <c r="AR483" s="8" t="s">
        <v>4</v>
      </c>
      <c r="AS483" s="8" t="s">
        <v>4</v>
      </c>
      <c r="AY483" s="8" t="s">
        <v>113</v>
      </c>
      <c r="CF483" s="9"/>
      <c r="CG483" s="10"/>
      <c r="CJ483" s="9"/>
      <c r="CK483" s="11"/>
    </row>
    <row r="484" spans="1:89">
      <c r="D484" s="8" t="s">
        <v>2811</v>
      </c>
    </row>
    <row r="485" spans="1:89">
      <c r="A485" s="8">
        <v>19029</v>
      </c>
      <c r="B485" s="8" t="s">
        <v>2812</v>
      </c>
      <c r="C485" s="8" t="s">
        <v>2813</v>
      </c>
      <c r="D485" s="8" t="s">
        <v>2814</v>
      </c>
      <c r="E485" s="8" t="s">
        <v>148</v>
      </c>
      <c r="F485" s="8" t="s">
        <v>119</v>
      </c>
      <c r="G485" s="8" t="s">
        <v>2814</v>
      </c>
      <c r="I485" s="8" t="s">
        <v>2815</v>
      </c>
      <c r="J485" s="8" t="s">
        <v>2816</v>
      </c>
      <c r="K485" s="8" t="s">
        <v>60</v>
      </c>
      <c r="L485" s="8">
        <v>3055</v>
      </c>
      <c r="M485" s="8" t="s">
        <v>61</v>
      </c>
      <c r="N485" s="8" t="s">
        <v>110</v>
      </c>
      <c r="S485" s="8">
        <v>469870948</v>
      </c>
      <c r="T485" s="8" t="s">
        <v>2817</v>
      </c>
      <c r="AC485" s="8" t="s">
        <v>153</v>
      </c>
      <c r="AF485" s="9">
        <v>35475</v>
      </c>
      <c r="AG485" s="10">
        <v>1.0472222222222223</v>
      </c>
      <c r="AJ485" s="9">
        <v>44789</v>
      </c>
      <c r="AK485" s="11">
        <v>1.3888888888888889E-3</v>
      </c>
      <c r="AP485" s="8" t="s">
        <v>113</v>
      </c>
      <c r="AQ485" s="8" t="s">
        <v>4</v>
      </c>
      <c r="AR485" s="8" t="s">
        <v>4</v>
      </c>
      <c r="AS485" s="8" t="s">
        <v>4</v>
      </c>
      <c r="AY485" s="8" t="s">
        <v>113</v>
      </c>
      <c r="AZ485" s="8" t="s">
        <v>4</v>
      </c>
      <c r="CF485" s="9"/>
      <c r="CG485" s="10"/>
      <c r="CJ485" s="9"/>
      <c r="CK485" s="11"/>
    </row>
    <row r="486" spans="1:89">
      <c r="A486" s="8">
        <v>19030</v>
      </c>
      <c r="B486" s="8" t="s">
        <v>2818</v>
      </c>
      <c r="C486" s="8" t="s">
        <v>2819</v>
      </c>
      <c r="D486" s="8" t="s">
        <v>2433</v>
      </c>
      <c r="E486" s="8" t="s">
        <v>148</v>
      </c>
      <c r="F486" s="8" t="s">
        <v>129</v>
      </c>
      <c r="G486" s="8" t="s">
        <v>2433</v>
      </c>
      <c r="I486" s="8" t="s">
        <v>2820</v>
      </c>
      <c r="J486" s="8" t="s">
        <v>2821</v>
      </c>
      <c r="K486" s="8" t="s">
        <v>60</v>
      </c>
      <c r="L486" s="8">
        <v>3128</v>
      </c>
      <c r="M486" s="8" t="s">
        <v>61</v>
      </c>
      <c r="N486" s="8" t="s">
        <v>110</v>
      </c>
      <c r="S486" s="8">
        <v>408600832</v>
      </c>
      <c r="T486" s="8" t="s">
        <v>2822</v>
      </c>
      <c r="AC486" s="8" t="s">
        <v>153</v>
      </c>
      <c r="AF486" s="9">
        <v>24327</v>
      </c>
      <c r="AG486" s="10">
        <v>2.3347222222222221</v>
      </c>
      <c r="AJ486" s="9">
        <v>44785</v>
      </c>
      <c r="AK486" s="11">
        <v>1.3888888888888889E-3</v>
      </c>
      <c r="AP486" s="8" t="s">
        <v>113</v>
      </c>
      <c r="AR486" s="8" t="s">
        <v>4</v>
      </c>
      <c r="AS486" s="8" t="s">
        <v>4</v>
      </c>
      <c r="AY486" s="8" t="s">
        <v>113</v>
      </c>
      <c r="CF486" s="9"/>
      <c r="CG486" s="10"/>
      <c r="CJ486" s="9"/>
      <c r="CK486" s="11"/>
    </row>
    <row r="487" spans="1:89">
      <c r="A487" s="8">
        <v>19031</v>
      </c>
      <c r="B487" s="8" t="s">
        <v>2823</v>
      </c>
      <c r="C487" s="8" t="s">
        <v>332</v>
      </c>
      <c r="D487" s="8" t="s">
        <v>2824</v>
      </c>
      <c r="E487" s="8" t="s">
        <v>139</v>
      </c>
      <c r="F487" s="8" t="s">
        <v>119</v>
      </c>
      <c r="G487" s="8" t="s">
        <v>290</v>
      </c>
      <c r="I487" s="8" t="s">
        <v>2825</v>
      </c>
      <c r="J487" s="8" t="s">
        <v>2826</v>
      </c>
      <c r="K487" s="8" t="s">
        <v>240</v>
      </c>
      <c r="L487" s="8">
        <v>4215</v>
      </c>
      <c r="M487" s="8" t="s">
        <v>61</v>
      </c>
      <c r="N487" s="8" t="s">
        <v>110</v>
      </c>
      <c r="O487" s="8">
        <v>404053837</v>
      </c>
      <c r="R487" s="8" t="s">
        <v>2827</v>
      </c>
      <c r="S487" s="8">
        <v>404053837</v>
      </c>
      <c r="T487" s="8" t="s">
        <v>2828</v>
      </c>
      <c r="W487" s="8" t="s">
        <v>2829</v>
      </c>
      <c r="X487" s="8" t="s">
        <v>2830</v>
      </c>
      <c r="Y487" s="8" t="s">
        <v>240</v>
      </c>
      <c r="Z487" s="8">
        <v>4215</v>
      </c>
      <c r="AA487" s="8" t="s">
        <v>61</v>
      </c>
      <c r="AB487" s="8" t="s">
        <v>110</v>
      </c>
      <c r="AC487" s="8" t="s">
        <v>56</v>
      </c>
      <c r="AF487" s="9">
        <v>21404</v>
      </c>
      <c r="AG487" s="10">
        <v>2.6680555555555556</v>
      </c>
      <c r="AJ487" s="9">
        <v>44795</v>
      </c>
      <c r="AK487" s="11">
        <v>1.3888888888888889E-3</v>
      </c>
      <c r="AP487" s="8" t="s">
        <v>113</v>
      </c>
      <c r="AQ487" s="8" t="s">
        <v>4</v>
      </c>
      <c r="AR487" s="8" t="s">
        <v>4</v>
      </c>
      <c r="AS487" s="8" t="s">
        <v>4</v>
      </c>
      <c r="AY487" s="8" t="s">
        <v>4</v>
      </c>
      <c r="AZ487" s="8" t="s">
        <v>4</v>
      </c>
      <c r="CF487" s="9"/>
      <c r="CG487" s="10"/>
      <c r="CJ487" s="9"/>
      <c r="CK487" s="11"/>
    </row>
    <row r="488" spans="1:89">
      <c r="A488" s="8">
        <v>19032</v>
      </c>
      <c r="B488" s="8" t="s">
        <v>2831</v>
      </c>
      <c r="C488" s="8" t="s">
        <v>2832</v>
      </c>
      <c r="D488" s="8" t="s">
        <v>2833</v>
      </c>
      <c r="E488" s="8" t="s">
        <v>139</v>
      </c>
      <c r="F488" s="8" t="s">
        <v>1082</v>
      </c>
      <c r="G488" s="8" t="s">
        <v>2833</v>
      </c>
      <c r="I488" s="8" t="s">
        <v>2834</v>
      </c>
      <c r="J488" s="8" t="s">
        <v>2835</v>
      </c>
      <c r="K488" s="8" t="s">
        <v>122</v>
      </c>
      <c r="L488" s="8">
        <v>2200</v>
      </c>
      <c r="M488" s="8" t="s">
        <v>61</v>
      </c>
      <c r="N488" s="8" t="s">
        <v>110</v>
      </c>
      <c r="S488" s="8">
        <v>410440240</v>
      </c>
      <c r="T488" s="8" t="s">
        <v>2836</v>
      </c>
      <c r="AC488" s="8" t="s">
        <v>56</v>
      </c>
      <c r="AF488" s="9">
        <v>31291</v>
      </c>
      <c r="AG488" s="10">
        <v>1.5430555555555554</v>
      </c>
      <c r="AJ488" s="9">
        <v>44795</v>
      </c>
      <c r="AK488" s="11">
        <v>1.3888888888888889E-3</v>
      </c>
      <c r="AP488" s="8" t="s">
        <v>113</v>
      </c>
      <c r="AQ488" s="8" t="s">
        <v>4</v>
      </c>
      <c r="AR488" s="8" t="s">
        <v>4</v>
      </c>
      <c r="AS488" s="8" t="s">
        <v>4</v>
      </c>
      <c r="AY488" s="8" t="s">
        <v>113</v>
      </c>
      <c r="AZ488" s="8" t="s">
        <v>4</v>
      </c>
      <c r="CF488" s="9"/>
      <c r="CG488" s="10"/>
      <c r="CJ488" s="9"/>
      <c r="CK488" s="11"/>
    </row>
    <row r="489" spans="1:89">
      <c r="A489" s="8">
        <v>19033</v>
      </c>
      <c r="B489" s="8" t="s">
        <v>2837</v>
      </c>
      <c r="C489" s="8" t="s">
        <v>2838</v>
      </c>
      <c r="D489" s="8" t="s">
        <v>2839</v>
      </c>
      <c r="E489" s="8" t="s">
        <v>106</v>
      </c>
      <c r="F489" s="8" t="s">
        <v>368</v>
      </c>
      <c r="G489" s="8" t="s">
        <v>2052</v>
      </c>
      <c r="I489" s="8" t="s">
        <v>2840</v>
      </c>
      <c r="J489" s="8" t="s">
        <v>2835</v>
      </c>
      <c r="K489" s="8" t="s">
        <v>122</v>
      </c>
      <c r="L489" s="8">
        <v>2200</v>
      </c>
      <c r="M489" s="8" t="s">
        <v>61</v>
      </c>
      <c r="N489" s="8" t="s">
        <v>110</v>
      </c>
      <c r="O489" s="8">
        <v>452582977</v>
      </c>
      <c r="R489" s="8" t="s">
        <v>2841</v>
      </c>
      <c r="S489" s="8">
        <v>452582977</v>
      </c>
      <c r="T489" s="8" t="s">
        <v>2842</v>
      </c>
      <c r="AC489" s="8" t="s">
        <v>56</v>
      </c>
      <c r="AF489" s="9">
        <v>29776</v>
      </c>
      <c r="AG489" s="10">
        <v>1.7104166666666665</v>
      </c>
      <c r="AJ489" s="9">
        <v>44802</v>
      </c>
      <c r="AK489" s="11">
        <v>1.3888888888888889E-3</v>
      </c>
      <c r="AP489" s="8" t="s">
        <v>113</v>
      </c>
      <c r="AR489" s="8" t="s">
        <v>4</v>
      </c>
      <c r="AS489" s="8" t="s">
        <v>4</v>
      </c>
      <c r="AY489" s="8" t="s">
        <v>113</v>
      </c>
      <c r="CF489" s="9"/>
      <c r="CG489" s="10"/>
      <c r="CJ489" s="9"/>
      <c r="CK489" s="11"/>
    </row>
    <row r="490" spans="1:89">
      <c r="A490" s="8">
        <v>19034</v>
      </c>
      <c r="B490" s="8" t="s">
        <v>2843</v>
      </c>
      <c r="C490" s="8" t="s">
        <v>2844</v>
      </c>
      <c r="D490" s="8" t="s">
        <v>2845</v>
      </c>
      <c r="E490" s="8" t="s">
        <v>148</v>
      </c>
      <c r="F490" s="8" t="s">
        <v>984</v>
      </c>
      <c r="G490" s="8" t="s">
        <v>2845</v>
      </c>
      <c r="I490" s="8" t="s">
        <v>2846</v>
      </c>
      <c r="J490" s="8" t="s">
        <v>439</v>
      </c>
      <c r="K490" s="8" t="s">
        <v>122</v>
      </c>
      <c r="L490" s="8">
        <v>2148</v>
      </c>
      <c r="M490" s="8" t="s">
        <v>61</v>
      </c>
      <c r="N490" s="8" t="s">
        <v>110</v>
      </c>
      <c r="O490" s="8">
        <v>431259151</v>
      </c>
      <c r="S490" s="8">
        <v>431259151</v>
      </c>
      <c r="T490" s="8" t="s">
        <v>2847</v>
      </c>
      <c r="AC490" s="8" t="s">
        <v>153</v>
      </c>
      <c r="AF490" s="9">
        <v>29739</v>
      </c>
      <c r="AG490" s="10">
        <v>1.7111111111111112</v>
      </c>
      <c r="AJ490" s="9">
        <v>44802</v>
      </c>
      <c r="AK490" s="11">
        <v>1.3888888888888889E-3</v>
      </c>
      <c r="AP490" s="8" t="s">
        <v>113</v>
      </c>
      <c r="AQ490" s="8" t="s">
        <v>4</v>
      </c>
      <c r="AR490" s="8" t="s">
        <v>4</v>
      </c>
      <c r="AS490" s="8" t="s">
        <v>4</v>
      </c>
      <c r="AY490" s="8" t="s">
        <v>4</v>
      </c>
      <c r="AZ490" s="8" t="s">
        <v>4</v>
      </c>
      <c r="CF490" s="9"/>
      <c r="CG490" s="10"/>
      <c r="CJ490" s="9"/>
      <c r="CK490" s="11"/>
    </row>
    <row r="491" spans="1:89">
      <c r="A491" s="8">
        <v>19035</v>
      </c>
      <c r="B491" s="8" t="s">
        <v>2848</v>
      </c>
      <c r="C491" s="8" t="s">
        <v>2849</v>
      </c>
      <c r="D491" s="8" t="s">
        <v>2850</v>
      </c>
      <c r="E491" s="8" t="s">
        <v>148</v>
      </c>
      <c r="F491" s="8" t="s">
        <v>327</v>
      </c>
      <c r="G491" s="8" t="s">
        <v>2851</v>
      </c>
      <c r="I491" s="8" t="s">
        <v>2852</v>
      </c>
      <c r="J491" s="8" t="s">
        <v>2693</v>
      </c>
      <c r="K491" s="8" t="s">
        <v>122</v>
      </c>
      <c r="L491" s="8">
        <v>2166</v>
      </c>
      <c r="M491" s="8" t="s">
        <v>61</v>
      </c>
      <c r="N491" s="8" t="s">
        <v>110</v>
      </c>
      <c r="O491" s="8">
        <v>403334394</v>
      </c>
      <c r="S491" s="8">
        <v>403334394</v>
      </c>
      <c r="T491" s="8" t="s">
        <v>2853</v>
      </c>
      <c r="AC491" s="8" t="s">
        <v>153</v>
      </c>
      <c r="AF491" s="9">
        <v>34074</v>
      </c>
      <c r="AG491" s="10">
        <v>1.2125000000000001</v>
      </c>
      <c r="AJ491" s="9">
        <v>44809</v>
      </c>
      <c r="AK491" s="11">
        <v>6.9444444444444447E-4</v>
      </c>
      <c r="AP491" s="8" t="s">
        <v>113</v>
      </c>
      <c r="AQ491" s="8" t="s">
        <v>4</v>
      </c>
      <c r="AR491" s="8" t="s">
        <v>4</v>
      </c>
      <c r="AS491" s="8" t="s">
        <v>4</v>
      </c>
      <c r="AY491" s="8" t="s">
        <v>113</v>
      </c>
      <c r="AZ491" s="8" t="s">
        <v>4</v>
      </c>
      <c r="CF491" s="9"/>
      <c r="CG491" s="10"/>
      <c r="CJ491" s="9"/>
      <c r="CK491" s="11"/>
    </row>
    <row r="492" spans="1:89">
      <c r="A492" s="8">
        <v>19036</v>
      </c>
      <c r="B492" s="8" t="s">
        <v>2854</v>
      </c>
      <c r="C492" s="8" t="s">
        <v>2855</v>
      </c>
      <c r="D492" s="8" t="s">
        <v>2856</v>
      </c>
      <c r="E492" s="8" t="s">
        <v>148</v>
      </c>
      <c r="F492" s="8" t="s">
        <v>119</v>
      </c>
      <c r="G492" s="8" t="s">
        <v>2856</v>
      </c>
      <c r="I492" s="8" t="s">
        <v>2857</v>
      </c>
      <c r="J492" s="8" t="s">
        <v>1775</v>
      </c>
      <c r="K492" s="8" t="s">
        <v>60</v>
      </c>
      <c r="L492" s="8">
        <v>3123</v>
      </c>
      <c r="M492" s="8" t="s">
        <v>61</v>
      </c>
      <c r="N492" s="8" t="s">
        <v>110</v>
      </c>
      <c r="O492" s="8" t="s">
        <v>2858</v>
      </c>
      <c r="S492" s="8" t="s">
        <v>2858</v>
      </c>
      <c r="T492" s="8" t="s">
        <v>2859</v>
      </c>
      <c r="AC492" s="8" t="s">
        <v>153</v>
      </c>
      <c r="AF492" s="9">
        <v>35895</v>
      </c>
      <c r="AG492" s="10">
        <v>1.0041666666666667</v>
      </c>
      <c r="AJ492" s="9">
        <v>44810</v>
      </c>
      <c r="AK492" s="11">
        <v>6.9444444444444447E-4</v>
      </c>
      <c r="AP492" s="8" t="s">
        <v>113</v>
      </c>
      <c r="AR492" s="8" t="s">
        <v>4</v>
      </c>
      <c r="AS492" s="8" t="s">
        <v>4</v>
      </c>
      <c r="AT492" s="9">
        <v>44855</v>
      </c>
      <c r="AU492" s="8" t="s">
        <v>114</v>
      </c>
      <c r="AV492" s="8" t="s">
        <v>115</v>
      </c>
      <c r="AW492" s="10">
        <v>1.0041666666666667</v>
      </c>
      <c r="AX492" s="11">
        <v>6.9444444444444447E-4</v>
      </c>
      <c r="AY492" s="8" t="s">
        <v>113</v>
      </c>
      <c r="CF492" s="9"/>
      <c r="CG492" s="10"/>
      <c r="CJ492" s="9"/>
      <c r="CK492" s="11"/>
    </row>
    <row r="493" spans="1:89">
      <c r="A493" s="8">
        <v>19037</v>
      </c>
      <c r="B493" s="8" t="s">
        <v>2860</v>
      </c>
      <c r="C493" s="8" t="s">
        <v>2861</v>
      </c>
      <c r="D493" s="8" t="s">
        <v>2862</v>
      </c>
      <c r="E493" s="8" t="s">
        <v>148</v>
      </c>
      <c r="F493" s="8" t="s">
        <v>1007</v>
      </c>
      <c r="G493" s="8" t="s">
        <v>2862</v>
      </c>
      <c r="I493" s="8" t="s">
        <v>2863</v>
      </c>
      <c r="J493" s="8" t="s">
        <v>2864</v>
      </c>
      <c r="K493" s="8" t="s">
        <v>293</v>
      </c>
      <c r="L493" s="8">
        <v>6112</v>
      </c>
      <c r="M493" s="8" t="s">
        <v>61</v>
      </c>
      <c r="N493" s="8" t="s">
        <v>110</v>
      </c>
      <c r="O493" s="8">
        <v>433827664</v>
      </c>
      <c r="S493" s="8">
        <v>433827664</v>
      </c>
      <c r="T493" s="8" t="s">
        <v>2865</v>
      </c>
      <c r="AC493" s="8" t="s">
        <v>153</v>
      </c>
      <c r="AF493" s="9">
        <v>37856</v>
      </c>
      <c r="AG493" s="11">
        <v>0.79305555555555562</v>
      </c>
      <c r="AJ493" s="9">
        <v>44813</v>
      </c>
      <c r="AK493" s="11">
        <v>6.9444444444444447E-4</v>
      </c>
      <c r="AP493" s="8" t="s">
        <v>113</v>
      </c>
      <c r="AR493" s="8" t="s">
        <v>4</v>
      </c>
      <c r="AS493" s="8" t="s">
        <v>4</v>
      </c>
      <c r="AY493" s="8" t="s">
        <v>113</v>
      </c>
      <c r="CF493" s="9"/>
      <c r="CG493" s="11"/>
      <c r="CJ493" s="9"/>
      <c r="CK493" s="11"/>
    </row>
    <row r="494" spans="1:89">
      <c r="A494" s="8">
        <v>19038</v>
      </c>
      <c r="B494" s="8" t="s">
        <v>2866</v>
      </c>
      <c r="C494" s="8" t="s">
        <v>436</v>
      </c>
      <c r="D494" s="8" t="s">
        <v>2867</v>
      </c>
      <c r="E494" s="8" t="s">
        <v>148</v>
      </c>
      <c r="F494" s="8" t="s">
        <v>797</v>
      </c>
      <c r="G494" s="8" t="s">
        <v>2867</v>
      </c>
      <c r="I494" s="8" t="s">
        <v>2868</v>
      </c>
      <c r="J494" s="8" t="s">
        <v>439</v>
      </c>
      <c r="K494" s="8" t="s">
        <v>122</v>
      </c>
      <c r="L494" s="8">
        <v>2148</v>
      </c>
      <c r="M494" s="8" t="s">
        <v>61</v>
      </c>
      <c r="N494" s="8" t="s">
        <v>110</v>
      </c>
      <c r="S494" s="8">
        <v>469069013</v>
      </c>
      <c r="T494" s="8" t="s">
        <v>2869</v>
      </c>
      <c r="AC494" s="8" t="s">
        <v>153</v>
      </c>
      <c r="AF494" s="9">
        <v>29810</v>
      </c>
      <c r="AG494" s="10">
        <v>1.7097222222222221</v>
      </c>
      <c r="AJ494" s="9">
        <v>44838</v>
      </c>
      <c r="AK494" s="11">
        <v>0</v>
      </c>
      <c r="AP494" s="8" t="s">
        <v>113</v>
      </c>
      <c r="AQ494" s="8" t="s">
        <v>4</v>
      </c>
      <c r="AR494" s="8" t="s">
        <v>4</v>
      </c>
      <c r="AS494" s="8" t="s">
        <v>4</v>
      </c>
      <c r="AY494" s="8" t="s">
        <v>113</v>
      </c>
      <c r="AZ494" s="8" t="s">
        <v>4</v>
      </c>
      <c r="CF494" s="9"/>
      <c r="CG494" s="10"/>
      <c r="CJ494" s="9"/>
    </row>
    <row r="495" spans="1:89">
      <c r="A495" s="8">
        <v>19039</v>
      </c>
      <c r="B495" s="8" t="s">
        <v>2870</v>
      </c>
      <c r="C495" s="8" t="s">
        <v>2871</v>
      </c>
      <c r="D495" s="8" t="s">
        <v>2872</v>
      </c>
      <c r="E495" s="8" t="s">
        <v>376</v>
      </c>
      <c r="F495" s="8" t="s">
        <v>119</v>
      </c>
      <c r="G495" s="8" t="s">
        <v>2873</v>
      </c>
      <c r="I495" s="8" t="s">
        <v>2874</v>
      </c>
      <c r="J495" s="8" t="s">
        <v>2875</v>
      </c>
      <c r="K495" s="8" t="s">
        <v>240</v>
      </c>
      <c r="L495" s="8">
        <v>4123</v>
      </c>
      <c r="M495" s="8" t="s">
        <v>61</v>
      </c>
      <c r="N495" s="8" t="s">
        <v>110</v>
      </c>
      <c r="S495" s="8">
        <v>422245983</v>
      </c>
      <c r="T495" s="8" t="s">
        <v>2876</v>
      </c>
      <c r="AC495" s="8" t="s">
        <v>56</v>
      </c>
      <c r="AF495" s="9">
        <v>33646</v>
      </c>
      <c r="AG495" s="10">
        <v>1.2555555555555555</v>
      </c>
      <c r="AJ495" s="9">
        <v>44824</v>
      </c>
      <c r="AK495" s="11">
        <v>6.9444444444444447E-4</v>
      </c>
      <c r="AP495" s="8" t="s">
        <v>113</v>
      </c>
      <c r="AR495" s="8" t="s">
        <v>4</v>
      </c>
      <c r="AS495" s="8" t="s">
        <v>4</v>
      </c>
      <c r="AY495" s="8" t="s">
        <v>113</v>
      </c>
      <c r="CF495" s="9"/>
      <c r="CG495" s="10"/>
      <c r="CJ495" s="9"/>
      <c r="CK495" s="11"/>
    </row>
    <row r="496" spans="1:89">
      <c r="I496" s="8" t="s">
        <v>2877</v>
      </c>
    </row>
    <row r="497" spans="1:102">
      <c r="A497" s="8">
        <v>19040</v>
      </c>
      <c r="B497" s="8" t="s">
        <v>2013</v>
      </c>
      <c r="C497" s="8" t="s">
        <v>199</v>
      </c>
      <c r="D497" s="8" t="s">
        <v>2984</v>
      </c>
      <c r="E497" s="8" t="s">
        <v>376</v>
      </c>
      <c r="F497" s="8" t="s">
        <v>201</v>
      </c>
      <c r="G497" s="8" t="s">
        <v>2015</v>
      </c>
      <c r="I497" s="8" t="s">
        <v>2985</v>
      </c>
      <c r="J497" s="8" t="s">
        <v>570</v>
      </c>
      <c r="K497" s="8" t="s">
        <v>122</v>
      </c>
      <c r="L497" s="8">
        <v>2565</v>
      </c>
      <c r="M497" s="8" t="s">
        <v>61</v>
      </c>
      <c r="N497" s="8" t="s">
        <v>110</v>
      </c>
      <c r="O497" s="8">
        <v>415937200</v>
      </c>
      <c r="S497" s="8">
        <v>415937200</v>
      </c>
      <c r="T497" s="8" t="s">
        <v>2986</v>
      </c>
      <c r="AC497" s="8" t="s">
        <v>56</v>
      </c>
      <c r="AF497" s="9">
        <v>31813</v>
      </c>
      <c r="AG497" s="10">
        <v>1.4638888888888888</v>
      </c>
      <c r="AJ497" s="9">
        <v>44858</v>
      </c>
      <c r="AK497" s="11">
        <v>0</v>
      </c>
      <c r="AP497" s="8" t="s">
        <v>113</v>
      </c>
      <c r="AR497" s="8" t="s">
        <v>4</v>
      </c>
      <c r="AS497" s="8" t="s">
        <v>4</v>
      </c>
      <c r="AT497" s="9"/>
      <c r="AW497" s="10"/>
      <c r="AX497" s="11"/>
      <c r="CF497" s="9"/>
      <c r="CG497" s="10"/>
      <c r="CJ497" s="9"/>
      <c r="CK497" s="11"/>
      <c r="CT497" s="9"/>
      <c r="CW497" s="10"/>
      <c r="CX497" s="11"/>
    </row>
    <row r="498" spans="1:102">
      <c r="D498" s="8" t="s">
        <v>2015</v>
      </c>
      <c r="AF498" s="9"/>
      <c r="AG498" s="10"/>
      <c r="AJ498" s="9"/>
      <c r="AK498" s="11"/>
      <c r="AT498" s="9"/>
      <c r="AW498" s="10"/>
      <c r="AX498" s="11"/>
      <c r="CF498" s="9"/>
      <c r="CG498" s="10"/>
      <c r="CJ498" s="9"/>
      <c r="CK498" s="11"/>
      <c r="CT498" s="9"/>
      <c r="CW498" s="10"/>
      <c r="CX498" s="11"/>
    </row>
    <row r="499" spans="1:102">
      <c r="A499" s="8">
        <v>44700</v>
      </c>
      <c r="B499" s="8" t="s">
        <v>2878</v>
      </c>
      <c r="C499" s="8" t="s">
        <v>2879</v>
      </c>
      <c r="D499" s="8" t="s">
        <v>2880</v>
      </c>
      <c r="E499" s="8" t="s">
        <v>139</v>
      </c>
      <c r="F499" s="8" t="s">
        <v>2587</v>
      </c>
      <c r="G499" s="8" t="s">
        <v>2880</v>
      </c>
      <c r="I499" s="8" t="s">
        <v>2881</v>
      </c>
      <c r="J499" s="8" t="s">
        <v>2882</v>
      </c>
      <c r="K499" s="8" t="s">
        <v>60</v>
      </c>
      <c r="L499" s="8">
        <v>3013</v>
      </c>
      <c r="M499" s="8" t="s">
        <v>61</v>
      </c>
      <c r="N499" s="8" t="s">
        <v>110</v>
      </c>
      <c r="R499" s="8" t="s">
        <v>2883</v>
      </c>
      <c r="S499" s="8">
        <v>451986905</v>
      </c>
      <c r="T499" s="8" t="s">
        <v>2884</v>
      </c>
      <c r="AC499" s="8" t="s">
        <v>56</v>
      </c>
      <c r="AF499" s="9">
        <v>31734</v>
      </c>
      <c r="AG499" s="10">
        <v>1.465972222222222</v>
      </c>
      <c r="AJ499" s="9">
        <v>43277</v>
      </c>
      <c r="AK499" s="11">
        <v>0.13263888888888889</v>
      </c>
      <c r="AP499" s="8" t="s">
        <v>113</v>
      </c>
      <c r="AS499" s="8" t="s">
        <v>113</v>
      </c>
      <c r="AT499" s="9">
        <v>44728</v>
      </c>
      <c r="AU499" s="8" t="s">
        <v>114</v>
      </c>
      <c r="AV499" s="8" t="s">
        <v>115</v>
      </c>
      <c r="AW499" s="10">
        <v>1.4625000000000001</v>
      </c>
      <c r="AX499" s="11">
        <v>0.13263888888888889</v>
      </c>
      <c r="AY499" s="8" t="s">
        <v>113</v>
      </c>
      <c r="CF499" s="9"/>
      <c r="CG499" s="10"/>
      <c r="CJ499" s="9"/>
      <c r="CK499" s="11"/>
      <c r="CT499" s="9"/>
      <c r="CW499" s="10"/>
      <c r="CX499" s="11"/>
    </row>
    <row r="500" spans="1:102">
      <c r="A500" s="8">
        <v>44701</v>
      </c>
      <c r="B500" s="8" t="s">
        <v>2885</v>
      </c>
      <c r="C500" s="8" t="s">
        <v>2886</v>
      </c>
      <c r="D500" s="8" t="s">
        <v>1500</v>
      </c>
      <c r="E500" s="8" t="s">
        <v>139</v>
      </c>
      <c r="F500" s="8" t="s">
        <v>274</v>
      </c>
      <c r="G500" s="8" t="s">
        <v>1500</v>
      </c>
      <c r="I500" s="8" t="s">
        <v>2887</v>
      </c>
      <c r="J500" s="8" t="s">
        <v>2205</v>
      </c>
      <c r="K500" s="8" t="s">
        <v>122</v>
      </c>
      <c r="L500" s="8">
        <v>2042</v>
      </c>
      <c r="M500" s="8" t="s">
        <v>61</v>
      </c>
      <c r="N500" s="8" t="s">
        <v>110</v>
      </c>
      <c r="R500" s="8" t="s">
        <v>2888</v>
      </c>
      <c r="S500" s="8">
        <v>438406382</v>
      </c>
      <c r="T500" s="8" t="s">
        <v>2889</v>
      </c>
      <c r="AA500" s="8" t="s">
        <v>61</v>
      </c>
      <c r="AB500" s="8" t="s">
        <v>110</v>
      </c>
      <c r="AC500" s="8" t="s">
        <v>56</v>
      </c>
      <c r="AF500" s="9">
        <v>33959</v>
      </c>
      <c r="AG500" s="10">
        <v>1.2152777777777779</v>
      </c>
      <c r="AJ500" s="9">
        <v>43283</v>
      </c>
      <c r="AK500" s="11">
        <v>0.12638888888888888</v>
      </c>
      <c r="AP500" s="8" t="s">
        <v>113</v>
      </c>
      <c r="AS500" s="8" t="s">
        <v>113</v>
      </c>
      <c r="AT500" s="9">
        <v>44456</v>
      </c>
      <c r="AU500" s="8" t="s">
        <v>114</v>
      </c>
      <c r="AV500" s="8" t="s">
        <v>115</v>
      </c>
      <c r="AW500" s="10">
        <v>1.1722222222222223</v>
      </c>
      <c r="AX500" s="11">
        <v>0.12638888888888888</v>
      </c>
      <c r="AY500" s="8" t="s">
        <v>113</v>
      </c>
      <c r="CF500" s="9"/>
      <c r="CG500" s="10"/>
      <c r="CJ500" s="9"/>
      <c r="CK500" s="11"/>
      <c r="CT500" s="9"/>
      <c r="CW500" s="10"/>
      <c r="CX500" s="11"/>
    </row>
    <row r="501" spans="1:102">
      <c r="A501" s="8">
        <v>44702</v>
      </c>
      <c r="B501" s="8" t="s">
        <v>2890</v>
      </c>
      <c r="C501" s="8" t="s">
        <v>2891</v>
      </c>
      <c r="D501" s="8" t="s">
        <v>2892</v>
      </c>
      <c r="E501" s="8" t="s">
        <v>106</v>
      </c>
      <c r="F501" s="8" t="s">
        <v>119</v>
      </c>
      <c r="G501" s="8" t="s">
        <v>2892</v>
      </c>
      <c r="I501" s="8" t="s">
        <v>2893</v>
      </c>
      <c r="J501" s="8" t="s">
        <v>2894</v>
      </c>
      <c r="K501" s="8" t="s">
        <v>122</v>
      </c>
      <c r="L501" s="8">
        <v>2152</v>
      </c>
      <c r="M501" s="8" t="s">
        <v>61</v>
      </c>
      <c r="N501" s="8" t="s">
        <v>110</v>
      </c>
      <c r="R501" s="8" t="s">
        <v>2895</v>
      </c>
      <c r="S501" s="8">
        <v>450689619</v>
      </c>
      <c r="T501" s="8" t="s">
        <v>2896</v>
      </c>
      <c r="Y501" s="8" t="s">
        <v>270</v>
      </c>
      <c r="Z501" s="8">
        <v>9999</v>
      </c>
      <c r="AC501" s="8" t="s">
        <v>56</v>
      </c>
      <c r="AF501" s="9">
        <v>31482</v>
      </c>
      <c r="AG501" s="10">
        <v>1.5048611111111112</v>
      </c>
      <c r="AJ501" s="9">
        <v>43298</v>
      </c>
      <c r="AK501" s="11">
        <v>0.12708333333333333</v>
      </c>
      <c r="AP501" s="8" t="s">
        <v>113</v>
      </c>
      <c r="AS501" s="8" t="s">
        <v>113</v>
      </c>
      <c r="AT501" s="9">
        <v>44498</v>
      </c>
      <c r="AU501" s="8" t="s">
        <v>114</v>
      </c>
      <c r="AV501" s="8" t="s">
        <v>115</v>
      </c>
      <c r="AW501" s="10">
        <v>1.4631944444444445</v>
      </c>
      <c r="AX501" s="11">
        <v>0.12708333333333333</v>
      </c>
      <c r="AY501" s="8" t="s">
        <v>113</v>
      </c>
    </row>
    <row r="502" spans="1:102">
      <c r="A502" s="8">
        <v>44703</v>
      </c>
      <c r="B502" s="8" t="s">
        <v>2897</v>
      </c>
      <c r="C502" s="8" t="s">
        <v>1202</v>
      </c>
      <c r="D502" s="8" t="s">
        <v>2898</v>
      </c>
      <c r="E502" s="8" t="s">
        <v>139</v>
      </c>
      <c r="F502" s="8" t="s">
        <v>2297</v>
      </c>
      <c r="G502" s="8" t="s">
        <v>2898</v>
      </c>
      <c r="I502" s="8" t="s">
        <v>2899</v>
      </c>
      <c r="J502" s="8" t="s">
        <v>2649</v>
      </c>
      <c r="K502" s="8" t="s">
        <v>240</v>
      </c>
      <c r="L502" s="8">
        <v>4007</v>
      </c>
      <c r="R502" s="8" t="s">
        <v>2900</v>
      </c>
      <c r="S502" s="8">
        <v>477525285</v>
      </c>
      <c r="AC502" s="8" t="s">
        <v>56</v>
      </c>
      <c r="AF502" s="9">
        <v>33851</v>
      </c>
      <c r="AG502" s="10">
        <v>1.2506944444444443</v>
      </c>
      <c r="AJ502" s="9">
        <v>43311</v>
      </c>
      <c r="AK502" s="11">
        <v>3.472222222222222E-3</v>
      </c>
      <c r="AT502" s="9">
        <v>43475</v>
      </c>
      <c r="AU502" s="8" t="s">
        <v>114</v>
      </c>
      <c r="AV502" s="8" t="s">
        <v>115</v>
      </c>
      <c r="AW502" s="10">
        <v>1.086111111111111</v>
      </c>
      <c r="AX502" s="11">
        <v>3.472222222222222E-3</v>
      </c>
      <c r="CF502" s="9"/>
      <c r="CG502" s="10"/>
      <c r="CJ502" s="9"/>
      <c r="CK502" s="11"/>
      <c r="CT502" s="9"/>
      <c r="CW502" s="10"/>
      <c r="CX502" s="11"/>
    </row>
    <row r="503" spans="1:102">
      <c r="D503" s="8" t="s">
        <v>2901</v>
      </c>
    </row>
    <row r="504" spans="1:102">
      <c r="A504" s="8">
        <v>44704</v>
      </c>
      <c r="B504" s="8" t="s">
        <v>2902</v>
      </c>
      <c r="C504" s="8" t="s">
        <v>2903</v>
      </c>
      <c r="D504" s="8" t="s">
        <v>2904</v>
      </c>
      <c r="E504" s="8" t="s">
        <v>376</v>
      </c>
      <c r="F504" s="8" t="s">
        <v>2905</v>
      </c>
      <c r="G504" s="8" t="s">
        <v>2904</v>
      </c>
      <c r="I504" s="8" t="s">
        <v>2906</v>
      </c>
      <c r="J504" s="8" t="s">
        <v>2907</v>
      </c>
      <c r="K504" s="8" t="s">
        <v>60</v>
      </c>
      <c r="L504" s="8">
        <v>3131</v>
      </c>
      <c r="R504" s="8" t="s">
        <v>2908</v>
      </c>
      <c r="S504" s="8">
        <v>419382345</v>
      </c>
      <c r="T504" s="8" t="s">
        <v>2909</v>
      </c>
      <c r="AC504" s="8" t="s">
        <v>56</v>
      </c>
      <c r="AF504" s="9">
        <v>32666</v>
      </c>
      <c r="AG504" s="10">
        <v>1.377777777777778</v>
      </c>
      <c r="AJ504" s="9">
        <v>43342</v>
      </c>
      <c r="AK504" s="11">
        <v>2.0833333333333333E-3</v>
      </c>
      <c r="AT504" s="9">
        <v>43448</v>
      </c>
      <c r="AU504" s="8" t="s">
        <v>114</v>
      </c>
      <c r="AV504" s="8" t="s">
        <v>115</v>
      </c>
      <c r="AW504" s="10">
        <v>1.2125000000000001</v>
      </c>
      <c r="AX504" s="11">
        <v>2.0833333333333333E-3</v>
      </c>
      <c r="CF504" s="9"/>
      <c r="CG504" s="10"/>
      <c r="CJ504" s="9"/>
      <c r="CK504" s="11"/>
    </row>
    <row r="505" spans="1:102">
      <c r="D505" s="8" t="s">
        <v>2910</v>
      </c>
    </row>
    <row r="506" spans="1:102">
      <c r="A506" s="8">
        <v>44705</v>
      </c>
      <c r="B506" s="8" t="s">
        <v>2911</v>
      </c>
      <c r="C506" s="8" t="s">
        <v>2912</v>
      </c>
      <c r="D506" s="8" t="s">
        <v>2913</v>
      </c>
      <c r="E506" s="8" t="s">
        <v>148</v>
      </c>
      <c r="F506" s="8" t="s">
        <v>2914</v>
      </c>
      <c r="G506" s="8" t="s">
        <v>2913</v>
      </c>
      <c r="I506" s="8" t="s">
        <v>2915</v>
      </c>
      <c r="J506" s="8" t="s">
        <v>2916</v>
      </c>
      <c r="K506" s="8" t="s">
        <v>122</v>
      </c>
      <c r="L506" s="8">
        <v>2099</v>
      </c>
      <c r="M506" s="8" t="s">
        <v>61</v>
      </c>
      <c r="N506" s="8" t="s">
        <v>110</v>
      </c>
      <c r="R506" s="8" t="s">
        <v>2917</v>
      </c>
      <c r="S506" s="8">
        <v>407958472</v>
      </c>
      <c r="T506" s="8" t="s">
        <v>2918</v>
      </c>
      <c r="AC506" s="8" t="s">
        <v>153</v>
      </c>
      <c r="AF506" s="9">
        <v>31653</v>
      </c>
      <c r="AG506" s="10">
        <v>1.5013888888888889</v>
      </c>
      <c r="AJ506" s="9">
        <v>43710</v>
      </c>
      <c r="AK506" s="11">
        <v>0.12569444444444444</v>
      </c>
      <c r="AP506" s="8" t="s">
        <v>113</v>
      </c>
      <c r="AQ506" s="8" t="s">
        <v>4</v>
      </c>
      <c r="AR506" s="8" t="s">
        <v>4</v>
      </c>
      <c r="AS506" s="8" t="s">
        <v>4</v>
      </c>
      <c r="AT506" s="9"/>
      <c r="AW506" s="10"/>
      <c r="AX506" s="11"/>
      <c r="CF506" s="9"/>
      <c r="CG506" s="10"/>
      <c r="CJ506" s="9"/>
      <c r="CK506" s="11"/>
      <c r="CT506" s="9"/>
      <c r="CW506" s="10"/>
      <c r="CX506" s="11"/>
    </row>
    <row r="507" spans="1:102">
      <c r="D507" s="8" t="s">
        <v>2715</v>
      </c>
      <c r="AF507" s="9"/>
      <c r="AG507" s="10"/>
      <c r="AJ507" s="9"/>
      <c r="AK507" s="11"/>
      <c r="AT507" s="9"/>
      <c r="AW507" s="10"/>
      <c r="AX507" s="11"/>
      <c r="CF507" s="9"/>
      <c r="CG507" s="10"/>
      <c r="CJ507" s="9"/>
      <c r="CK507" s="11"/>
      <c r="CT507" s="9"/>
      <c r="CW507" s="10"/>
      <c r="CX507" s="11"/>
    </row>
    <row r="508" spans="1:102">
      <c r="A508" s="8">
        <v>44706</v>
      </c>
      <c r="B508" s="8" t="s">
        <v>2919</v>
      </c>
      <c r="C508" s="8" t="s">
        <v>2920</v>
      </c>
      <c r="D508" s="8" t="s">
        <v>2921</v>
      </c>
      <c r="E508" s="8" t="s">
        <v>106</v>
      </c>
      <c r="F508" s="8" t="s">
        <v>1007</v>
      </c>
      <c r="G508" s="8" t="s">
        <v>2921</v>
      </c>
      <c r="I508" s="8" t="s">
        <v>2922</v>
      </c>
      <c r="J508" s="8" t="s">
        <v>2923</v>
      </c>
      <c r="K508" s="8" t="s">
        <v>240</v>
      </c>
      <c r="L508" s="8">
        <v>4017</v>
      </c>
      <c r="M508" s="8" t="s">
        <v>61</v>
      </c>
      <c r="N508" s="8" t="s">
        <v>110</v>
      </c>
      <c r="S508" s="8">
        <v>400200860</v>
      </c>
      <c r="W508" s="8" t="s">
        <v>2922</v>
      </c>
      <c r="X508" s="8" t="s">
        <v>2923</v>
      </c>
      <c r="Y508" s="8" t="s">
        <v>240</v>
      </c>
      <c r="Z508" s="8">
        <v>4017</v>
      </c>
      <c r="AA508" s="8" t="s">
        <v>61</v>
      </c>
      <c r="AB508" s="8" t="s">
        <v>110</v>
      </c>
      <c r="AC508" s="8" t="s">
        <v>56</v>
      </c>
      <c r="AF508" s="9">
        <v>32699</v>
      </c>
      <c r="AG508" s="10">
        <v>1.3770833333333332</v>
      </c>
      <c r="AJ508" s="9">
        <v>43717</v>
      </c>
      <c r="AK508" s="11">
        <v>8.8888888888888892E-2</v>
      </c>
      <c r="AP508" s="8" t="s">
        <v>113</v>
      </c>
      <c r="AQ508" s="8" t="s">
        <v>4</v>
      </c>
      <c r="AR508" s="8" t="s">
        <v>4</v>
      </c>
      <c r="AS508" s="8" t="s">
        <v>4</v>
      </c>
      <c r="AT508" s="9">
        <v>44715</v>
      </c>
      <c r="AU508" s="8" t="s">
        <v>114</v>
      </c>
      <c r="AV508" s="8" t="s">
        <v>115</v>
      </c>
      <c r="AW508" s="10">
        <v>1.3402777777777777</v>
      </c>
      <c r="AX508" s="11">
        <v>8.6805555555555566E-2</v>
      </c>
      <c r="AY508" s="8" t="s">
        <v>113</v>
      </c>
    </row>
    <row r="509" spans="1:102">
      <c r="A509" s="8">
        <v>80061</v>
      </c>
      <c r="B509" s="8" t="s">
        <v>2924</v>
      </c>
      <c r="C509" s="8" t="s">
        <v>2925</v>
      </c>
      <c r="D509" s="8" t="s">
        <v>2926</v>
      </c>
      <c r="E509" s="8" t="s">
        <v>139</v>
      </c>
      <c r="F509" s="8" t="s">
        <v>2927</v>
      </c>
      <c r="G509" s="8" t="s">
        <v>2928</v>
      </c>
      <c r="I509" s="8" t="s">
        <v>2929</v>
      </c>
      <c r="J509" s="8" t="s">
        <v>2930</v>
      </c>
      <c r="K509" s="8" t="s">
        <v>60</v>
      </c>
      <c r="L509" s="8">
        <v>3810</v>
      </c>
      <c r="M509" s="8" t="s">
        <v>61</v>
      </c>
      <c r="N509" s="8" t="s">
        <v>110</v>
      </c>
      <c r="R509" s="8" t="s">
        <v>2931</v>
      </c>
      <c r="S509" s="8">
        <v>423430660</v>
      </c>
      <c r="T509" s="8" t="s">
        <v>2932</v>
      </c>
      <c r="AC509" s="8" t="s">
        <v>56</v>
      </c>
      <c r="AF509" s="9">
        <v>32962</v>
      </c>
      <c r="AG509" s="10">
        <v>1.3381944444444445</v>
      </c>
      <c r="AJ509" s="9">
        <v>43487</v>
      </c>
      <c r="AK509" s="11">
        <v>6.2499999999999995E-3</v>
      </c>
      <c r="AP509" s="8" t="s">
        <v>113</v>
      </c>
      <c r="AS509" s="8" t="s">
        <v>113</v>
      </c>
      <c r="AT509" s="9">
        <v>43770</v>
      </c>
      <c r="AU509" s="8" t="s">
        <v>114</v>
      </c>
      <c r="AV509" s="8" t="s">
        <v>115</v>
      </c>
      <c r="AW509" s="10">
        <v>1.2131944444444445</v>
      </c>
      <c r="AX509" s="11">
        <v>6.2499999999999995E-3</v>
      </c>
      <c r="AY509" s="8" t="s">
        <v>113</v>
      </c>
      <c r="CF509" s="9"/>
      <c r="CG509" s="10"/>
      <c r="CJ509" s="9"/>
      <c r="CK509" s="11"/>
      <c r="CT509" s="9"/>
      <c r="CW509" s="10"/>
      <c r="CX509" s="11"/>
    </row>
    <row r="510" spans="1:102">
      <c r="D510" s="8" t="s">
        <v>2933</v>
      </c>
    </row>
    <row r="511" spans="1:102">
      <c r="A511" s="8" t="s">
        <v>2934</v>
      </c>
      <c r="B511" s="8" t="s">
        <v>597</v>
      </c>
      <c r="C511" s="8" t="s">
        <v>598</v>
      </c>
      <c r="D511" s="8" t="s">
        <v>599</v>
      </c>
      <c r="E511" s="8" t="s">
        <v>148</v>
      </c>
      <c r="F511" s="8" t="s">
        <v>600</v>
      </c>
      <c r="G511" s="8" t="s">
        <v>599</v>
      </c>
      <c r="I511" s="8" t="s">
        <v>601</v>
      </c>
      <c r="J511" s="8" t="s">
        <v>602</v>
      </c>
      <c r="K511" s="8" t="s">
        <v>60</v>
      </c>
      <c r="L511" s="8">
        <v>3133</v>
      </c>
      <c r="M511" s="8" t="s">
        <v>61</v>
      </c>
      <c r="N511" s="8" t="s">
        <v>110</v>
      </c>
      <c r="O511" s="8">
        <v>398038819</v>
      </c>
      <c r="R511" s="8" t="s">
        <v>603</v>
      </c>
      <c r="S511" s="8">
        <v>478838127</v>
      </c>
      <c r="T511" s="8" t="s">
        <v>604</v>
      </c>
      <c r="AC511" s="8" t="s">
        <v>153</v>
      </c>
      <c r="AF511" s="9">
        <v>27581</v>
      </c>
      <c r="AG511" s="10">
        <v>1.9604166666666665</v>
      </c>
      <c r="AJ511" s="9">
        <v>41605</v>
      </c>
      <c r="AK511" s="11">
        <v>0.25486111111111109</v>
      </c>
      <c r="AP511" s="8" t="s">
        <v>4</v>
      </c>
      <c r="AS511" s="8" t="s">
        <v>113</v>
      </c>
      <c r="AT511" s="9">
        <v>44036</v>
      </c>
      <c r="AU511" s="8" t="s">
        <v>185</v>
      </c>
      <c r="AV511" s="8" t="s">
        <v>186</v>
      </c>
      <c r="AW511" s="10">
        <v>1.875</v>
      </c>
      <c r="AX511" s="11">
        <v>0.25486111111111109</v>
      </c>
      <c r="AY511" s="8" t="s">
        <v>113</v>
      </c>
      <c r="CF511" s="9"/>
      <c r="CG511" s="10"/>
      <c r="CJ511" s="9"/>
      <c r="CK511" s="11"/>
      <c r="CT511" s="9"/>
      <c r="CW511" s="10"/>
      <c r="CX511" s="11"/>
    </row>
    <row r="512" spans="1:102">
      <c r="D512" s="8" t="s">
        <v>605</v>
      </c>
    </row>
    <row r="513" spans="1:51">
      <c r="A513" s="8" t="s">
        <v>2935</v>
      </c>
      <c r="B513" s="8" t="s">
        <v>1778</v>
      </c>
      <c r="C513" s="8" t="s">
        <v>1779</v>
      </c>
      <c r="D513" s="8" t="s">
        <v>1780</v>
      </c>
      <c r="E513" s="8" t="s">
        <v>148</v>
      </c>
      <c r="F513" s="8" t="s">
        <v>1007</v>
      </c>
      <c r="G513" s="8" t="s">
        <v>1780</v>
      </c>
      <c r="I513" s="8" t="s">
        <v>1781</v>
      </c>
      <c r="J513" s="8" t="s">
        <v>1137</v>
      </c>
      <c r="K513" s="8" t="s">
        <v>122</v>
      </c>
      <c r="L513" s="8">
        <v>2145</v>
      </c>
      <c r="M513" s="8" t="s">
        <v>61</v>
      </c>
      <c r="N513" s="8" t="s">
        <v>110</v>
      </c>
      <c r="R513" s="8" t="s">
        <v>1782</v>
      </c>
      <c r="S513" s="8">
        <v>425291940</v>
      </c>
      <c r="T513" s="8" t="s">
        <v>1783</v>
      </c>
      <c r="AC513" s="8" t="s">
        <v>153</v>
      </c>
      <c r="AF513" s="9">
        <v>34483</v>
      </c>
      <c r="AG513" s="10">
        <v>1.1701388888888888</v>
      </c>
      <c r="AJ513" s="9">
        <v>43586</v>
      </c>
      <c r="AK513" s="11">
        <v>7.6388888888888886E-3</v>
      </c>
      <c r="AP513" s="8" t="s">
        <v>4</v>
      </c>
      <c r="AQ513" s="8" t="s">
        <v>4</v>
      </c>
      <c r="AR513" s="8" t="s">
        <v>4</v>
      </c>
      <c r="AS513" s="8" t="s">
        <v>4</v>
      </c>
      <c r="AT513" s="9">
        <v>43928</v>
      </c>
      <c r="AU513" s="8" t="s">
        <v>1683</v>
      </c>
      <c r="AV513" s="8" t="s">
        <v>1684</v>
      </c>
      <c r="AW513" s="10">
        <v>1.0486111111111112</v>
      </c>
      <c r="AX513" s="11">
        <v>7.6388888888888886E-3</v>
      </c>
      <c r="AY513" s="8" t="s">
        <v>113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51"/>
  <sheetViews>
    <sheetView topLeftCell="A401" workbookViewId="0">
      <selection activeCell="A237" sqref="A237:XFD237"/>
    </sheetView>
  </sheetViews>
  <sheetFormatPr defaultRowHeight="15"/>
  <sheetData>
    <row r="1" spans="1:27">
      <c r="A1" t="s">
        <v>63</v>
      </c>
      <c r="B1" t="s">
        <v>64</v>
      </c>
      <c r="C1" t="s">
        <v>2936</v>
      </c>
      <c r="D1" t="s">
        <v>2937</v>
      </c>
      <c r="E1" t="s">
        <v>798</v>
      </c>
      <c r="F1" t="s">
        <v>2938</v>
      </c>
      <c r="G1" t="s">
        <v>2939</v>
      </c>
      <c r="H1" t="s">
        <v>2940</v>
      </c>
      <c r="I1" t="s">
        <v>2941</v>
      </c>
      <c r="J1" t="s">
        <v>2942</v>
      </c>
      <c r="K1" t="s">
        <v>2943</v>
      </c>
      <c r="L1" t="s">
        <v>2944</v>
      </c>
      <c r="M1" t="s">
        <v>2945</v>
      </c>
      <c r="N1" t="s">
        <v>2946</v>
      </c>
      <c r="O1" t="s">
        <v>2947</v>
      </c>
      <c r="P1" t="s">
        <v>2937</v>
      </c>
      <c r="Q1" t="s">
        <v>798</v>
      </c>
      <c r="R1" t="s">
        <v>2938</v>
      </c>
      <c r="S1" t="s">
        <v>2939</v>
      </c>
      <c r="T1" t="s">
        <v>2940</v>
      </c>
      <c r="U1" t="s">
        <v>2948</v>
      </c>
      <c r="V1" t="s">
        <v>2949</v>
      </c>
      <c r="W1" t="s">
        <v>2950</v>
      </c>
      <c r="X1" t="s">
        <v>2937</v>
      </c>
      <c r="Y1" t="s">
        <v>798</v>
      </c>
      <c r="Z1" t="s">
        <v>2951</v>
      </c>
      <c r="AA1" t="s">
        <v>2952</v>
      </c>
    </row>
    <row r="2" spans="1:27">
      <c r="A2">
        <v>18</v>
      </c>
      <c r="B2" t="s">
        <v>126</v>
      </c>
      <c r="D2" t="s">
        <v>1</v>
      </c>
      <c r="E2" t="s">
        <v>2954</v>
      </c>
      <c r="F2" t="s">
        <v>2953</v>
      </c>
      <c r="G2">
        <v>10.5</v>
      </c>
      <c r="K2" t="s">
        <v>2955</v>
      </c>
      <c r="L2">
        <v>117040543</v>
      </c>
    </row>
    <row r="3" spans="1:27">
      <c r="A3">
        <v>18</v>
      </c>
      <c r="B3" t="s">
        <v>126</v>
      </c>
      <c r="D3" t="s">
        <v>2</v>
      </c>
      <c r="E3" t="s">
        <v>2956</v>
      </c>
      <c r="F3" t="s">
        <v>2953</v>
      </c>
      <c r="G3">
        <v>0.1</v>
      </c>
      <c r="K3" t="s">
        <v>2955</v>
      </c>
      <c r="L3">
        <v>117040543</v>
      </c>
    </row>
    <row r="4" spans="1:27">
      <c r="A4">
        <v>44</v>
      </c>
      <c r="B4" t="s">
        <v>145</v>
      </c>
      <c r="D4" t="s">
        <v>1</v>
      </c>
      <c r="E4" t="s">
        <v>2954</v>
      </c>
      <c r="F4" t="s">
        <v>2953</v>
      </c>
      <c r="G4">
        <v>10.5</v>
      </c>
      <c r="K4" t="s">
        <v>2955</v>
      </c>
      <c r="L4">
        <v>114712136</v>
      </c>
    </row>
    <row r="5" spans="1:27">
      <c r="A5">
        <v>115</v>
      </c>
      <c r="B5" t="s">
        <v>235</v>
      </c>
      <c r="D5" t="s">
        <v>1</v>
      </c>
      <c r="E5" t="s">
        <v>2954</v>
      </c>
      <c r="F5" t="s">
        <v>2953</v>
      </c>
      <c r="G5">
        <v>10.5</v>
      </c>
      <c r="K5" t="s">
        <v>2955</v>
      </c>
      <c r="L5">
        <v>117040485</v>
      </c>
    </row>
    <row r="6" spans="1:27">
      <c r="A6">
        <v>134</v>
      </c>
      <c r="B6" t="s">
        <v>252</v>
      </c>
      <c r="D6" t="s">
        <v>1</v>
      </c>
      <c r="E6" t="s">
        <v>2954</v>
      </c>
      <c r="F6" t="s">
        <v>2953</v>
      </c>
      <c r="G6">
        <v>10.5</v>
      </c>
      <c r="K6" t="s">
        <v>2958</v>
      </c>
      <c r="L6">
        <v>1101934</v>
      </c>
    </row>
    <row r="7" spans="1:27">
      <c r="A7">
        <v>134</v>
      </c>
      <c r="B7" t="s">
        <v>252</v>
      </c>
      <c r="D7" t="s">
        <v>2</v>
      </c>
      <c r="E7" t="s">
        <v>2956</v>
      </c>
      <c r="F7" t="s">
        <v>2953</v>
      </c>
      <c r="G7">
        <v>0.1</v>
      </c>
      <c r="K7" t="s">
        <v>2958</v>
      </c>
      <c r="L7">
        <v>1101934</v>
      </c>
    </row>
    <row r="8" spans="1:27">
      <c r="A8">
        <v>141</v>
      </c>
      <c r="B8" t="s">
        <v>263</v>
      </c>
      <c r="D8" t="s">
        <v>1</v>
      </c>
      <c r="E8" t="s">
        <v>2954</v>
      </c>
      <c r="F8" t="s">
        <v>2953</v>
      </c>
      <c r="G8">
        <v>10.5</v>
      </c>
      <c r="K8" t="s">
        <v>2959</v>
      </c>
      <c r="L8">
        <v>1074055362</v>
      </c>
    </row>
    <row r="9" spans="1:27">
      <c r="A9">
        <v>141</v>
      </c>
      <c r="B9" t="s">
        <v>263</v>
      </c>
      <c r="D9" t="s">
        <v>2</v>
      </c>
      <c r="E9" t="s">
        <v>2956</v>
      </c>
      <c r="F9" t="s">
        <v>2953</v>
      </c>
      <c r="G9">
        <v>0.1</v>
      </c>
      <c r="K9" t="s">
        <v>2959</v>
      </c>
      <c r="L9">
        <v>1074055362</v>
      </c>
    </row>
    <row r="10" spans="1:27">
      <c r="A10">
        <v>145</v>
      </c>
      <c r="B10" t="s">
        <v>271</v>
      </c>
      <c r="D10" t="s">
        <v>1</v>
      </c>
      <c r="E10" t="s">
        <v>2954</v>
      </c>
      <c r="F10" t="s">
        <v>2953</v>
      </c>
      <c r="G10">
        <v>10.5</v>
      </c>
      <c r="K10" t="s">
        <v>2955</v>
      </c>
      <c r="L10">
        <v>114642655</v>
      </c>
    </row>
    <row r="11" spans="1:27">
      <c r="A11">
        <v>145</v>
      </c>
      <c r="B11" t="s">
        <v>271</v>
      </c>
      <c r="D11" t="s">
        <v>2</v>
      </c>
      <c r="E11" t="s">
        <v>2956</v>
      </c>
      <c r="F11" t="s">
        <v>2953</v>
      </c>
      <c r="G11">
        <v>0.1</v>
      </c>
      <c r="K11" t="s">
        <v>2955</v>
      </c>
      <c r="L11">
        <v>114642655</v>
      </c>
    </row>
    <row r="12" spans="1:27">
      <c r="A12">
        <v>152</v>
      </c>
      <c r="B12" t="s">
        <v>278</v>
      </c>
      <c r="D12" t="s">
        <v>1</v>
      </c>
      <c r="E12" t="s">
        <v>2954</v>
      </c>
      <c r="F12" t="s">
        <v>2953</v>
      </c>
      <c r="G12">
        <v>10.5</v>
      </c>
      <c r="K12" t="s">
        <v>2960</v>
      </c>
      <c r="L12">
        <v>1001574966</v>
      </c>
    </row>
    <row r="13" spans="1:27">
      <c r="A13">
        <v>156</v>
      </c>
      <c r="B13" t="s">
        <v>286</v>
      </c>
      <c r="D13" t="s">
        <v>1</v>
      </c>
      <c r="E13" t="s">
        <v>2954</v>
      </c>
      <c r="F13" t="s">
        <v>2953</v>
      </c>
      <c r="G13">
        <v>10.5</v>
      </c>
      <c r="K13" t="s">
        <v>2961</v>
      </c>
      <c r="L13">
        <v>11022883421</v>
      </c>
    </row>
    <row r="14" spans="1:27">
      <c r="A14">
        <v>156</v>
      </c>
      <c r="B14" t="s">
        <v>286</v>
      </c>
      <c r="D14" t="s">
        <v>2</v>
      </c>
      <c r="E14" t="s">
        <v>2956</v>
      </c>
      <c r="F14" t="s">
        <v>2953</v>
      </c>
      <c r="G14">
        <v>0.1</v>
      </c>
      <c r="K14" t="s">
        <v>2961</v>
      </c>
      <c r="L14">
        <v>11022883421</v>
      </c>
    </row>
    <row r="15" spans="1:27">
      <c r="A15">
        <v>220</v>
      </c>
      <c r="B15" t="s">
        <v>324</v>
      </c>
      <c r="D15" t="s">
        <v>1</v>
      </c>
      <c r="E15" t="s">
        <v>2954</v>
      </c>
      <c r="F15" t="s">
        <v>2953</v>
      </c>
      <c r="G15">
        <v>10.5</v>
      </c>
      <c r="K15" t="s">
        <v>2955</v>
      </c>
      <c r="L15">
        <v>114836729</v>
      </c>
    </row>
    <row r="16" spans="1:27">
      <c r="A16">
        <v>220</v>
      </c>
      <c r="B16" t="s">
        <v>324</v>
      </c>
      <c r="D16" t="s">
        <v>2962</v>
      </c>
      <c r="E16" t="s">
        <v>2963</v>
      </c>
      <c r="F16" t="s">
        <v>2957</v>
      </c>
      <c r="H16">
        <v>75</v>
      </c>
      <c r="K16" t="s">
        <v>2955</v>
      </c>
      <c r="L16">
        <v>114836729</v>
      </c>
    </row>
    <row r="17" spans="1:13">
      <c r="A17">
        <v>261</v>
      </c>
      <c r="B17" t="s">
        <v>339</v>
      </c>
      <c r="D17" t="s">
        <v>1</v>
      </c>
      <c r="E17" t="s">
        <v>2954</v>
      </c>
      <c r="F17" t="s">
        <v>2953</v>
      </c>
      <c r="G17">
        <v>10.5</v>
      </c>
      <c r="K17" t="s">
        <v>2959</v>
      </c>
      <c r="L17">
        <v>1073196260</v>
      </c>
    </row>
    <row r="18" spans="1:13">
      <c r="A18">
        <v>261</v>
      </c>
      <c r="B18" t="s">
        <v>339</v>
      </c>
      <c r="D18" t="s">
        <v>2962</v>
      </c>
      <c r="E18" t="s">
        <v>2963</v>
      </c>
      <c r="F18" t="s">
        <v>2957</v>
      </c>
      <c r="H18">
        <v>150</v>
      </c>
      <c r="K18" t="s">
        <v>2959</v>
      </c>
      <c r="L18">
        <v>1073196260</v>
      </c>
    </row>
    <row r="19" spans="1:13">
      <c r="A19">
        <v>266</v>
      </c>
      <c r="B19" t="s">
        <v>355</v>
      </c>
      <c r="D19" t="s">
        <v>1</v>
      </c>
      <c r="E19" t="s">
        <v>2954</v>
      </c>
      <c r="F19" t="s">
        <v>2953</v>
      </c>
      <c r="G19">
        <v>10.5</v>
      </c>
      <c r="K19" t="s">
        <v>2955</v>
      </c>
      <c r="L19">
        <v>114900509</v>
      </c>
    </row>
    <row r="20" spans="1:13">
      <c r="A20">
        <v>302</v>
      </c>
      <c r="B20" t="s">
        <v>395</v>
      </c>
      <c r="D20" t="s">
        <v>1</v>
      </c>
      <c r="E20" t="s">
        <v>2954</v>
      </c>
      <c r="F20" t="s">
        <v>2953</v>
      </c>
      <c r="G20">
        <v>10.5</v>
      </c>
      <c r="K20">
        <v>70732426024101</v>
      </c>
      <c r="L20">
        <v>6210407</v>
      </c>
    </row>
    <row r="21" spans="1:13">
      <c r="A21">
        <v>18442</v>
      </c>
      <c r="B21" t="s">
        <v>443</v>
      </c>
      <c r="D21" t="s">
        <v>1</v>
      </c>
      <c r="E21" t="s">
        <v>2954</v>
      </c>
      <c r="F21" t="s">
        <v>2953</v>
      </c>
      <c r="G21">
        <v>10.5</v>
      </c>
      <c r="K21" t="s">
        <v>2955</v>
      </c>
      <c r="L21">
        <v>115133258</v>
      </c>
    </row>
    <row r="22" spans="1:13">
      <c r="A22">
        <v>18506</v>
      </c>
      <c r="B22" t="s">
        <v>467</v>
      </c>
      <c r="D22" t="s">
        <v>1</v>
      </c>
      <c r="E22" t="s">
        <v>2954</v>
      </c>
      <c r="F22" t="s">
        <v>2953</v>
      </c>
      <c r="G22">
        <v>10.5</v>
      </c>
      <c r="K22" t="s">
        <v>2955</v>
      </c>
      <c r="L22">
        <v>115315194</v>
      </c>
      <c r="M22" t="s">
        <v>4</v>
      </c>
    </row>
    <row r="23" spans="1:13">
      <c r="A23">
        <v>18506</v>
      </c>
      <c r="B23" t="s">
        <v>467</v>
      </c>
      <c r="D23" t="s">
        <v>2</v>
      </c>
      <c r="E23" t="s">
        <v>2956</v>
      </c>
      <c r="F23" t="s">
        <v>2953</v>
      </c>
      <c r="G23">
        <v>0.1</v>
      </c>
      <c r="K23" t="s">
        <v>2955</v>
      </c>
      <c r="L23">
        <v>115315194</v>
      </c>
    </row>
    <row r="24" spans="1:13">
      <c r="A24">
        <v>18517</v>
      </c>
      <c r="B24" t="s">
        <v>476</v>
      </c>
      <c r="D24" t="s">
        <v>1</v>
      </c>
      <c r="E24" t="s">
        <v>2954</v>
      </c>
      <c r="F24" t="s">
        <v>2953</v>
      </c>
      <c r="G24">
        <v>10.5</v>
      </c>
      <c r="K24" t="s">
        <v>2959</v>
      </c>
      <c r="L24">
        <v>1075118853</v>
      </c>
    </row>
    <row r="25" spans="1:13">
      <c r="A25">
        <v>18549</v>
      </c>
      <c r="B25" t="s">
        <v>518</v>
      </c>
      <c r="D25" t="s">
        <v>1</v>
      </c>
      <c r="E25" t="s">
        <v>2954</v>
      </c>
      <c r="F25" t="s">
        <v>2953</v>
      </c>
      <c r="G25">
        <v>10.5</v>
      </c>
      <c r="K25" t="s">
        <v>2955</v>
      </c>
      <c r="L25">
        <v>115442931</v>
      </c>
    </row>
    <row r="26" spans="1:13">
      <c r="A26">
        <v>18549</v>
      </c>
      <c r="B26" t="s">
        <v>518</v>
      </c>
      <c r="D26" t="s">
        <v>2</v>
      </c>
      <c r="E26" t="s">
        <v>2956</v>
      </c>
      <c r="F26" t="s">
        <v>2953</v>
      </c>
      <c r="G26">
        <v>0.1</v>
      </c>
      <c r="K26" t="s">
        <v>2955</v>
      </c>
      <c r="L26">
        <v>115442931</v>
      </c>
    </row>
    <row r="27" spans="1:13">
      <c r="A27">
        <v>18550</v>
      </c>
      <c r="B27" t="s">
        <v>526</v>
      </c>
      <c r="D27" t="s">
        <v>1</v>
      </c>
      <c r="E27" t="s">
        <v>2954</v>
      </c>
      <c r="F27" t="s">
        <v>2953</v>
      </c>
      <c r="G27">
        <v>10.5</v>
      </c>
      <c r="K27" t="s">
        <v>2959</v>
      </c>
      <c r="L27">
        <v>700341600</v>
      </c>
    </row>
    <row r="28" spans="1:13">
      <c r="A28">
        <v>18550</v>
      </c>
      <c r="B28" t="s">
        <v>526</v>
      </c>
      <c r="D28" t="s">
        <v>2962</v>
      </c>
      <c r="E28" t="s">
        <v>2963</v>
      </c>
      <c r="F28" t="s">
        <v>2957</v>
      </c>
      <c r="H28">
        <v>780</v>
      </c>
      <c r="K28" t="s">
        <v>2959</v>
      </c>
      <c r="L28">
        <v>700341600</v>
      </c>
    </row>
    <row r="29" spans="1:13">
      <c r="A29">
        <v>18559</v>
      </c>
      <c r="B29" t="s">
        <v>532</v>
      </c>
      <c r="D29" t="s">
        <v>1</v>
      </c>
      <c r="E29" t="s">
        <v>2954</v>
      </c>
      <c r="F29" t="s">
        <v>2953</v>
      </c>
      <c r="G29">
        <v>10.5</v>
      </c>
      <c r="K29" t="s">
        <v>2964</v>
      </c>
      <c r="L29">
        <v>101945858</v>
      </c>
    </row>
    <row r="30" spans="1:13">
      <c r="A30">
        <v>18561</v>
      </c>
      <c r="B30" t="s">
        <v>542</v>
      </c>
      <c r="D30" t="s">
        <v>1</v>
      </c>
      <c r="E30" t="s">
        <v>2954</v>
      </c>
      <c r="F30" t="s">
        <v>2953</v>
      </c>
      <c r="G30">
        <v>10.5</v>
      </c>
      <c r="K30" t="s">
        <v>2959</v>
      </c>
      <c r="L30">
        <v>1075176503</v>
      </c>
    </row>
    <row r="31" spans="1:13">
      <c r="A31">
        <v>18561</v>
      </c>
      <c r="B31" t="s">
        <v>542</v>
      </c>
      <c r="D31" t="s">
        <v>2</v>
      </c>
      <c r="E31" t="s">
        <v>2956</v>
      </c>
      <c r="F31" t="s">
        <v>2953</v>
      </c>
      <c r="G31">
        <v>0.1</v>
      </c>
      <c r="K31" t="s">
        <v>2959</v>
      </c>
      <c r="L31">
        <v>1075176503</v>
      </c>
    </row>
    <row r="32" spans="1:13">
      <c r="A32">
        <v>18581</v>
      </c>
      <c r="B32" t="s">
        <v>566</v>
      </c>
      <c r="D32" t="s">
        <v>1</v>
      </c>
      <c r="E32" t="s">
        <v>2954</v>
      </c>
      <c r="F32" t="s">
        <v>2953</v>
      </c>
      <c r="G32">
        <v>10.5</v>
      </c>
      <c r="K32" t="s">
        <v>2959</v>
      </c>
      <c r="L32">
        <v>712783414</v>
      </c>
    </row>
    <row r="33" spans="1:12">
      <c r="A33">
        <v>18589</v>
      </c>
      <c r="B33" t="s">
        <v>574</v>
      </c>
      <c r="D33" t="s">
        <v>1</v>
      </c>
      <c r="E33" t="s">
        <v>2954</v>
      </c>
      <c r="F33" t="s">
        <v>2953</v>
      </c>
      <c r="G33">
        <v>10.5</v>
      </c>
      <c r="K33" t="s">
        <v>2959</v>
      </c>
      <c r="L33">
        <v>1075184611</v>
      </c>
    </row>
    <row r="34" spans="1:12">
      <c r="A34">
        <v>18589</v>
      </c>
      <c r="B34" t="s">
        <v>574</v>
      </c>
      <c r="D34" t="s">
        <v>2</v>
      </c>
      <c r="E34" t="s">
        <v>2956</v>
      </c>
      <c r="F34" t="s">
        <v>2953</v>
      </c>
      <c r="G34">
        <v>0.1</v>
      </c>
      <c r="K34" t="s">
        <v>2959</v>
      </c>
      <c r="L34">
        <v>1075184611</v>
      </c>
    </row>
    <row r="35" spans="1:12">
      <c r="A35">
        <v>18607</v>
      </c>
      <c r="B35" t="s">
        <v>606</v>
      </c>
      <c r="D35" t="s">
        <v>1</v>
      </c>
      <c r="E35" t="s">
        <v>2954</v>
      </c>
      <c r="F35" t="s">
        <v>2953</v>
      </c>
      <c r="G35">
        <v>10.5</v>
      </c>
      <c r="K35" t="s">
        <v>2955</v>
      </c>
      <c r="L35">
        <v>115652034</v>
      </c>
    </row>
    <row r="36" spans="1:12">
      <c r="A36">
        <v>18607</v>
      </c>
      <c r="B36" t="s">
        <v>606</v>
      </c>
      <c r="D36" t="s">
        <v>2</v>
      </c>
      <c r="E36" t="s">
        <v>2956</v>
      </c>
      <c r="F36" t="s">
        <v>2953</v>
      </c>
      <c r="G36">
        <v>0.1</v>
      </c>
      <c r="K36" t="s">
        <v>2955</v>
      </c>
      <c r="L36">
        <v>115652034</v>
      </c>
    </row>
    <row r="37" spans="1:12">
      <c r="A37">
        <v>18619</v>
      </c>
      <c r="B37" t="s">
        <v>632</v>
      </c>
      <c r="D37" t="s">
        <v>1</v>
      </c>
      <c r="E37" t="s">
        <v>2954</v>
      </c>
      <c r="F37" t="s">
        <v>2953</v>
      </c>
      <c r="G37">
        <v>10.5</v>
      </c>
      <c r="K37" t="s">
        <v>2959</v>
      </c>
      <c r="L37">
        <v>1074243822</v>
      </c>
    </row>
    <row r="38" spans="1:12">
      <c r="A38">
        <v>18626</v>
      </c>
      <c r="B38" t="s">
        <v>649</v>
      </c>
      <c r="D38" t="s">
        <v>1</v>
      </c>
      <c r="E38" t="s">
        <v>2954</v>
      </c>
      <c r="F38" t="s">
        <v>2953</v>
      </c>
      <c r="G38">
        <v>10.5</v>
      </c>
      <c r="K38" t="s">
        <v>2955</v>
      </c>
      <c r="L38">
        <v>115752396</v>
      </c>
    </row>
    <row r="39" spans="1:12">
      <c r="A39">
        <v>18630</v>
      </c>
      <c r="B39" t="s">
        <v>664</v>
      </c>
      <c r="D39" t="s">
        <v>1</v>
      </c>
      <c r="E39" t="s">
        <v>2954</v>
      </c>
      <c r="F39" t="s">
        <v>2953</v>
      </c>
      <c r="G39">
        <v>10.5</v>
      </c>
      <c r="K39" t="s">
        <v>2955</v>
      </c>
      <c r="L39">
        <v>115744948</v>
      </c>
    </row>
    <row r="40" spans="1:12">
      <c r="A40">
        <v>18630</v>
      </c>
      <c r="B40" t="s">
        <v>664</v>
      </c>
      <c r="D40" t="s">
        <v>2</v>
      </c>
      <c r="E40" t="s">
        <v>2956</v>
      </c>
      <c r="F40" t="s">
        <v>2953</v>
      </c>
      <c r="G40">
        <v>0.1</v>
      </c>
      <c r="K40" t="s">
        <v>2955</v>
      </c>
      <c r="L40">
        <v>115744948</v>
      </c>
    </row>
    <row r="41" spans="1:12">
      <c r="A41">
        <v>18631</v>
      </c>
      <c r="B41" t="s">
        <v>674</v>
      </c>
      <c r="D41" t="s">
        <v>1</v>
      </c>
      <c r="E41" t="s">
        <v>2954</v>
      </c>
      <c r="F41" t="s">
        <v>2953</v>
      </c>
      <c r="G41">
        <v>10.5</v>
      </c>
      <c r="K41" t="s">
        <v>2955</v>
      </c>
      <c r="L41">
        <v>115777815</v>
      </c>
    </row>
    <row r="42" spans="1:12">
      <c r="A42">
        <v>18631</v>
      </c>
      <c r="B42" t="s">
        <v>674</v>
      </c>
      <c r="D42" t="s">
        <v>2</v>
      </c>
      <c r="E42" t="s">
        <v>2956</v>
      </c>
      <c r="F42" t="s">
        <v>2953</v>
      </c>
      <c r="G42">
        <v>0.1</v>
      </c>
      <c r="K42" t="s">
        <v>2955</v>
      </c>
      <c r="L42">
        <v>115777815</v>
      </c>
    </row>
    <row r="43" spans="1:12">
      <c r="A43">
        <v>18634</v>
      </c>
      <c r="B43" t="s">
        <v>680</v>
      </c>
      <c r="D43" t="s">
        <v>1</v>
      </c>
      <c r="E43" t="s">
        <v>2954</v>
      </c>
      <c r="F43" t="s">
        <v>2953</v>
      </c>
      <c r="G43">
        <v>10.5</v>
      </c>
      <c r="K43" t="s">
        <v>2959</v>
      </c>
      <c r="L43">
        <v>1074681635</v>
      </c>
    </row>
    <row r="44" spans="1:12">
      <c r="A44">
        <v>18634</v>
      </c>
      <c r="B44" t="s">
        <v>680</v>
      </c>
      <c r="D44" t="s">
        <v>2</v>
      </c>
      <c r="E44" t="s">
        <v>2956</v>
      </c>
      <c r="F44" t="s">
        <v>2953</v>
      </c>
      <c r="G44">
        <v>0.1</v>
      </c>
      <c r="K44" t="s">
        <v>2959</v>
      </c>
      <c r="L44">
        <v>1074681635</v>
      </c>
    </row>
    <row r="45" spans="1:12">
      <c r="A45">
        <v>18646</v>
      </c>
      <c r="B45" t="s">
        <v>697</v>
      </c>
      <c r="D45" t="s">
        <v>1</v>
      </c>
      <c r="E45" t="s">
        <v>2954</v>
      </c>
      <c r="F45" t="s">
        <v>2953</v>
      </c>
      <c r="G45">
        <v>10.5</v>
      </c>
      <c r="K45" t="s">
        <v>2955</v>
      </c>
      <c r="L45">
        <v>115806283</v>
      </c>
    </row>
    <row r="46" spans="1:12">
      <c r="A46">
        <v>18646</v>
      </c>
      <c r="B46" t="s">
        <v>697</v>
      </c>
      <c r="D46" t="s">
        <v>2</v>
      </c>
      <c r="E46" t="s">
        <v>2956</v>
      </c>
      <c r="F46" t="s">
        <v>2953</v>
      </c>
      <c r="G46">
        <v>0.1</v>
      </c>
      <c r="K46" t="s">
        <v>2955</v>
      </c>
      <c r="L46">
        <v>115806283</v>
      </c>
    </row>
    <row r="47" spans="1:12">
      <c r="A47">
        <v>18647</v>
      </c>
      <c r="B47" t="s">
        <v>707</v>
      </c>
      <c r="D47" t="s">
        <v>1</v>
      </c>
      <c r="E47" t="s">
        <v>2954</v>
      </c>
      <c r="F47" t="s">
        <v>2953</v>
      </c>
      <c r="G47">
        <v>10.5</v>
      </c>
      <c r="K47">
        <v>60905115063003</v>
      </c>
      <c r="L47">
        <v>902533100</v>
      </c>
    </row>
    <row r="48" spans="1:12">
      <c r="A48">
        <v>18649</v>
      </c>
      <c r="B48" t="s">
        <v>716</v>
      </c>
      <c r="D48" t="s">
        <v>1</v>
      </c>
      <c r="E48" t="s">
        <v>2954</v>
      </c>
      <c r="F48" t="s">
        <v>2953</v>
      </c>
      <c r="G48">
        <v>10.5</v>
      </c>
      <c r="K48">
        <v>60905115063003</v>
      </c>
      <c r="L48">
        <v>702623608</v>
      </c>
    </row>
    <row r="49" spans="1:12">
      <c r="A49">
        <v>18650</v>
      </c>
      <c r="B49" t="s">
        <v>723</v>
      </c>
      <c r="D49" t="s">
        <v>1</v>
      </c>
      <c r="E49" t="s">
        <v>2954</v>
      </c>
      <c r="F49" t="s">
        <v>2953</v>
      </c>
      <c r="G49">
        <v>10.5</v>
      </c>
      <c r="K49">
        <v>60905115063003</v>
      </c>
      <c r="L49">
        <v>900932405</v>
      </c>
    </row>
    <row r="50" spans="1:12">
      <c r="A50">
        <v>18650</v>
      </c>
      <c r="B50" t="s">
        <v>723</v>
      </c>
      <c r="D50" t="s">
        <v>2</v>
      </c>
      <c r="E50" t="s">
        <v>2956</v>
      </c>
      <c r="F50" t="s">
        <v>2953</v>
      </c>
      <c r="G50">
        <v>0.1</v>
      </c>
      <c r="K50">
        <v>60905115063003</v>
      </c>
      <c r="L50">
        <v>900932405</v>
      </c>
    </row>
    <row r="51" spans="1:12">
      <c r="A51">
        <v>18659</v>
      </c>
      <c r="B51" t="s">
        <v>738</v>
      </c>
      <c r="D51" t="s">
        <v>1</v>
      </c>
      <c r="E51" t="s">
        <v>2954</v>
      </c>
      <c r="F51" t="s">
        <v>2953</v>
      </c>
      <c r="G51">
        <v>10.5</v>
      </c>
      <c r="K51">
        <v>60905115063003</v>
      </c>
      <c r="L51">
        <v>702128021</v>
      </c>
    </row>
    <row r="52" spans="1:12">
      <c r="A52">
        <v>18659</v>
      </c>
      <c r="B52" t="s">
        <v>738</v>
      </c>
      <c r="D52" t="s">
        <v>2</v>
      </c>
      <c r="E52" t="s">
        <v>2956</v>
      </c>
      <c r="F52" t="s">
        <v>2953</v>
      </c>
      <c r="G52">
        <v>0.1</v>
      </c>
      <c r="K52">
        <v>60905115063003</v>
      </c>
      <c r="L52">
        <v>702128021</v>
      </c>
    </row>
    <row r="53" spans="1:12">
      <c r="A53">
        <v>18679</v>
      </c>
      <c r="B53" t="s">
        <v>759</v>
      </c>
      <c r="D53" t="s">
        <v>1</v>
      </c>
      <c r="E53" t="s">
        <v>2954</v>
      </c>
      <c r="F53" t="s">
        <v>2953</v>
      </c>
      <c r="G53">
        <v>10.5</v>
      </c>
      <c r="K53" t="s">
        <v>2965</v>
      </c>
      <c r="L53">
        <v>13931540</v>
      </c>
    </row>
    <row r="54" spans="1:12">
      <c r="A54">
        <v>18679</v>
      </c>
      <c r="B54" t="s">
        <v>759</v>
      </c>
      <c r="D54" t="s">
        <v>2</v>
      </c>
      <c r="E54" t="s">
        <v>2956</v>
      </c>
      <c r="F54" t="s">
        <v>2953</v>
      </c>
      <c r="G54">
        <v>0.1</v>
      </c>
      <c r="K54" t="s">
        <v>2965</v>
      </c>
      <c r="L54">
        <v>13931540</v>
      </c>
    </row>
    <row r="55" spans="1:12">
      <c r="A55">
        <v>18687</v>
      </c>
      <c r="B55" t="s">
        <v>778</v>
      </c>
      <c r="D55" t="s">
        <v>1</v>
      </c>
      <c r="E55" t="s">
        <v>2954</v>
      </c>
      <c r="F55" t="s">
        <v>2953</v>
      </c>
      <c r="G55">
        <v>10.5</v>
      </c>
      <c r="K55" t="s">
        <v>2955</v>
      </c>
      <c r="L55">
        <v>115911539</v>
      </c>
    </row>
    <row r="56" spans="1:12">
      <c r="A56">
        <v>18687</v>
      </c>
      <c r="B56" t="s">
        <v>778</v>
      </c>
      <c r="D56" t="s">
        <v>2</v>
      </c>
      <c r="E56" t="s">
        <v>2956</v>
      </c>
      <c r="F56" t="s">
        <v>2953</v>
      </c>
      <c r="G56">
        <v>0.1</v>
      </c>
      <c r="K56" t="s">
        <v>2955</v>
      </c>
      <c r="L56">
        <v>115911539</v>
      </c>
    </row>
    <row r="57" spans="1:12">
      <c r="A57">
        <v>18703</v>
      </c>
      <c r="B57" t="s">
        <v>832</v>
      </c>
      <c r="D57" t="s">
        <v>1</v>
      </c>
      <c r="E57" t="s">
        <v>2954</v>
      </c>
      <c r="F57" t="s">
        <v>2953</v>
      </c>
      <c r="G57">
        <v>10.5</v>
      </c>
      <c r="K57" t="s">
        <v>2955</v>
      </c>
      <c r="L57">
        <v>116020876</v>
      </c>
    </row>
    <row r="58" spans="1:12">
      <c r="A58">
        <v>18703</v>
      </c>
      <c r="B58" t="s">
        <v>832</v>
      </c>
      <c r="D58" t="s">
        <v>2</v>
      </c>
      <c r="E58" t="s">
        <v>2956</v>
      </c>
      <c r="F58" t="s">
        <v>2953</v>
      </c>
      <c r="G58">
        <v>0.1</v>
      </c>
      <c r="K58" t="s">
        <v>2955</v>
      </c>
      <c r="L58">
        <v>116020876</v>
      </c>
    </row>
    <row r="59" spans="1:12">
      <c r="A59">
        <v>18713</v>
      </c>
      <c r="B59" t="s">
        <v>857</v>
      </c>
      <c r="D59" t="s">
        <v>1</v>
      </c>
      <c r="E59" t="s">
        <v>2954</v>
      </c>
      <c r="F59" t="s">
        <v>2953</v>
      </c>
      <c r="G59">
        <v>10.5</v>
      </c>
      <c r="K59">
        <v>60905115063003</v>
      </c>
      <c r="L59">
        <v>700331513</v>
      </c>
    </row>
    <row r="60" spans="1:12">
      <c r="A60">
        <v>18716</v>
      </c>
      <c r="B60" t="s">
        <v>875</v>
      </c>
      <c r="D60" t="s">
        <v>1</v>
      </c>
      <c r="E60" t="s">
        <v>2954</v>
      </c>
      <c r="F60" t="s">
        <v>2953</v>
      </c>
      <c r="G60">
        <v>10.5</v>
      </c>
      <c r="K60">
        <v>68964712340010</v>
      </c>
      <c r="L60">
        <v>705426</v>
      </c>
    </row>
    <row r="61" spans="1:12">
      <c r="A61">
        <v>18721</v>
      </c>
      <c r="B61" t="s">
        <v>898</v>
      </c>
      <c r="D61" t="s">
        <v>1</v>
      </c>
      <c r="E61" t="s">
        <v>2954</v>
      </c>
      <c r="F61" t="s">
        <v>2953</v>
      </c>
      <c r="G61">
        <v>10.5</v>
      </c>
      <c r="K61" t="s">
        <v>2959</v>
      </c>
      <c r="L61">
        <v>8295591</v>
      </c>
    </row>
    <row r="62" spans="1:12">
      <c r="A62">
        <v>18733</v>
      </c>
      <c r="B62" t="s">
        <v>956</v>
      </c>
      <c r="D62" t="s">
        <v>1</v>
      </c>
      <c r="E62" t="s">
        <v>2954</v>
      </c>
      <c r="F62" t="s">
        <v>2953</v>
      </c>
      <c r="G62">
        <v>10.5</v>
      </c>
      <c r="K62" t="s">
        <v>2955</v>
      </c>
      <c r="L62">
        <v>116143827</v>
      </c>
    </row>
    <row r="63" spans="1:12">
      <c r="A63">
        <v>18733</v>
      </c>
      <c r="B63" t="s">
        <v>956</v>
      </c>
      <c r="D63" t="s">
        <v>2</v>
      </c>
      <c r="E63" t="s">
        <v>2956</v>
      </c>
      <c r="F63" t="s">
        <v>2953</v>
      </c>
      <c r="G63">
        <v>0.1</v>
      </c>
      <c r="K63" t="s">
        <v>2955</v>
      </c>
      <c r="L63">
        <v>116143827</v>
      </c>
    </row>
    <row r="64" spans="1:12">
      <c r="A64">
        <v>18736</v>
      </c>
      <c r="B64" t="s">
        <v>971</v>
      </c>
      <c r="D64" t="s">
        <v>1</v>
      </c>
      <c r="E64" t="s">
        <v>2954</v>
      </c>
      <c r="F64" t="s">
        <v>2953</v>
      </c>
      <c r="G64">
        <v>10.5</v>
      </c>
      <c r="K64" t="s">
        <v>2959</v>
      </c>
      <c r="L64">
        <v>1074642433</v>
      </c>
    </row>
    <row r="65" spans="1:12">
      <c r="A65">
        <v>18736</v>
      </c>
      <c r="B65" t="s">
        <v>971</v>
      </c>
      <c r="D65" t="s">
        <v>2</v>
      </c>
      <c r="E65" t="s">
        <v>2956</v>
      </c>
      <c r="F65" t="s">
        <v>2953</v>
      </c>
      <c r="G65">
        <v>0.1</v>
      </c>
      <c r="K65" t="s">
        <v>2959</v>
      </c>
      <c r="L65">
        <v>1074642433</v>
      </c>
    </row>
    <row r="66" spans="1:12">
      <c r="A66">
        <v>18741</v>
      </c>
      <c r="B66" t="s">
        <v>998</v>
      </c>
      <c r="D66" t="s">
        <v>1</v>
      </c>
      <c r="E66" t="s">
        <v>2954</v>
      </c>
      <c r="F66" t="s">
        <v>2953</v>
      </c>
      <c r="G66">
        <v>10.5</v>
      </c>
      <c r="K66" t="s">
        <v>2955</v>
      </c>
      <c r="L66">
        <v>116199076</v>
      </c>
    </row>
    <row r="67" spans="1:12">
      <c r="A67">
        <v>18781</v>
      </c>
      <c r="B67" t="s">
        <v>1133</v>
      </c>
      <c r="D67" t="s">
        <v>1</v>
      </c>
      <c r="E67" t="s">
        <v>2954</v>
      </c>
      <c r="F67" t="s">
        <v>2953</v>
      </c>
      <c r="G67">
        <v>10.5</v>
      </c>
      <c r="K67" t="s">
        <v>2955</v>
      </c>
      <c r="L67">
        <v>116309733</v>
      </c>
    </row>
    <row r="68" spans="1:12">
      <c r="A68">
        <v>18781</v>
      </c>
      <c r="B68" t="s">
        <v>1133</v>
      </c>
      <c r="D68" t="s">
        <v>2</v>
      </c>
      <c r="E68" t="s">
        <v>2956</v>
      </c>
      <c r="F68" t="s">
        <v>2953</v>
      </c>
      <c r="G68">
        <v>0.1</v>
      </c>
      <c r="K68" t="s">
        <v>2955</v>
      </c>
      <c r="L68">
        <v>116309733</v>
      </c>
    </row>
    <row r="69" spans="1:12">
      <c r="A69">
        <v>18792</v>
      </c>
      <c r="B69" t="s">
        <v>1195</v>
      </c>
      <c r="D69" t="s">
        <v>1</v>
      </c>
      <c r="E69" t="s">
        <v>2954</v>
      </c>
      <c r="F69" t="s">
        <v>2953</v>
      </c>
      <c r="G69">
        <v>10.5</v>
      </c>
      <c r="K69" t="s">
        <v>2955</v>
      </c>
      <c r="L69">
        <v>116375478</v>
      </c>
    </row>
    <row r="70" spans="1:12">
      <c r="A70">
        <v>18792</v>
      </c>
      <c r="B70" t="s">
        <v>1195</v>
      </c>
      <c r="D70" t="s">
        <v>2</v>
      </c>
      <c r="E70" t="s">
        <v>2956</v>
      </c>
      <c r="F70" t="s">
        <v>2953</v>
      </c>
      <c r="G70">
        <v>0.1</v>
      </c>
      <c r="K70" t="s">
        <v>2955</v>
      </c>
      <c r="L70">
        <v>116375478</v>
      </c>
    </row>
    <row r="71" spans="1:12">
      <c r="A71">
        <v>18793</v>
      </c>
      <c r="B71" t="s">
        <v>1201</v>
      </c>
      <c r="D71" t="s">
        <v>1</v>
      </c>
      <c r="E71" t="s">
        <v>2954</v>
      </c>
      <c r="F71" t="s">
        <v>2953</v>
      </c>
      <c r="G71">
        <v>10.5</v>
      </c>
      <c r="K71">
        <v>37024873660000</v>
      </c>
      <c r="L71">
        <v>25449</v>
      </c>
    </row>
    <row r="72" spans="1:12">
      <c r="A72">
        <v>18793</v>
      </c>
      <c r="B72" t="s">
        <v>1201</v>
      </c>
      <c r="D72" t="s">
        <v>2</v>
      </c>
      <c r="E72" t="s">
        <v>2956</v>
      </c>
      <c r="F72" t="s">
        <v>2953</v>
      </c>
      <c r="G72">
        <v>0.1</v>
      </c>
      <c r="K72">
        <v>37024873660000</v>
      </c>
      <c r="L72">
        <v>25449</v>
      </c>
    </row>
    <row r="73" spans="1:12">
      <c r="A73">
        <v>18797</v>
      </c>
      <c r="B73" t="s">
        <v>1228</v>
      </c>
      <c r="D73" t="s">
        <v>1</v>
      </c>
      <c r="E73" t="s">
        <v>2954</v>
      </c>
      <c r="F73" t="s">
        <v>2953</v>
      </c>
      <c r="G73">
        <v>10.5</v>
      </c>
      <c r="K73" t="s">
        <v>2955</v>
      </c>
      <c r="L73">
        <v>116402439</v>
      </c>
    </row>
    <row r="74" spans="1:12">
      <c r="A74">
        <v>18797</v>
      </c>
      <c r="B74" t="s">
        <v>1228</v>
      </c>
      <c r="D74" t="s">
        <v>2</v>
      </c>
      <c r="E74" t="s">
        <v>2956</v>
      </c>
      <c r="F74" t="s">
        <v>2953</v>
      </c>
      <c r="G74">
        <v>0.1</v>
      </c>
      <c r="K74" t="s">
        <v>2955</v>
      </c>
      <c r="L74">
        <v>116402439</v>
      </c>
    </row>
    <row r="75" spans="1:12">
      <c r="A75">
        <v>18805</v>
      </c>
      <c r="B75" t="s">
        <v>1271</v>
      </c>
      <c r="D75" t="s">
        <v>1</v>
      </c>
      <c r="E75" t="s">
        <v>2954</v>
      </c>
      <c r="F75" t="s">
        <v>2953</v>
      </c>
      <c r="G75">
        <v>10.5</v>
      </c>
      <c r="K75" t="s">
        <v>2966</v>
      </c>
      <c r="L75">
        <v>710224156</v>
      </c>
    </row>
    <row r="76" spans="1:12">
      <c r="A76">
        <v>18822</v>
      </c>
      <c r="B76" t="s">
        <v>1381</v>
      </c>
      <c r="D76" t="s">
        <v>1</v>
      </c>
      <c r="E76" t="s">
        <v>2954</v>
      </c>
      <c r="F76" t="s">
        <v>2953</v>
      </c>
      <c r="G76">
        <v>10.5</v>
      </c>
      <c r="K76" t="s">
        <v>2955</v>
      </c>
      <c r="L76">
        <v>116519760</v>
      </c>
    </row>
    <row r="77" spans="1:12">
      <c r="A77">
        <v>18822</v>
      </c>
      <c r="B77" t="s">
        <v>1381</v>
      </c>
      <c r="D77" t="s">
        <v>2</v>
      </c>
      <c r="E77" t="s">
        <v>2956</v>
      </c>
      <c r="F77" t="s">
        <v>2953</v>
      </c>
      <c r="G77">
        <v>0.1</v>
      </c>
      <c r="K77" t="s">
        <v>2955</v>
      </c>
      <c r="L77">
        <v>116519760</v>
      </c>
    </row>
    <row r="78" spans="1:12">
      <c r="A78">
        <v>18823</v>
      </c>
      <c r="B78" t="s">
        <v>1387</v>
      </c>
      <c r="D78" t="s">
        <v>1</v>
      </c>
      <c r="E78" t="s">
        <v>2954</v>
      </c>
      <c r="F78" t="s">
        <v>2953</v>
      </c>
      <c r="G78">
        <v>10.5</v>
      </c>
      <c r="K78" t="s">
        <v>2959</v>
      </c>
      <c r="L78">
        <v>712789639</v>
      </c>
    </row>
    <row r="79" spans="1:12">
      <c r="A79">
        <v>18823</v>
      </c>
      <c r="B79" t="s">
        <v>1387</v>
      </c>
      <c r="D79" t="s">
        <v>2</v>
      </c>
      <c r="E79" t="s">
        <v>2956</v>
      </c>
      <c r="F79" t="s">
        <v>2953</v>
      </c>
      <c r="G79">
        <v>0.1</v>
      </c>
      <c r="K79" t="s">
        <v>2959</v>
      </c>
      <c r="L79">
        <v>712789639</v>
      </c>
    </row>
    <row r="80" spans="1:12">
      <c r="A80">
        <v>18827</v>
      </c>
      <c r="B80" t="s">
        <v>1417</v>
      </c>
      <c r="D80" t="s">
        <v>1</v>
      </c>
      <c r="E80" t="s">
        <v>2954</v>
      </c>
      <c r="F80" t="s">
        <v>2953</v>
      </c>
      <c r="G80">
        <v>10.5</v>
      </c>
      <c r="K80">
        <v>29610601915001</v>
      </c>
      <c r="L80">
        <v>10854606</v>
      </c>
    </row>
    <row r="81" spans="1:12">
      <c r="A81">
        <v>18827</v>
      </c>
      <c r="B81" t="s">
        <v>1417</v>
      </c>
      <c r="D81" t="s">
        <v>2</v>
      </c>
      <c r="E81" t="s">
        <v>2956</v>
      </c>
      <c r="F81" t="s">
        <v>2953</v>
      </c>
      <c r="G81">
        <v>0.1</v>
      </c>
      <c r="K81">
        <v>29610601915001</v>
      </c>
      <c r="L81">
        <v>10854606</v>
      </c>
    </row>
    <row r="82" spans="1:12">
      <c r="A82">
        <v>18829</v>
      </c>
      <c r="B82" t="s">
        <v>1430</v>
      </c>
      <c r="D82" t="s">
        <v>1</v>
      </c>
      <c r="E82" t="s">
        <v>2954</v>
      </c>
      <c r="F82" t="s">
        <v>2953</v>
      </c>
      <c r="G82">
        <v>10.5</v>
      </c>
      <c r="K82" t="s">
        <v>2955</v>
      </c>
      <c r="L82">
        <v>116535477</v>
      </c>
    </row>
    <row r="83" spans="1:12">
      <c r="A83">
        <v>18829</v>
      </c>
      <c r="B83" t="s">
        <v>1430</v>
      </c>
      <c r="D83" t="s">
        <v>2</v>
      </c>
      <c r="E83" t="s">
        <v>2956</v>
      </c>
      <c r="F83" t="s">
        <v>2953</v>
      </c>
      <c r="G83">
        <v>0.1</v>
      </c>
      <c r="K83" t="s">
        <v>2955</v>
      </c>
      <c r="L83">
        <v>116535477</v>
      </c>
    </row>
    <row r="84" spans="1:12">
      <c r="A84">
        <v>18831</v>
      </c>
      <c r="B84" t="s">
        <v>1444</v>
      </c>
      <c r="D84" t="s">
        <v>1</v>
      </c>
      <c r="E84" t="s">
        <v>2954</v>
      </c>
      <c r="F84" t="s">
        <v>2953</v>
      </c>
      <c r="G84">
        <v>10.5</v>
      </c>
      <c r="K84" t="s">
        <v>2955</v>
      </c>
      <c r="L84">
        <v>116182072</v>
      </c>
    </row>
    <row r="85" spans="1:12">
      <c r="A85">
        <v>18831</v>
      </c>
      <c r="B85" t="s">
        <v>1444</v>
      </c>
      <c r="D85" t="s">
        <v>2</v>
      </c>
      <c r="E85" t="s">
        <v>2956</v>
      </c>
      <c r="F85" t="s">
        <v>2953</v>
      </c>
      <c r="G85">
        <v>0.1</v>
      </c>
      <c r="K85" t="s">
        <v>2955</v>
      </c>
      <c r="L85">
        <v>116182072</v>
      </c>
    </row>
    <row r="86" spans="1:12">
      <c r="A86">
        <v>18836</v>
      </c>
      <c r="B86" t="s">
        <v>1483</v>
      </c>
      <c r="D86" t="s">
        <v>1</v>
      </c>
      <c r="E86" t="s">
        <v>2954</v>
      </c>
      <c r="F86" t="s">
        <v>2953</v>
      </c>
      <c r="G86">
        <v>10.5</v>
      </c>
      <c r="K86" t="s">
        <v>2955</v>
      </c>
      <c r="L86">
        <v>114596703</v>
      </c>
    </row>
    <row r="87" spans="1:12">
      <c r="A87">
        <v>18839</v>
      </c>
      <c r="B87" t="s">
        <v>1504</v>
      </c>
      <c r="D87" t="s">
        <v>1</v>
      </c>
      <c r="E87" t="s">
        <v>2954</v>
      </c>
      <c r="F87" t="s">
        <v>2953</v>
      </c>
      <c r="G87">
        <v>10.5</v>
      </c>
      <c r="K87" t="s">
        <v>2965</v>
      </c>
      <c r="L87">
        <v>15023704</v>
      </c>
    </row>
    <row r="88" spans="1:12">
      <c r="A88">
        <v>18839</v>
      </c>
      <c r="B88" t="s">
        <v>1504</v>
      </c>
      <c r="D88" t="s">
        <v>2</v>
      </c>
      <c r="E88" t="s">
        <v>2956</v>
      </c>
      <c r="F88" t="s">
        <v>2953</v>
      </c>
      <c r="G88">
        <v>0.1</v>
      </c>
      <c r="K88" t="s">
        <v>2965</v>
      </c>
      <c r="L88">
        <v>15023704</v>
      </c>
    </row>
    <row r="89" spans="1:12">
      <c r="A89">
        <v>18841</v>
      </c>
      <c r="B89" t="s">
        <v>1518</v>
      </c>
      <c r="D89" t="s">
        <v>1</v>
      </c>
      <c r="E89" t="s">
        <v>2954</v>
      </c>
      <c r="F89" t="s">
        <v>2953</v>
      </c>
      <c r="G89">
        <v>10.5</v>
      </c>
      <c r="K89" t="s">
        <v>2967</v>
      </c>
      <c r="L89">
        <v>16171026</v>
      </c>
    </row>
    <row r="90" spans="1:12">
      <c r="A90">
        <v>18850</v>
      </c>
      <c r="B90" t="s">
        <v>1575</v>
      </c>
      <c r="D90" t="s">
        <v>1</v>
      </c>
      <c r="E90" t="s">
        <v>2954</v>
      </c>
      <c r="F90" t="s">
        <v>2953</v>
      </c>
      <c r="G90">
        <v>10.5</v>
      </c>
      <c r="K90" t="s">
        <v>2955</v>
      </c>
      <c r="L90">
        <v>116701699</v>
      </c>
    </row>
    <row r="91" spans="1:12">
      <c r="A91">
        <v>18850</v>
      </c>
      <c r="B91" t="s">
        <v>1575</v>
      </c>
      <c r="D91" t="s">
        <v>2</v>
      </c>
      <c r="E91" t="s">
        <v>2956</v>
      </c>
      <c r="F91" t="s">
        <v>2953</v>
      </c>
      <c r="G91">
        <v>0.1</v>
      </c>
      <c r="K91" t="s">
        <v>2955</v>
      </c>
      <c r="L91">
        <v>116701699</v>
      </c>
    </row>
    <row r="92" spans="1:12">
      <c r="A92">
        <v>18853</v>
      </c>
      <c r="B92" t="s">
        <v>1596</v>
      </c>
      <c r="D92" t="s">
        <v>1</v>
      </c>
      <c r="E92" t="s">
        <v>2954</v>
      </c>
      <c r="F92" t="s">
        <v>2953</v>
      </c>
      <c r="G92">
        <v>10.5</v>
      </c>
      <c r="K92" t="s">
        <v>2968</v>
      </c>
      <c r="L92">
        <v>12013242821768</v>
      </c>
    </row>
    <row r="93" spans="1:12">
      <c r="A93">
        <v>18858</v>
      </c>
      <c r="B93" t="s">
        <v>1629</v>
      </c>
      <c r="D93" t="s">
        <v>1</v>
      </c>
      <c r="E93" t="s">
        <v>2954</v>
      </c>
      <c r="F93" t="s">
        <v>2953</v>
      </c>
      <c r="G93">
        <v>10.5</v>
      </c>
      <c r="K93" t="s">
        <v>2959</v>
      </c>
      <c r="L93">
        <v>1072406265</v>
      </c>
    </row>
    <row r="94" spans="1:12">
      <c r="A94">
        <v>18858</v>
      </c>
      <c r="B94" t="s">
        <v>1629</v>
      </c>
      <c r="D94" t="s">
        <v>2</v>
      </c>
      <c r="E94" t="s">
        <v>2956</v>
      </c>
      <c r="F94" t="s">
        <v>2953</v>
      </c>
      <c r="G94">
        <v>0.1</v>
      </c>
      <c r="K94" t="s">
        <v>2959</v>
      </c>
      <c r="L94">
        <v>1072406265</v>
      </c>
    </row>
    <row r="95" spans="1:12">
      <c r="A95">
        <v>18862</v>
      </c>
      <c r="B95" t="s">
        <v>1657</v>
      </c>
      <c r="D95" t="s">
        <v>1</v>
      </c>
      <c r="E95" t="s">
        <v>2954</v>
      </c>
      <c r="F95" t="s">
        <v>2953</v>
      </c>
      <c r="G95">
        <v>10.5</v>
      </c>
      <c r="K95">
        <v>60905115063003</v>
      </c>
      <c r="L95">
        <v>901890301</v>
      </c>
    </row>
    <row r="96" spans="1:12">
      <c r="A96">
        <v>18866</v>
      </c>
      <c r="B96" t="s">
        <v>1685</v>
      </c>
      <c r="D96" t="s">
        <v>1</v>
      </c>
      <c r="E96" t="s">
        <v>2954</v>
      </c>
      <c r="F96" t="s">
        <v>2953</v>
      </c>
      <c r="G96">
        <v>10.5</v>
      </c>
      <c r="K96">
        <v>60905115063003</v>
      </c>
      <c r="L96">
        <v>902153648</v>
      </c>
    </row>
    <row r="97" spans="1:12">
      <c r="A97">
        <v>18866</v>
      </c>
      <c r="B97" t="s">
        <v>1685</v>
      </c>
      <c r="D97" t="s">
        <v>2</v>
      </c>
      <c r="E97" t="s">
        <v>2956</v>
      </c>
      <c r="F97" t="s">
        <v>2953</v>
      </c>
      <c r="G97">
        <v>0.1</v>
      </c>
      <c r="K97">
        <v>60905115063003</v>
      </c>
      <c r="L97">
        <v>902153648</v>
      </c>
    </row>
    <row r="98" spans="1:12">
      <c r="A98">
        <v>18871</v>
      </c>
      <c r="B98" t="s">
        <v>1720</v>
      </c>
      <c r="D98" t="s">
        <v>1</v>
      </c>
      <c r="E98" t="s">
        <v>2954</v>
      </c>
      <c r="F98" t="s">
        <v>2953</v>
      </c>
      <c r="G98">
        <v>10.5</v>
      </c>
      <c r="K98" t="s">
        <v>2965</v>
      </c>
      <c r="L98">
        <v>15078908</v>
      </c>
    </row>
    <row r="99" spans="1:12">
      <c r="A99">
        <v>18876</v>
      </c>
      <c r="B99" t="s">
        <v>1756</v>
      </c>
      <c r="D99" t="s">
        <v>1</v>
      </c>
      <c r="E99" t="s">
        <v>2954</v>
      </c>
      <c r="F99" t="s">
        <v>2953</v>
      </c>
      <c r="G99">
        <v>10.5</v>
      </c>
      <c r="K99" t="s">
        <v>2955</v>
      </c>
      <c r="L99">
        <v>116800020</v>
      </c>
    </row>
    <row r="100" spans="1:12">
      <c r="A100">
        <v>18879</v>
      </c>
      <c r="B100" t="s">
        <v>1778</v>
      </c>
      <c r="D100" t="s">
        <v>1</v>
      </c>
      <c r="E100" t="s">
        <v>2954</v>
      </c>
      <c r="F100" t="s">
        <v>2953</v>
      </c>
      <c r="G100">
        <v>10.5</v>
      </c>
      <c r="K100">
        <v>60905115063003</v>
      </c>
      <c r="L100">
        <v>901906277</v>
      </c>
    </row>
    <row r="101" spans="1:12">
      <c r="A101">
        <v>18879</v>
      </c>
      <c r="B101" t="s">
        <v>1778</v>
      </c>
      <c r="D101" t="s">
        <v>2</v>
      </c>
      <c r="E101" t="s">
        <v>2956</v>
      </c>
      <c r="F101" t="s">
        <v>2953</v>
      </c>
      <c r="G101">
        <v>0.1</v>
      </c>
      <c r="K101">
        <v>60905115063003</v>
      </c>
      <c r="L101">
        <v>901906277</v>
      </c>
    </row>
    <row r="102" spans="1:12">
      <c r="A102">
        <v>18886</v>
      </c>
      <c r="B102" t="s">
        <v>1831</v>
      </c>
      <c r="D102" t="s">
        <v>1</v>
      </c>
      <c r="E102" t="s">
        <v>2954</v>
      </c>
      <c r="F102" t="s">
        <v>2953</v>
      </c>
      <c r="G102">
        <v>10.5</v>
      </c>
      <c r="K102" t="s">
        <v>2969</v>
      </c>
      <c r="L102">
        <v>945164285</v>
      </c>
    </row>
    <row r="103" spans="1:12">
      <c r="A103">
        <v>18887</v>
      </c>
      <c r="B103" t="s">
        <v>1838</v>
      </c>
      <c r="D103" t="s">
        <v>1</v>
      </c>
      <c r="E103" t="s">
        <v>2954</v>
      </c>
      <c r="F103" t="s">
        <v>2953</v>
      </c>
      <c r="G103">
        <v>10.5</v>
      </c>
      <c r="K103" t="s">
        <v>2955</v>
      </c>
      <c r="L103">
        <v>116830647</v>
      </c>
    </row>
    <row r="104" spans="1:12">
      <c r="A104">
        <v>18887</v>
      </c>
      <c r="B104" t="s">
        <v>1838</v>
      </c>
      <c r="D104" t="s">
        <v>2</v>
      </c>
      <c r="E104" t="s">
        <v>2956</v>
      </c>
      <c r="F104" t="s">
        <v>2953</v>
      </c>
      <c r="G104">
        <v>0.1</v>
      </c>
      <c r="K104" t="s">
        <v>2955</v>
      </c>
      <c r="L104">
        <v>116830647</v>
      </c>
    </row>
    <row r="105" spans="1:12">
      <c r="A105">
        <v>18891</v>
      </c>
      <c r="B105" t="s">
        <v>1865</v>
      </c>
      <c r="D105" t="s">
        <v>1</v>
      </c>
      <c r="E105" t="s">
        <v>2954</v>
      </c>
      <c r="F105" t="s">
        <v>2953</v>
      </c>
      <c r="G105">
        <v>10.5</v>
      </c>
      <c r="K105" t="s">
        <v>2970</v>
      </c>
      <c r="L105">
        <v>100425280</v>
      </c>
    </row>
    <row r="106" spans="1:12">
      <c r="A106">
        <v>18891</v>
      </c>
      <c r="B106" t="s">
        <v>1865</v>
      </c>
      <c r="D106" t="s">
        <v>2</v>
      </c>
      <c r="E106" t="s">
        <v>2956</v>
      </c>
      <c r="F106" t="s">
        <v>2953</v>
      </c>
      <c r="G106">
        <v>0.1</v>
      </c>
      <c r="K106" t="s">
        <v>2970</v>
      </c>
      <c r="L106">
        <v>100425280</v>
      </c>
    </row>
    <row r="107" spans="1:12">
      <c r="A107">
        <v>18892</v>
      </c>
      <c r="B107" t="s">
        <v>1872</v>
      </c>
      <c r="D107" t="s">
        <v>1</v>
      </c>
      <c r="E107" t="s">
        <v>2954</v>
      </c>
      <c r="F107" t="s">
        <v>2953</v>
      </c>
      <c r="G107">
        <v>10.5</v>
      </c>
      <c r="K107" t="s">
        <v>2955</v>
      </c>
      <c r="L107">
        <v>116919200</v>
      </c>
    </row>
    <row r="108" spans="1:12">
      <c r="A108">
        <v>18892</v>
      </c>
      <c r="B108" t="s">
        <v>1872</v>
      </c>
      <c r="D108" t="s">
        <v>2</v>
      </c>
      <c r="E108" t="s">
        <v>2956</v>
      </c>
      <c r="F108" t="s">
        <v>2953</v>
      </c>
      <c r="G108">
        <v>0.1</v>
      </c>
      <c r="K108" t="s">
        <v>2955</v>
      </c>
      <c r="L108">
        <v>116919200</v>
      </c>
    </row>
    <row r="109" spans="1:12">
      <c r="A109">
        <v>18893</v>
      </c>
      <c r="B109" t="s">
        <v>1879</v>
      </c>
      <c r="D109" t="s">
        <v>1</v>
      </c>
      <c r="E109" t="s">
        <v>2954</v>
      </c>
      <c r="F109" t="s">
        <v>2953</v>
      </c>
      <c r="G109">
        <v>10.5</v>
      </c>
      <c r="K109" t="s">
        <v>2966</v>
      </c>
      <c r="L109">
        <v>712408676</v>
      </c>
    </row>
    <row r="110" spans="1:12">
      <c r="A110">
        <v>18894</v>
      </c>
      <c r="B110" t="s">
        <v>1886</v>
      </c>
      <c r="D110" t="s">
        <v>1</v>
      </c>
      <c r="E110" t="s">
        <v>2954</v>
      </c>
      <c r="F110" t="s">
        <v>2953</v>
      </c>
      <c r="G110">
        <v>10.5</v>
      </c>
      <c r="K110" t="s">
        <v>2955</v>
      </c>
      <c r="L110">
        <v>116937095</v>
      </c>
    </row>
    <row r="111" spans="1:12">
      <c r="A111">
        <v>18894</v>
      </c>
      <c r="B111" t="s">
        <v>1886</v>
      </c>
      <c r="D111" t="s">
        <v>2</v>
      </c>
      <c r="E111" t="s">
        <v>2956</v>
      </c>
      <c r="F111" t="s">
        <v>2953</v>
      </c>
      <c r="G111">
        <v>0.1</v>
      </c>
      <c r="K111" t="s">
        <v>2955</v>
      </c>
      <c r="L111">
        <v>116937095</v>
      </c>
    </row>
    <row r="112" spans="1:12">
      <c r="A112">
        <v>18895</v>
      </c>
      <c r="B112" t="s">
        <v>1892</v>
      </c>
      <c r="D112" t="s">
        <v>1</v>
      </c>
      <c r="E112" t="s">
        <v>2954</v>
      </c>
      <c r="F112" t="s">
        <v>2953</v>
      </c>
      <c r="G112">
        <v>10.5</v>
      </c>
      <c r="K112" t="s">
        <v>2955</v>
      </c>
      <c r="L112">
        <v>116947557</v>
      </c>
    </row>
    <row r="113" spans="1:12">
      <c r="A113">
        <v>18895</v>
      </c>
      <c r="B113" t="s">
        <v>1892</v>
      </c>
      <c r="D113" t="s">
        <v>2</v>
      </c>
      <c r="E113" t="s">
        <v>2956</v>
      </c>
      <c r="F113" t="s">
        <v>2953</v>
      </c>
      <c r="G113">
        <v>0.1</v>
      </c>
      <c r="K113" t="s">
        <v>2955</v>
      </c>
      <c r="L113">
        <v>116947557</v>
      </c>
    </row>
    <row r="114" spans="1:12">
      <c r="A114">
        <v>18898</v>
      </c>
      <c r="B114" t="s">
        <v>1910</v>
      </c>
      <c r="D114" t="s">
        <v>1</v>
      </c>
      <c r="E114" t="s">
        <v>2954</v>
      </c>
      <c r="F114" t="s">
        <v>2953</v>
      </c>
      <c r="G114">
        <v>10.5</v>
      </c>
      <c r="K114" t="s">
        <v>2955</v>
      </c>
      <c r="L114">
        <v>117358747</v>
      </c>
    </row>
    <row r="115" spans="1:12">
      <c r="A115">
        <v>18898</v>
      </c>
      <c r="B115" t="s">
        <v>1910</v>
      </c>
      <c r="D115" t="s">
        <v>2</v>
      </c>
      <c r="E115" t="s">
        <v>2956</v>
      </c>
      <c r="F115" t="s">
        <v>2953</v>
      </c>
      <c r="G115">
        <v>0.1</v>
      </c>
      <c r="K115" t="s">
        <v>2955</v>
      </c>
      <c r="L115">
        <v>117358747</v>
      </c>
    </row>
    <row r="116" spans="1:12">
      <c r="A116">
        <v>18900</v>
      </c>
      <c r="B116" t="s">
        <v>1928</v>
      </c>
      <c r="D116" t="s">
        <v>1</v>
      </c>
      <c r="E116" t="s">
        <v>2954</v>
      </c>
      <c r="F116" t="s">
        <v>2953</v>
      </c>
      <c r="G116">
        <v>10.5</v>
      </c>
      <c r="K116" t="s">
        <v>2966</v>
      </c>
      <c r="L116">
        <v>132223853</v>
      </c>
    </row>
    <row r="117" spans="1:12">
      <c r="A117">
        <v>18900</v>
      </c>
      <c r="B117" t="s">
        <v>1928</v>
      </c>
      <c r="D117" t="s">
        <v>2</v>
      </c>
      <c r="E117" t="s">
        <v>2956</v>
      </c>
      <c r="F117" t="s">
        <v>2953</v>
      </c>
      <c r="G117">
        <v>0.1</v>
      </c>
      <c r="K117" t="s">
        <v>2966</v>
      </c>
      <c r="L117">
        <v>132223853</v>
      </c>
    </row>
    <row r="118" spans="1:12">
      <c r="A118">
        <v>18903</v>
      </c>
      <c r="B118" t="s">
        <v>1950</v>
      </c>
      <c r="D118" t="s">
        <v>1</v>
      </c>
      <c r="E118" t="s">
        <v>2954</v>
      </c>
      <c r="F118" t="s">
        <v>2953</v>
      </c>
      <c r="G118">
        <v>10.5</v>
      </c>
      <c r="K118" t="s">
        <v>2955</v>
      </c>
      <c r="L118">
        <v>117387738</v>
      </c>
    </row>
    <row r="119" spans="1:12">
      <c r="A119">
        <v>18903</v>
      </c>
      <c r="B119" t="s">
        <v>1950</v>
      </c>
      <c r="D119" t="s">
        <v>2</v>
      </c>
      <c r="E119" t="s">
        <v>2956</v>
      </c>
      <c r="F119" t="s">
        <v>2953</v>
      </c>
      <c r="G119">
        <v>0.1</v>
      </c>
      <c r="K119" t="s">
        <v>2955</v>
      </c>
      <c r="L119">
        <v>117387738</v>
      </c>
    </row>
    <row r="120" spans="1:12">
      <c r="A120">
        <v>18904</v>
      </c>
      <c r="B120" t="s">
        <v>1957</v>
      </c>
      <c r="D120" t="s">
        <v>1</v>
      </c>
      <c r="E120" t="s">
        <v>2954</v>
      </c>
      <c r="F120" t="s">
        <v>2953</v>
      </c>
      <c r="G120">
        <v>10.5</v>
      </c>
      <c r="K120">
        <v>11789425178001</v>
      </c>
      <c r="L120">
        <v>70625</v>
      </c>
    </row>
    <row r="121" spans="1:12">
      <c r="A121">
        <v>18904</v>
      </c>
      <c r="B121" t="s">
        <v>1957</v>
      </c>
      <c r="D121" t="s">
        <v>2</v>
      </c>
      <c r="E121" t="s">
        <v>2956</v>
      </c>
      <c r="F121" t="s">
        <v>2953</v>
      </c>
      <c r="G121">
        <v>0.1</v>
      </c>
      <c r="K121">
        <v>11789425178001</v>
      </c>
      <c r="L121">
        <v>70625</v>
      </c>
    </row>
    <row r="122" spans="1:12">
      <c r="A122">
        <v>18911</v>
      </c>
      <c r="B122" t="s">
        <v>2007</v>
      </c>
      <c r="D122" t="s">
        <v>1</v>
      </c>
      <c r="E122" t="s">
        <v>2954</v>
      </c>
      <c r="F122" t="s">
        <v>2953</v>
      </c>
      <c r="G122">
        <v>10.5</v>
      </c>
      <c r="K122" t="s">
        <v>2955</v>
      </c>
      <c r="L122">
        <v>117451849</v>
      </c>
    </row>
    <row r="123" spans="1:12">
      <c r="A123">
        <v>18911</v>
      </c>
      <c r="B123" t="s">
        <v>2007</v>
      </c>
      <c r="D123" t="s">
        <v>2</v>
      </c>
      <c r="E123" t="s">
        <v>2956</v>
      </c>
      <c r="F123" t="s">
        <v>2953</v>
      </c>
      <c r="G123">
        <v>0.1</v>
      </c>
      <c r="K123" t="s">
        <v>2955</v>
      </c>
      <c r="L123">
        <v>117451849</v>
      </c>
    </row>
    <row r="124" spans="1:12">
      <c r="A124">
        <v>18916</v>
      </c>
      <c r="B124" t="s">
        <v>2037</v>
      </c>
      <c r="D124" t="s">
        <v>1</v>
      </c>
      <c r="E124" t="s">
        <v>2954</v>
      </c>
      <c r="F124" t="s">
        <v>2953</v>
      </c>
      <c r="G124">
        <v>10.5</v>
      </c>
      <c r="K124">
        <v>91385943850001</v>
      </c>
      <c r="L124">
        <v>14419904</v>
      </c>
    </row>
    <row r="125" spans="1:12">
      <c r="A125">
        <v>18916</v>
      </c>
      <c r="B125" t="s">
        <v>2037</v>
      </c>
      <c r="D125" t="s">
        <v>2</v>
      </c>
      <c r="E125" t="s">
        <v>2956</v>
      </c>
      <c r="F125" t="s">
        <v>2953</v>
      </c>
      <c r="G125">
        <v>0.1</v>
      </c>
      <c r="K125">
        <v>91385943850001</v>
      </c>
      <c r="L125">
        <v>14419904</v>
      </c>
    </row>
    <row r="126" spans="1:12">
      <c r="A126">
        <v>18917</v>
      </c>
      <c r="B126" t="s">
        <v>2043</v>
      </c>
      <c r="D126" t="s">
        <v>1</v>
      </c>
      <c r="E126" t="s">
        <v>2954</v>
      </c>
      <c r="F126" t="s">
        <v>2953</v>
      </c>
      <c r="G126">
        <v>10.5</v>
      </c>
      <c r="K126">
        <v>11789425178001</v>
      </c>
      <c r="L126">
        <v>73636</v>
      </c>
    </row>
    <row r="127" spans="1:12">
      <c r="A127">
        <v>18917</v>
      </c>
      <c r="B127" t="s">
        <v>2043</v>
      </c>
      <c r="D127" t="s">
        <v>2</v>
      </c>
      <c r="E127" t="s">
        <v>2956</v>
      </c>
      <c r="F127" t="s">
        <v>2953</v>
      </c>
      <c r="G127">
        <v>0.1</v>
      </c>
      <c r="K127">
        <v>11789425178001</v>
      </c>
      <c r="L127">
        <v>73636</v>
      </c>
    </row>
    <row r="128" spans="1:12">
      <c r="A128">
        <v>18918</v>
      </c>
      <c r="B128" t="s">
        <v>2050</v>
      </c>
      <c r="D128" t="s">
        <v>1</v>
      </c>
      <c r="E128" t="s">
        <v>2954</v>
      </c>
      <c r="F128" t="s">
        <v>2953</v>
      </c>
      <c r="G128">
        <v>10.5</v>
      </c>
      <c r="K128">
        <v>19905422981701</v>
      </c>
      <c r="L128" t="s">
        <v>2971</v>
      </c>
    </row>
    <row r="129" spans="1:12">
      <c r="A129">
        <v>18918</v>
      </c>
      <c r="B129" t="s">
        <v>2050</v>
      </c>
      <c r="D129" t="s">
        <v>2</v>
      </c>
      <c r="E129" t="s">
        <v>2956</v>
      </c>
      <c r="F129" t="s">
        <v>2953</v>
      </c>
      <c r="G129">
        <v>0.1</v>
      </c>
      <c r="K129">
        <v>19905422981701</v>
      </c>
      <c r="L129" t="s">
        <v>2971</v>
      </c>
    </row>
    <row r="130" spans="1:12">
      <c r="A130">
        <v>18920</v>
      </c>
      <c r="B130" t="s">
        <v>2063</v>
      </c>
      <c r="D130" t="s">
        <v>1</v>
      </c>
      <c r="E130" t="s">
        <v>2954</v>
      </c>
      <c r="F130" t="s">
        <v>2953</v>
      </c>
      <c r="G130">
        <v>10.5</v>
      </c>
      <c r="K130" t="s">
        <v>2959</v>
      </c>
      <c r="L130">
        <v>1072119856</v>
      </c>
    </row>
    <row r="131" spans="1:12">
      <c r="A131">
        <v>18923</v>
      </c>
      <c r="B131" t="s">
        <v>2086</v>
      </c>
      <c r="D131" t="s">
        <v>1</v>
      </c>
      <c r="E131" t="s">
        <v>2954</v>
      </c>
      <c r="F131" t="s">
        <v>2953</v>
      </c>
      <c r="G131">
        <v>10.5</v>
      </c>
      <c r="K131" t="s">
        <v>2955</v>
      </c>
      <c r="L131">
        <v>117841031</v>
      </c>
    </row>
    <row r="132" spans="1:12">
      <c r="A132">
        <v>18923</v>
      </c>
      <c r="B132" t="s">
        <v>2086</v>
      </c>
      <c r="D132" t="s">
        <v>2</v>
      </c>
      <c r="E132" t="s">
        <v>2956</v>
      </c>
      <c r="F132" t="s">
        <v>2953</v>
      </c>
      <c r="G132">
        <v>0.1</v>
      </c>
      <c r="K132" t="s">
        <v>2955</v>
      </c>
      <c r="L132">
        <v>117841031</v>
      </c>
    </row>
    <row r="133" spans="1:12">
      <c r="A133">
        <v>18924</v>
      </c>
      <c r="B133" t="s">
        <v>2092</v>
      </c>
      <c r="D133" t="s">
        <v>1</v>
      </c>
      <c r="E133" t="s">
        <v>2954</v>
      </c>
      <c r="F133" t="s">
        <v>2953</v>
      </c>
      <c r="G133">
        <v>10.5</v>
      </c>
      <c r="K133" t="s">
        <v>2955</v>
      </c>
      <c r="L133">
        <v>117846287</v>
      </c>
    </row>
    <row r="134" spans="1:12">
      <c r="A134">
        <v>18924</v>
      </c>
      <c r="B134" t="s">
        <v>2092</v>
      </c>
      <c r="D134" t="s">
        <v>2</v>
      </c>
      <c r="E134" t="s">
        <v>2956</v>
      </c>
      <c r="F134" t="s">
        <v>2953</v>
      </c>
      <c r="G134">
        <v>0.1</v>
      </c>
      <c r="K134" t="s">
        <v>2955</v>
      </c>
      <c r="L134">
        <v>117846287</v>
      </c>
    </row>
    <row r="135" spans="1:12">
      <c r="A135">
        <v>18929</v>
      </c>
      <c r="B135" t="s">
        <v>2131</v>
      </c>
      <c r="D135" t="s">
        <v>1</v>
      </c>
      <c r="E135" t="s">
        <v>2954</v>
      </c>
      <c r="F135" t="s">
        <v>2953</v>
      </c>
      <c r="G135">
        <v>10.5</v>
      </c>
      <c r="K135" t="s">
        <v>2955</v>
      </c>
      <c r="L135">
        <v>118007269</v>
      </c>
    </row>
    <row r="136" spans="1:12">
      <c r="A136">
        <v>18929</v>
      </c>
      <c r="B136" t="s">
        <v>2131</v>
      </c>
      <c r="D136" t="s">
        <v>2</v>
      </c>
      <c r="E136" t="s">
        <v>2956</v>
      </c>
      <c r="F136" t="s">
        <v>2953</v>
      </c>
      <c r="G136">
        <v>0.1</v>
      </c>
      <c r="K136" t="s">
        <v>2955</v>
      </c>
      <c r="L136">
        <v>118007269</v>
      </c>
    </row>
    <row r="137" spans="1:12">
      <c r="A137">
        <v>18932</v>
      </c>
      <c r="B137" t="s">
        <v>2152</v>
      </c>
      <c r="D137" t="s">
        <v>1</v>
      </c>
      <c r="E137" t="s">
        <v>2954</v>
      </c>
      <c r="F137" t="s">
        <v>2953</v>
      </c>
      <c r="G137">
        <v>10.5</v>
      </c>
      <c r="K137">
        <v>60905115063003</v>
      </c>
      <c r="L137">
        <v>902629466</v>
      </c>
    </row>
    <row r="138" spans="1:12">
      <c r="A138">
        <v>18932</v>
      </c>
      <c r="B138" t="s">
        <v>2152</v>
      </c>
      <c r="D138" t="s">
        <v>2</v>
      </c>
      <c r="E138" t="s">
        <v>2956</v>
      </c>
      <c r="F138" t="s">
        <v>2953</v>
      </c>
      <c r="G138">
        <v>0.1</v>
      </c>
      <c r="K138">
        <v>60905115063003</v>
      </c>
      <c r="L138">
        <v>902629466</v>
      </c>
    </row>
    <row r="139" spans="1:12">
      <c r="A139">
        <v>18942</v>
      </c>
      <c r="B139" t="s">
        <v>2225</v>
      </c>
      <c r="D139" t="s">
        <v>1</v>
      </c>
      <c r="E139" t="s">
        <v>2954</v>
      </c>
      <c r="F139" t="s">
        <v>2953</v>
      </c>
      <c r="G139">
        <v>10.5</v>
      </c>
      <c r="K139" t="s">
        <v>2955</v>
      </c>
      <c r="L139">
        <v>116298761</v>
      </c>
    </row>
    <row r="140" spans="1:12">
      <c r="A140">
        <v>18942</v>
      </c>
      <c r="B140" t="s">
        <v>2225</v>
      </c>
      <c r="D140" t="s">
        <v>2</v>
      </c>
      <c r="E140" t="s">
        <v>2956</v>
      </c>
      <c r="F140" t="s">
        <v>2953</v>
      </c>
      <c r="G140">
        <v>0.1</v>
      </c>
      <c r="K140" t="s">
        <v>2955</v>
      </c>
      <c r="L140">
        <v>116298761</v>
      </c>
    </row>
    <row r="141" spans="1:12">
      <c r="A141">
        <v>18946</v>
      </c>
      <c r="B141" t="s">
        <v>2254</v>
      </c>
      <c r="D141" t="s">
        <v>1</v>
      </c>
      <c r="E141" t="s">
        <v>2954</v>
      </c>
      <c r="F141" t="s">
        <v>2953</v>
      </c>
      <c r="G141">
        <v>10.5</v>
      </c>
      <c r="K141" t="s">
        <v>2967</v>
      </c>
      <c r="L141">
        <v>16656369</v>
      </c>
    </row>
    <row r="142" spans="1:12">
      <c r="A142">
        <v>18946</v>
      </c>
      <c r="B142" t="s">
        <v>2254</v>
      </c>
      <c r="D142" t="s">
        <v>2962</v>
      </c>
      <c r="E142" t="s">
        <v>2963</v>
      </c>
      <c r="F142" t="s">
        <v>2957</v>
      </c>
      <c r="H142">
        <v>300</v>
      </c>
      <c r="K142" t="s">
        <v>2967</v>
      </c>
      <c r="L142">
        <v>16656369</v>
      </c>
    </row>
    <row r="143" spans="1:12">
      <c r="A143">
        <v>18948</v>
      </c>
      <c r="B143" t="s">
        <v>2270</v>
      </c>
      <c r="D143" t="s">
        <v>1</v>
      </c>
      <c r="E143" t="s">
        <v>2954</v>
      </c>
      <c r="F143" t="s">
        <v>2953</v>
      </c>
      <c r="G143">
        <v>10.5</v>
      </c>
      <c r="K143" t="s">
        <v>2955</v>
      </c>
      <c r="L143">
        <v>117903849</v>
      </c>
    </row>
    <row r="144" spans="1:12">
      <c r="A144">
        <v>18949</v>
      </c>
      <c r="B144" t="s">
        <v>2276</v>
      </c>
      <c r="D144" t="s">
        <v>1</v>
      </c>
      <c r="E144" t="s">
        <v>2954</v>
      </c>
      <c r="F144" t="s">
        <v>2953</v>
      </c>
      <c r="G144">
        <v>10.5</v>
      </c>
      <c r="K144" t="s">
        <v>2964</v>
      </c>
      <c r="L144">
        <v>830594389</v>
      </c>
    </row>
    <row r="145" spans="1:12">
      <c r="A145">
        <v>18949</v>
      </c>
      <c r="B145" t="s">
        <v>2276</v>
      </c>
      <c r="D145" t="s">
        <v>2</v>
      </c>
      <c r="E145" t="s">
        <v>2956</v>
      </c>
      <c r="F145" t="s">
        <v>2953</v>
      </c>
      <c r="G145">
        <v>0.1</v>
      </c>
      <c r="K145" t="s">
        <v>2964</v>
      </c>
      <c r="L145">
        <v>830594389</v>
      </c>
    </row>
    <row r="146" spans="1:12">
      <c r="A146">
        <v>18953</v>
      </c>
      <c r="B146" t="s">
        <v>2303</v>
      </c>
      <c r="D146" t="s">
        <v>1</v>
      </c>
      <c r="E146" t="s">
        <v>2954</v>
      </c>
      <c r="F146" t="s">
        <v>2953</v>
      </c>
      <c r="G146">
        <v>10.5</v>
      </c>
      <c r="K146" t="s">
        <v>2955</v>
      </c>
      <c r="L146">
        <v>118213404</v>
      </c>
    </row>
    <row r="147" spans="1:12">
      <c r="A147">
        <v>18953</v>
      </c>
      <c r="B147" t="s">
        <v>2303</v>
      </c>
      <c r="D147" t="s">
        <v>2</v>
      </c>
      <c r="E147" t="s">
        <v>2956</v>
      </c>
      <c r="F147" t="s">
        <v>2953</v>
      </c>
      <c r="G147">
        <v>0.1</v>
      </c>
      <c r="K147" t="s">
        <v>2955</v>
      </c>
      <c r="L147">
        <v>118213404</v>
      </c>
    </row>
    <row r="148" spans="1:12">
      <c r="A148">
        <v>18954</v>
      </c>
      <c r="B148" t="s">
        <v>2308</v>
      </c>
      <c r="D148" t="s">
        <v>1</v>
      </c>
      <c r="E148" t="s">
        <v>2954</v>
      </c>
      <c r="F148" t="s">
        <v>2953</v>
      </c>
      <c r="G148">
        <v>10.5</v>
      </c>
      <c r="K148" t="s">
        <v>2972</v>
      </c>
      <c r="L148">
        <v>968390605</v>
      </c>
    </row>
    <row r="149" spans="1:12">
      <c r="A149">
        <v>18957</v>
      </c>
      <c r="B149" t="s">
        <v>2328</v>
      </c>
      <c r="D149" t="s">
        <v>1</v>
      </c>
      <c r="E149" t="s">
        <v>2954</v>
      </c>
      <c r="F149" t="s">
        <v>2953</v>
      </c>
      <c r="G149">
        <v>10.5</v>
      </c>
      <c r="K149">
        <v>91385943850001</v>
      </c>
      <c r="L149">
        <v>5513272</v>
      </c>
    </row>
    <row r="150" spans="1:12">
      <c r="A150">
        <v>18957</v>
      </c>
      <c r="B150" t="s">
        <v>2328</v>
      </c>
      <c r="D150" t="s">
        <v>2</v>
      </c>
      <c r="E150" t="s">
        <v>2956</v>
      </c>
      <c r="F150" t="s">
        <v>2953</v>
      </c>
      <c r="G150">
        <v>0.1</v>
      </c>
      <c r="K150">
        <v>91385943850001</v>
      </c>
      <c r="L150">
        <v>5513272</v>
      </c>
    </row>
    <row r="151" spans="1:12">
      <c r="A151">
        <v>18957</v>
      </c>
      <c r="B151" t="s">
        <v>2328</v>
      </c>
      <c r="D151" t="s">
        <v>2962</v>
      </c>
      <c r="E151" t="s">
        <v>2963</v>
      </c>
      <c r="F151" t="s">
        <v>2957</v>
      </c>
      <c r="H151">
        <v>860</v>
      </c>
      <c r="K151">
        <v>91385943850001</v>
      </c>
      <c r="L151">
        <v>5513272</v>
      </c>
    </row>
    <row r="152" spans="1:12">
      <c r="A152">
        <v>18960</v>
      </c>
      <c r="B152" t="s">
        <v>2348</v>
      </c>
      <c r="D152" t="s">
        <v>1</v>
      </c>
      <c r="E152" t="s">
        <v>2954</v>
      </c>
      <c r="F152" t="s">
        <v>2953</v>
      </c>
      <c r="G152">
        <v>10.5</v>
      </c>
      <c r="K152" t="s">
        <v>2967</v>
      </c>
      <c r="L152">
        <v>16488244</v>
      </c>
    </row>
    <row r="153" spans="1:12">
      <c r="A153">
        <v>18960</v>
      </c>
      <c r="B153" t="s">
        <v>2348</v>
      </c>
      <c r="D153" t="s">
        <v>2</v>
      </c>
      <c r="E153" t="s">
        <v>2956</v>
      </c>
      <c r="F153" t="s">
        <v>2953</v>
      </c>
      <c r="G153">
        <v>0.1</v>
      </c>
      <c r="K153" t="s">
        <v>2967</v>
      </c>
      <c r="L153">
        <v>16488244</v>
      </c>
    </row>
    <row r="154" spans="1:12">
      <c r="A154">
        <v>18961</v>
      </c>
      <c r="B154" t="s">
        <v>2355</v>
      </c>
      <c r="D154" t="s">
        <v>1</v>
      </c>
      <c r="E154" t="s">
        <v>2954</v>
      </c>
      <c r="F154" t="s">
        <v>2953</v>
      </c>
      <c r="G154">
        <v>10.5</v>
      </c>
      <c r="K154" t="s">
        <v>2955</v>
      </c>
      <c r="L154">
        <v>118314566</v>
      </c>
    </row>
    <row r="155" spans="1:12">
      <c r="A155">
        <v>18961</v>
      </c>
      <c r="B155" t="s">
        <v>2355</v>
      </c>
      <c r="D155" t="s">
        <v>2</v>
      </c>
      <c r="E155" t="s">
        <v>2956</v>
      </c>
      <c r="F155" t="s">
        <v>2953</v>
      </c>
      <c r="G155">
        <v>0.1</v>
      </c>
      <c r="K155" t="s">
        <v>2955</v>
      </c>
      <c r="L155">
        <v>118314566</v>
      </c>
    </row>
    <row r="156" spans="1:12">
      <c r="A156">
        <v>18962</v>
      </c>
      <c r="B156" t="s">
        <v>2364</v>
      </c>
      <c r="D156" t="s">
        <v>1</v>
      </c>
      <c r="E156" t="s">
        <v>2954</v>
      </c>
      <c r="F156" t="s">
        <v>2953</v>
      </c>
      <c r="G156">
        <v>10.5</v>
      </c>
      <c r="K156" t="s">
        <v>2959</v>
      </c>
      <c r="L156">
        <v>1072089453</v>
      </c>
    </row>
    <row r="157" spans="1:12">
      <c r="A157">
        <v>18967</v>
      </c>
      <c r="B157" t="s">
        <v>2398</v>
      </c>
      <c r="D157" t="s">
        <v>1</v>
      </c>
      <c r="E157" t="s">
        <v>2954</v>
      </c>
      <c r="F157" t="s">
        <v>2953</v>
      </c>
      <c r="G157">
        <v>10.5</v>
      </c>
      <c r="K157" t="s">
        <v>2955</v>
      </c>
      <c r="L157">
        <v>118341478</v>
      </c>
    </row>
    <row r="158" spans="1:12">
      <c r="A158">
        <v>18967</v>
      </c>
      <c r="B158" t="s">
        <v>2398</v>
      </c>
      <c r="D158" t="s">
        <v>2</v>
      </c>
      <c r="E158" t="s">
        <v>2956</v>
      </c>
      <c r="F158" t="s">
        <v>2953</v>
      </c>
      <c r="G158">
        <v>0.1</v>
      </c>
      <c r="K158" t="s">
        <v>2955</v>
      </c>
      <c r="L158">
        <v>118341478</v>
      </c>
    </row>
    <row r="159" spans="1:12">
      <c r="A159">
        <v>18968</v>
      </c>
      <c r="B159" t="s">
        <v>2405</v>
      </c>
      <c r="D159" t="s">
        <v>1</v>
      </c>
      <c r="E159" t="s">
        <v>2954</v>
      </c>
      <c r="F159" t="s">
        <v>2953</v>
      </c>
      <c r="G159">
        <v>10.5</v>
      </c>
      <c r="K159" t="s">
        <v>2964</v>
      </c>
      <c r="L159">
        <v>830428441</v>
      </c>
    </row>
    <row r="160" spans="1:12">
      <c r="A160">
        <v>18968</v>
      </c>
      <c r="B160" t="s">
        <v>2405</v>
      </c>
      <c r="D160" t="s">
        <v>2962</v>
      </c>
      <c r="E160" t="s">
        <v>2963</v>
      </c>
      <c r="F160" t="s">
        <v>2957</v>
      </c>
      <c r="H160">
        <v>400</v>
      </c>
      <c r="K160" t="s">
        <v>2964</v>
      </c>
      <c r="L160">
        <v>830428441</v>
      </c>
    </row>
    <row r="161" spans="1:12">
      <c r="A161">
        <v>18969</v>
      </c>
      <c r="B161" t="s">
        <v>2410</v>
      </c>
      <c r="D161" t="s">
        <v>1</v>
      </c>
      <c r="E161" t="s">
        <v>2954</v>
      </c>
      <c r="F161" t="s">
        <v>2953</v>
      </c>
      <c r="G161">
        <v>10.5</v>
      </c>
      <c r="K161" t="s">
        <v>2967</v>
      </c>
      <c r="L161">
        <v>16394291</v>
      </c>
    </row>
    <row r="162" spans="1:12">
      <c r="A162">
        <v>18970</v>
      </c>
      <c r="B162" t="s">
        <v>2416</v>
      </c>
      <c r="D162" t="s">
        <v>1</v>
      </c>
      <c r="E162" t="s">
        <v>2954</v>
      </c>
      <c r="F162" t="s">
        <v>2953</v>
      </c>
      <c r="G162">
        <v>10.5</v>
      </c>
      <c r="K162">
        <v>60905115063001</v>
      </c>
      <c r="L162">
        <v>195568503</v>
      </c>
    </row>
    <row r="163" spans="1:12">
      <c r="A163">
        <v>18970</v>
      </c>
      <c r="B163" t="s">
        <v>2416</v>
      </c>
      <c r="D163" t="s">
        <v>2</v>
      </c>
      <c r="E163" t="s">
        <v>2956</v>
      </c>
      <c r="F163" t="s">
        <v>2953</v>
      </c>
      <c r="G163">
        <v>0.1</v>
      </c>
      <c r="K163">
        <v>60905115063001</v>
      </c>
      <c r="L163">
        <v>195568503</v>
      </c>
    </row>
    <row r="164" spans="1:12">
      <c r="A164">
        <v>18973</v>
      </c>
      <c r="B164" t="s">
        <v>2437</v>
      </c>
      <c r="D164" t="s">
        <v>1</v>
      </c>
      <c r="E164" t="s">
        <v>2954</v>
      </c>
      <c r="F164" t="s">
        <v>2953</v>
      </c>
      <c r="G164">
        <v>10.5</v>
      </c>
      <c r="K164" t="s">
        <v>2959</v>
      </c>
      <c r="L164">
        <v>1074045486</v>
      </c>
    </row>
    <row r="165" spans="1:12">
      <c r="A165">
        <v>18973</v>
      </c>
      <c r="B165" t="s">
        <v>2437</v>
      </c>
      <c r="D165" t="s">
        <v>2</v>
      </c>
      <c r="E165" t="s">
        <v>2956</v>
      </c>
      <c r="F165" t="s">
        <v>2953</v>
      </c>
      <c r="G165">
        <v>0.1</v>
      </c>
      <c r="H165">
        <v>0.1</v>
      </c>
      <c r="K165" t="s">
        <v>2959</v>
      </c>
      <c r="L165">
        <v>1074045486</v>
      </c>
    </row>
    <row r="166" spans="1:12">
      <c r="A166">
        <v>18974</v>
      </c>
      <c r="B166" t="s">
        <v>2444</v>
      </c>
      <c r="D166" t="s">
        <v>1</v>
      </c>
      <c r="E166" t="s">
        <v>2954</v>
      </c>
      <c r="F166" t="s">
        <v>2953</v>
      </c>
      <c r="G166">
        <v>10.5</v>
      </c>
      <c r="K166" t="s">
        <v>2965</v>
      </c>
      <c r="L166">
        <v>16414431</v>
      </c>
    </row>
    <row r="167" spans="1:12">
      <c r="A167">
        <v>18974</v>
      </c>
      <c r="B167" t="s">
        <v>2444</v>
      </c>
      <c r="D167" t="s">
        <v>2</v>
      </c>
      <c r="E167" t="s">
        <v>2956</v>
      </c>
      <c r="F167" t="s">
        <v>2953</v>
      </c>
      <c r="G167">
        <v>0.1</v>
      </c>
      <c r="K167" t="s">
        <v>2965</v>
      </c>
      <c r="L167">
        <v>16414431</v>
      </c>
    </row>
    <row r="168" spans="1:12">
      <c r="A168">
        <v>18976</v>
      </c>
      <c r="B168" t="s">
        <v>2458</v>
      </c>
      <c r="D168" t="s">
        <v>1</v>
      </c>
      <c r="E168" t="s">
        <v>2954</v>
      </c>
      <c r="F168" t="s">
        <v>2953</v>
      </c>
      <c r="G168">
        <v>10.5</v>
      </c>
      <c r="K168" t="s">
        <v>2955</v>
      </c>
      <c r="L168">
        <v>119008043</v>
      </c>
    </row>
    <row r="169" spans="1:12">
      <c r="A169">
        <v>18979</v>
      </c>
      <c r="B169" t="s">
        <v>2480</v>
      </c>
      <c r="D169" t="s">
        <v>1</v>
      </c>
      <c r="E169" t="s">
        <v>2954</v>
      </c>
      <c r="F169" t="s">
        <v>2953</v>
      </c>
      <c r="G169">
        <v>10.5</v>
      </c>
      <c r="K169" t="s">
        <v>2959</v>
      </c>
      <c r="L169">
        <v>1072871573</v>
      </c>
    </row>
    <row r="170" spans="1:12">
      <c r="A170">
        <v>18979</v>
      </c>
      <c r="B170" t="s">
        <v>2480</v>
      </c>
      <c r="D170" t="s">
        <v>2</v>
      </c>
      <c r="E170" t="s">
        <v>2956</v>
      </c>
      <c r="F170" t="s">
        <v>2953</v>
      </c>
      <c r="G170">
        <v>0.1</v>
      </c>
      <c r="K170" t="s">
        <v>2959</v>
      </c>
      <c r="L170">
        <v>1072871573</v>
      </c>
    </row>
    <row r="171" spans="1:12">
      <c r="A171">
        <v>18980</v>
      </c>
      <c r="B171" t="s">
        <v>2487</v>
      </c>
      <c r="D171" t="s">
        <v>1</v>
      </c>
      <c r="E171" t="s">
        <v>2954</v>
      </c>
      <c r="F171" t="s">
        <v>2953</v>
      </c>
      <c r="G171">
        <v>10.5</v>
      </c>
      <c r="K171" t="s">
        <v>2955</v>
      </c>
      <c r="L171">
        <v>119039113</v>
      </c>
    </row>
    <row r="172" spans="1:12">
      <c r="A172">
        <v>18980</v>
      </c>
      <c r="B172" t="s">
        <v>2487</v>
      </c>
      <c r="D172" t="s">
        <v>2</v>
      </c>
      <c r="E172" t="s">
        <v>2956</v>
      </c>
      <c r="F172" t="s">
        <v>2953</v>
      </c>
      <c r="G172">
        <v>0.1</v>
      </c>
      <c r="K172" t="s">
        <v>2955</v>
      </c>
      <c r="L172">
        <v>119039113</v>
      </c>
    </row>
    <row r="173" spans="1:12">
      <c r="A173">
        <v>18982</v>
      </c>
      <c r="B173" t="s">
        <v>2500</v>
      </c>
      <c r="D173" t="s">
        <v>1</v>
      </c>
      <c r="E173" t="s">
        <v>2954</v>
      </c>
      <c r="F173" t="s">
        <v>2953</v>
      </c>
      <c r="G173">
        <v>10.5</v>
      </c>
      <c r="K173" t="s">
        <v>2966</v>
      </c>
      <c r="L173">
        <v>712043774</v>
      </c>
    </row>
    <row r="174" spans="1:12">
      <c r="A174">
        <v>18983</v>
      </c>
      <c r="B174" t="s">
        <v>2506</v>
      </c>
      <c r="D174" t="s">
        <v>1</v>
      </c>
      <c r="E174" t="s">
        <v>2954</v>
      </c>
      <c r="F174" t="s">
        <v>2953</v>
      </c>
      <c r="G174">
        <v>10.5</v>
      </c>
      <c r="K174" t="s">
        <v>2960</v>
      </c>
      <c r="L174">
        <v>1001497821</v>
      </c>
    </row>
    <row r="175" spans="1:12">
      <c r="A175">
        <v>18983</v>
      </c>
      <c r="B175" t="s">
        <v>2506</v>
      </c>
      <c r="D175" t="s">
        <v>2</v>
      </c>
      <c r="E175" t="s">
        <v>2956</v>
      </c>
      <c r="F175" t="s">
        <v>2953</v>
      </c>
      <c r="G175">
        <v>0.1</v>
      </c>
      <c r="K175" t="s">
        <v>2960</v>
      </c>
      <c r="L175">
        <v>1001497821</v>
      </c>
    </row>
    <row r="176" spans="1:12">
      <c r="A176">
        <v>18986</v>
      </c>
      <c r="B176" t="s">
        <v>2525</v>
      </c>
      <c r="D176" t="s">
        <v>1</v>
      </c>
      <c r="E176" t="s">
        <v>2954</v>
      </c>
      <c r="F176" t="s">
        <v>2953</v>
      </c>
      <c r="G176">
        <v>10.5</v>
      </c>
      <c r="K176" t="s">
        <v>2955</v>
      </c>
      <c r="L176">
        <v>114402795</v>
      </c>
    </row>
    <row r="177" spans="1:12">
      <c r="A177">
        <v>18986</v>
      </c>
      <c r="B177" t="s">
        <v>2525</v>
      </c>
      <c r="D177" t="s">
        <v>2</v>
      </c>
      <c r="E177" t="s">
        <v>2956</v>
      </c>
      <c r="F177" t="s">
        <v>2953</v>
      </c>
      <c r="G177">
        <v>0.1</v>
      </c>
      <c r="K177" t="s">
        <v>2955</v>
      </c>
      <c r="L177">
        <v>114402795</v>
      </c>
    </row>
    <row r="178" spans="1:12">
      <c r="A178">
        <v>18987</v>
      </c>
      <c r="B178" t="s">
        <v>2531</v>
      </c>
      <c r="D178" t="s">
        <v>1</v>
      </c>
      <c r="E178" t="s">
        <v>2954</v>
      </c>
      <c r="F178" t="s">
        <v>2953</v>
      </c>
      <c r="G178">
        <v>10.5</v>
      </c>
      <c r="K178">
        <v>39827542991002</v>
      </c>
      <c r="L178">
        <v>402565626</v>
      </c>
    </row>
    <row r="179" spans="1:12">
      <c r="A179">
        <v>18988</v>
      </c>
      <c r="B179" t="s">
        <v>2538</v>
      </c>
      <c r="D179" t="s">
        <v>1</v>
      </c>
      <c r="E179" t="s">
        <v>2954</v>
      </c>
      <c r="F179" t="s">
        <v>2953</v>
      </c>
      <c r="G179">
        <v>10.5</v>
      </c>
      <c r="K179" t="s">
        <v>2973</v>
      </c>
      <c r="L179">
        <v>65025392814</v>
      </c>
    </row>
    <row r="180" spans="1:12">
      <c r="A180">
        <v>18989</v>
      </c>
      <c r="B180" t="s">
        <v>2545</v>
      </c>
      <c r="D180" t="s">
        <v>1</v>
      </c>
      <c r="E180" t="s">
        <v>2954</v>
      </c>
      <c r="F180" t="s">
        <v>2953</v>
      </c>
      <c r="G180">
        <v>10.5</v>
      </c>
      <c r="K180" t="s">
        <v>2959</v>
      </c>
      <c r="L180">
        <v>1073876697</v>
      </c>
    </row>
    <row r="181" spans="1:12">
      <c r="A181">
        <v>18989</v>
      </c>
      <c r="B181" t="s">
        <v>2545</v>
      </c>
      <c r="D181" t="s">
        <v>2</v>
      </c>
      <c r="E181" t="s">
        <v>2956</v>
      </c>
      <c r="F181" t="s">
        <v>2953</v>
      </c>
      <c r="G181">
        <v>0.1</v>
      </c>
      <c r="K181" t="s">
        <v>2959</v>
      </c>
      <c r="L181">
        <v>1073876697</v>
      </c>
    </row>
    <row r="182" spans="1:12">
      <c r="A182">
        <v>18990</v>
      </c>
      <c r="B182" t="s">
        <v>2552</v>
      </c>
      <c r="D182" t="s">
        <v>1</v>
      </c>
      <c r="E182" t="s">
        <v>2954</v>
      </c>
      <c r="F182" t="s">
        <v>2953</v>
      </c>
      <c r="G182">
        <v>10.5</v>
      </c>
      <c r="K182" t="s">
        <v>2955</v>
      </c>
      <c r="L182">
        <v>119088003</v>
      </c>
    </row>
    <row r="183" spans="1:12">
      <c r="A183">
        <v>18990</v>
      </c>
      <c r="B183" t="s">
        <v>2552</v>
      </c>
      <c r="D183" t="s">
        <v>2</v>
      </c>
      <c r="E183" t="s">
        <v>2956</v>
      </c>
      <c r="F183" t="s">
        <v>2953</v>
      </c>
      <c r="G183">
        <v>0.1</v>
      </c>
      <c r="K183" t="s">
        <v>2955</v>
      </c>
      <c r="L183">
        <v>119088003</v>
      </c>
    </row>
    <row r="184" spans="1:12">
      <c r="A184">
        <v>18994</v>
      </c>
      <c r="B184" t="s">
        <v>2579</v>
      </c>
      <c r="D184" t="s">
        <v>1</v>
      </c>
      <c r="E184" t="s">
        <v>2954</v>
      </c>
      <c r="F184" t="s">
        <v>2953</v>
      </c>
      <c r="G184">
        <v>10.5</v>
      </c>
      <c r="K184" t="s">
        <v>2955</v>
      </c>
      <c r="L184">
        <v>119124642</v>
      </c>
    </row>
    <row r="185" spans="1:12">
      <c r="A185">
        <v>18994</v>
      </c>
      <c r="B185" t="s">
        <v>2579</v>
      </c>
      <c r="D185" t="s">
        <v>2</v>
      </c>
      <c r="E185" t="s">
        <v>2956</v>
      </c>
      <c r="F185" t="s">
        <v>2953</v>
      </c>
      <c r="G185">
        <v>0.1</v>
      </c>
      <c r="K185" t="s">
        <v>2955</v>
      </c>
      <c r="L185">
        <v>119124642</v>
      </c>
    </row>
    <row r="186" spans="1:12">
      <c r="A186">
        <v>18995</v>
      </c>
      <c r="B186" t="s">
        <v>2584</v>
      </c>
      <c r="D186" t="s">
        <v>1</v>
      </c>
      <c r="E186" t="s">
        <v>2954</v>
      </c>
      <c r="F186" t="s">
        <v>2953</v>
      </c>
      <c r="G186">
        <v>10.5</v>
      </c>
      <c r="K186" t="s">
        <v>2959</v>
      </c>
      <c r="L186">
        <v>702107861</v>
      </c>
    </row>
    <row r="187" spans="1:12">
      <c r="A187">
        <v>18996</v>
      </c>
      <c r="B187" t="s">
        <v>2594</v>
      </c>
      <c r="D187" t="s">
        <v>1</v>
      </c>
      <c r="E187" t="s">
        <v>2954</v>
      </c>
      <c r="F187" t="s">
        <v>2953</v>
      </c>
      <c r="G187">
        <v>10.5</v>
      </c>
      <c r="K187" t="s">
        <v>2965</v>
      </c>
      <c r="L187">
        <v>16366100</v>
      </c>
    </row>
    <row r="188" spans="1:12">
      <c r="A188">
        <v>18996</v>
      </c>
      <c r="B188" t="s">
        <v>2594</v>
      </c>
      <c r="D188" t="s">
        <v>2</v>
      </c>
      <c r="E188" t="s">
        <v>2956</v>
      </c>
      <c r="F188" t="s">
        <v>2953</v>
      </c>
      <c r="G188">
        <v>0.1</v>
      </c>
      <c r="K188" t="s">
        <v>2965</v>
      </c>
      <c r="L188">
        <v>16366100</v>
      </c>
    </row>
    <row r="189" spans="1:12">
      <c r="A189">
        <v>18998</v>
      </c>
      <c r="B189" t="s">
        <v>2614</v>
      </c>
      <c r="D189" t="s">
        <v>1</v>
      </c>
      <c r="E189" t="s">
        <v>2954</v>
      </c>
      <c r="F189" t="s">
        <v>2953</v>
      </c>
      <c r="G189">
        <v>10.5</v>
      </c>
      <c r="K189" t="s">
        <v>2965</v>
      </c>
      <c r="L189">
        <v>16127745</v>
      </c>
    </row>
    <row r="190" spans="1:12">
      <c r="A190">
        <v>18999</v>
      </c>
      <c r="B190" t="s">
        <v>2000</v>
      </c>
      <c r="D190" t="s">
        <v>1</v>
      </c>
      <c r="E190" t="s">
        <v>2954</v>
      </c>
      <c r="F190" t="s">
        <v>2953</v>
      </c>
      <c r="G190">
        <v>10.5</v>
      </c>
      <c r="K190" t="s">
        <v>2959</v>
      </c>
      <c r="L190">
        <v>1073519758</v>
      </c>
    </row>
    <row r="191" spans="1:12">
      <c r="A191">
        <v>18999</v>
      </c>
      <c r="B191" t="s">
        <v>2000</v>
      </c>
      <c r="D191" t="s">
        <v>2</v>
      </c>
      <c r="E191" t="s">
        <v>2956</v>
      </c>
      <c r="F191" t="s">
        <v>2953</v>
      </c>
      <c r="G191">
        <v>0.1</v>
      </c>
      <c r="K191" t="s">
        <v>2959</v>
      </c>
      <c r="L191">
        <v>1073519758</v>
      </c>
    </row>
    <row r="192" spans="1:12">
      <c r="A192">
        <v>19003</v>
      </c>
      <c r="B192" t="s">
        <v>2648</v>
      </c>
      <c r="D192" t="s">
        <v>1</v>
      </c>
      <c r="E192" t="s">
        <v>2954</v>
      </c>
      <c r="F192" t="s">
        <v>2953</v>
      </c>
      <c r="G192">
        <v>10.5</v>
      </c>
      <c r="K192">
        <v>91385943850001</v>
      </c>
      <c r="L192">
        <v>13798456</v>
      </c>
    </row>
    <row r="193" spans="1:12">
      <c r="A193">
        <v>19006</v>
      </c>
      <c r="B193" t="s">
        <v>2669</v>
      </c>
      <c r="D193" t="s">
        <v>1</v>
      </c>
      <c r="E193" t="s">
        <v>2954</v>
      </c>
      <c r="F193" t="s">
        <v>2953</v>
      </c>
      <c r="G193">
        <v>10.5</v>
      </c>
      <c r="K193" t="s">
        <v>2955</v>
      </c>
      <c r="L193">
        <v>119270650</v>
      </c>
    </row>
    <row r="194" spans="1:12">
      <c r="A194">
        <v>19006</v>
      </c>
      <c r="B194" t="s">
        <v>2669</v>
      </c>
      <c r="D194" t="s">
        <v>2</v>
      </c>
      <c r="E194" t="s">
        <v>2956</v>
      </c>
      <c r="F194" t="s">
        <v>2953</v>
      </c>
      <c r="G194">
        <v>0.1</v>
      </c>
      <c r="K194" t="s">
        <v>2955</v>
      </c>
      <c r="L194">
        <v>119270650</v>
      </c>
    </row>
    <row r="195" spans="1:12">
      <c r="A195">
        <v>19007</v>
      </c>
      <c r="B195" t="s">
        <v>2674</v>
      </c>
      <c r="D195" t="s">
        <v>1</v>
      </c>
      <c r="E195" t="s">
        <v>2954</v>
      </c>
      <c r="F195" t="s">
        <v>2953</v>
      </c>
      <c r="G195">
        <v>10.5</v>
      </c>
      <c r="K195" t="s">
        <v>2955</v>
      </c>
      <c r="L195">
        <v>119270494</v>
      </c>
    </row>
    <row r="196" spans="1:12">
      <c r="A196">
        <v>19007</v>
      </c>
      <c r="B196" t="s">
        <v>2674</v>
      </c>
      <c r="D196" t="s">
        <v>2</v>
      </c>
      <c r="E196" t="s">
        <v>2956</v>
      </c>
      <c r="F196" t="s">
        <v>2953</v>
      </c>
      <c r="G196">
        <v>0.1</v>
      </c>
      <c r="K196" t="s">
        <v>2955</v>
      </c>
      <c r="L196">
        <v>119270494</v>
      </c>
    </row>
    <row r="197" spans="1:12">
      <c r="A197">
        <v>19008</v>
      </c>
      <c r="B197" t="s">
        <v>2680</v>
      </c>
      <c r="D197" t="s">
        <v>1</v>
      </c>
      <c r="E197" t="s">
        <v>2954</v>
      </c>
      <c r="F197" t="s">
        <v>2953</v>
      </c>
      <c r="G197">
        <v>10.5</v>
      </c>
      <c r="K197" t="s">
        <v>2959</v>
      </c>
      <c r="L197">
        <v>1075088478</v>
      </c>
    </row>
    <row r="198" spans="1:12">
      <c r="A198">
        <v>19008</v>
      </c>
      <c r="B198" t="s">
        <v>2680</v>
      </c>
      <c r="D198" t="s">
        <v>2</v>
      </c>
      <c r="E198" t="s">
        <v>2956</v>
      </c>
      <c r="F198" t="s">
        <v>2953</v>
      </c>
      <c r="G198">
        <v>0.1</v>
      </c>
      <c r="K198" t="s">
        <v>2959</v>
      </c>
      <c r="L198">
        <v>1075088478</v>
      </c>
    </row>
    <row r="199" spans="1:12">
      <c r="A199">
        <v>19009</v>
      </c>
      <c r="B199" t="s">
        <v>2683</v>
      </c>
      <c r="D199" t="s">
        <v>1</v>
      </c>
      <c r="E199" t="s">
        <v>2954</v>
      </c>
      <c r="F199" t="s">
        <v>2953</v>
      </c>
      <c r="G199">
        <v>10.5</v>
      </c>
      <c r="K199" t="s">
        <v>2955</v>
      </c>
      <c r="L199">
        <v>119270619</v>
      </c>
    </row>
    <row r="200" spans="1:12">
      <c r="A200">
        <v>19009</v>
      </c>
      <c r="B200" t="s">
        <v>2683</v>
      </c>
      <c r="D200" t="s">
        <v>2</v>
      </c>
      <c r="E200" t="s">
        <v>2956</v>
      </c>
      <c r="F200" t="s">
        <v>2953</v>
      </c>
      <c r="G200">
        <v>0.1</v>
      </c>
      <c r="K200" t="s">
        <v>2955</v>
      </c>
      <c r="L200">
        <v>119270619</v>
      </c>
    </row>
    <row r="201" spans="1:12">
      <c r="A201">
        <v>19011</v>
      </c>
      <c r="B201" t="s">
        <v>2696</v>
      </c>
      <c r="D201" t="s">
        <v>1</v>
      </c>
      <c r="E201" t="s">
        <v>2954</v>
      </c>
      <c r="F201" t="s">
        <v>2953</v>
      </c>
      <c r="G201">
        <v>10.5</v>
      </c>
      <c r="K201">
        <v>91385943850001</v>
      </c>
      <c r="L201">
        <v>14508855</v>
      </c>
    </row>
    <row r="202" spans="1:12">
      <c r="A202">
        <v>19011</v>
      </c>
      <c r="B202" t="s">
        <v>2696</v>
      </c>
      <c r="D202" t="s">
        <v>2</v>
      </c>
      <c r="E202" t="s">
        <v>2956</v>
      </c>
      <c r="F202" t="s">
        <v>2953</v>
      </c>
      <c r="G202">
        <v>0.1</v>
      </c>
      <c r="K202">
        <v>91385943850001</v>
      </c>
      <c r="L202">
        <v>14508855</v>
      </c>
    </row>
    <row r="203" spans="1:12">
      <c r="A203">
        <v>19012</v>
      </c>
      <c r="B203" t="s">
        <v>2706</v>
      </c>
      <c r="D203" t="s">
        <v>1</v>
      </c>
      <c r="E203" t="s">
        <v>2954</v>
      </c>
      <c r="F203" t="s">
        <v>2953</v>
      </c>
      <c r="G203">
        <v>10.5</v>
      </c>
      <c r="K203" t="s">
        <v>2959</v>
      </c>
      <c r="L203">
        <v>1073660850</v>
      </c>
    </row>
    <row r="204" spans="1:12">
      <c r="A204">
        <v>19012</v>
      </c>
      <c r="B204" t="s">
        <v>2706</v>
      </c>
      <c r="D204" t="s">
        <v>2</v>
      </c>
      <c r="E204" t="s">
        <v>2956</v>
      </c>
      <c r="F204" t="s">
        <v>2953</v>
      </c>
      <c r="G204">
        <v>0.1</v>
      </c>
      <c r="K204" t="s">
        <v>2959</v>
      </c>
      <c r="L204">
        <v>1073660850</v>
      </c>
    </row>
    <row r="205" spans="1:12">
      <c r="A205">
        <v>19013</v>
      </c>
      <c r="B205" t="s">
        <v>2713</v>
      </c>
      <c r="D205" t="s">
        <v>1</v>
      </c>
      <c r="E205" t="s">
        <v>2954</v>
      </c>
      <c r="F205" t="s">
        <v>2953</v>
      </c>
      <c r="G205">
        <v>10.5</v>
      </c>
      <c r="K205" t="s">
        <v>2959</v>
      </c>
      <c r="L205">
        <v>714247264</v>
      </c>
    </row>
    <row r="206" spans="1:12">
      <c r="A206">
        <v>19013</v>
      </c>
      <c r="B206" t="s">
        <v>2713</v>
      </c>
      <c r="D206" t="s">
        <v>2</v>
      </c>
      <c r="E206" t="s">
        <v>2956</v>
      </c>
      <c r="F206" t="s">
        <v>2953</v>
      </c>
      <c r="G206">
        <v>0.1</v>
      </c>
      <c r="K206" t="s">
        <v>2959</v>
      </c>
      <c r="L206">
        <v>714247264</v>
      </c>
    </row>
    <row r="207" spans="1:12">
      <c r="A207">
        <v>19014</v>
      </c>
      <c r="B207" t="s">
        <v>2720</v>
      </c>
      <c r="D207" t="s">
        <v>1</v>
      </c>
      <c r="E207" t="s">
        <v>2954</v>
      </c>
      <c r="F207" t="s">
        <v>2953</v>
      </c>
      <c r="G207">
        <v>10.5</v>
      </c>
      <c r="K207" t="s">
        <v>2959</v>
      </c>
      <c r="L207">
        <v>1072301085</v>
      </c>
    </row>
    <row r="208" spans="1:12">
      <c r="A208">
        <v>19015</v>
      </c>
      <c r="B208" t="s">
        <v>2727</v>
      </c>
      <c r="D208" t="s">
        <v>1</v>
      </c>
      <c r="E208" t="s">
        <v>2954</v>
      </c>
      <c r="F208" t="s">
        <v>2953</v>
      </c>
      <c r="G208">
        <v>10.5</v>
      </c>
      <c r="K208" t="s">
        <v>2955</v>
      </c>
      <c r="L208">
        <v>119312676</v>
      </c>
    </row>
    <row r="209" spans="1:13">
      <c r="A209">
        <v>19015</v>
      </c>
      <c r="B209" t="s">
        <v>2727</v>
      </c>
      <c r="D209" t="s">
        <v>2</v>
      </c>
      <c r="E209" t="s">
        <v>2956</v>
      </c>
      <c r="F209" t="s">
        <v>2953</v>
      </c>
      <c r="G209">
        <v>0.1</v>
      </c>
      <c r="K209" t="s">
        <v>2974</v>
      </c>
      <c r="L209">
        <v>119312676</v>
      </c>
    </row>
    <row r="210" spans="1:13">
      <c r="A210">
        <v>19017</v>
      </c>
      <c r="B210" t="s">
        <v>2737</v>
      </c>
      <c r="D210" t="s">
        <v>1</v>
      </c>
      <c r="E210" t="s">
        <v>2954</v>
      </c>
      <c r="F210" t="s">
        <v>2953</v>
      </c>
      <c r="G210">
        <v>10.5</v>
      </c>
      <c r="K210">
        <v>60905115063003</v>
      </c>
      <c r="L210">
        <v>903143803</v>
      </c>
    </row>
    <row r="211" spans="1:13">
      <c r="A211">
        <v>19017</v>
      </c>
      <c r="B211" t="s">
        <v>2737</v>
      </c>
      <c r="D211" t="s">
        <v>2</v>
      </c>
      <c r="E211" t="s">
        <v>2956</v>
      </c>
      <c r="F211" t="s">
        <v>2953</v>
      </c>
      <c r="G211">
        <v>0.1</v>
      </c>
      <c r="K211">
        <v>60905115063003</v>
      </c>
      <c r="L211">
        <v>903143803</v>
      </c>
    </row>
    <row r="212" spans="1:13">
      <c r="A212">
        <v>19019</v>
      </c>
      <c r="B212" t="s">
        <v>2750</v>
      </c>
      <c r="D212" t="s">
        <v>1</v>
      </c>
      <c r="E212" t="s">
        <v>2954</v>
      </c>
      <c r="F212" t="s">
        <v>2953</v>
      </c>
      <c r="G212">
        <v>10.5</v>
      </c>
      <c r="K212">
        <v>34300938877006</v>
      </c>
      <c r="L212">
        <v>111143</v>
      </c>
    </row>
    <row r="213" spans="1:13">
      <c r="A213">
        <v>19019</v>
      </c>
      <c r="B213" t="s">
        <v>2750</v>
      </c>
      <c r="D213" t="s">
        <v>2</v>
      </c>
      <c r="E213" t="s">
        <v>2956</v>
      </c>
      <c r="F213" t="s">
        <v>2953</v>
      </c>
      <c r="G213">
        <v>0.1</v>
      </c>
      <c r="K213">
        <v>34300938877006</v>
      </c>
      <c r="L213">
        <v>111143</v>
      </c>
    </row>
    <row r="214" spans="1:13">
      <c r="A214">
        <v>19020</v>
      </c>
      <c r="B214" t="s">
        <v>2756</v>
      </c>
      <c r="D214" t="s">
        <v>1</v>
      </c>
      <c r="E214" t="s">
        <v>2954</v>
      </c>
      <c r="F214" t="s">
        <v>2953</v>
      </c>
      <c r="G214">
        <v>10.5</v>
      </c>
      <c r="K214">
        <v>60905115063003</v>
      </c>
      <c r="L214">
        <v>1008473</v>
      </c>
    </row>
    <row r="215" spans="1:13">
      <c r="A215">
        <v>19021</v>
      </c>
      <c r="B215" t="s">
        <v>2765</v>
      </c>
      <c r="D215" t="s">
        <v>1</v>
      </c>
      <c r="E215" t="s">
        <v>2954</v>
      </c>
      <c r="F215" t="s">
        <v>2953</v>
      </c>
      <c r="G215">
        <v>10.5</v>
      </c>
      <c r="K215" t="s">
        <v>2955</v>
      </c>
      <c r="L215">
        <v>116663394</v>
      </c>
    </row>
    <row r="216" spans="1:13">
      <c r="A216">
        <v>19021</v>
      </c>
      <c r="B216" t="s">
        <v>2765</v>
      </c>
      <c r="D216" t="s">
        <v>2</v>
      </c>
      <c r="E216" t="s">
        <v>2956</v>
      </c>
      <c r="F216" t="s">
        <v>2953</v>
      </c>
      <c r="G216">
        <v>0.1</v>
      </c>
      <c r="K216" t="s">
        <v>2955</v>
      </c>
      <c r="L216">
        <v>116663394</v>
      </c>
    </row>
    <row r="217" spans="1:13">
      <c r="A217">
        <v>19022</v>
      </c>
      <c r="B217" t="s">
        <v>2773</v>
      </c>
      <c r="D217" t="s">
        <v>1</v>
      </c>
      <c r="E217" t="s">
        <v>2954</v>
      </c>
      <c r="F217" t="s">
        <v>2953</v>
      </c>
      <c r="G217">
        <v>10.5</v>
      </c>
      <c r="K217" t="s">
        <v>2959</v>
      </c>
      <c r="L217">
        <v>1075120505</v>
      </c>
      <c r="M217" t="s">
        <v>4</v>
      </c>
    </row>
    <row r="218" spans="1:13">
      <c r="A218">
        <v>19023</v>
      </c>
      <c r="B218" t="s">
        <v>2779</v>
      </c>
      <c r="D218" t="s">
        <v>1</v>
      </c>
      <c r="E218" t="s">
        <v>2954</v>
      </c>
      <c r="F218" t="s">
        <v>2953</v>
      </c>
      <c r="G218">
        <v>10.5</v>
      </c>
      <c r="K218">
        <v>60905115063003</v>
      </c>
      <c r="L218">
        <v>901445409</v>
      </c>
    </row>
    <row r="219" spans="1:13">
      <c r="A219">
        <v>19023</v>
      </c>
      <c r="B219" t="s">
        <v>2779</v>
      </c>
      <c r="D219" t="s">
        <v>2</v>
      </c>
      <c r="E219" t="s">
        <v>2956</v>
      </c>
      <c r="F219" t="s">
        <v>2953</v>
      </c>
      <c r="G219">
        <v>0.1</v>
      </c>
      <c r="K219">
        <v>60905115063003</v>
      </c>
      <c r="L219">
        <v>901445409</v>
      </c>
    </row>
    <row r="220" spans="1:13">
      <c r="A220">
        <v>19025</v>
      </c>
      <c r="B220" t="s">
        <v>2786</v>
      </c>
      <c r="D220" t="s">
        <v>1</v>
      </c>
      <c r="E220" t="s">
        <v>2954</v>
      </c>
      <c r="F220" t="s">
        <v>2953</v>
      </c>
      <c r="G220">
        <v>10.5</v>
      </c>
      <c r="K220" t="s">
        <v>2960</v>
      </c>
      <c r="L220" t="s">
        <v>2975</v>
      </c>
    </row>
    <row r="221" spans="1:13">
      <c r="A221">
        <v>19026</v>
      </c>
      <c r="B221" t="s">
        <v>2794</v>
      </c>
      <c r="D221" t="s">
        <v>1</v>
      </c>
      <c r="E221" t="s">
        <v>2954</v>
      </c>
      <c r="F221" t="s">
        <v>2953</v>
      </c>
      <c r="G221">
        <v>10.5</v>
      </c>
      <c r="K221" t="s">
        <v>2959</v>
      </c>
      <c r="L221">
        <v>1075120536</v>
      </c>
      <c r="M221" t="s">
        <v>4</v>
      </c>
    </row>
    <row r="222" spans="1:13">
      <c r="A222">
        <v>19026</v>
      </c>
      <c r="B222" t="s">
        <v>2794</v>
      </c>
      <c r="D222" t="s">
        <v>2</v>
      </c>
      <c r="E222" t="s">
        <v>2956</v>
      </c>
      <c r="F222" t="s">
        <v>2953</v>
      </c>
      <c r="G222">
        <v>0.1</v>
      </c>
      <c r="K222" t="s">
        <v>2959</v>
      </c>
      <c r="L222">
        <v>1075120536</v>
      </c>
    </row>
    <row r="223" spans="1:13">
      <c r="A223">
        <v>19027</v>
      </c>
      <c r="B223" t="s">
        <v>2799</v>
      </c>
      <c r="D223" t="s">
        <v>1</v>
      </c>
      <c r="E223" t="s">
        <v>2954</v>
      </c>
      <c r="F223" t="s">
        <v>2953</v>
      </c>
      <c r="G223">
        <v>10.5</v>
      </c>
      <c r="K223" t="s">
        <v>2964</v>
      </c>
      <c r="L223">
        <v>831031271</v>
      </c>
    </row>
    <row r="224" spans="1:13">
      <c r="A224">
        <v>19027</v>
      </c>
      <c r="B224" t="s">
        <v>2799</v>
      </c>
      <c r="D224" t="s">
        <v>2</v>
      </c>
      <c r="E224" t="s">
        <v>2956</v>
      </c>
      <c r="F224" t="s">
        <v>2953</v>
      </c>
      <c r="G224">
        <v>0.1</v>
      </c>
      <c r="K224" t="s">
        <v>2964</v>
      </c>
      <c r="L224">
        <v>831031271</v>
      </c>
    </row>
    <row r="225" spans="1:13">
      <c r="A225">
        <v>19028</v>
      </c>
      <c r="B225" t="s">
        <v>2805</v>
      </c>
      <c r="D225" t="s">
        <v>1</v>
      </c>
      <c r="E225" t="s">
        <v>2954</v>
      </c>
      <c r="F225" t="s">
        <v>2953</v>
      </c>
      <c r="G225">
        <v>10.5</v>
      </c>
      <c r="K225" t="s">
        <v>2965</v>
      </c>
      <c r="L225">
        <v>16362917</v>
      </c>
    </row>
    <row r="226" spans="1:13">
      <c r="A226">
        <v>19028</v>
      </c>
      <c r="B226" t="s">
        <v>2805</v>
      </c>
      <c r="D226" t="s">
        <v>2</v>
      </c>
      <c r="E226" t="s">
        <v>2956</v>
      </c>
      <c r="F226" t="s">
        <v>2953</v>
      </c>
      <c r="G226">
        <v>0.1</v>
      </c>
      <c r="K226" t="s">
        <v>2965</v>
      </c>
      <c r="L226">
        <v>16362917</v>
      </c>
    </row>
    <row r="227" spans="1:13">
      <c r="A227">
        <v>19029</v>
      </c>
      <c r="B227" t="s">
        <v>2812</v>
      </c>
      <c r="D227" t="s">
        <v>1</v>
      </c>
      <c r="E227" t="s">
        <v>2954</v>
      </c>
      <c r="F227" t="s">
        <v>2953</v>
      </c>
      <c r="G227">
        <v>10.5</v>
      </c>
      <c r="K227">
        <v>60562335823001</v>
      </c>
      <c r="L227">
        <v>435868854</v>
      </c>
      <c r="M227" t="s">
        <v>4</v>
      </c>
    </row>
    <row r="228" spans="1:13">
      <c r="A228">
        <v>19029</v>
      </c>
      <c r="B228" t="s">
        <v>2812</v>
      </c>
      <c r="D228" t="s">
        <v>2</v>
      </c>
      <c r="E228" t="s">
        <v>2956</v>
      </c>
      <c r="F228" t="s">
        <v>2953</v>
      </c>
      <c r="G228">
        <v>0.1</v>
      </c>
      <c r="K228">
        <v>60562335823001</v>
      </c>
      <c r="L228">
        <v>435868854</v>
      </c>
    </row>
    <row r="229" spans="1:13">
      <c r="A229">
        <v>19030</v>
      </c>
      <c r="B229" t="s">
        <v>2818</v>
      </c>
      <c r="D229" t="s">
        <v>1</v>
      </c>
      <c r="E229" t="s">
        <v>2954</v>
      </c>
      <c r="F229" t="s">
        <v>2953</v>
      </c>
      <c r="G229">
        <v>10.5</v>
      </c>
      <c r="K229" t="s">
        <v>2959</v>
      </c>
      <c r="L229">
        <v>1074726918</v>
      </c>
    </row>
    <row r="230" spans="1:13">
      <c r="A230">
        <v>19030</v>
      </c>
      <c r="B230" t="s">
        <v>2818</v>
      </c>
      <c r="D230" t="s">
        <v>2</v>
      </c>
      <c r="E230" t="s">
        <v>2956</v>
      </c>
      <c r="F230" t="s">
        <v>2953</v>
      </c>
      <c r="G230">
        <v>0.1</v>
      </c>
      <c r="K230" t="s">
        <v>2959</v>
      </c>
      <c r="L230">
        <v>1074726918</v>
      </c>
    </row>
    <row r="231" spans="1:13">
      <c r="A231">
        <v>19031</v>
      </c>
      <c r="B231" t="s">
        <v>2823</v>
      </c>
      <c r="D231" t="s">
        <v>1</v>
      </c>
      <c r="E231" t="s">
        <v>2954</v>
      </c>
      <c r="F231" t="s">
        <v>2953</v>
      </c>
      <c r="G231">
        <v>10.5</v>
      </c>
      <c r="K231">
        <v>60905115063003</v>
      </c>
      <c r="L231">
        <v>900853341</v>
      </c>
    </row>
    <row r="232" spans="1:13">
      <c r="A232">
        <v>19032</v>
      </c>
      <c r="B232" t="s">
        <v>2831</v>
      </c>
      <c r="D232" t="s">
        <v>1</v>
      </c>
      <c r="E232" t="s">
        <v>2954</v>
      </c>
      <c r="F232" t="s">
        <v>2953</v>
      </c>
      <c r="G232">
        <v>10.5</v>
      </c>
      <c r="K232" t="s">
        <v>2959</v>
      </c>
      <c r="L232">
        <v>1075186864</v>
      </c>
    </row>
    <row r="233" spans="1:13">
      <c r="A233">
        <v>19032</v>
      </c>
      <c r="B233" t="s">
        <v>2831</v>
      </c>
      <c r="D233" t="s">
        <v>2</v>
      </c>
      <c r="E233" t="s">
        <v>2956</v>
      </c>
      <c r="F233" t="s">
        <v>2953</v>
      </c>
      <c r="G233">
        <v>0.1</v>
      </c>
      <c r="K233" t="s">
        <v>2959</v>
      </c>
      <c r="L233">
        <v>1075186864</v>
      </c>
    </row>
    <row r="234" spans="1:13">
      <c r="A234">
        <v>19033</v>
      </c>
      <c r="B234" t="s">
        <v>2837</v>
      </c>
      <c r="D234" t="s">
        <v>1</v>
      </c>
      <c r="E234" t="s">
        <v>2954</v>
      </c>
      <c r="F234" t="s">
        <v>2953</v>
      </c>
      <c r="G234">
        <v>10.5</v>
      </c>
      <c r="K234" t="s">
        <v>2959</v>
      </c>
      <c r="L234">
        <v>1075083822</v>
      </c>
    </row>
    <row r="235" spans="1:13">
      <c r="A235">
        <v>19033</v>
      </c>
      <c r="B235" t="s">
        <v>2837</v>
      </c>
      <c r="D235" t="s">
        <v>2</v>
      </c>
      <c r="E235" t="s">
        <v>2956</v>
      </c>
      <c r="F235" t="s">
        <v>2953</v>
      </c>
      <c r="G235">
        <v>0.1</v>
      </c>
      <c r="K235" t="s">
        <v>2959</v>
      </c>
      <c r="L235">
        <v>1075083822</v>
      </c>
    </row>
    <row r="236" spans="1:13">
      <c r="A236">
        <v>19034</v>
      </c>
      <c r="B236" t="s">
        <v>2843</v>
      </c>
      <c r="D236" t="s">
        <v>1</v>
      </c>
      <c r="E236" t="s">
        <v>2954</v>
      </c>
      <c r="F236" t="s">
        <v>2953</v>
      </c>
      <c r="G236">
        <v>10.5</v>
      </c>
      <c r="K236" t="s">
        <v>2964</v>
      </c>
      <c r="L236">
        <v>830214332</v>
      </c>
    </row>
    <row r="237" spans="1:13">
      <c r="A237">
        <v>19035</v>
      </c>
      <c r="B237" t="s">
        <v>2848</v>
      </c>
      <c r="D237" t="s">
        <v>1</v>
      </c>
      <c r="E237" t="s">
        <v>2954</v>
      </c>
      <c r="F237" t="s">
        <v>2953</v>
      </c>
      <c r="G237">
        <v>10.5</v>
      </c>
      <c r="K237" t="s">
        <v>2959</v>
      </c>
      <c r="L237">
        <v>1075083862</v>
      </c>
    </row>
    <row r="238" spans="1:13">
      <c r="A238">
        <v>19035</v>
      </c>
      <c r="B238" t="s">
        <v>2848</v>
      </c>
      <c r="D238" t="s">
        <v>2</v>
      </c>
      <c r="E238" t="s">
        <v>2956</v>
      </c>
      <c r="F238" t="s">
        <v>2953</v>
      </c>
      <c r="G238">
        <v>0.1</v>
      </c>
      <c r="K238" t="s">
        <v>2959</v>
      </c>
      <c r="L238">
        <v>1075083862</v>
      </c>
    </row>
    <row r="239" spans="1:13">
      <c r="A239">
        <v>19037</v>
      </c>
      <c r="B239" t="s">
        <v>2860</v>
      </c>
      <c r="D239" t="s">
        <v>1</v>
      </c>
      <c r="E239" t="s">
        <v>2954</v>
      </c>
      <c r="F239" t="s">
        <v>2953</v>
      </c>
      <c r="G239">
        <v>10.5</v>
      </c>
      <c r="K239" t="s">
        <v>2959</v>
      </c>
      <c r="L239">
        <v>1074347801</v>
      </c>
    </row>
    <row r="240" spans="1:13">
      <c r="A240">
        <v>19037</v>
      </c>
      <c r="B240" t="s">
        <v>2860</v>
      </c>
      <c r="D240" t="s">
        <v>2</v>
      </c>
      <c r="E240" t="s">
        <v>2956</v>
      </c>
      <c r="F240" t="s">
        <v>2953</v>
      </c>
      <c r="G240">
        <v>0.1</v>
      </c>
      <c r="K240" t="s">
        <v>2959</v>
      </c>
      <c r="L240">
        <v>1074347801</v>
      </c>
    </row>
    <row r="241" spans="1:12">
      <c r="A241">
        <v>19038</v>
      </c>
      <c r="B241" t="s">
        <v>2866</v>
      </c>
      <c r="D241" t="s">
        <v>1</v>
      </c>
      <c r="E241" t="s">
        <v>2954</v>
      </c>
      <c r="F241" t="s">
        <v>2953</v>
      </c>
      <c r="G241">
        <v>10.5</v>
      </c>
      <c r="K241" t="s">
        <v>2959</v>
      </c>
      <c r="L241">
        <v>1073294047</v>
      </c>
    </row>
    <row r="242" spans="1:12">
      <c r="A242">
        <v>19039</v>
      </c>
      <c r="B242" t="s">
        <v>2870</v>
      </c>
      <c r="D242" t="s">
        <v>1</v>
      </c>
      <c r="E242" t="s">
        <v>2954</v>
      </c>
      <c r="F242" t="s">
        <v>2953</v>
      </c>
      <c r="G242">
        <v>10.5</v>
      </c>
      <c r="K242" t="s">
        <v>2959</v>
      </c>
      <c r="L242">
        <v>1072738852</v>
      </c>
    </row>
    <row r="243" spans="1:12">
      <c r="A243">
        <v>19039</v>
      </c>
      <c r="B243" t="s">
        <v>2870</v>
      </c>
      <c r="D243" t="s">
        <v>2</v>
      </c>
      <c r="E243" t="s">
        <v>2956</v>
      </c>
      <c r="F243" t="s">
        <v>2953</v>
      </c>
      <c r="G243">
        <v>0.1</v>
      </c>
      <c r="K243" t="s">
        <v>2959</v>
      </c>
      <c r="L243">
        <v>1072738852</v>
      </c>
    </row>
    <row r="244" spans="1:12">
      <c r="A244">
        <v>19040</v>
      </c>
      <c r="B244" t="s">
        <v>2013</v>
      </c>
      <c r="D244" t="s">
        <v>1</v>
      </c>
      <c r="E244" t="s">
        <v>2954</v>
      </c>
      <c r="F244" t="s">
        <v>2953</v>
      </c>
      <c r="G244">
        <v>10.5</v>
      </c>
      <c r="K244">
        <v>41272198829401</v>
      </c>
      <c r="L244">
        <v>618483</v>
      </c>
    </row>
    <row r="245" spans="1:12">
      <c r="A245">
        <v>19041</v>
      </c>
      <c r="B245" t="s">
        <v>2993</v>
      </c>
      <c r="D245" t="s">
        <v>1</v>
      </c>
      <c r="E245" t="s">
        <v>2954</v>
      </c>
      <c r="F245" t="s">
        <v>2953</v>
      </c>
      <c r="G245">
        <v>10.5</v>
      </c>
      <c r="K245" t="s">
        <v>2959</v>
      </c>
      <c r="L245">
        <v>1075192660</v>
      </c>
    </row>
    <row r="246" spans="1:12">
      <c r="A246">
        <v>19041</v>
      </c>
      <c r="B246" t="s">
        <v>2993</v>
      </c>
      <c r="D246" t="s">
        <v>2</v>
      </c>
      <c r="E246" t="s">
        <v>2956</v>
      </c>
      <c r="F246" t="s">
        <v>2953</v>
      </c>
      <c r="G246">
        <v>0.1</v>
      </c>
      <c r="K246" t="s">
        <v>2959</v>
      </c>
      <c r="L246">
        <v>1075192660</v>
      </c>
    </row>
    <row r="247" spans="1:12">
      <c r="A247">
        <v>19042</v>
      </c>
      <c r="B247" t="s">
        <v>2994</v>
      </c>
      <c r="D247" t="s">
        <v>1</v>
      </c>
      <c r="E247" t="s">
        <v>2954</v>
      </c>
      <c r="F247" t="s">
        <v>2953</v>
      </c>
      <c r="G247">
        <v>10.5</v>
      </c>
      <c r="K247">
        <v>70732426024100</v>
      </c>
      <c r="L247">
        <v>54007923</v>
      </c>
    </row>
    <row r="248" spans="1:12">
      <c r="A248">
        <v>19042</v>
      </c>
      <c r="B248" t="s">
        <v>2994</v>
      </c>
      <c r="D248" t="s">
        <v>2</v>
      </c>
      <c r="E248" t="s">
        <v>2956</v>
      </c>
      <c r="F248" t="s">
        <v>2953</v>
      </c>
      <c r="G248">
        <v>0.1</v>
      </c>
      <c r="K248">
        <v>70732426024100</v>
      </c>
      <c r="L248">
        <v>54007923</v>
      </c>
    </row>
    <row r="249" spans="1:12">
      <c r="A249">
        <v>19043</v>
      </c>
      <c r="B249" t="s">
        <v>2995</v>
      </c>
      <c r="D249" t="s">
        <v>1</v>
      </c>
      <c r="E249" t="s">
        <v>2954</v>
      </c>
      <c r="F249" t="s">
        <v>2953</v>
      </c>
      <c r="G249">
        <v>10.5</v>
      </c>
      <c r="K249" t="s">
        <v>2959</v>
      </c>
      <c r="L249">
        <v>1075210102</v>
      </c>
    </row>
    <row r="250" spans="1:12">
      <c r="A250">
        <v>19043</v>
      </c>
      <c r="B250" t="s">
        <v>2995</v>
      </c>
      <c r="D250" t="s">
        <v>2</v>
      </c>
      <c r="E250" t="s">
        <v>2956</v>
      </c>
      <c r="F250" t="s">
        <v>2953</v>
      </c>
      <c r="G250">
        <v>0.1</v>
      </c>
      <c r="K250" t="s">
        <v>2959</v>
      </c>
      <c r="L250">
        <v>1075210102</v>
      </c>
    </row>
    <row r="251" spans="1:12">
      <c r="A251">
        <v>44705</v>
      </c>
      <c r="B251" t="s">
        <v>2911</v>
      </c>
      <c r="D251" t="s">
        <v>1</v>
      </c>
      <c r="E251" t="s">
        <v>2954</v>
      </c>
      <c r="F251" t="s">
        <v>2953</v>
      </c>
      <c r="G251">
        <v>10.5</v>
      </c>
      <c r="K251">
        <v>28342064803589</v>
      </c>
      <c r="L251">
        <v>15325286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Sheet1</vt:lpstr>
      <vt:lpstr>Template</vt:lpstr>
      <vt:lpstr>Biographical</vt:lpstr>
      <vt:lpstr>Allowance</vt:lpstr>
      <vt:lpstr>Allowance</vt:lpstr>
      <vt:lpstr>Bio</vt:lpstr>
      <vt:lpstr>BirthDate</vt:lpstr>
      <vt:lpstr>Deductionid</vt:lpstr>
      <vt:lpstr>Biographical!ExternalData_1</vt:lpstr>
      <vt:lpstr>Biographical!ExternalData_2</vt:lpstr>
      <vt:lpstr>Biographical!ExternalData_3</vt:lpstr>
      <vt:lpstr>Biographical!ExternalData_4</vt:lpstr>
      <vt:lpstr>PeriodEndDate</vt:lpstr>
      <vt:lpstr>ServiceFraction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Lee</dc:creator>
  <cp:lastModifiedBy>M</cp:lastModifiedBy>
  <dcterms:created xsi:type="dcterms:W3CDTF">2022-10-22T23:00:06Z</dcterms:created>
  <dcterms:modified xsi:type="dcterms:W3CDTF">2023-02-22T00:19:12Z</dcterms:modified>
</cp:coreProperties>
</file>